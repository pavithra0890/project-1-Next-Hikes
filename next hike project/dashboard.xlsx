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b3e9351f10803ecb/Desktop/next hike project/"/>
    </mc:Choice>
  </mc:AlternateContent>
  <xr:revisionPtr revIDLastSave="0" documentId="8_{E9CDB799-A47E-4784-8D39-C6AE11E6D550}" xr6:coauthVersionLast="47" xr6:coauthVersionMax="47" xr10:uidLastSave="{00000000-0000-0000-0000-000000000000}"/>
  <bookViews>
    <workbookView xWindow="-108" yWindow="-108" windowWidth="23256" windowHeight="12456" xr2:uid="{00000000-000D-0000-FFFF-FFFF00000000}"/>
  </bookViews>
  <sheets>
    <sheet name="dashboard" sheetId="10" r:id="rId1"/>
    <sheet name="Anamoly detection" sheetId="17" r:id="rId2"/>
    <sheet name="Demand forecast" sheetId="15" r:id="rId3"/>
    <sheet name="pivot" sheetId="12" r:id="rId4"/>
    <sheet name="working data" sheetId="8" r:id="rId5"/>
    <sheet name="Merged raw data" sheetId="7" r:id="rId6"/>
    <sheet name="outliers" sheetId="9" state="hidden" r:id="rId7"/>
    <sheet name="dataset_3" sheetId="5" state="hidden" r:id="rId8"/>
    <sheet name="Merge1" sheetId="4" state="hidden" r:id="rId9"/>
  </sheets>
  <definedNames>
    <definedName name="_xlnm._FilterDatabase" localSheetId="4" hidden="1">'working data'!$A$1:$U$1003</definedName>
    <definedName name="ExternalData_3" localSheetId="8" hidden="1">Merge1!$A$1:$P$611</definedName>
    <definedName name="ExternalData_4" localSheetId="7" hidden="1">dataset_3!$A$1:$P$391</definedName>
    <definedName name="Slicer_Days">#N/A</definedName>
    <definedName name="Slicer_Month">#N/A</definedName>
    <definedName name="Slicer_Weekday_weekend">#N/A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17" l="1"/>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5" i="17"/>
  <c r="I6" i="17"/>
  <c r="I7" i="17"/>
  <c r="I8" i="17"/>
  <c r="I9" i="17"/>
  <c r="I10" i="17"/>
  <c r="I11" i="17"/>
  <c r="I12" i="17"/>
  <c r="I13" i="17"/>
  <c r="I14" i="17"/>
  <c r="I15" i="17"/>
  <c r="I16" i="17"/>
  <c r="I17" i="17"/>
  <c r="I18" i="17"/>
  <c r="I19" i="17"/>
  <c r="I20" i="17"/>
  <c r="I21" i="17"/>
  <c r="I22" i="17"/>
  <c r="I23" i="17"/>
  <c r="I4" i="17"/>
  <c r="I32" i="12"/>
  <c r="E35" i="12"/>
  <c r="E36" i="12"/>
  <c r="E37" i="12"/>
  <c r="E38" i="12"/>
  <c r="E39" i="12"/>
  <c r="E40" i="12"/>
  <c r="E41" i="12"/>
  <c r="E42" i="12"/>
  <c r="E43" i="12"/>
  <c r="E44" i="12"/>
  <c r="E45" i="12"/>
  <c r="E46" i="12"/>
  <c r="E47" i="12"/>
  <c r="E34" i="12"/>
  <c r="AL270" i="12"/>
  <c r="AL271" i="12"/>
  <c r="AL272" i="12"/>
  <c r="AL273" i="12"/>
  <c r="AL274" i="12"/>
  <c r="AL275" i="12"/>
  <c r="AL276" i="12"/>
  <c r="AL277" i="12"/>
  <c r="AL278" i="12"/>
  <c r="AL279" i="12"/>
  <c r="AL280" i="12"/>
  <c r="AL281" i="12"/>
  <c r="AL282" i="12"/>
  <c r="AL283" i="12"/>
  <c r="AL284" i="12"/>
  <c r="AL285" i="12"/>
  <c r="AL286" i="12"/>
  <c r="AL287" i="12"/>
  <c r="AL288" i="12"/>
  <c r="AL289" i="12"/>
  <c r="AL290" i="12"/>
  <c r="AL291" i="12"/>
  <c r="AL292" i="12"/>
  <c r="AL293" i="12"/>
  <c r="AL294" i="12"/>
  <c r="AL295" i="12"/>
  <c r="AL296" i="12"/>
  <c r="AL297" i="12"/>
  <c r="AL298" i="12"/>
  <c r="AL299" i="12"/>
  <c r="AL300" i="12"/>
  <c r="AL301" i="12"/>
  <c r="AL302" i="12"/>
  <c r="AL303" i="12"/>
  <c r="AL304" i="12"/>
  <c r="AL305" i="12"/>
  <c r="AL306" i="12"/>
  <c r="AL307" i="12"/>
  <c r="AL308" i="12"/>
  <c r="AL309" i="12"/>
  <c r="AL310" i="12"/>
  <c r="AL311" i="12"/>
  <c r="AL312" i="12"/>
  <c r="AL313" i="12"/>
  <c r="AL314" i="12"/>
  <c r="AL315" i="12"/>
  <c r="AL316" i="12"/>
  <c r="AL317" i="12"/>
  <c r="AL318" i="12"/>
  <c r="AL319" i="12"/>
  <c r="AL320" i="12"/>
  <c r="AL321" i="12"/>
  <c r="AL322" i="12"/>
  <c r="AL323" i="12"/>
  <c r="AL324" i="12"/>
  <c r="AL325" i="12"/>
  <c r="AL326" i="12"/>
  <c r="AL327" i="12"/>
  <c r="AL328" i="12"/>
  <c r="AL329" i="12"/>
  <c r="AL330" i="12"/>
  <c r="AL331" i="12"/>
  <c r="AL332" i="12"/>
  <c r="AL333" i="12"/>
  <c r="AL334" i="12"/>
  <c r="AL335" i="12"/>
  <c r="AL336" i="12"/>
  <c r="AL337" i="12"/>
  <c r="AL338" i="12"/>
  <c r="AL339" i="12"/>
  <c r="AL340" i="12"/>
  <c r="AL341" i="12"/>
  <c r="AL342" i="12"/>
  <c r="AL343" i="12"/>
  <c r="AL344" i="12"/>
  <c r="AL345" i="12"/>
  <c r="AL346" i="12"/>
  <c r="AL347" i="12"/>
  <c r="AL348" i="12"/>
  <c r="AL349" i="12"/>
  <c r="AL350" i="12"/>
  <c r="AL351" i="12"/>
  <c r="AL352" i="12"/>
  <c r="AL353" i="12"/>
  <c r="AL354" i="12"/>
  <c r="AL355" i="12"/>
  <c r="AL356" i="12"/>
  <c r="AL357" i="12"/>
  <c r="AL358" i="12"/>
  <c r="AL359" i="12"/>
  <c r="AL360" i="12"/>
  <c r="AL361" i="12"/>
  <c r="AL362" i="12"/>
  <c r="AL363" i="12"/>
  <c r="AL364" i="12"/>
  <c r="AL365" i="12"/>
  <c r="AL366" i="12"/>
  <c r="AL367" i="12"/>
  <c r="AL368" i="12"/>
  <c r="AL369" i="12"/>
  <c r="AL370" i="12"/>
  <c r="AL371" i="12"/>
  <c r="AL372" i="12"/>
  <c r="AL373" i="12"/>
  <c r="AL374" i="12"/>
  <c r="AL375" i="12"/>
  <c r="AL376" i="12"/>
  <c r="AL377" i="12"/>
  <c r="AL378" i="12"/>
  <c r="AL379" i="12"/>
  <c r="AL380" i="12"/>
  <c r="AL381" i="12"/>
  <c r="AL382" i="12"/>
  <c r="AL383" i="12"/>
  <c r="AL384" i="12"/>
  <c r="AL385" i="12"/>
  <c r="AL386" i="12"/>
  <c r="AL387" i="12"/>
  <c r="AL388" i="12"/>
  <c r="AL389" i="12"/>
  <c r="AL390" i="12"/>
  <c r="AL391" i="12"/>
  <c r="AL392" i="12"/>
  <c r="AL393" i="12"/>
  <c r="AL394" i="12"/>
  <c r="AL395" i="12"/>
  <c r="AL396" i="12"/>
  <c r="AL397" i="12"/>
  <c r="AL398" i="12"/>
  <c r="AL399" i="12"/>
  <c r="AL400" i="12"/>
  <c r="AL401" i="12"/>
  <c r="AL402" i="12"/>
  <c r="AL403" i="12"/>
  <c r="AL404" i="12"/>
  <c r="AL405" i="12"/>
  <c r="AL406" i="12"/>
  <c r="AL407" i="12"/>
  <c r="AL408" i="12"/>
  <c r="AL409" i="12"/>
  <c r="AL410" i="12"/>
  <c r="AL411" i="12"/>
  <c r="AL412" i="12"/>
  <c r="AL413" i="12"/>
  <c r="AL414" i="12"/>
  <c r="AL415" i="12"/>
  <c r="AL416" i="12"/>
  <c r="AL417" i="12"/>
  <c r="AL418" i="12"/>
  <c r="AL419" i="12"/>
  <c r="AL420" i="12"/>
  <c r="AL421" i="12"/>
  <c r="AL422" i="12"/>
  <c r="AL423" i="12"/>
  <c r="AL424" i="12"/>
  <c r="AL425" i="12"/>
  <c r="AL426" i="12"/>
  <c r="AL427" i="12"/>
  <c r="AL428" i="12"/>
  <c r="AL429" i="12"/>
  <c r="AL430" i="12"/>
  <c r="AL431" i="12"/>
  <c r="AL432" i="12"/>
  <c r="AL433" i="12"/>
  <c r="AL434" i="12"/>
  <c r="AL435" i="12"/>
  <c r="AL436" i="12"/>
  <c r="AL437" i="12"/>
  <c r="AL438" i="12"/>
  <c r="AL439" i="12"/>
  <c r="AL440" i="12"/>
  <c r="AL441" i="12"/>
  <c r="AL442" i="12"/>
  <c r="AL443" i="12"/>
  <c r="AL444" i="12"/>
  <c r="AL445" i="12"/>
  <c r="AL446" i="12"/>
  <c r="AL447" i="12"/>
  <c r="AL448" i="12"/>
  <c r="AL449" i="12"/>
  <c r="AL450" i="12"/>
  <c r="AL451" i="12"/>
  <c r="AL452" i="12"/>
  <c r="AL453" i="12"/>
  <c r="AL454" i="12"/>
  <c r="AL455" i="12"/>
  <c r="AL456" i="12"/>
  <c r="AL457" i="12"/>
  <c r="AL458" i="12"/>
  <c r="AL459" i="12"/>
  <c r="AL460" i="12"/>
  <c r="AL461" i="12"/>
  <c r="AL462" i="12"/>
  <c r="AL463" i="12"/>
  <c r="AL464" i="12"/>
  <c r="AL465" i="12"/>
  <c r="AL466" i="12"/>
  <c r="AL467" i="12"/>
  <c r="AL468" i="12"/>
  <c r="AL469" i="12"/>
  <c r="AL470" i="12"/>
  <c r="AL471" i="12"/>
  <c r="AL472" i="12"/>
  <c r="AL473" i="12"/>
  <c r="AL474" i="12"/>
  <c r="AL475" i="12"/>
  <c r="AL476" i="12"/>
  <c r="AL477" i="12"/>
  <c r="AL478" i="12"/>
  <c r="AL479" i="12"/>
  <c r="AL480" i="12"/>
  <c r="AL481" i="12"/>
  <c r="AL482" i="12"/>
  <c r="AL483" i="12"/>
  <c r="AL484" i="12"/>
  <c r="AL485" i="12"/>
  <c r="AL486" i="12"/>
  <c r="AL487" i="12"/>
  <c r="AL488" i="12"/>
  <c r="AL489" i="12"/>
  <c r="AL490" i="12"/>
  <c r="AL491" i="12"/>
  <c r="AL492" i="12"/>
  <c r="AL493" i="12"/>
  <c r="AL494" i="12"/>
  <c r="AL495" i="12"/>
  <c r="AL496" i="12"/>
  <c r="AL497" i="12"/>
  <c r="AL498" i="12"/>
  <c r="AL499" i="12"/>
  <c r="AL500" i="12"/>
  <c r="AL501" i="12"/>
  <c r="AL502" i="12"/>
  <c r="AL503" i="12"/>
  <c r="AL504" i="12"/>
  <c r="AL505" i="12"/>
  <c r="AL506" i="12"/>
  <c r="AL507" i="12"/>
  <c r="AL508" i="12"/>
  <c r="AL509" i="12"/>
  <c r="AL510" i="12"/>
  <c r="AL511" i="12"/>
  <c r="AL512" i="12"/>
  <c r="AL513" i="12"/>
  <c r="AL514" i="12"/>
  <c r="AL515" i="12"/>
  <c r="AL516" i="12"/>
  <c r="AL517" i="12"/>
  <c r="AL518" i="12"/>
  <c r="AL519" i="12"/>
  <c r="AL520" i="12"/>
  <c r="AL521" i="12"/>
  <c r="AL522" i="12"/>
  <c r="AL523" i="12"/>
  <c r="AL524" i="12"/>
  <c r="AL525" i="12"/>
  <c r="AL526" i="12"/>
  <c r="AL527" i="12"/>
  <c r="AL528" i="12"/>
  <c r="AL529" i="12"/>
  <c r="AL530" i="12"/>
  <c r="AL531" i="12"/>
  <c r="AL532" i="12"/>
  <c r="AL533" i="12"/>
  <c r="AL534" i="12"/>
  <c r="AL535" i="12"/>
  <c r="AL536" i="12"/>
  <c r="AL537" i="12"/>
  <c r="AL538" i="12"/>
  <c r="AL539" i="12"/>
  <c r="AL540" i="12"/>
  <c r="AL541" i="12"/>
  <c r="AL542" i="12"/>
  <c r="AL543" i="12"/>
  <c r="AL544" i="12"/>
  <c r="AL545" i="12"/>
  <c r="AL546" i="12"/>
  <c r="AL547" i="12"/>
  <c r="AL548" i="12"/>
  <c r="AL549" i="12"/>
  <c r="AL550" i="12"/>
  <c r="AL551" i="12"/>
  <c r="AL552" i="12"/>
  <c r="AL553" i="12"/>
  <c r="AL554" i="12"/>
  <c r="AL555" i="12"/>
  <c r="AL556" i="12"/>
  <c r="AL557" i="12"/>
  <c r="AL558" i="12"/>
  <c r="AL559" i="12"/>
  <c r="AL560" i="12"/>
  <c r="AL561" i="12"/>
  <c r="AL562" i="12"/>
  <c r="AL563" i="12"/>
  <c r="AL564" i="12"/>
  <c r="AL565" i="12"/>
  <c r="AL566" i="12"/>
  <c r="AL567" i="12"/>
  <c r="AL568" i="12"/>
  <c r="AL569" i="12"/>
  <c r="AL570" i="12"/>
  <c r="AL571" i="12"/>
  <c r="AL572" i="12"/>
  <c r="AL573" i="12"/>
  <c r="AL574" i="12"/>
  <c r="AL575" i="12"/>
  <c r="AL576" i="12"/>
  <c r="AL577" i="12"/>
  <c r="AL578" i="12"/>
  <c r="AL579" i="12"/>
  <c r="AL580" i="12"/>
  <c r="AL581" i="12"/>
  <c r="AL582" i="12"/>
  <c r="AL583" i="12"/>
  <c r="AL584" i="12"/>
  <c r="AL585" i="12"/>
  <c r="AL586" i="12"/>
  <c r="AL587" i="12"/>
  <c r="AL588" i="12"/>
  <c r="AL589" i="12"/>
  <c r="AL590" i="12"/>
  <c r="AL591" i="12"/>
  <c r="AL592" i="12"/>
  <c r="AL593" i="12"/>
  <c r="AL594" i="12"/>
  <c r="AL595" i="12"/>
  <c r="AL596" i="12"/>
  <c r="AL597" i="12"/>
  <c r="AL598" i="12"/>
  <c r="AL599" i="12"/>
  <c r="AL600" i="12"/>
  <c r="AL601" i="12"/>
  <c r="AL602" i="12"/>
  <c r="AL603" i="12"/>
  <c r="AL604" i="12"/>
  <c r="AL605" i="12"/>
  <c r="AL606" i="12"/>
  <c r="AL607" i="12"/>
  <c r="AL608" i="12"/>
  <c r="AL609" i="12"/>
  <c r="AL610" i="12"/>
  <c r="AL611" i="12"/>
  <c r="AL612" i="12"/>
  <c r="AL613" i="12"/>
  <c r="AL614" i="12"/>
  <c r="AL615" i="12"/>
  <c r="AL616" i="12"/>
  <c r="AL617" i="12"/>
  <c r="AL618" i="12"/>
  <c r="AL619" i="12"/>
  <c r="AL620" i="12"/>
  <c r="AL621" i="12"/>
  <c r="AL622" i="12"/>
  <c r="AL623" i="12"/>
  <c r="AL624" i="12"/>
  <c r="AL625" i="12"/>
  <c r="AL626" i="12"/>
  <c r="AL627" i="12"/>
  <c r="AL628" i="12"/>
  <c r="AL629" i="12"/>
  <c r="AL630" i="12"/>
  <c r="AL631" i="12"/>
  <c r="AL632" i="12"/>
  <c r="AL633" i="12"/>
  <c r="AL634" i="12"/>
  <c r="AL635" i="12"/>
  <c r="AL636" i="12"/>
  <c r="AL637" i="12"/>
  <c r="AL638" i="12"/>
  <c r="AL639" i="12"/>
  <c r="AL640" i="12"/>
  <c r="AL641" i="12"/>
  <c r="AL642" i="12"/>
  <c r="AL643" i="12"/>
  <c r="AL644" i="12"/>
  <c r="AL645" i="12"/>
  <c r="AL646" i="12"/>
  <c r="AL647" i="12"/>
  <c r="AL648" i="12"/>
  <c r="AL649" i="12"/>
  <c r="AL650" i="12"/>
  <c r="AL651" i="12"/>
  <c r="AL652" i="12"/>
  <c r="AL653" i="12"/>
  <c r="AL654" i="12"/>
  <c r="AL655" i="12"/>
  <c r="AL656" i="12"/>
  <c r="AL657" i="12"/>
  <c r="AL658" i="12"/>
  <c r="AL659" i="12"/>
  <c r="AL660" i="12"/>
  <c r="AL661" i="12"/>
  <c r="AL662" i="12"/>
  <c r="AL663" i="12"/>
  <c r="AL664" i="12"/>
  <c r="AL665" i="12"/>
  <c r="AL666" i="12"/>
  <c r="AL667" i="12"/>
  <c r="AL668" i="12"/>
  <c r="AL669" i="12"/>
  <c r="AL670" i="12"/>
  <c r="AL671" i="12"/>
  <c r="AL672" i="12"/>
  <c r="AL673" i="12"/>
  <c r="AL674" i="12"/>
  <c r="AL675" i="12"/>
  <c r="AL676" i="12"/>
  <c r="AL677" i="12"/>
  <c r="AL678" i="12"/>
  <c r="AL679" i="12"/>
  <c r="AL680" i="12"/>
  <c r="AL681" i="12"/>
  <c r="AL682" i="12"/>
  <c r="AL683" i="12"/>
  <c r="AL684" i="12"/>
  <c r="AL685" i="12"/>
  <c r="AL686" i="12"/>
  <c r="AL687" i="12"/>
  <c r="AL688" i="12"/>
  <c r="AL689" i="12"/>
  <c r="AL690" i="12"/>
  <c r="AL691" i="12"/>
  <c r="AL692" i="12"/>
  <c r="AL693" i="12"/>
  <c r="AL694" i="12"/>
  <c r="AL695" i="12"/>
  <c r="AL696" i="12"/>
  <c r="AL697" i="12"/>
  <c r="AL698" i="12"/>
  <c r="AL699" i="12"/>
  <c r="AL700" i="12"/>
  <c r="AL701" i="12"/>
  <c r="AL702" i="12"/>
  <c r="AL703" i="12"/>
  <c r="AL704" i="12"/>
  <c r="AL705" i="12"/>
  <c r="AL706" i="12"/>
  <c r="AL707" i="12"/>
  <c r="AL708" i="12"/>
  <c r="AL709" i="12"/>
  <c r="AL710" i="12"/>
  <c r="AL711" i="12"/>
  <c r="AL712" i="12"/>
  <c r="AL713" i="12"/>
  <c r="AL714" i="12"/>
  <c r="AL715" i="12"/>
  <c r="AL716" i="12"/>
  <c r="AL717" i="12"/>
  <c r="AL718" i="12"/>
  <c r="AL719" i="12"/>
  <c r="AL720" i="12"/>
  <c r="AL721" i="12"/>
  <c r="AL722" i="12"/>
  <c r="AL723" i="12"/>
  <c r="AL724" i="12"/>
  <c r="AL725" i="12"/>
  <c r="AL726" i="12"/>
  <c r="AL727" i="12"/>
  <c r="AL728" i="12"/>
  <c r="AL729" i="12"/>
  <c r="AL730" i="12"/>
  <c r="AL731" i="12"/>
  <c r="AL732" i="12"/>
  <c r="AL733" i="12"/>
  <c r="AL734" i="12"/>
  <c r="AL735" i="12"/>
  <c r="AL736" i="12"/>
  <c r="AL737" i="12"/>
  <c r="AL738" i="12"/>
  <c r="AL739" i="12"/>
  <c r="AL740" i="12"/>
  <c r="AL741" i="12"/>
  <c r="AL742" i="12"/>
  <c r="AL743" i="12"/>
  <c r="AL744" i="12"/>
  <c r="AL745" i="12"/>
  <c r="AL746" i="12"/>
  <c r="AL747" i="12"/>
  <c r="AL748" i="12"/>
  <c r="AL749" i="12"/>
  <c r="AL750" i="12"/>
  <c r="AL751" i="12"/>
  <c r="AL752" i="12"/>
  <c r="AL753" i="12"/>
  <c r="AL754" i="12"/>
  <c r="AL755" i="12"/>
  <c r="AL756" i="12"/>
  <c r="AL757" i="12"/>
  <c r="AL758" i="12"/>
  <c r="AL759" i="12"/>
  <c r="AL760" i="12"/>
  <c r="AL761" i="12"/>
  <c r="AL762" i="12"/>
  <c r="AL763" i="12"/>
  <c r="AL764" i="12"/>
  <c r="AL765" i="12"/>
  <c r="AL766" i="12"/>
  <c r="AL767" i="12"/>
  <c r="AL768" i="12"/>
  <c r="AL769" i="12"/>
  <c r="AL770" i="12"/>
  <c r="AL771" i="12"/>
  <c r="AL772" i="12"/>
  <c r="AL773" i="12"/>
  <c r="AL774" i="12"/>
  <c r="AL775" i="12"/>
  <c r="AL776" i="12"/>
  <c r="AL777" i="12"/>
  <c r="AL778" i="12"/>
  <c r="AL779" i="12"/>
  <c r="AL780" i="12"/>
  <c r="AL781" i="12"/>
  <c r="AL782" i="12"/>
  <c r="AL783" i="12"/>
  <c r="AL784" i="12"/>
  <c r="AL785" i="12"/>
  <c r="AL786" i="12"/>
  <c r="AL787" i="12"/>
  <c r="AL788" i="12"/>
  <c r="AL789" i="12"/>
  <c r="AL790" i="12"/>
  <c r="AL791" i="12"/>
  <c r="AL792" i="12"/>
  <c r="AL793" i="12"/>
  <c r="AL794" i="12"/>
  <c r="AL795" i="12"/>
  <c r="AL796" i="12"/>
  <c r="AL797" i="12"/>
  <c r="AL798" i="12"/>
  <c r="AL799" i="12"/>
  <c r="AL800" i="12"/>
  <c r="AL801" i="12"/>
  <c r="AL802" i="12"/>
  <c r="AL803" i="12"/>
  <c r="AL804" i="12"/>
  <c r="AL805" i="12"/>
  <c r="AL806" i="12"/>
  <c r="AL807" i="12"/>
  <c r="AL808" i="12"/>
  <c r="AL809" i="12"/>
  <c r="AL810" i="12"/>
  <c r="AL811" i="12"/>
  <c r="AL812" i="12"/>
  <c r="AL813" i="12"/>
  <c r="AL814" i="12"/>
  <c r="AL815" i="12"/>
  <c r="AL816" i="12"/>
  <c r="AL817" i="12"/>
  <c r="AL818" i="12"/>
  <c r="AL819" i="12"/>
  <c r="AL820" i="12"/>
  <c r="AL821" i="12"/>
  <c r="AL822" i="12"/>
  <c r="AL823" i="12"/>
  <c r="AL824" i="12"/>
  <c r="AL825" i="12"/>
  <c r="AL826" i="12"/>
  <c r="AL827" i="12"/>
  <c r="AL828" i="12"/>
  <c r="AL829" i="12"/>
  <c r="AL830" i="12"/>
  <c r="AL831" i="12"/>
  <c r="AL832" i="12"/>
  <c r="AL833" i="12"/>
  <c r="AL834" i="12"/>
  <c r="AL835" i="12"/>
  <c r="AL836" i="12"/>
  <c r="AL837" i="12"/>
  <c r="AL838" i="12"/>
  <c r="AL839" i="12"/>
  <c r="AL840" i="12"/>
  <c r="AL841" i="12"/>
  <c r="AL842" i="12"/>
  <c r="AL843" i="12"/>
  <c r="AL844" i="12"/>
  <c r="AL845" i="12"/>
  <c r="AL846" i="12"/>
  <c r="AL847" i="12"/>
  <c r="AL848" i="12"/>
  <c r="AL849" i="12"/>
  <c r="AL850" i="12"/>
  <c r="AL851" i="12"/>
  <c r="AL852" i="12"/>
  <c r="AL853" i="12"/>
  <c r="AL854" i="12"/>
  <c r="AL855" i="12"/>
  <c r="AL856" i="12"/>
  <c r="AL857" i="12"/>
  <c r="AL858" i="12"/>
  <c r="AL859" i="12"/>
  <c r="AL860" i="12"/>
  <c r="AL861" i="12"/>
  <c r="AL862" i="12"/>
  <c r="AL863" i="12"/>
  <c r="AL864" i="12"/>
  <c r="AL865" i="12"/>
  <c r="AL866" i="12"/>
  <c r="AL867" i="12"/>
  <c r="AL868" i="12"/>
  <c r="AL869" i="12"/>
  <c r="AL870" i="12"/>
  <c r="AL871" i="12"/>
  <c r="AL872" i="12"/>
  <c r="AL873" i="12"/>
  <c r="AL874" i="12"/>
  <c r="AL875" i="12"/>
  <c r="AL876" i="12"/>
  <c r="AL877" i="12"/>
  <c r="AL878" i="12"/>
  <c r="AL879" i="12"/>
  <c r="AL880" i="12"/>
  <c r="AL881" i="12"/>
  <c r="AL882" i="12"/>
  <c r="AL883" i="12"/>
  <c r="AL884" i="12"/>
  <c r="AL885" i="12"/>
  <c r="AL886" i="12"/>
  <c r="AL887" i="12"/>
  <c r="AL888" i="12"/>
  <c r="AL889" i="12"/>
  <c r="AL890" i="12"/>
  <c r="AL891" i="12"/>
  <c r="AL892" i="12"/>
  <c r="AL893" i="12"/>
  <c r="AL894" i="12"/>
  <c r="AL895" i="12"/>
  <c r="AL896" i="12"/>
  <c r="AL897" i="12"/>
  <c r="AL898" i="12"/>
  <c r="AL899" i="12"/>
  <c r="AL900" i="12"/>
  <c r="AL901" i="12"/>
  <c r="AL902" i="12"/>
  <c r="AL903" i="12"/>
  <c r="AL904" i="12"/>
  <c r="AL905" i="12"/>
  <c r="AL906" i="12"/>
  <c r="AL907" i="12"/>
  <c r="AL908" i="12"/>
  <c r="AL909" i="12"/>
  <c r="AL910" i="12"/>
  <c r="AL911" i="12"/>
  <c r="AL912" i="12"/>
  <c r="AL913" i="12"/>
  <c r="AL914" i="12"/>
  <c r="AL915" i="12"/>
  <c r="AL916" i="12"/>
  <c r="AL917" i="12"/>
  <c r="AL918" i="12"/>
  <c r="AL919" i="12"/>
  <c r="AL920" i="12"/>
  <c r="AL921" i="12"/>
  <c r="AL922" i="12"/>
  <c r="AL923" i="12"/>
  <c r="AL924" i="12"/>
  <c r="AL925" i="12"/>
  <c r="AL926" i="12"/>
  <c r="AL927" i="12"/>
  <c r="AL928" i="12"/>
  <c r="AL929" i="12"/>
  <c r="AL930" i="12"/>
  <c r="AL931" i="12"/>
  <c r="AL932" i="12"/>
  <c r="AL933" i="12"/>
  <c r="AL934" i="12"/>
  <c r="AL935" i="12"/>
  <c r="AL936" i="12"/>
  <c r="AL937" i="12"/>
  <c r="AL938" i="12"/>
  <c r="AL939" i="12"/>
  <c r="AL940" i="12"/>
  <c r="AL941" i="12"/>
  <c r="AL942" i="12"/>
  <c r="AL943" i="12"/>
  <c r="AL944" i="12"/>
  <c r="AL945" i="12"/>
  <c r="AL946" i="12"/>
  <c r="AL947" i="12"/>
  <c r="AL948" i="12"/>
  <c r="AL949" i="12"/>
  <c r="AL950" i="12"/>
  <c r="AL951" i="12"/>
  <c r="AL952" i="12"/>
  <c r="AL953" i="12"/>
  <c r="AL954" i="12"/>
  <c r="AL955" i="12"/>
  <c r="AL956" i="12"/>
  <c r="AL957" i="12"/>
  <c r="AL958" i="12"/>
  <c r="AL959" i="12"/>
  <c r="AL960" i="12"/>
  <c r="AL961" i="12"/>
  <c r="AL962" i="12"/>
  <c r="AL963" i="12"/>
  <c r="AL964" i="12"/>
  <c r="AL965" i="12"/>
  <c r="AL966" i="12"/>
  <c r="AL967" i="12"/>
  <c r="AL968" i="12"/>
  <c r="AL969" i="12"/>
  <c r="AL970" i="12"/>
  <c r="AL971" i="12"/>
  <c r="AL972" i="12"/>
  <c r="AL973" i="12"/>
  <c r="AL974" i="12"/>
  <c r="AL975" i="12"/>
  <c r="AL976" i="12"/>
  <c r="AL977" i="12"/>
  <c r="AL978" i="12"/>
  <c r="AL979" i="12"/>
  <c r="AL980" i="12"/>
  <c r="AL981" i="12"/>
  <c r="AL982" i="12"/>
  <c r="AL983" i="12"/>
  <c r="AL984" i="12"/>
  <c r="AL985" i="12"/>
  <c r="AL986" i="12"/>
  <c r="AL987" i="12"/>
  <c r="AL988" i="12"/>
  <c r="AL989" i="12"/>
  <c r="AL990" i="12"/>
  <c r="AL991" i="12"/>
  <c r="AL992" i="12"/>
  <c r="AL993" i="12"/>
  <c r="AL994" i="12"/>
  <c r="AL995" i="12"/>
  <c r="AL996" i="12"/>
  <c r="AL997" i="12"/>
  <c r="AL998" i="12"/>
  <c r="AL999" i="12"/>
  <c r="AL1000" i="12"/>
  <c r="AL1001" i="12"/>
  <c r="AL1002" i="12"/>
  <c r="AL1003" i="12"/>
  <c r="AL5" i="12"/>
  <c r="AL6" i="12"/>
  <c r="AL7" i="12"/>
  <c r="AL8" i="12"/>
  <c r="AL9" i="12"/>
  <c r="AL10" i="12"/>
  <c r="AL11" i="12"/>
  <c r="AL12" i="12"/>
  <c r="AL13" i="12"/>
  <c r="AL14" i="12"/>
  <c r="AL15" i="12"/>
  <c r="AL16" i="12"/>
  <c r="AL17" i="12"/>
  <c r="AL18" i="12"/>
  <c r="AL19" i="12"/>
  <c r="AL20" i="12"/>
  <c r="AL21" i="12"/>
  <c r="AL22" i="12"/>
  <c r="AL23" i="12"/>
  <c r="AL24" i="12"/>
  <c r="AL25" i="12"/>
  <c r="AL26" i="12"/>
  <c r="AL27" i="12"/>
  <c r="AL28" i="12"/>
  <c r="AL29" i="12"/>
  <c r="AL30" i="12"/>
  <c r="AL31" i="12"/>
  <c r="AL32" i="12"/>
  <c r="AL33" i="12"/>
  <c r="AL34" i="12"/>
  <c r="AL35" i="12"/>
  <c r="AL36" i="12"/>
  <c r="AL37" i="12"/>
  <c r="AL38" i="12"/>
  <c r="AL39" i="12"/>
  <c r="AL40" i="12"/>
  <c r="AL41" i="12"/>
  <c r="AL42" i="12"/>
  <c r="AL43" i="12"/>
  <c r="AL44" i="12"/>
  <c r="AL45" i="12"/>
  <c r="AL46" i="12"/>
  <c r="AL47" i="12"/>
  <c r="AL48" i="12"/>
  <c r="AL49" i="12"/>
  <c r="AL50" i="12"/>
  <c r="AL51" i="12"/>
  <c r="AL52" i="12"/>
  <c r="AL53" i="12"/>
  <c r="AL54" i="12"/>
  <c r="AL55" i="12"/>
  <c r="AL56" i="12"/>
  <c r="AL57" i="12"/>
  <c r="AL58" i="12"/>
  <c r="AL59" i="12"/>
  <c r="AL60" i="12"/>
  <c r="AL61" i="12"/>
  <c r="AL62" i="12"/>
  <c r="AL63" i="12"/>
  <c r="AL64" i="12"/>
  <c r="AL65" i="12"/>
  <c r="AL66" i="12"/>
  <c r="AL67" i="12"/>
  <c r="AL68" i="12"/>
  <c r="AL69" i="12"/>
  <c r="AL70" i="12"/>
  <c r="AL71" i="12"/>
  <c r="AL72" i="12"/>
  <c r="AL73" i="12"/>
  <c r="AL74" i="12"/>
  <c r="AL75" i="12"/>
  <c r="AL76" i="12"/>
  <c r="AL77" i="12"/>
  <c r="AL78" i="12"/>
  <c r="AL79" i="12"/>
  <c r="AL80" i="12"/>
  <c r="AL81" i="12"/>
  <c r="AL82" i="12"/>
  <c r="AL83" i="12"/>
  <c r="AL84" i="12"/>
  <c r="AL85" i="12"/>
  <c r="AL86" i="12"/>
  <c r="AL87" i="12"/>
  <c r="AL88" i="12"/>
  <c r="AL89" i="12"/>
  <c r="AL90" i="12"/>
  <c r="AL91" i="12"/>
  <c r="AL92" i="12"/>
  <c r="AL93" i="12"/>
  <c r="AL94" i="12"/>
  <c r="AL95" i="12"/>
  <c r="AL96" i="12"/>
  <c r="AL97" i="12"/>
  <c r="AL98" i="12"/>
  <c r="AL99" i="12"/>
  <c r="AL100" i="12"/>
  <c r="AL101" i="12"/>
  <c r="AL102" i="12"/>
  <c r="AL103" i="12"/>
  <c r="AL104" i="12"/>
  <c r="AL105" i="12"/>
  <c r="AL106" i="12"/>
  <c r="AL107" i="12"/>
  <c r="AL108" i="12"/>
  <c r="AL109" i="12"/>
  <c r="AL110" i="12"/>
  <c r="AL111" i="12"/>
  <c r="AL112" i="12"/>
  <c r="AL113" i="12"/>
  <c r="AL114" i="12"/>
  <c r="AL115" i="12"/>
  <c r="AL116" i="12"/>
  <c r="AL117" i="12"/>
  <c r="AL118" i="12"/>
  <c r="AL119" i="12"/>
  <c r="AL120" i="12"/>
  <c r="AL121" i="12"/>
  <c r="AL122" i="12"/>
  <c r="AL123" i="12"/>
  <c r="AL124" i="12"/>
  <c r="AL125" i="12"/>
  <c r="AL126" i="12"/>
  <c r="AL127" i="12"/>
  <c r="AL128" i="12"/>
  <c r="AL129" i="12"/>
  <c r="AL130" i="12"/>
  <c r="AL131" i="12"/>
  <c r="AL132" i="12"/>
  <c r="AL133" i="12"/>
  <c r="AL134" i="12"/>
  <c r="AL135" i="12"/>
  <c r="AL136" i="12"/>
  <c r="AL137" i="12"/>
  <c r="AL138" i="12"/>
  <c r="AL139" i="12"/>
  <c r="AL140" i="12"/>
  <c r="AL141" i="12"/>
  <c r="AL142" i="12"/>
  <c r="AL143" i="12"/>
  <c r="AL144" i="12"/>
  <c r="AL145" i="12"/>
  <c r="AL146" i="12"/>
  <c r="AL147" i="12"/>
  <c r="AL148" i="12"/>
  <c r="AL149" i="12"/>
  <c r="AL150" i="12"/>
  <c r="AL151" i="12"/>
  <c r="AL152" i="12"/>
  <c r="AL153" i="12"/>
  <c r="AL154" i="12"/>
  <c r="AL155" i="12"/>
  <c r="AL156" i="12"/>
  <c r="AL157" i="12"/>
  <c r="AL158" i="12"/>
  <c r="AL159" i="12"/>
  <c r="AL160" i="12"/>
  <c r="AL161" i="12"/>
  <c r="AL162" i="12"/>
  <c r="AL163" i="12"/>
  <c r="AL164" i="12"/>
  <c r="AL165" i="12"/>
  <c r="AL166" i="12"/>
  <c r="AL167" i="12"/>
  <c r="AL168" i="12"/>
  <c r="AL169" i="12"/>
  <c r="AL170" i="12"/>
  <c r="AL171" i="12"/>
  <c r="AL172" i="12"/>
  <c r="AL173" i="12"/>
  <c r="AL174" i="12"/>
  <c r="AL175" i="12"/>
  <c r="AL176" i="12"/>
  <c r="AL177" i="12"/>
  <c r="AL178" i="12"/>
  <c r="AL179" i="12"/>
  <c r="AL180" i="12"/>
  <c r="AL181" i="12"/>
  <c r="AL182" i="12"/>
  <c r="AL183" i="12"/>
  <c r="AL184" i="12"/>
  <c r="AL185" i="12"/>
  <c r="AL186" i="12"/>
  <c r="AL187" i="12"/>
  <c r="AL188" i="12"/>
  <c r="AL189" i="12"/>
  <c r="AL190" i="12"/>
  <c r="AL191" i="12"/>
  <c r="AL192" i="12"/>
  <c r="AL193" i="12"/>
  <c r="AL194" i="12"/>
  <c r="AL195" i="12"/>
  <c r="AL196" i="12"/>
  <c r="AL197" i="12"/>
  <c r="AL198" i="12"/>
  <c r="AL199" i="12"/>
  <c r="AL200" i="12"/>
  <c r="AL201" i="12"/>
  <c r="AL202" i="12"/>
  <c r="AL203" i="12"/>
  <c r="AL204" i="12"/>
  <c r="AL205" i="12"/>
  <c r="AL206" i="12"/>
  <c r="AL207" i="12"/>
  <c r="AL208" i="12"/>
  <c r="AL209" i="12"/>
  <c r="AL210" i="12"/>
  <c r="AL211" i="12"/>
  <c r="AL212" i="12"/>
  <c r="AL213" i="12"/>
  <c r="AL214" i="12"/>
  <c r="AL215" i="12"/>
  <c r="AL216" i="12"/>
  <c r="AL217" i="12"/>
  <c r="AL218" i="12"/>
  <c r="AL219" i="12"/>
  <c r="AL220" i="12"/>
  <c r="AL221" i="12"/>
  <c r="AL222" i="12"/>
  <c r="AL223" i="12"/>
  <c r="AL224" i="12"/>
  <c r="AL225" i="12"/>
  <c r="AL226" i="12"/>
  <c r="AL227" i="12"/>
  <c r="AL228" i="12"/>
  <c r="AL229" i="12"/>
  <c r="AL230" i="12"/>
  <c r="AL231" i="12"/>
  <c r="AL232" i="12"/>
  <c r="AL233" i="12"/>
  <c r="AL234" i="12"/>
  <c r="AL235" i="12"/>
  <c r="AL236" i="12"/>
  <c r="AL237" i="12"/>
  <c r="AL238" i="12"/>
  <c r="AL239" i="12"/>
  <c r="AL240" i="12"/>
  <c r="AL241" i="12"/>
  <c r="AL242" i="12"/>
  <c r="AL243" i="12"/>
  <c r="AL244" i="12"/>
  <c r="AL245" i="12"/>
  <c r="AL246" i="12"/>
  <c r="AL247" i="12"/>
  <c r="AL248" i="12"/>
  <c r="AL249" i="12"/>
  <c r="AL250" i="12"/>
  <c r="AL251" i="12"/>
  <c r="AL252" i="12"/>
  <c r="AL253" i="12"/>
  <c r="AL254" i="12"/>
  <c r="AL255" i="12"/>
  <c r="AL256" i="12"/>
  <c r="AL257" i="12"/>
  <c r="AL258" i="12"/>
  <c r="AL259" i="12"/>
  <c r="AL260" i="12"/>
  <c r="AL261" i="12"/>
  <c r="AL262" i="12"/>
  <c r="AL263" i="12"/>
  <c r="AL264" i="12"/>
  <c r="AL265" i="12"/>
  <c r="AL266" i="12"/>
  <c r="AL267" i="12"/>
  <c r="AL268" i="12"/>
  <c r="AL269" i="12"/>
  <c r="AL4" i="12"/>
  <c r="AK341" i="12"/>
  <c r="AK342" i="12"/>
  <c r="AK343" i="12"/>
  <c r="AK344" i="12"/>
  <c r="AK345" i="12"/>
  <c r="AK346" i="12"/>
  <c r="AK347" i="12"/>
  <c r="AK348" i="12"/>
  <c r="AK349" i="12"/>
  <c r="AK350" i="12"/>
  <c r="AK351" i="12"/>
  <c r="AK352" i="12"/>
  <c r="AK353" i="12"/>
  <c r="AK354" i="12"/>
  <c r="AK355" i="12"/>
  <c r="AK356" i="12"/>
  <c r="AK357" i="12"/>
  <c r="AK358" i="12"/>
  <c r="AK359" i="12"/>
  <c r="AK360" i="12"/>
  <c r="AK361" i="12"/>
  <c r="AK362" i="12"/>
  <c r="AK363" i="12"/>
  <c r="AK364" i="12"/>
  <c r="AK365" i="12"/>
  <c r="AK366" i="12"/>
  <c r="AK367" i="12"/>
  <c r="AK368" i="12"/>
  <c r="AK369" i="12"/>
  <c r="AK370" i="12"/>
  <c r="AK371" i="12"/>
  <c r="AK372" i="12"/>
  <c r="AK373" i="12"/>
  <c r="AK374" i="12"/>
  <c r="AK375" i="12"/>
  <c r="AK376" i="12"/>
  <c r="AK377" i="12"/>
  <c r="AK378" i="12"/>
  <c r="AK379" i="12"/>
  <c r="AK380" i="12"/>
  <c r="AK381" i="12"/>
  <c r="AK382" i="12"/>
  <c r="AK383" i="12"/>
  <c r="AK384" i="12"/>
  <c r="AK385" i="12"/>
  <c r="AK386" i="12"/>
  <c r="AK387" i="12"/>
  <c r="AK388" i="12"/>
  <c r="AK389" i="12"/>
  <c r="AK390" i="12"/>
  <c r="AK391" i="12"/>
  <c r="AK392" i="12"/>
  <c r="AK393" i="12"/>
  <c r="AK394" i="12"/>
  <c r="AK395" i="12"/>
  <c r="AK396" i="12"/>
  <c r="AK397" i="12"/>
  <c r="AK398" i="12"/>
  <c r="AK399" i="12"/>
  <c r="AK400" i="12"/>
  <c r="AK401" i="12"/>
  <c r="AK402" i="12"/>
  <c r="AK403" i="12"/>
  <c r="AK404" i="12"/>
  <c r="AK405" i="12"/>
  <c r="AK406" i="12"/>
  <c r="AK407" i="12"/>
  <c r="AK408" i="12"/>
  <c r="AK409" i="12"/>
  <c r="AK410" i="12"/>
  <c r="AK411" i="12"/>
  <c r="AK412" i="12"/>
  <c r="AK413" i="12"/>
  <c r="AK414" i="12"/>
  <c r="AK415" i="12"/>
  <c r="AK416" i="12"/>
  <c r="AK417" i="12"/>
  <c r="AK418" i="12"/>
  <c r="AK419" i="12"/>
  <c r="AK420" i="12"/>
  <c r="AK421" i="12"/>
  <c r="AK422" i="12"/>
  <c r="AK423" i="12"/>
  <c r="AK424" i="12"/>
  <c r="AK425" i="12"/>
  <c r="AK426" i="12"/>
  <c r="AK427" i="12"/>
  <c r="AK428" i="12"/>
  <c r="AK429" i="12"/>
  <c r="AK430" i="12"/>
  <c r="AK431" i="12"/>
  <c r="AK432" i="12"/>
  <c r="AK433" i="12"/>
  <c r="AK434" i="12"/>
  <c r="AK435" i="12"/>
  <c r="AK436" i="12"/>
  <c r="AK437" i="12"/>
  <c r="AK438" i="12"/>
  <c r="AK439" i="12"/>
  <c r="AK440" i="12"/>
  <c r="AK441" i="12"/>
  <c r="AK442" i="12"/>
  <c r="AK443" i="12"/>
  <c r="AK444" i="12"/>
  <c r="AK445" i="12"/>
  <c r="AK446" i="12"/>
  <c r="AK447" i="12"/>
  <c r="AK448" i="12"/>
  <c r="AK449" i="12"/>
  <c r="AK450" i="12"/>
  <c r="AK451" i="12"/>
  <c r="AK452" i="12"/>
  <c r="AK453" i="12"/>
  <c r="AK454" i="12"/>
  <c r="AK455" i="12"/>
  <c r="AK456" i="12"/>
  <c r="AK457" i="12"/>
  <c r="AK458" i="12"/>
  <c r="AK459" i="12"/>
  <c r="AK460" i="12"/>
  <c r="AK461" i="12"/>
  <c r="AK462" i="12"/>
  <c r="AK463" i="12"/>
  <c r="AK464" i="12"/>
  <c r="AK465" i="12"/>
  <c r="AK466" i="12"/>
  <c r="AK467" i="12"/>
  <c r="AK468" i="12"/>
  <c r="AK469" i="12"/>
  <c r="AK470" i="12"/>
  <c r="AK471" i="12"/>
  <c r="AK472" i="12"/>
  <c r="AK473" i="12"/>
  <c r="AK474" i="12"/>
  <c r="AK475" i="12"/>
  <c r="AK476" i="12"/>
  <c r="AK477" i="12"/>
  <c r="AK478" i="12"/>
  <c r="AK479" i="12"/>
  <c r="AK480" i="12"/>
  <c r="AK481" i="12"/>
  <c r="AK482" i="12"/>
  <c r="AK483" i="12"/>
  <c r="AK484" i="12"/>
  <c r="AK485" i="12"/>
  <c r="AK486" i="12"/>
  <c r="AK487" i="12"/>
  <c r="AK488" i="12"/>
  <c r="AK489" i="12"/>
  <c r="AK490" i="12"/>
  <c r="AK491" i="12"/>
  <c r="AK492" i="12"/>
  <c r="AK493" i="12"/>
  <c r="AK494" i="12"/>
  <c r="AK495" i="12"/>
  <c r="AK496" i="12"/>
  <c r="AK497" i="12"/>
  <c r="AK498" i="12"/>
  <c r="AK499" i="12"/>
  <c r="AK500" i="12"/>
  <c r="AK501" i="12"/>
  <c r="AK502" i="12"/>
  <c r="AK503" i="12"/>
  <c r="AK504" i="12"/>
  <c r="AK505" i="12"/>
  <c r="AK506" i="12"/>
  <c r="AK507" i="12"/>
  <c r="AK508" i="12"/>
  <c r="AK509" i="12"/>
  <c r="AK510" i="12"/>
  <c r="AK511" i="12"/>
  <c r="AK512" i="12"/>
  <c r="AK513" i="12"/>
  <c r="AK514" i="12"/>
  <c r="AK515" i="12"/>
  <c r="AK516" i="12"/>
  <c r="AK517" i="12"/>
  <c r="AK518" i="12"/>
  <c r="AK519" i="12"/>
  <c r="AK520" i="12"/>
  <c r="AK521" i="12"/>
  <c r="AK522" i="12"/>
  <c r="AK523" i="12"/>
  <c r="AK524" i="12"/>
  <c r="AK525" i="12"/>
  <c r="AK526" i="12"/>
  <c r="AK527" i="12"/>
  <c r="AK528" i="12"/>
  <c r="AK529" i="12"/>
  <c r="AK530" i="12"/>
  <c r="AK531" i="12"/>
  <c r="AK532" i="12"/>
  <c r="AK533" i="12"/>
  <c r="AK534" i="12"/>
  <c r="AK535" i="12"/>
  <c r="AK536" i="12"/>
  <c r="AK537" i="12"/>
  <c r="AK538" i="12"/>
  <c r="AK539" i="12"/>
  <c r="AK540" i="12"/>
  <c r="AK541" i="12"/>
  <c r="AK542" i="12"/>
  <c r="AK543" i="12"/>
  <c r="AK544" i="12"/>
  <c r="AK545" i="12"/>
  <c r="AK546" i="12"/>
  <c r="AK547" i="12"/>
  <c r="AK548" i="12"/>
  <c r="AK549" i="12"/>
  <c r="AK550" i="12"/>
  <c r="AK551" i="12"/>
  <c r="AK552" i="12"/>
  <c r="AK553" i="12"/>
  <c r="AK554" i="12"/>
  <c r="AK555" i="12"/>
  <c r="AK556" i="12"/>
  <c r="AK557" i="12"/>
  <c r="AK558" i="12"/>
  <c r="AK559" i="12"/>
  <c r="AK560" i="12"/>
  <c r="AK561" i="12"/>
  <c r="AK562" i="12"/>
  <c r="AK563" i="12"/>
  <c r="AK564" i="12"/>
  <c r="AK565" i="12"/>
  <c r="AK566" i="12"/>
  <c r="AK567" i="12"/>
  <c r="AK568" i="12"/>
  <c r="AK569" i="12"/>
  <c r="AK570" i="12"/>
  <c r="AK571" i="12"/>
  <c r="AK572" i="12"/>
  <c r="AK573" i="12"/>
  <c r="AK574" i="12"/>
  <c r="AK575" i="12"/>
  <c r="AK576" i="12"/>
  <c r="AK577" i="12"/>
  <c r="AK578" i="12"/>
  <c r="AK579" i="12"/>
  <c r="AK580" i="12"/>
  <c r="AK581" i="12"/>
  <c r="AK582" i="12"/>
  <c r="AK583" i="12"/>
  <c r="AK584" i="12"/>
  <c r="AK585" i="12"/>
  <c r="AK586" i="12"/>
  <c r="AK587" i="12"/>
  <c r="AK588" i="12"/>
  <c r="AK589" i="12"/>
  <c r="AK590" i="12"/>
  <c r="AK591" i="12"/>
  <c r="AK592" i="12"/>
  <c r="AK593" i="12"/>
  <c r="AK594" i="12"/>
  <c r="AK595" i="12"/>
  <c r="AK596" i="12"/>
  <c r="AK597" i="12"/>
  <c r="AK598" i="12"/>
  <c r="AK599" i="12"/>
  <c r="AK600" i="12"/>
  <c r="AK601" i="12"/>
  <c r="AK602" i="12"/>
  <c r="AK603" i="12"/>
  <c r="AK604" i="12"/>
  <c r="AK605" i="12"/>
  <c r="AK606" i="12"/>
  <c r="AK607" i="12"/>
  <c r="AK608" i="12"/>
  <c r="AK609" i="12"/>
  <c r="AK610" i="12"/>
  <c r="AK611" i="12"/>
  <c r="AK612" i="12"/>
  <c r="AK613" i="12"/>
  <c r="AK614" i="12"/>
  <c r="AK615" i="12"/>
  <c r="AK616" i="12"/>
  <c r="AK617" i="12"/>
  <c r="AK618" i="12"/>
  <c r="AK619" i="12"/>
  <c r="AK620" i="12"/>
  <c r="AK621" i="12"/>
  <c r="AK622" i="12"/>
  <c r="AK623" i="12"/>
  <c r="AK624" i="12"/>
  <c r="AK625" i="12"/>
  <c r="AK626" i="12"/>
  <c r="AK627" i="12"/>
  <c r="AK628" i="12"/>
  <c r="AK629" i="12"/>
  <c r="AK630" i="12"/>
  <c r="AK631" i="12"/>
  <c r="AK632" i="12"/>
  <c r="AK633" i="12"/>
  <c r="AK634" i="12"/>
  <c r="AK635" i="12"/>
  <c r="AK636" i="12"/>
  <c r="AK637" i="12"/>
  <c r="AK638" i="12"/>
  <c r="AK639" i="12"/>
  <c r="AK640" i="12"/>
  <c r="AK641" i="12"/>
  <c r="AK642" i="12"/>
  <c r="AK643" i="12"/>
  <c r="AK644" i="12"/>
  <c r="AK645" i="12"/>
  <c r="AK646" i="12"/>
  <c r="AK647" i="12"/>
  <c r="AK648" i="12"/>
  <c r="AK649" i="12"/>
  <c r="AK650" i="12"/>
  <c r="AK651" i="12"/>
  <c r="AK652" i="12"/>
  <c r="AK653" i="12"/>
  <c r="AK654" i="12"/>
  <c r="AK655" i="12"/>
  <c r="AK656" i="12"/>
  <c r="AK657" i="12"/>
  <c r="AK658" i="12"/>
  <c r="AK659" i="12"/>
  <c r="AK660" i="12"/>
  <c r="AK661" i="12"/>
  <c r="AK662" i="12"/>
  <c r="AK663" i="12"/>
  <c r="AK664" i="12"/>
  <c r="AK665" i="12"/>
  <c r="AK666" i="12"/>
  <c r="AK667" i="12"/>
  <c r="AK668" i="12"/>
  <c r="AK669" i="12"/>
  <c r="AK670" i="12"/>
  <c r="AK671" i="12"/>
  <c r="AK672" i="12"/>
  <c r="AK673" i="12"/>
  <c r="AK674" i="12"/>
  <c r="AK675" i="12"/>
  <c r="AK676" i="12"/>
  <c r="AK677" i="12"/>
  <c r="AK678" i="12"/>
  <c r="AK679" i="12"/>
  <c r="AK680" i="12"/>
  <c r="AK681" i="12"/>
  <c r="AK682" i="12"/>
  <c r="AK683" i="12"/>
  <c r="AK684" i="12"/>
  <c r="AK685" i="12"/>
  <c r="AK686" i="12"/>
  <c r="AK687" i="12"/>
  <c r="AK688" i="12"/>
  <c r="AK689" i="12"/>
  <c r="AK690" i="12"/>
  <c r="AK691" i="12"/>
  <c r="AK692" i="12"/>
  <c r="AK693" i="12"/>
  <c r="AK694" i="12"/>
  <c r="AK695" i="12"/>
  <c r="AK696" i="12"/>
  <c r="AK697" i="12"/>
  <c r="AK698" i="12"/>
  <c r="AK699" i="12"/>
  <c r="AK700" i="12"/>
  <c r="AK701" i="12"/>
  <c r="AK702" i="12"/>
  <c r="AK703" i="12"/>
  <c r="AK704" i="12"/>
  <c r="AK705" i="12"/>
  <c r="AK706" i="12"/>
  <c r="AK707" i="12"/>
  <c r="AK708" i="12"/>
  <c r="AK709" i="12"/>
  <c r="AK710" i="12"/>
  <c r="AK711" i="12"/>
  <c r="AK712" i="12"/>
  <c r="AK713" i="12"/>
  <c r="AK714" i="12"/>
  <c r="AK715" i="12"/>
  <c r="AK716" i="12"/>
  <c r="AK717" i="12"/>
  <c r="AK718" i="12"/>
  <c r="AK719" i="12"/>
  <c r="AK720" i="12"/>
  <c r="AK721" i="12"/>
  <c r="AK722" i="12"/>
  <c r="AK723" i="12"/>
  <c r="AK724" i="12"/>
  <c r="AK725" i="12"/>
  <c r="AK726" i="12"/>
  <c r="AK727" i="12"/>
  <c r="AK728" i="12"/>
  <c r="AK729" i="12"/>
  <c r="AK730" i="12"/>
  <c r="AK731" i="12"/>
  <c r="AK732" i="12"/>
  <c r="AK733" i="12"/>
  <c r="AK734" i="12"/>
  <c r="AK735" i="12"/>
  <c r="AK736" i="12"/>
  <c r="AK737" i="12"/>
  <c r="AK738" i="12"/>
  <c r="AK739" i="12"/>
  <c r="AK740" i="12"/>
  <c r="AK741" i="12"/>
  <c r="AK742" i="12"/>
  <c r="AK743" i="12"/>
  <c r="AK744" i="12"/>
  <c r="AK745" i="12"/>
  <c r="AK746" i="12"/>
  <c r="AK747" i="12"/>
  <c r="AK748" i="12"/>
  <c r="AK749" i="12"/>
  <c r="AK750" i="12"/>
  <c r="AK751" i="12"/>
  <c r="AK752" i="12"/>
  <c r="AK753" i="12"/>
  <c r="AK754" i="12"/>
  <c r="AK755" i="12"/>
  <c r="AK756" i="12"/>
  <c r="AK757" i="12"/>
  <c r="AK758" i="12"/>
  <c r="AK759" i="12"/>
  <c r="AK760" i="12"/>
  <c r="AK761" i="12"/>
  <c r="AK762" i="12"/>
  <c r="AK763" i="12"/>
  <c r="AK764" i="12"/>
  <c r="AK765" i="12"/>
  <c r="AK766" i="12"/>
  <c r="AK767" i="12"/>
  <c r="AK768" i="12"/>
  <c r="AK769" i="12"/>
  <c r="AK770" i="12"/>
  <c r="AK771" i="12"/>
  <c r="AK772" i="12"/>
  <c r="AK773" i="12"/>
  <c r="AK774" i="12"/>
  <c r="AK775" i="12"/>
  <c r="AK776" i="12"/>
  <c r="AK777" i="12"/>
  <c r="AK778" i="12"/>
  <c r="AK779" i="12"/>
  <c r="AK780" i="12"/>
  <c r="AK781" i="12"/>
  <c r="AK782" i="12"/>
  <c r="AK783" i="12"/>
  <c r="AK784" i="12"/>
  <c r="AK785" i="12"/>
  <c r="AK786" i="12"/>
  <c r="AK787" i="12"/>
  <c r="AK788" i="12"/>
  <c r="AK789" i="12"/>
  <c r="AK790" i="12"/>
  <c r="AK791" i="12"/>
  <c r="AK792" i="12"/>
  <c r="AK793" i="12"/>
  <c r="AK794" i="12"/>
  <c r="AK795" i="12"/>
  <c r="AK796" i="12"/>
  <c r="AK797" i="12"/>
  <c r="AK798" i="12"/>
  <c r="AK799" i="12"/>
  <c r="AK800" i="12"/>
  <c r="AK801" i="12"/>
  <c r="AK802" i="12"/>
  <c r="AK803" i="12"/>
  <c r="AK804" i="12"/>
  <c r="AK805" i="12"/>
  <c r="AK806" i="12"/>
  <c r="AK807" i="12"/>
  <c r="AK808" i="12"/>
  <c r="AK809" i="12"/>
  <c r="AK810" i="12"/>
  <c r="AK811" i="12"/>
  <c r="AK812" i="12"/>
  <c r="AK813" i="12"/>
  <c r="AK814" i="12"/>
  <c r="AK815" i="12"/>
  <c r="AK816" i="12"/>
  <c r="AK817" i="12"/>
  <c r="AK818" i="12"/>
  <c r="AK819" i="12"/>
  <c r="AK820" i="12"/>
  <c r="AK821" i="12"/>
  <c r="AK822" i="12"/>
  <c r="AK823" i="12"/>
  <c r="AK824" i="12"/>
  <c r="AK825" i="12"/>
  <c r="AK826" i="12"/>
  <c r="AK827" i="12"/>
  <c r="AK828" i="12"/>
  <c r="AK829" i="12"/>
  <c r="AK830" i="12"/>
  <c r="AK831" i="12"/>
  <c r="AK832" i="12"/>
  <c r="AK833" i="12"/>
  <c r="AK834" i="12"/>
  <c r="AK835" i="12"/>
  <c r="AK836" i="12"/>
  <c r="AK837" i="12"/>
  <c r="AK838" i="12"/>
  <c r="AK839" i="12"/>
  <c r="AK840" i="12"/>
  <c r="AK841" i="12"/>
  <c r="AK842" i="12"/>
  <c r="AK843" i="12"/>
  <c r="AK844" i="12"/>
  <c r="AK845" i="12"/>
  <c r="AK846" i="12"/>
  <c r="AK847" i="12"/>
  <c r="AK848" i="12"/>
  <c r="AK849" i="12"/>
  <c r="AK850" i="12"/>
  <c r="AK851" i="12"/>
  <c r="AK852" i="12"/>
  <c r="AK853" i="12"/>
  <c r="AK854" i="12"/>
  <c r="AK855" i="12"/>
  <c r="AK856" i="12"/>
  <c r="AK857" i="12"/>
  <c r="AK858" i="12"/>
  <c r="AK859" i="12"/>
  <c r="AK860" i="12"/>
  <c r="AK861" i="12"/>
  <c r="AK862" i="12"/>
  <c r="AK863" i="12"/>
  <c r="AK864" i="12"/>
  <c r="AK865" i="12"/>
  <c r="AK866" i="12"/>
  <c r="AK867" i="12"/>
  <c r="AK868" i="12"/>
  <c r="AK869" i="12"/>
  <c r="AK870" i="12"/>
  <c r="AK871" i="12"/>
  <c r="AK872" i="12"/>
  <c r="AK873" i="12"/>
  <c r="AK874" i="12"/>
  <c r="AK875" i="12"/>
  <c r="AK876" i="12"/>
  <c r="AK877" i="12"/>
  <c r="AK878" i="12"/>
  <c r="AK879" i="12"/>
  <c r="AK880" i="12"/>
  <c r="AK881" i="12"/>
  <c r="AK882" i="12"/>
  <c r="AK883" i="12"/>
  <c r="AK884" i="12"/>
  <c r="AK885" i="12"/>
  <c r="AK886" i="12"/>
  <c r="AK887" i="12"/>
  <c r="AK888" i="12"/>
  <c r="AK889" i="12"/>
  <c r="AK890" i="12"/>
  <c r="AK891" i="12"/>
  <c r="AK892" i="12"/>
  <c r="AK893" i="12"/>
  <c r="AK894" i="12"/>
  <c r="AK895" i="12"/>
  <c r="AK896" i="12"/>
  <c r="AK897" i="12"/>
  <c r="AK898" i="12"/>
  <c r="AK899" i="12"/>
  <c r="AK900" i="12"/>
  <c r="AK901" i="12"/>
  <c r="AK902" i="12"/>
  <c r="AK903" i="12"/>
  <c r="AK904" i="12"/>
  <c r="AK905" i="12"/>
  <c r="AK906" i="12"/>
  <c r="AK907" i="12"/>
  <c r="AK908" i="12"/>
  <c r="AK909" i="12"/>
  <c r="AK910" i="12"/>
  <c r="AK911" i="12"/>
  <c r="AK912" i="12"/>
  <c r="AK913" i="12"/>
  <c r="AK914" i="12"/>
  <c r="AK915" i="12"/>
  <c r="AK916" i="12"/>
  <c r="AK917" i="12"/>
  <c r="AK918" i="12"/>
  <c r="AK919" i="12"/>
  <c r="AK920" i="12"/>
  <c r="AK921" i="12"/>
  <c r="AK922" i="12"/>
  <c r="AK923" i="12"/>
  <c r="AK924" i="12"/>
  <c r="AK925" i="12"/>
  <c r="AK926" i="12"/>
  <c r="AK927" i="12"/>
  <c r="AK928" i="12"/>
  <c r="AK929" i="12"/>
  <c r="AK930" i="12"/>
  <c r="AK931" i="12"/>
  <c r="AK932" i="12"/>
  <c r="AK933" i="12"/>
  <c r="AK934" i="12"/>
  <c r="AK935" i="12"/>
  <c r="AK936" i="12"/>
  <c r="AK937" i="12"/>
  <c r="AK938" i="12"/>
  <c r="AK939" i="12"/>
  <c r="AK940" i="12"/>
  <c r="AK941" i="12"/>
  <c r="AK942" i="12"/>
  <c r="AK943" i="12"/>
  <c r="AK944" i="12"/>
  <c r="AK945" i="12"/>
  <c r="AK946" i="12"/>
  <c r="AK947" i="12"/>
  <c r="AK948" i="12"/>
  <c r="AK949" i="12"/>
  <c r="AK950" i="12"/>
  <c r="AK951" i="12"/>
  <c r="AK952" i="12"/>
  <c r="AK953" i="12"/>
  <c r="AK954" i="12"/>
  <c r="AK955" i="12"/>
  <c r="AK956" i="12"/>
  <c r="AK957" i="12"/>
  <c r="AK958" i="12"/>
  <c r="AK959" i="12"/>
  <c r="AK960" i="12"/>
  <c r="AK961" i="12"/>
  <c r="AK962" i="12"/>
  <c r="AK963" i="12"/>
  <c r="AK964" i="12"/>
  <c r="AK965" i="12"/>
  <c r="AK966" i="12"/>
  <c r="AK967" i="12"/>
  <c r="AK968" i="12"/>
  <c r="AK969" i="12"/>
  <c r="AK970" i="12"/>
  <c r="AK971" i="12"/>
  <c r="AK972" i="12"/>
  <c r="AK973" i="12"/>
  <c r="AK974" i="12"/>
  <c r="AK975" i="12"/>
  <c r="AK976" i="12"/>
  <c r="AK977" i="12"/>
  <c r="AK978" i="12"/>
  <c r="AK979" i="12"/>
  <c r="AK980" i="12"/>
  <c r="AK981" i="12"/>
  <c r="AK982" i="12"/>
  <c r="AK983" i="12"/>
  <c r="AK984" i="12"/>
  <c r="AK985" i="12"/>
  <c r="AK986" i="12"/>
  <c r="AK987" i="12"/>
  <c r="AK988" i="12"/>
  <c r="AK989" i="12"/>
  <c r="AK990" i="12"/>
  <c r="AK991" i="12"/>
  <c r="AK992" i="12"/>
  <c r="AK993" i="12"/>
  <c r="AK994" i="12"/>
  <c r="AK995" i="12"/>
  <c r="AK996" i="12"/>
  <c r="AK997" i="12"/>
  <c r="AK998" i="12"/>
  <c r="AK999" i="12"/>
  <c r="AK1000" i="12"/>
  <c r="AK1001" i="12"/>
  <c r="AK1002" i="12"/>
  <c r="AK1003" i="12"/>
  <c r="AK276" i="12"/>
  <c r="AK277" i="12"/>
  <c r="AK278" i="12"/>
  <c r="AK279" i="12"/>
  <c r="AK280" i="12"/>
  <c r="AK281" i="12"/>
  <c r="AK282" i="12"/>
  <c r="AK283" i="12"/>
  <c r="AK284" i="12"/>
  <c r="AK285" i="12"/>
  <c r="AK286" i="12"/>
  <c r="AK287" i="12"/>
  <c r="AK288" i="12"/>
  <c r="AK289" i="12"/>
  <c r="AK290" i="12"/>
  <c r="AK291" i="12"/>
  <c r="AK292" i="12"/>
  <c r="AK293" i="12"/>
  <c r="AK294" i="12"/>
  <c r="AK295" i="12"/>
  <c r="AK296" i="12"/>
  <c r="AK297" i="12"/>
  <c r="AK298" i="12"/>
  <c r="AK299" i="12"/>
  <c r="AK300" i="12"/>
  <c r="AK301" i="12"/>
  <c r="AK302" i="12"/>
  <c r="AK303" i="12"/>
  <c r="AK304" i="12"/>
  <c r="AK305" i="12"/>
  <c r="AK306" i="12"/>
  <c r="AK307" i="12"/>
  <c r="AK308" i="12"/>
  <c r="AK309" i="12"/>
  <c r="AK310" i="12"/>
  <c r="AK311" i="12"/>
  <c r="AK312" i="12"/>
  <c r="AK313" i="12"/>
  <c r="AK314" i="12"/>
  <c r="AK315" i="12"/>
  <c r="AK316" i="12"/>
  <c r="AK317" i="12"/>
  <c r="AK318" i="12"/>
  <c r="AK319" i="12"/>
  <c r="AK320" i="12"/>
  <c r="AK321" i="12"/>
  <c r="AK322" i="12"/>
  <c r="AK323" i="12"/>
  <c r="AK324" i="12"/>
  <c r="AK325" i="12"/>
  <c r="AK326" i="12"/>
  <c r="AK327" i="12"/>
  <c r="AK328" i="12"/>
  <c r="AK329" i="12"/>
  <c r="AK330" i="12"/>
  <c r="AK331" i="12"/>
  <c r="AK332" i="12"/>
  <c r="AK333" i="12"/>
  <c r="AK334" i="12"/>
  <c r="AK335" i="12"/>
  <c r="AK336" i="12"/>
  <c r="AK337" i="12"/>
  <c r="AK338" i="12"/>
  <c r="AK339" i="12"/>
  <c r="AK340" i="12"/>
  <c r="AK252" i="12"/>
  <c r="AK253" i="12"/>
  <c r="AK254" i="12"/>
  <c r="AK255" i="12"/>
  <c r="AK256" i="12"/>
  <c r="AK257" i="12"/>
  <c r="AK258" i="12"/>
  <c r="AK259" i="12"/>
  <c r="AK260" i="12"/>
  <c r="AK261" i="12"/>
  <c r="AK262" i="12"/>
  <c r="AK263" i="12"/>
  <c r="AK264" i="12"/>
  <c r="AK265" i="12"/>
  <c r="AK266" i="12"/>
  <c r="AK267" i="12"/>
  <c r="AK268" i="12"/>
  <c r="AK269" i="12"/>
  <c r="AK270" i="12"/>
  <c r="AK271" i="12"/>
  <c r="AK272" i="12"/>
  <c r="AK273" i="12"/>
  <c r="AK274" i="12"/>
  <c r="AK275" i="12"/>
  <c r="AK218" i="12"/>
  <c r="AK219" i="12"/>
  <c r="AK220" i="12"/>
  <c r="AK221" i="12"/>
  <c r="AK222" i="12"/>
  <c r="AK223" i="12"/>
  <c r="AK224" i="12"/>
  <c r="AK225" i="12"/>
  <c r="AK226" i="12"/>
  <c r="AK227" i="12"/>
  <c r="AK228" i="12"/>
  <c r="AK229" i="12"/>
  <c r="AK230" i="12"/>
  <c r="AK231" i="12"/>
  <c r="AK232" i="12"/>
  <c r="AK233" i="12"/>
  <c r="AK234" i="12"/>
  <c r="AK235" i="12"/>
  <c r="AK236" i="12"/>
  <c r="AK237" i="12"/>
  <c r="AK238" i="12"/>
  <c r="AK239" i="12"/>
  <c r="AK240" i="12"/>
  <c r="AK241" i="12"/>
  <c r="AK242" i="12"/>
  <c r="AK243" i="12"/>
  <c r="AK244" i="12"/>
  <c r="AK245" i="12"/>
  <c r="AK246" i="12"/>
  <c r="AK247" i="12"/>
  <c r="AK248" i="12"/>
  <c r="AK249" i="12"/>
  <c r="AK250" i="12"/>
  <c r="AK251"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192" i="12"/>
  <c r="AK193" i="12"/>
  <c r="AK194" i="12"/>
  <c r="AK195" i="12"/>
  <c r="AK196" i="12"/>
  <c r="AK197" i="12"/>
  <c r="AK198" i="12"/>
  <c r="AK199" i="12"/>
  <c r="AK200" i="12"/>
  <c r="AK201" i="12"/>
  <c r="AK202" i="12"/>
  <c r="AK203" i="12"/>
  <c r="AK204" i="12"/>
  <c r="AK205" i="12"/>
  <c r="AK206" i="12"/>
  <c r="AK207" i="12"/>
  <c r="AK208" i="12"/>
  <c r="AK209" i="12"/>
  <c r="AK210" i="12"/>
  <c r="AK211" i="12"/>
  <c r="AK212" i="12"/>
  <c r="AK213" i="12"/>
  <c r="AK214" i="12"/>
  <c r="AK215" i="12"/>
  <c r="AK216" i="12"/>
  <c r="AK217"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 i="12"/>
  <c r="AC5" i="12"/>
  <c r="AC6" i="12"/>
  <c r="AC7" i="12"/>
  <c r="AC8" i="12"/>
  <c r="AC9" i="12"/>
  <c r="AC10" i="12"/>
  <c r="AC11" i="12"/>
  <c r="AC12" i="12"/>
  <c r="AC13" i="12"/>
  <c r="AC14" i="12"/>
  <c r="AC15" i="12"/>
  <c r="AC16" i="12"/>
  <c r="AC17" i="12"/>
  <c r="AC18" i="12"/>
  <c r="AC19" i="12"/>
  <c r="AC20" i="12"/>
  <c r="AC21" i="12"/>
  <c r="AC22" i="12"/>
  <c r="AC23" i="12"/>
  <c r="AC24" i="12"/>
  <c r="AC25" i="12"/>
  <c r="AC26" i="12"/>
  <c r="AC27" i="12"/>
  <c r="AC28" i="12"/>
  <c r="AC29" i="12"/>
  <c r="AC30" i="12"/>
  <c r="AC31" i="12"/>
  <c r="AC32" i="12"/>
  <c r="AC33" i="12"/>
  <c r="AC34" i="12"/>
  <c r="AC35" i="12"/>
  <c r="AC36" i="12"/>
  <c r="AC37" i="12"/>
  <c r="AC38" i="12"/>
  <c r="AC39" i="12"/>
  <c r="AC40" i="12"/>
  <c r="AC41" i="12"/>
  <c r="AC42" i="12"/>
  <c r="AC43" i="12"/>
  <c r="AC44" i="12"/>
  <c r="AC45" i="12"/>
  <c r="AC46" i="12"/>
  <c r="AC47" i="12"/>
  <c r="AC48" i="12"/>
  <c r="AC49" i="12"/>
  <c r="AC50" i="12"/>
  <c r="AC51" i="12"/>
  <c r="AC52" i="12"/>
  <c r="AC53" i="12"/>
  <c r="AC54" i="12"/>
  <c r="AC55" i="12"/>
  <c r="AC56" i="12"/>
  <c r="AC57" i="12"/>
  <c r="AC58" i="12"/>
  <c r="AC59" i="12"/>
  <c r="AC60" i="12"/>
  <c r="AC61" i="12"/>
  <c r="AC62" i="12"/>
  <c r="AC63" i="12"/>
  <c r="AC64" i="12"/>
  <c r="AC65" i="12"/>
  <c r="AC66" i="12"/>
  <c r="AC67" i="12"/>
  <c r="AC68" i="12"/>
  <c r="AC69" i="12"/>
  <c r="AC70" i="12"/>
  <c r="AC71" i="12"/>
  <c r="AC72" i="12"/>
  <c r="AC73" i="12"/>
  <c r="AC74" i="12"/>
  <c r="AC75" i="12"/>
  <c r="AC76" i="12"/>
  <c r="AC77" i="12"/>
  <c r="AC78" i="12"/>
  <c r="AC79" i="12"/>
  <c r="AC80" i="12"/>
  <c r="AC81" i="12"/>
  <c r="AC82" i="12"/>
  <c r="AC83" i="12"/>
  <c r="AC84" i="12"/>
  <c r="AC85" i="12"/>
  <c r="AC86" i="12"/>
  <c r="AC87" i="12"/>
  <c r="AC88" i="12"/>
  <c r="AC89" i="12"/>
  <c r="AC90" i="12"/>
  <c r="AC91" i="12"/>
  <c r="AC92" i="12"/>
  <c r="AC93" i="12"/>
  <c r="AC94" i="12"/>
  <c r="AC95" i="12"/>
  <c r="AC96" i="12"/>
  <c r="AC97" i="12"/>
  <c r="AC98" i="12"/>
  <c r="AC99" i="12"/>
  <c r="AC100" i="12"/>
  <c r="AC101" i="12"/>
  <c r="AC102" i="12"/>
  <c r="AC103" i="12"/>
  <c r="AC104" i="12"/>
  <c r="AC105" i="12"/>
  <c r="AC106" i="12"/>
  <c r="AC107" i="12"/>
  <c r="AC108" i="12"/>
  <c r="AC109" i="12"/>
  <c r="AC110" i="12"/>
  <c r="AC111" i="12"/>
  <c r="AC112" i="12"/>
  <c r="AC113" i="12"/>
  <c r="AC114" i="12"/>
  <c r="AC115" i="12"/>
  <c r="AC116" i="12"/>
  <c r="AC117" i="12"/>
  <c r="AC118" i="12"/>
  <c r="AC119" i="12"/>
  <c r="AC120" i="12"/>
  <c r="AC121" i="12"/>
  <c r="AC122" i="12"/>
  <c r="AC123" i="12"/>
  <c r="AC124" i="12"/>
  <c r="AC125" i="12"/>
  <c r="AC126" i="12"/>
  <c r="AC127" i="12"/>
  <c r="AC128" i="12"/>
  <c r="AC129" i="12"/>
  <c r="AC130" i="12"/>
  <c r="AC131" i="12"/>
  <c r="AC132" i="12"/>
  <c r="AC133" i="12"/>
  <c r="AC134" i="12"/>
  <c r="AC135" i="12"/>
  <c r="AC136" i="12"/>
  <c r="AC137" i="12"/>
  <c r="AC138" i="12"/>
  <c r="AC139" i="12"/>
  <c r="AC140" i="12"/>
  <c r="AC141" i="12"/>
  <c r="AC142" i="12"/>
  <c r="AC143" i="12"/>
  <c r="AC144" i="12"/>
  <c r="AC145" i="12"/>
  <c r="AC146" i="12"/>
  <c r="AC147" i="12"/>
  <c r="AC148" i="12"/>
  <c r="AC149" i="12"/>
  <c r="AC150" i="12"/>
  <c r="AC151" i="12"/>
  <c r="AC152" i="12"/>
  <c r="AC153" i="12"/>
  <c r="AC154" i="12"/>
  <c r="AC155" i="12"/>
  <c r="AC156" i="12"/>
  <c r="AC157" i="12"/>
  <c r="AC158" i="12"/>
  <c r="AC159" i="12"/>
  <c r="AC160" i="12"/>
  <c r="AC161" i="12"/>
  <c r="AC162" i="12"/>
  <c r="AC163" i="12"/>
  <c r="AC164" i="12"/>
  <c r="AC165" i="12"/>
  <c r="AC166" i="12"/>
  <c r="AC167" i="12"/>
  <c r="AC168" i="12"/>
  <c r="AC169" i="12"/>
  <c r="AC170" i="12"/>
  <c r="AC171" i="12"/>
  <c r="AC172" i="12"/>
  <c r="AC173" i="12"/>
  <c r="AC174" i="12"/>
  <c r="AC175" i="12"/>
  <c r="AC176" i="12"/>
  <c r="AC177" i="12"/>
  <c r="AC178" i="12"/>
  <c r="AC179" i="12"/>
  <c r="AC180" i="12"/>
  <c r="AC181" i="12"/>
  <c r="AC182" i="12"/>
  <c r="AC183" i="12"/>
  <c r="AC184" i="12"/>
  <c r="AC185" i="12"/>
  <c r="AC186" i="12"/>
  <c r="AC187" i="12"/>
  <c r="AC188" i="12"/>
  <c r="AC189" i="12"/>
  <c r="AC190" i="12"/>
  <c r="AC191"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C405" i="12"/>
  <c r="AC406" i="12"/>
  <c r="AC407" i="12"/>
  <c r="AC408" i="12"/>
  <c r="AC409" i="12"/>
  <c r="AC410" i="12"/>
  <c r="AC411" i="12"/>
  <c r="AC412" i="12"/>
  <c r="AC413" i="12"/>
  <c r="AC414" i="12"/>
  <c r="AC415" i="12"/>
  <c r="AC416" i="12"/>
  <c r="AC417" i="12"/>
  <c r="AC418" i="12"/>
  <c r="AC419" i="12"/>
  <c r="AC420" i="12"/>
  <c r="AC421" i="12"/>
  <c r="AC422" i="12"/>
  <c r="AC423" i="12"/>
  <c r="AC424" i="12"/>
  <c r="AC425" i="12"/>
  <c r="AC426" i="12"/>
  <c r="AC427" i="12"/>
  <c r="AC428" i="12"/>
  <c r="AC429" i="12"/>
  <c r="AC430" i="12"/>
  <c r="AC431" i="12"/>
  <c r="AC432" i="12"/>
  <c r="AC433" i="12"/>
  <c r="AC434" i="12"/>
  <c r="AC435" i="12"/>
  <c r="AC436" i="12"/>
  <c r="AC437" i="12"/>
  <c r="AC438" i="12"/>
  <c r="AC439" i="12"/>
  <c r="AC440" i="12"/>
  <c r="AC441" i="12"/>
  <c r="AC442" i="12"/>
  <c r="AC443" i="12"/>
  <c r="AC444" i="12"/>
  <c r="AC445" i="12"/>
  <c r="AC446" i="12"/>
  <c r="AC447" i="12"/>
  <c r="AC448" i="12"/>
  <c r="AC449" i="12"/>
  <c r="AC450" i="12"/>
  <c r="AC451" i="12"/>
  <c r="AC452" i="12"/>
  <c r="AC453" i="12"/>
  <c r="AC454" i="12"/>
  <c r="AC455" i="12"/>
  <c r="AC456" i="12"/>
  <c r="AC457" i="12"/>
  <c r="AC458" i="12"/>
  <c r="AC459" i="12"/>
  <c r="AC460" i="12"/>
  <c r="AC461" i="12"/>
  <c r="AC462" i="12"/>
  <c r="AC463" i="12"/>
  <c r="AC464" i="12"/>
  <c r="AC465" i="12"/>
  <c r="AC466" i="12"/>
  <c r="AC467" i="12"/>
  <c r="AC468" i="12"/>
  <c r="AC469" i="12"/>
  <c r="AC470" i="12"/>
  <c r="AC471" i="12"/>
  <c r="AC472" i="12"/>
  <c r="AC473" i="12"/>
  <c r="AC474" i="12"/>
  <c r="AC475" i="12"/>
  <c r="AC476" i="12"/>
  <c r="AC477" i="12"/>
  <c r="AC478" i="12"/>
  <c r="AC479" i="12"/>
  <c r="AC480" i="12"/>
  <c r="AC481" i="12"/>
  <c r="AC482" i="12"/>
  <c r="AC483" i="12"/>
  <c r="AC484" i="12"/>
  <c r="AC485" i="12"/>
  <c r="AC486" i="12"/>
  <c r="AC487" i="12"/>
  <c r="AC488" i="12"/>
  <c r="AC489" i="12"/>
  <c r="AC490" i="12"/>
  <c r="AC491" i="12"/>
  <c r="AC492" i="12"/>
  <c r="AC493" i="12"/>
  <c r="AC494" i="12"/>
  <c r="AC495" i="12"/>
  <c r="AC496" i="12"/>
  <c r="AC497" i="12"/>
  <c r="AC498" i="12"/>
  <c r="AC499" i="12"/>
  <c r="AC500" i="12"/>
  <c r="AC501" i="12"/>
  <c r="AC502" i="12"/>
  <c r="AC503" i="12"/>
  <c r="AC504" i="12"/>
  <c r="AC505" i="12"/>
  <c r="AC506" i="12"/>
  <c r="AC507" i="12"/>
  <c r="AC508" i="12"/>
  <c r="AC509" i="12"/>
  <c r="AC510" i="12"/>
  <c r="AC511" i="12"/>
  <c r="AC512" i="12"/>
  <c r="AC513" i="12"/>
  <c r="AC514" i="12"/>
  <c r="AC515" i="12"/>
  <c r="AC516" i="12"/>
  <c r="AC517" i="12"/>
  <c r="AC518" i="12"/>
  <c r="AC519" i="12"/>
  <c r="AC520" i="12"/>
  <c r="AC521" i="12"/>
  <c r="AC522" i="12"/>
  <c r="AC523" i="12"/>
  <c r="AC524" i="12"/>
  <c r="AC525" i="12"/>
  <c r="AC526" i="12"/>
  <c r="AC527" i="12"/>
  <c r="AC528" i="12"/>
  <c r="AC529" i="12"/>
  <c r="AC530" i="12"/>
  <c r="AC531" i="12"/>
  <c r="AC532" i="12"/>
  <c r="AC533" i="12"/>
  <c r="AC534" i="12"/>
  <c r="AC535" i="12"/>
  <c r="AC536" i="12"/>
  <c r="AC537" i="12"/>
  <c r="AC538" i="12"/>
  <c r="AC539" i="12"/>
  <c r="AC540" i="12"/>
  <c r="AC541" i="12"/>
  <c r="AC542" i="12"/>
  <c r="AC543" i="12"/>
  <c r="AC544" i="12"/>
  <c r="AC545" i="12"/>
  <c r="AC546" i="12"/>
  <c r="AC547" i="12"/>
  <c r="AC548" i="12"/>
  <c r="AC549" i="12"/>
  <c r="AC550" i="12"/>
  <c r="AC551" i="12"/>
  <c r="AC552" i="12"/>
  <c r="AC553" i="12"/>
  <c r="AC554" i="12"/>
  <c r="AC555" i="12"/>
  <c r="AC556" i="12"/>
  <c r="AC557" i="12"/>
  <c r="AC558" i="12"/>
  <c r="AC559" i="12"/>
  <c r="AC560" i="12"/>
  <c r="AC561" i="12"/>
  <c r="AC562" i="12"/>
  <c r="AC563" i="12"/>
  <c r="AC564" i="12"/>
  <c r="AC565" i="12"/>
  <c r="AC566" i="12"/>
  <c r="AC567" i="12"/>
  <c r="AC568" i="12"/>
  <c r="AC569" i="12"/>
  <c r="AC570" i="12"/>
  <c r="AC571" i="12"/>
  <c r="AC572" i="12"/>
  <c r="AC573" i="12"/>
  <c r="AC574" i="12"/>
  <c r="AC575" i="12"/>
  <c r="AC576" i="12"/>
  <c r="AC577" i="12"/>
  <c r="AC578" i="12"/>
  <c r="AC579" i="12"/>
  <c r="AC580" i="12"/>
  <c r="AC581" i="12"/>
  <c r="AC582" i="12"/>
  <c r="AC583" i="12"/>
  <c r="AC584" i="12"/>
  <c r="AC585" i="12"/>
  <c r="AC586" i="12"/>
  <c r="AC587" i="12"/>
  <c r="AC588" i="12"/>
  <c r="AC589" i="12"/>
  <c r="AC590" i="12"/>
  <c r="AC591" i="12"/>
  <c r="AC592" i="12"/>
  <c r="AC593" i="12"/>
  <c r="AC594" i="12"/>
  <c r="AC595" i="12"/>
  <c r="AC596" i="12"/>
  <c r="AC597" i="12"/>
  <c r="AC598" i="12"/>
  <c r="AC599" i="12"/>
  <c r="AC600" i="12"/>
  <c r="AC601" i="12"/>
  <c r="AC602" i="12"/>
  <c r="AC603" i="12"/>
  <c r="AC604" i="12"/>
  <c r="AC605" i="12"/>
  <c r="AC606" i="12"/>
  <c r="AC607" i="12"/>
  <c r="AC608" i="12"/>
  <c r="AC609" i="12"/>
  <c r="AC610" i="12"/>
  <c r="AC611" i="12"/>
  <c r="AC612" i="12"/>
  <c r="AC613" i="12"/>
  <c r="AC614" i="12"/>
  <c r="AC615" i="12"/>
  <c r="AC616" i="12"/>
  <c r="AC617" i="12"/>
  <c r="AC618" i="12"/>
  <c r="AC619" i="12"/>
  <c r="AC620" i="12"/>
  <c r="AC621" i="12"/>
  <c r="AC622" i="12"/>
  <c r="AC623" i="12"/>
  <c r="AC624" i="12"/>
  <c r="AC625" i="12"/>
  <c r="AC626" i="12"/>
  <c r="AC627" i="12"/>
  <c r="AC628" i="12"/>
  <c r="AC629" i="12"/>
  <c r="AC630" i="12"/>
  <c r="AC631" i="12"/>
  <c r="AC632" i="12"/>
  <c r="AC633" i="12"/>
  <c r="AC634" i="12"/>
  <c r="AC635" i="12"/>
  <c r="AC636" i="12"/>
  <c r="AC637" i="12"/>
  <c r="AC638" i="12"/>
  <c r="AC639" i="12"/>
  <c r="AC640" i="12"/>
  <c r="AC641" i="12"/>
  <c r="AC642" i="12"/>
  <c r="AC643" i="12"/>
  <c r="AC644" i="12"/>
  <c r="AC645" i="12"/>
  <c r="AC646" i="12"/>
  <c r="AC647" i="12"/>
  <c r="AC648" i="12"/>
  <c r="AC649" i="12"/>
  <c r="AC650" i="12"/>
  <c r="AC651" i="12"/>
  <c r="AC652" i="12"/>
  <c r="AC653" i="12"/>
  <c r="AC654" i="12"/>
  <c r="AC655" i="12"/>
  <c r="AC656" i="12"/>
  <c r="AC657" i="12"/>
  <c r="AC658" i="12"/>
  <c r="AC659" i="12"/>
  <c r="AC660" i="12"/>
  <c r="AC661" i="12"/>
  <c r="AC662" i="12"/>
  <c r="AC663" i="12"/>
  <c r="AC664" i="12"/>
  <c r="AC665" i="12"/>
  <c r="AC666" i="12"/>
  <c r="AC667" i="12"/>
  <c r="AC668" i="12"/>
  <c r="AC669" i="12"/>
  <c r="AC670" i="12"/>
  <c r="AC671" i="12"/>
  <c r="AC672" i="12"/>
  <c r="AC673" i="12"/>
  <c r="AC674" i="12"/>
  <c r="AC675" i="12"/>
  <c r="AC676" i="12"/>
  <c r="AC677" i="12"/>
  <c r="AC678" i="12"/>
  <c r="AC679" i="12"/>
  <c r="AC680" i="12"/>
  <c r="AC681" i="12"/>
  <c r="AC682" i="12"/>
  <c r="AC683" i="12"/>
  <c r="AC684" i="12"/>
  <c r="AC685" i="12"/>
  <c r="AC686" i="12"/>
  <c r="AC687" i="12"/>
  <c r="AC688" i="12"/>
  <c r="AC689" i="12"/>
  <c r="AC690" i="12"/>
  <c r="AC691" i="12"/>
  <c r="AC692" i="12"/>
  <c r="AC693" i="12"/>
  <c r="AC694" i="12"/>
  <c r="AC695" i="12"/>
  <c r="AC696" i="12"/>
  <c r="AC697" i="12"/>
  <c r="AC698" i="12"/>
  <c r="AC699" i="12"/>
  <c r="AC700" i="12"/>
  <c r="AC701" i="12"/>
  <c r="AC702" i="12"/>
  <c r="AC703" i="12"/>
  <c r="AC704" i="12"/>
  <c r="AC705" i="12"/>
  <c r="AC706" i="12"/>
  <c r="AC707" i="12"/>
  <c r="AC708" i="12"/>
  <c r="AC709" i="12"/>
  <c r="AC710" i="12"/>
  <c r="AC711" i="12"/>
  <c r="AC712" i="12"/>
  <c r="AC713" i="12"/>
  <c r="AC714" i="12"/>
  <c r="AC715" i="12"/>
  <c r="AC716" i="12"/>
  <c r="AC717" i="12"/>
  <c r="AC718" i="12"/>
  <c r="AC719" i="12"/>
  <c r="AC720" i="12"/>
  <c r="AC721" i="12"/>
  <c r="AC722" i="12"/>
  <c r="AC723" i="12"/>
  <c r="AC724" i="12"/>
  <c r="AC725" i="12"/>
  <c r="AC726" i="12"/>
  <c r="AC727" i="12"/>
  <c r="AC728" i="12"/>
  <c r="AC729" i="12"/>
  <c r="AC730" i="12"/>
  <c r="AC731" i="12"/>
  <c r="AC732" i="12"/>
  <c r="AC733" i="12"/>
  <c r="AC734" i="12"/>
  <c r="AC735" i="12"/>
  <c r="AC736" i="12"/>
  <c r="AC737" i="12"/>
  <c r="AC738" i="12"/>
  <c r="AC739" i="12"/>
  <c r="AC740" i="12"/>
  <c r="AC741" i="12"/>
  <c r="AC742" i="12"/>
  <c r="AC743" i="12"/>
  <c r="AC744" i="12"/>
  <c r="AC745" i="12"/>
  <c r="AC746" i="12"/>
  <c r="AC747" i="12"/>
  <c r="AC748" i="12"/>
  <c r="AC749" i="12"/>
  <c r="AC750" i="12"/>
  <c r="AC751" i="12"/>
  <c r="AC752" i="12"/>
  <c r="AC753" i="12"/>
  <c r="AC754" i="12"/>
  <c r="AC755" i="12"/>
  <c r="AC756" i="12"/>
  <c r="AC757" i="12"/>
  <c r="AC758" i="12"/>
  <c r="AC759" i="12"/>
  <c r="AC760" i="12"/>
  <c r="AC761" i="12"/>
  <c r="AC762" i="12"/>
  <c r="AC763" i="12"/>
  <c r="AC764" i="12"/>
  <c r="AC765" i="12"/>
  <c r="AC766" i="12"/>
  <c r="AC767" i="12"/>
  <c r="AC768" i="12"/>
  <c r="AC769" i="12"/>
  <c r="AC770" i="12"/>
  <c r="AC771" i="12"/>
  <c r="AC772" i="12"/>
  <c r="AC773" i="12"/>
  <c r="AC774" i="12"/>
  <c r="AC775" i="12"/>
  <c r="AC776" i="12"/>
  <c r="AC777" i="12"/>
  <c r="AC778" i="12"/>
  <c r="AC779" i="12"/>
  <c r="AC780" i="12"/>
  <c r="AC781" i="12"/>
  <c r="AC782" i="12"/>
  <c r="AC783" i="12"/>
  <c r="AC784" i="12"/>
  <c r="AC785" i="12"/>
  <c r="AC786" i="12"/>
  <c r="AC787" i="12"/>
  <c r="AC788" i="12"/>
  <c r="AC789" i="12"/>
  <c r="AC790" i="12"/>
  <c r="AC791" i="12"/>
  <c r="AC792" i="12"/>
  <c r="AC793" i="12"/>
  <c r="AC794" i="12"/>
  <c r="AC795" i="12"/>
  <c r="AC796" i="12"/>
  <c r="AC797" i="12"/>
  <c r="AC798" i="12"/>
  <c r="AC799" i="12"/>
  <c r="AC800" i="12"/>
  <c r="AC801" i="12"/>
  <c r="AC802" i="12"/>
  <c r="AC803" i="12"/>
  <c r="AC804" i="12"/>
  <c r="AC805" i="12"/>
  <c r="AC806" i="12"/>
  <c r="AC807" i="12"/>
  <c r="AC808" i="12"/>
  <c r="AC809" i="12"/>
  <c r="AC810" i="12"/>
  <c r="AC811" i="12"/>
  <c r="AC812" i="12"/>
  <c r="AC813" i="12"/>
  <c r="AC814" i="12"/>
  <c r="AC815" i="12"/>
  <c r="AC816" i="12"/>
  <c r="AC817" i="12"/>
  <c r="AC818" i="12"/>
  <c r="AC819" i="12"/>
  <c r="AC820" i="12"/>
  <c r="AC821" i="12"/>
  <c r="AC822" i="12"/>
  <c r="AC823" i="12"/>
  <c r="AC824" i="12"/>
  <c r="AC825" i="12"/>
  <c r="AC826" i="12"/>
  <c r="AC827" i="12"/>
  <c r="AC828" i="12"/>
  <c r="AC829" i="12"/>
  <c r="AC830" i="12"/>
  <c r="AC831" i="12"/>
  <c r="AC832" i="12"/>
  <c r="AC833" i="12"/>
  <c r="AC834" i="12"/>
  <c r="AC835" i="12"/>
  <c r="AC836" i="12"/>
  <c r="AC837" i="12"/>
  <c r="AC838" i="12"/>
  <c r="AC839" i="12"/>
  <c r="AC840" i="12"/>
  <c r="AC841" i="12"/>
  <c r="AC842" i="12"/>
  <c r="AC843" i="12"/>
  <c r="AC844" i="12"/>
  <c r="AC845" i="12"/>
  <c r="AC846" i="12"/>
  <c r="AC847" i="12"/>
  <c r="AC848" i="12"/>
  <c r="AC849" i="12"/>
  <c r="AC850" i="12"/>
  <c r="AC851" i="12"/>
  <c r="AC852" i="12"/>
  <c r="AC853" i="12"/>
  <c r="AC854" i="12"/>
  <c r="AC855" i="12"/>
  <c r="AC856" i="12"/>
  <c r="AC857" i="12"/>
  <c r="AC858" i="12"/>
  <c r="AC859" i="12"/>
  <c r="AC860" i="12"/>
  <c r="AC861" i="12"/>
  <c r="AC862" i="12"/>
  <c r="AC863" i="12"/>
  <c r="AC864" i="12"/>
  <c r="AC865" i="12"/>
  <c r="AC866" i="12"/>
  <c r="AC867" i="12"/>
  <c r="AC868" i="12"/>
  <c r="AC869" i="12"/>
  <c r="AC870" i="12"/>
  <c r="AC871" i="12"/>
  <c r="AC872" i="12"/>
  <c r="AC873" i="12"/>
  <c r="AC874" i="12"/>
  <c r="AC875" i="12"/>
  <c r="AC876" i="12"/>
  <c r="AC877" i="12"/>
  <c r="AC878" i="12"/>
  <c r="AC879" i="12"/>
  <c r="AC880" i="12"/>
  <c r="AC881" i="12"/>
  <c r="AC882" i="12"/>
  <c r="AC883" i="12"/>
  <c r="AC884" i="12"/>
  <c r="AC885" i="12"/>
  <c r="AC886" i="12"/>
  <c r="AC887" i="12"/>
  <c r="AC888" i="12"/>
  <c r="AC889" i="12"/>
  <c r="AC890" i="12"/>
  <c r="AC891" i="12"/>
  <c r="AC892" i="12"/>
  <c r="AC893" i="12"/>
  <c r="AC894" i="12"/>
  <c r="AC895" i="12"/>
  <c r="AC896" i="12"/>
  <c r="AC897" i="12"/>
  <c r="AC898" i="12"/>
  <c r="AC899" i="12"/>
  <c r="AC900" i="12"/>
  <c r="AC901" i="12"/>
  <c r="AC902" i="12"/>
  <c r="AC903" i="12"/>
  <c r="AC904" i="12"/>
  <c r="AC905" i="12"/>
  <c r="AC906" i="12"/>
  <c r="AC907" i="12"/>
  <c r="AC908" i="12"/>
  <c r="AC909" i="12"/>
  <c r="AC910" i="12"/>
  <c r="AC911" i="12"/>
  <c r="AC912" i="12"/>
  <c r="AC913" i="12"/>
  <c r="AC914" i="12"/>
  <c r="AC915" i="12"/>
  <c r="AC916" i="12"/>
  <c r="AC917" i="12"/>
  <c r="AC918" i="12"/>
  <c r="AC919" i="12"/>
  <c r="AC920" i="12"/>
  <c r="AC921" i="12"/>
  <c r="AC922" i="12"/>
  <c r="AC923" i="12"/>
  <c r="AC924" i="12"/>
  <c r="AC925" i="12"/>
  <c r="AC926" i="12"/>
  <c r="AC927" i="12"/>
  <c r="AC928" i="12"/>
  <c r="AC929" i="12"/>
  <c r="AC930" i="12"/>
  <c r="AC931" i="12"/>
  <c r="AC932" i="12"/>
  <c r="AC933" i="12"/>
  <c r="AC934" i="12"/>
  <c r="AC935" i="12"/>
  <c r="AC936" i="12"/>
  <c r="AC937" i="12"/>
  <c r="AC938" i="12"/>
  <c r="AC939" i="12"/>
  <c r="AC940" i="12"/>
  <c r="AC941" i="12"/>
  <c r="AC942" i="12"/>
  <c r="AC943" i="12"/>
  <c r="AC944" i="12"/>
  <c r="AC945" i="12"/>
  <c r="AC946" i="12"/>
  <c r="AC947" i="12"/>
  <c r="AC948" i="12"/>
  <c r="AC949" i="12"/>
  <c r="AC950" i="12"/>
  <c r="AC951" i="12"/>
  <c r="AC952" i="12"/>
  <c r="AC953" i="12"/>
  <c r="AC954" i="12"/>
  <c r="AC955" i="12"/>
  <c r="AC956" i="12"/>
  <c r="AC957" i="12"/>
  <c r="AC958" i="12"/>
  <c r="AC959" i="12"/>
  <c r="AC960" i="12"/>
  <c r="AC961" i="12"/>
  <c r="AC962" i="12"/>
  <c r="AC963" i="12"/>
  <c r="AC964" i="12"/>
  <c r="AC965" i="12"/>
  <c r="AC966" i="12"/>
  <c r="AC967" i="12"/>
  <c r="AC968" i="12"/>
  <c r="AC969" i="12"/>
  <c r="AC970" i="12"/>
  <c r="AC971" i="12"/>
  <c r="AC972" i="12"/>
  <c r="AC973" i="12"/>
  <c r="AC974" i="12"/>
  <c r="AC975" i="12"/>
  <c r="AC976" i="12"/>
  <c r="AC977" i="12"/>
  <c r="AC978" i="12"/>
  <c r="AC979" i="12"/>
  <c r="AC980" i="12"/>
  <c r="AC981" i="12"/>
  <c r="AC982" i="12"/>
  <c r="AC983" i="12"/>
  <c r="AC984" i="12"/>
  <c r="AC985" i="12"/>
  <c r="AC986" i="12"/>
  <c r="AC987" i="12"/>
  <c r="AC988" i="12"/>
  <c r="AC989" i="12"/>
  <c r="AC990" i="12"/>
  <c r="AC991" i="12"/>
  <c r="AC992" i="12"/>
  <c r="AC993" i="12"/>
  <c r="AC994" i="12"/>
  <c r="AC995" i="12"/>
  <c r="AC996" i="12"/>
  <c r="AC997" i="12"/>
  <c r="AC998" i="12"/>
  <c r="AC999" i="12"/>
  <c r="AC1000" i="12"/>
  <c r="AC1001" i="12"/>
  <c r="AC1002" i="12"/>
  <c r="AC1003" i="12"/>
  <c r="AC4" i="12"/>
  <c r="AB15" i="12"/>
  <c r="AB16" i="12"/>
  <c r="AB17" i="12"/>
  <c r="AB18" i="12"/>
  <c r="AB19" i="12"/>
  <c r="AB20" i="12"/>
  <c r="AB21" i="12"/>
  <c r="AB22" i="12"/>
  <c r="AB23" i="12"/>
  <c r="AB24" i="12"/>
  <c r="AB25" i="12"/>
  <c r="AB26" i="12"/>
  <c r="AB27" i="12"/>
  <c r="AB28" i="12"/>
  <c r="AB29" i="12"/>
  <c r="AB30" i="12"/>
  <c r="AB31" i="12"/>
  <c r="AB32" i="12"/>
  <c r="AB33" i="12"/>
  <c r="AB34" i="12"/>
  <c r="AB35" i="12"/>
  <c r="AB36" i="12"/>
  <c r="AB37" i="12"/>
  <c r="AB38" i="12"/>
  <c r="AB39" i="12"/>
  <c r="AB40" i="12"/>
  <c r="AB41" i="12"/>
  <c r="AB42" i="12"/>
  <c r="AB43" i="12"/>
  <c r="AB44" i="12"/>
  <c r="AB45" i="12"/>
  <c r="AB46" i="12"/>
  <c r="AB47" i="12"/>
  <c r="AB48" i="12"/>
  <c r="AB49" i="12"/>
  <c r="AB50" i="12"/>
  <c r="AB51" i="12"/>
  <c r="AB52" i="12"/>
  <c r="AB53" i="12"/>
  <c r="AB54" i="12"/>
  <c r="AB55" i="12"/>
  <c r="AB56" i="12"/>
  <c r="AB57" i="12"/>
  <c r="AB58" i="12"/>
  <c r="AB59" i="12"/>
  <c r="AB60" i="12"/>
  <c r="AB61" i="12"/>
  <c r="AB62" i="12"/>
  <c r="AB63" i="12"/>
  <c r="AB64" i="12"/>
  <c r="AB65" i="12"/>
  <c r="AB66" i="12"/>
  <c r="AB67" i="12"/>
  <c r="AB68" i="12"/>
  <c r="AB69" i="12"/>
  <c r="AB70" i="12"/>
  <c r="AB71" i="12"/>
  <c r="AB72" i="12"/>
  <c r="AB73" i="12"/>
  <c r="AB74" i="12"/>
  <c r="AB75" i="12"/>
  <c r="AB76" i="12"/>
  <c r="AB77" i="12"/>
  <c r="AB78" i="12"/>
  <c r="AB79" i="12"/>
  <c r="AB80" i="12"/>
  <c r="AB81" i="12"/>
  <c r="AB82" i="12"/>
  <c r="AB83" i="12"/>
  <c r="AB84" i="12"/>
  <c r="AB85" i="12"/>
  <c r="AB86" i="12"/>
  <c r="AB87" i="12"/>
  <c r="AB88" i="12"/>
  <c r="AB89" i="12"/>
  <c r="AB90" i="12"/>
  <c r="AB91" i="12"/>
  <c r="AB92" i="12"/>
  <c r="AB93" i="12"/>
  <c r="AB94" i="12"/>
  <c r="AB95" i="12"/>
  <c r="AB96" i="12"/>
  <c r="AB97" i="12"/>
  <c r="AB98" i="12"/>
  <c r="AB99" i="12"/>
  <c r="AB100" i="12"/>
  <c r="AB101" i="12"/>
  <c r="AB102" i="12"/>
  <c r="AB103" i="12"/>
  <c r="AB104" i="12"/>
  <c r="AB105" i="12"/>
  <c r="AB106" i="12"/>
  <c r="AB107" i="12"/>
  <c r="AB108" i="12"/>
  <c r="AB109" i="12"/>
  <c r="AB110" i="12"/>
  <c r="AB111" i="12"/>
  <c r="AB112" i="12"/>
  <c r="AB113" i="12"/>
  <c r="AB114" i="12"/>
  <c r="AB115" i="12"/>
  <c r="AB116" i="12"/>
  <c r="AB117" i="12"/>
  <c r="AB118" i="12"/>
  <c r="AB119" i="12"/>
  <c r="AB120" i="12"/>
  <c r="AB121" i="12"/>
  <c r="AB122" i="12"/>
  <c r="AB123" i="12"/>
  <c r="AB124" i="12"/>
  <c r="AB125" i="12"/>
  <c r="AB126" i="12"/>
  <c r="AB127" i="12"/>
  <c r="AB128" i="12"/>
  <c r="AB129" i="12"/>
  <c r="AB130" i="12"/>
  <c r="AB131" i="12"/>
  <c r="AB132" i="12"/>
  <c r="AB133" i="12"/>
  <c r="AB134" i="12"/>
  <c r="AB135" i="12"/>
  <c r="AB136" i="12"/>
  <c r="AB137" i="12"/>
  <c r="AB138" i="12"/>
  <c r="AB139" i="12"/>
  <c r="AB140" i="12"/>
  <c r="AB141" i="12"/>
  <c r="AB142" i="12"/>
  <c r="AB143" i="12"/>
  <c r="AB144" i="12"/>
  <c r="AB145" i="12"/>
  <c r="AB146" i="12"/>
  <c r="AB147" i="12"/>
  <c r="AB148" i="12"/>
  <c r="AB149" i="12"/>
  <c r="AB150" i="12"/>
  <c r="AB151" i="12"/>
  <c r="AB152" i="12"/>
  <c r="AB153" i="12"/>
  <c r="AB154" i="12"/>
  <c r="AB155" i="12"/>
  <c r="AB156" i="12"/>
  <c r="AB157" i="12"/>
  <c r="AB158" i="12"/>
  <c r="AB159" i="12"/>
  <c r="AB160" i="12"/>
  <c r="AB161" i="12"/>
  <c r="AB162" i="12"/>
  <c r="AB163" i="12"/>
  <c r="AB164" i="12"/>
  <c r="AB165" i="12"/>
  <c r="AB166" i="12"/>
  <c r="AB167" i="12"/>
  <c r="AB168" i="12"/>
  <c r="AB169" i="12"/>
  <c r="AB170" i="12"/>
  <c r="AB171" i="12"/>
  <c r="AB172" i="12"/>
  <c r="AB173" i="12"/>
  <c r="AB174" i="12"/>
  <c r="AB175" i="12"/>
  <c r="AB176" i="12"/>
  <c r="AB177" i="12"/>
  <c r="AB178" i="12"/>
  <c r="AB179" i="12"/>
  <c r="AB180" i="12"/>
  <c r="AB181" i="12"/>
  <c r="AB182" i="12"/>
  <c r="AB183" i="12"/>
  <c r="AB184" i="12"/>
  <c r="AB185" i="12"/>
  <c r="AB186" i="12"/>
  <c r="AB187" i="12"/>
  <c r="AB188" i="12"/>
  <c r="AB189" i="12"/>
  <c r="AB190" i="12"/>
  <c r="AB191" i="12"/>
  <c r="AB192" i="12"/>
  <c r="AB193" i="12"/>
  <c r="AB194" i="12"/>
  <c r="AB195" i="12"/>
  <c r="AB196" i="12"/>
  <c r="AB197" i="12"/>
  <c r="AB198" i="12"/>
  <c r="AB199" i="12"/>
  <c r="AB200" i="12"/>
  <c r="AB201" i="12"/>
  <c r="AB202" i="12"/>
  <c r="AB203" i="12"/>
  <c r="AB204" i="12"/>
  <c r="AB205" i="12"/>
  <c r="AB206" i="12"/>
  <c r="AB207" i="12"/>
  <c r="AB208" i="12"/>
  <c r="AB209" i="12"/>
  <c r="AB210" i="12"/>
  <c r="AB211" i="12"/>
  <c r="AB212" i="12"/>
  <c r="AB213" i="12"/>
  <c r="AB214" i="12"/>
  <c r="AB215" i="12"/>
  <c r="AB216" i="12"/>
  <c r="AB217" i="12"/>
  <c r="AB218" i="12"/>
  <c r="AB219" i="12"/>
  <c r="AB220" i="12"/>
  <c r="AB221" i="12"/>
  <c r="AB222" i="12"/>
  <c r="AB223" i="12"/>
  <c r="AB224" i="12"/>
  <c r="AB225" i="12"/>
  <c r="AB226" i="12"/>
  <c r="AB227" i="12"/>
  <c r="AB228" i="12"/>
  <c r="AB229" i="12"/>
  <c r="AB230" i="12"/>
  <c r="AB231" i="12"/>
  <c r="AB232" i="12"/>
  <c r="AB233" i="12"/>
  <c r="AB234" i="12"/>
  <c r="AB235" i="12"/>
  <c r="AB236" i="12"/>
  <c r="AB237" i="12"/>
  <c r="AB238" i="12"/>
  <c r="AB239" i="12"/>
  <c r="AB240" i="12"/>
  <c r="AB241" i="12"/>
  <c r="AB242" i="12"/>
  <c r="AB243" i="12"/>
  <c r="AB244" i="12"/>
  <c r="AB245" i="12"/>
  <c r="AB246" i="12"/>
  <c r="AB247" i="12"/>
  <c r="AB248" i="12"/>
  <c r="AB249" i="12"/>
  <c r="AB250" i="12"/>
  <c r="AB251" i="12"/>
  <c r="AB252" i="12"/>
  <c r="AB253" i="12"/>
  <c r="AB254" i="12"/>
  <c r="AB255" i="12"/>
  <c r="AB256" i="12"/>
  <c r="AB257" i="12"/>
  <c r="AB258" i="12"/>
  <c r="AB259" i="12"/>
  <c r="AB260" i="12"/>
  <c r="AB261" i="12"/>
  <c r="AB262" i="12"/>
  <c r="AB263" i="12"/>
  <c r="AB264" i="12"/>
  <c r="AB265" i="12"/>
  <c r="AB266" i="12"/>
  <c r="AB267" i="12"/>
  <c r="AB268" i="12"/>
  <c r="AB269" i="12"/>
  <c r="AB270" i="12"/>
  <c r="AB271" i="12"/>
  <c r="AB272" i="12"/>
  <c r="AB273" i="12"/>
  <c r="AB274" i="12"/>
  <c r="AB275" i="12"/>
  <c r="AB276" i="12"/>
  <c r="AB277" i="12"/>
  <c r="AB278" i="12"/>
  <c r="AB279" i="12"/>
  <c r="AB280" i="12"/>
  <c r="AB281" i="12"/>
  <c r="AB282" i="12"/>
  <c r="AB283" i="12"/>
  <c r="AB284" i="12"/>
  <c r="AB285" i="12"/>
  <c r="AB286" i="12"/>
  <c r="AB287" i="12"/>
  <c r="AB288" i="12"/>
  <c r="AB289" i="12"/>
  <c r="AB290" i="12"/>
  <c r="AB291" i="12"/>
  <c r="AB292" i="12"/>
  <c r="AB293" i="12"/>
  <c r="AB294" i="12"/>
  <c r="AB295" i="12"/>
  <c r="AB296" i="12"/>
  <c r="AB297" i="12"/>
  <c r="AB298" i="12"/>
  <c r="AB299" i="12"/>
  <c r="AB300" i="12"/>
  <c r="AB301" i="12"/>
  <c r="AB302" i="12"/>
  <c r="AB303" i="12"/>
  <c r="AB304" i="12"/>
  <c r="AB305" i="12"/>
  <c r="AB306" i="12"/>
  <c r="AB307" i="12"/>
  <c r="AB308" i="12"/>
  <c r="AB309" i="12"/>
  <c r="AB310" i="12"/>
  <c r="AB311" i="12"/>
  <c r="AB312" i="12"/>
  <c r="AB313" i="12"/>
  <c r="AB314" i="12"/>
  <c r="AB315" i="12"/>
  <c r="AB316" i="12"/>
  <c r="AB317" i="12"/>
  <c r="AB318" i="12"/>
  <c r="AB319" i="12"/>
  <c r="AB320" i="12"/>
  <c r="AB321" i="12"/>
  <c r="AB322" i="12"/>
  <c r="AB323" i="12"/>
  <c r="AB324" i="12"/>
  <c r="AB325" i="12"/>
  <c r="AB326" i="12"/>
  <c r="AB327" i="12"/>
  <c r="AB328" i="12"/>
  <c r="AB329" i="12"/>
  <c r="AB330" i="12"/>
  <c r="AB331" i="12"/>
  <c r="AB332" i="12"/>
  <c r="AB333" i="12"/>
  <c r="AB334" i="12"/>
  <c r="AB335" i="12"/>
  <c r="AB336" i="12"/>
  <c r="AB337" i="12"/>
  <c r="AB338" i="12"/>
  <c r="AB339" i="12"/>
  <c r="AB340" i="12"/>
  <c r="AB341" i="12"/>
  <c r="AB342" i="12"/>
  <c r="AB343" i="12"/>
  <c r="AB344" i="12"/>
  <c r="AB345" i="12"/>
  <c r="AB346" i="12"/>
  <c r="AB347" i="12"/>
  <c r="AB348" i="12"/>
  <c r="AB349" i="12"/>
  <c r="AB350" i="12"/>
  <c r="AB351" i="12"/>
  <c r="AB352" i="12"/>
  <c r="AB353" i="12"/>
  <c r="AB354" i="12"/>
  <c r="AB355" i="12"/>
  <c r="AB356" i="12"/>
  <c r="AB357" i="12"/>
  <c r="AB358" i="12"/>
  <c r="AB359" i="12"/>
  <c r="AB360" i="12"/>
  <c r="AB361" i="12"/>
  <c r="AB362" i="12"/>
  <c r="AB363" i="12"/>
  <c r="AB364" i="12"/>
  <c r="AB365" i="12"/>
  <c r="AB366" i="12"/>
  <c r="AB367" i="12"/>
  <c r="AB368" i="12"/>
  <c r="AB369" i="12"/>
  <c r="AB370" i="12"/>
  <c r="AB371" i="12"/>
  <c r="AB372" i="12"/>
  <c r="AB373" i="12"/>
  <c r="AB374" i="12"/>
  <c r="AB375" i="12"/>
  <c r="AB376" i="12"/>
  <c r="AB377" i="12"/>
  <c r="AB378" i="12"/>
  <c r="AB379" i="12"/>
  <c r="AB380" i="12"/>
  <c r="AB381" i="12"/>
  <c r="AB382" i="12"/>
  <c r="AB383" i="12"/>
  <c r="AB384" i="12"/>
  <c r="AB385" i="12"/>
  <c r="AB386" i="12"/>
  <c r="AB387" i="12"/>
  <c r="AB388" i="12"/>
  <c r="AB389" i="12"/>
  <c r="AB390" i="12"/>
  <c r="AB391" i="12"/>
  <c r="AB392" i="12"/>
  <c r="AB393" i="12"/>
  <c r="AB394" i="12"/>
  <c r="AB395" i="12"/>
  <c r="AB396" i="12"/>
  <c r="AB397" i="12"/>
  <c r="AB398" i="12"/>
  <c r="AB399" i="12"/>
  <c r="AB400" i="12"/>
  <c r="AB401" i="12"/>
  <c r="AB402" i="12"/>
  <c r="AB403" i="12"/>
  <c r="AB404" i="12"/>
  <c r="AB405" i="12"/>
  <c r="AB406" i="12"/>
  <c r="AB407" i="12"/>
  <c r="AB408" i="12"/>
  <c r="AB409" i="12"/>
  <c r="AB410" i="12"/>
  <c r="AB411" i="12"/>
  <c r="AB412" i="12"/>
  <c r="AB413" i="12"/>
  <c r="AB414" i="12"/>
  <c r="AB415" i="12"/>
  <c r="AB416" i="12"/>
  <c r="AB417" i="12"/>
  <c r="AB418" i="12"/>
  <c r="AB419" i="12"/>
  <c r="AB420" i="12"/>
  <c r="AB421" i="12"/>
  <c r="AB422" i="12"/>
  <c r="AB423" i="12"/>
  <c r="AB424" i="12"/>
  <c r="AB425" i="12"/>
  <c r="AB426" i="12"/>
  <c r="AB427" i="12"/>
  <c r="AB428" i="12"/>
  <c r="AB429" i="12"/>
  <c r="AB430" i="12"/>
  <c r="AB431" i="12"/>
  <c r="AB432" i="12"/>
  <c r="AB433" i="12"/>
  <c r="AB434" i="12"/>
  <c r="AB435" i="12"/>
  <c r="AB436" i="12"/>
  <c r="AB437" i="12"/>
  <c r="AB438" i="12"/>
  <c r="AB439" i="12"/>
  <c r="AB440" i="12"/>
  <c r="AB441" i="12"/>
  <c r="AB442" i="12"/>
  <c r="AB443" i="12"/>
  <c r="AB444" i="12"/>
  <c r="AB445" i="12"/>
  <c r="AB446" i="12"/>
  <c r="AB447" i="12"/>
  <c r="AB448" i="12"/>
  <c r="AB449" i="12"/>
  <c r="AB450" i="12"/>
  <c r="AB451" i="12"/>
  <c r="AB452" i="12"/>
  <c r="AB453" i="12"/>
  <c r="AB454" i="12"/>
  <c r="AB455" i="12"/>
  <c r="AB456" i="12"/>
  <c r="AB457" i="12"/>
  <c r="AB458" i="12"/>
  <c r="AB459" i="12"/>
  <c r="AB460" i="12"/>
  <c r="AB461" i="12"/>
  <c r="AB462" i="12"/>
  <c r="AB463" i="12"/>
  <c r="AB464" i="12"/>
  <c r="AB465" i="12"/>
  <c r="AB466" i="12"/>
  <c r="AB467" i="12"/>
  <c r="AB468" i="12"/>
  <c r="AB469" i="12"/>
  <c r="AB470" i="12"/>
  <c r="AB471" i="12"/>
  <c r="AB472" i="12"/>
  <c r="AB473" i="12"/>
  <c r="AB474" i="12"/>
  <c r="AB475" i="12"/>
  <c r="AB476" i="12"/>
  <c r="AB477" i="12"/>
  <c r="AB478" i="12"/>
  <c r="AB479" i="12"/>
  <c r="AB480" i="12"/>
  <c r="AB481" i="12"/>
  <c r="AB482" i="12"/>
  <c r="AB483" i="12"/>
  <c r="AB484" i="12"/>
  <c r="AB485" i="12"/>
  <c r="AB486" i="12"/>
  <c r="AB487" i="12"/>
  <c r="AB488" i="12"/>
  <c r="AB489" i="12"/>
  <c r="AB490" i="12"/>
  <c r="AB491" i="12"/>
  <c r="AB492" i="12"/>
  <c r="AB493" i="12"/>
  <c r="AB494" i="12"/>
  <c r="AB495" i="12"/>
  <c r="AB496" i="12"/>
  <c r="AB497" i="12"/>
  <c r="AB498" i="12"/>
  <c r="AB499" i="12"/>
  <c r="AB500" i="12"/>
  <c r="AB501" i="12"/>
  <c r="AB502" i="12"/>
  <c r="AB503" i="12"/>
  <c r="AB504" i="12"/>
  <c r="AB505" i="12"/>
  <c r="AB506" i="12"/>
  <c r="AB507" i="12"/>
  <c r="AB508" i="12"/>
  <c r="AB509" i="12"/>
  <c r="AB510" i="12"/>
  <c r="AB511" i="12"/>
  <c r="AB512" i="12"/>
  <c r="AB513" i="12"/>
  <c r="AB514" i="12"/>
  <c r="AB515" i="12"/>
  <c r="AB516" i="12"/>
  <c r="AB517" i="12"/>
  <c r="AB518" i="12"/>
  <c r="AB519" i="12"/>
  <c r="AB520" i="12"/>
  <c r="AB521" i="12"/>
  <c r="AB522" i="12"/>
  <c r="AB523" i="12"/>
  <c r="AB524" i="12"/>
  <c r="AB525" i="12"/>
  <c r="AB526" i="12"/>
  <c r="AB527" i="12"/>
  <c r="AB528" i="12"/>
  <c r="AB529" i="12"/>
  <c r="AB530" i="12"/>
  <c r="AB531" i="12"/>
  <c r="AB532" i="12"/>
  <c r="AB533" i="12"/>
  <c r="AB534" i="12"/>
  <c r="AB535" i="12"/>
  <c r="AB536" i="12"/>
  <c r="AB537" i="12"/>
  <c r="AB538" i="12"/>
  <c r="AB539" i="12"/>
  <c r="AB540" i="12"/>
  <c r="AB541" i="12"/>
  <c r="AB542" i="12"/>
  <c r="AB543" i="12"/>
  <c r="AB544" i="12"/>
  <c r="AB545" i="12"/>
  <c r="AB546" i="12"/>
  <c r="AB547" i="12"/>
  <c r="AB548" i="12"/>
  <c r="AB549" i="12"/>
  <c r="AB550" i="12"/>
  <c r="AB551" i="12"/>
  <c r="AB552" i="12"/>
  <c r="AB553" i="12"/>
  <c r="AB554" i="12"/>
  <c r="AB555" i="12"/>
  <c r="AB556" i="12"/>
  <c r="AB557" i="12"/>
  <c r="AB558" i="12"/>
  <c r="AB559" i="12"/>
  <c r="AB560" i="12"/>
  <c r="AB561" i="12"/>
  <c r="AB562" i="12"/>
  <c r="AB563" i="12"/>
  <c r="AB564" i="12"/>
  <c r="AB565" i="12"/>
  <c r="AB566" i="12"/>
  <c r="AB567" i="12"/>
  <c r="AB568" i="12"/>
  <c r="AB569" i="12"/>
  <c r="AB570" i="12"/>
  <c r="AB571" i="12"/>
  <c r="AB572" i="12"/>
  <c r="AB573" i="12"/>
  <c r="AB574" i="12"/>
  <c r="AB575" i="12"/>
  <c r="AB576" i="12"/>
  <c r="AB577" i="12"/>
  <c r="AB578" i="12"/>
  <c r="AB579" i="12"/>
  <c r="AB580" i="12"/>
  <c r="AB581" i="12"/>
  <c r="AB582" i="12"/>
  <c r="AB583" i="12"/>
  <c r="AB584" i="12"/>
  <c r="AB585" i="12"/>
  <c r="AB586" i="12"/>
  <c r="AB587" i="12"/>
  <c r="AB588" i="12"/>
  <c r="AB589" i="12"/>
  <c r="AB590" i="12"/>
  <c r="AB591" i="12"/>
  <c r="AB592" i="12"/>
  <c r="AB593" i="12"/>
  <c r="AB594" i="12"/>
  <c r="AB595" i="12"/>
  <c r="AB596" i="12"/>
  <c r="AB597" i="12"/>
  <c r="AB598" i="12"/>
  <c r="AB599" i="12"/>
  <c r="AB600" i="12"/>
  <c r="AB601" i="12"/>
  <c r="AB602" i="12"/>
  <c r="AB603" i="12"/>
  <c r="AB604" i="12"/>
  <c r="AB605" i="12"/>
  <c r="AB606" i="12"/>
  <c r="AB607" i="12"/>
  <c r="AB608" i="12"/>
  <c r="AB609" i="12"/>
  <c r="AB610" i="12"/>
  <c r="AB611" i="12"/>
  <c r="AB612" i="12"/>
  <c r="AB613" i="12"/>
  <c r="AB614" i="12"/>
  <c r="AB615" i="12"/>
  <c r="AB616" i="12"/>
  <c r="AB617" i="12"/>
  <c r="AB618" i="12"/>
  <c r="AB619" i="12"/>
  <c r="AB620" i="12"/>
  <c r="AB621" i="12"/>
  <c r="AB622" i="12"/>
  <c r="AB623" i="12"/>
  <c r="AB624" i="12"/>
  <c r="AB625" i="12"/>
  <c r="AB626" i="12"/>
  <c r="AB627" i="12"/>
  <c r="AB628" i="12"/>
  <c r="AB629" i="12"/>
  <c r="AB630" i="12"/>
  <c r="AB631" i="12"/>
  <c r="AB632" i="12"/>
  <c r="AB633" i="12"/>
  <c r="AB634" i="12"/>
  <c r="AB635" i="12"/>
  <c r="AB636" i="12"/>
  <c r="AB637" i="12"/>
  <c r="AB638" i="12"/>
  <c r="AB639" i="12"/>
  <c r="AB640" i="12"/>
  <c r="AB641" i="12"/>
  <c r="AB642" i="12"/>
  <c r="AB643" i="12"/>
  <c r="AB644" i="12"/>
  <c r="AB645" i="12"/>
  <c r="AB646" i="12"/>
  <c r="AB647" i="12"/>
  <c r="AB648" i="12"/>
  <c r="AB649" i="12"/>
  <c r="AB650" i="12"/>
  <c r="AB651" i="12"/>
  <c r="AB652" i="12"/>
  <c r="AB653" i="12"/>
  <c r="AB654" i="12"/>
  <c r="AB655" i="12"/>
  <c r="AB656" i="12"/>
  <c r="AB657" i="12"/>
  <c r="AB658" i="12"/>
  <c r="AB659" i="12"/>
  <c r="AB660" i="12"/>
  <c r="AB661" i="12"/>
  <c r="AB662" i="12"/>
  <c r="AB663" i="12"/>
  <c r="AB664" i="12"/>
  <c r="AB665" i="12"/>
  <c r="AB666" i="12"/>
  <c r="AB667" i="12"/>
  <c r="AB668" i="12"/>
  <c r="AB669" i="12"/>
  <c r="AB670" i="12"/>
  <c r="AB671" i="12"/>
  <c r="AB672" i="12"/>
  <c r="AB673" i="12"/>
  <c r="AB674" i="12"/>
  <c r="AB675" i="12"/>
  <c r="AB676" i="12"/>
  <c r="AB677" i="12"/>
  <c r="AB678" i="12"/>
  <c r="AB679" i="12"/>
  <c r="AB680" i="12"/>
  <c r="AB681" i="12"/>
  <c r="AB682" i="12"/>
  <c r="AB683" i="12"/>
  <c r="AB684" i="12"/>
  <c r="AB685" i="12"/>
  <c r="AB686" i="12"/>
  <c r="AB687" i="12"/>
  <c r="AB688" i="12"/>
  <c r="AB689" i="12"/>
  <c r="AB690" i="12"/>
  <c r="AB691" i="12"/>
  <c r="AB692" i="12"/>
  <c r="AB693" i="12"/>
  <c r="AB694" i="12"/>
  <c r="AB695" i="12"/>
  <c r="AB696" i="12"/>
  <c r="AB697" i="12"/>
  <c r="AB698" i="12"/>
  <c r="AB699" i="12"/>
  <c r="AB700" i="12"/>
  <c r="AB701" i="12"/>
  <c r="AB702" i="12"/>
  <c r="AB703" i="12"/>
  <c r="AB704" i="12"/>
  <c r="AB705" i="12"/>
  <c r="AB706" i="12"/>
  <c r="AB707" i="12"/>
  <c r="AB708" i="12"/>
  <c r="AB709" i="12"/>
  <c r="AB710" i="12"/>
  <c r="AB711" i="12"/>
  <c r="AB712" i="12"/>
  <c r="AB713" i="12"/>
  <c r="AB714" i="12"/>
  <c r="AB715" i="12"/>
  <c r="AB716" i="12"/>
  <c r="AB717" i="12"/>
  <c r="AB718" i="12"/>
  <c r="AB719" i="12"/>
  <c r="AB720" i="12"/>
  <c r="AB721" i="12"/>
  <c r="AB722" i="12"/>
  <c r="AB723" i="12"/>
  <c r="AB724" i="12"/>
  <c r="AB725" i="12"/>
  <c r="AB726" i="12"/>
  <c r="AB727" i="12"/>
  <c r="AB728" i="12"/>
  <c r="AB729" i="12"/>
  <c r="AB730" i="12"/>
  <c r="AB731" i="12"/>
  <c r="AB732" i="12"/>
  <c r="AB733" i="12"/>
  <c r="AB734" i="12"/>
  <c r="AB735" i="12"/>
  <c r="AB736" i="12"/>
  <c r="AB737" i="12"/>
  <c r="AB738" i="12"/>
  <c r="AB739" i="12"/>
  <c r="AB740" i="12"/>
  <c r="AB741" i="12"/>
  <c r="AB742" i="12"/>
  <c r="AB743" i="12"/>
  <c r="AB744" i="12"/>
  <c r="AB745" i="12"/>
  <c r="AB746" i="12"/>
  <c r="AB747" i="12"/>
  <c r="AB748" i="12"/>
  <c r="AB749" i="12"/>
  <c r="AB750" i="12"/>
  <c r="AB751" i="12"/>
  <c r="AB752" i="12"/>
  <c r="AB753" i="12"/>
  <c r="AB754" i="12"/>
  <c r="AB755" i="12"/>
  <c r="AB756" i="12"/>
  <c r="AB757" i="12"/>
  <c r="AB758" i="12"/>
  <c r="AB759" i="12"/>
  <c r="AB760" i="12"/>
  <c r="AB761" i="12"/>
  <c r="AB762" i="12"/>
  <c r="AB763" i="12"/>
  <c r="AB764" i="12"/>
  <c r="AB765" i="12"/>
  <c r="AB766" i="12"/>
  <c r="AB767" i="12"/>
  <c r="AB768" i="12"/>
  <c r="AB769" i="12"/>
  <c r="AB770" i="12"/>
  <c r="AB771" i="12"/>
  <c r="AB772" i="12"/>
  <c r="AB773" i="12"/>
  <c r="AB774" i="12"/>
  <c r="AB775" i="12"/>
  <c r="AB776" i="12"/>
  <c r="AB777" i="12"/>
  <c r="AB778" i="12"/>
  <c r="AB779" i="12"/>
  <c r="AB780" i="12"/>
  <c r="AB781" i="12"/>
  <c r="AB782" i="12"/>
  <c r="AB783" i="12"/>
  <c r="AB784" i="12"/>
  <c r="AB785" i="12"/>
  <c r="AB786" i="12"/>
  <c r="AB787" i="12"/>
  <c r="AB788" i="12"/>
  <c r="AB789" i="12"/>
  <c r="AB790" i="12"/>
  <c r="AB791" i="12"/>
  <c r="AB792" i="12"/>
  <c r="AB793" i="12"/>
  <c r="AB794" i="12"/>
  <c r="AB795" i="12"/>
  <c r="AB796" i="12"/>
  <c r="AB797" i="12"/>
  <c r="AB798" i="12"/>
  <c r="AB799" i="12"/>
  <c r="AB800" i="12"/>
  <c r="AB801" i="12"/>
  <c r="AB802" i="12"/>
  <c r="AB803" i="12"/>
  <c r="AB804" i="12"/>
  <c r="AB805" i="12"/>
  <c r="AB806" i="12"/>
  <c r="AB807" i="12"/>
  <c r="AB808" i="12"/>
  <c r="AB809" i="12"/>
  <c r="AB810" i="12"/>
  <c r="AB811" i="12"/>
  <c r="AB812" i="12"/>
  <c r="AB813" i="12"/>
  <c r="AB814" i="12"/>
  <c r="AB815" i="12"/>
  <c r="AB816" i="12"/>
  <c r="AB817" i="12"/>
  <c r="AB818" i="12"/>
  <c r="AB819" i="12"/>
  <c r="AB820" i="12"/>
  <c r="AB821" i="12"/>
  <c r="AB822" i="12"/>
  <c r="AB823" i="12"/>
  <c r="AB824" i="12"/>
  <c r="AB825" i="12"/>
  <c r="AB826" i="12"/>
  <c r="AB827" i="12"/>
  <c r="AB828" i="12"/>
  <c r="AB829" i="12"/>
  <c r="AB830" i="12"/>
  <c r="AB831" i="12"/>
  <c r="AB832" i="12"/>
  <c r="AB833" i="12"/>
  <c r="AB834" i="12"/>
  <c r="AB835" i="12"/>
  <c r="AB836" i="12"/>
  <c r="AB837" i="12"/>
  <c r="AB838" i="12"/>
  <c r="AB839" i="12"/>
  <c r="AB840" i="12"/>
  <c r="AB841" i="12"/>
  <c r="AB842" i="12"/>
  <c r="AB843" i="12"/>
  <c r="AB844" i="12"/>
  <c r="AB845" i="12"/>
  <c r="AB846" i="12"/>
  <c r="AB847" i="12"/>
  <c r="AB848" i="12"/>
  <c r="AB849" i="12"/>
  <c r="AB850" i="12"/>
  <c r="AB851" i="12"/>
  <c r="AB852" i="12"/>
  <c r="AB853" i="12"/>
  <c r="AB854" i="12"/>
  <c r="AB855" i="12"/>
  <c r="AB856" i="12"/>
  <c r="AB857" i="12"/>
  <c r="AB858" i="12"/>
  <c r="AB859" i="12"/>
  <c r="AB860" i="12"/>
  <c r="AB861" i="12"/>
  <c r="AB862" i="12"/>
  <c r="AB863" i="12"/>
  <c r="AB864" i="12"/>
  <c r="AB865" i="12"/>
  <c r="AB866" i="12"/>
  <c r="AB867" i="12"/>
  <c r="AB868" i="12"/>
  <c r="AB869" i="12"/>
  <c r="AB870" i="12"/>
  <c r="AB871" i="12"/>
  <c r="AB872" i="12"/>
  <c r="AB873" i="12"/>
  <c r="AB874" i="12"/>
  <c r="AB875" i="12"/>
  <c r="AB876" i="12"/>
  <c r="AB877" i="12"/>
  <c r="AB878" i="12"/>
  <c r="AB879" i="12"/>
  <c r="AB880" i="12"/>
  <c r="AB881" i="12"/>
  <c r="AB882" i="12"/>
  <c r="AB883" i="12"/>
  <c r="AB884" i="12"/>
  <c r="AB885" i="12"/>
  <c r="AB886" i="12"/>
  <c r="AB887" i="12"/>
  <c r="AB888" i="12"/>
  <c r="AB889" i="12"/>
  <c r="AB890" i="12"/>
  <c r="AB891" i="12"/>
  <c r="AB892" i="12"/>
  <c r="AB893" i="12"/>
  <c r="AB894" i="12"/>
  <c r="AB895" i="12"/>
  <c r="AB896" i="12"/>
  <c r="AB897" i="12"/>
  <c r="AB898" i="12"/>
  <c r="AB899" i="12"/>
  <c r="AB900" i="12"/>
  <c r="AB901" i="12"/>
  <c r="AB902" i="12"/>
  <c r="AB903" i="12"/>
  <c r="AB904" i="12"/>
  <c r="AB905" i="12"/>
  <c r="AB906" i="12"/>
  <c r="AB907" i="12"/>
  <c r="AB908" i="12"/>
  <c r="AB909" i="12"/>
  <c r="AB910" i="12"/>
  <c r="AB911" i="12"/>
  <c r="AB912" i="12"/>
  <c r="AB913" i="12"/>
  <c r="AB914" i="12"/>
  <c r="AB915" i="12"/>
  <c r="AB916" i="12"/>
  <c r="AB917" i="12"/>
  <c r="AB918" i="12"/>
  <c r="AB919" i="12"/>
  <c r="AB920" i="12"/>
  <c r="AB921" i="12"/>
  <c r="AB922" i="12"/>
  <c r="AB923" i="12"/>
  <c r="AB924" i="12"/>
  <c r="AB925" i="12"/>
  <c r="AB926" i="12"/>
  <c r="AB927" i="12"/>
  <c r="AB928" i="12"/>
  <c r="AB929" i="12"/>
  <c r="AB930" i="12"/>
  <c r="AB931" i="12"/>
  <c r="AB932" i="12"/>
  <c r="AB933" i="12"/>
  <c r="AB934" i="12"/>
  <c r="AB935" i="12"/>
  <c r="AB936" i="12"/>
  <c r="AB937" i="12"/>
  <c r="AB938" i="12"/>
  <c r="AB939" i="12"/>
  <c r="AB940" i="12"/>
  <c r="AB941" i="12"/>
  <c r="AB942" i="12"/>
  <c r="AB943" i="12"/>
  <c r="AB944" i="12"/>
  <c r="AB945" i="12"/>
  <c r="AB946" i="12"/>
  <c r="AB947" i="12"/>
  <c r="AB948" i="12"/>
  <c r="AB949" i="12"/>
  <c r="AB950" i="12"/>
  <c r="AB951" i="12"/>
  <c r="AB952" i="12"/>
  <c r="AB953" i="12"/>
  <c r="AB954" i="12"/>
  <c r="AB955" i="12"/>
  <c r="AB956" i="12"/>
  <c r="AB957" i="12"/>
  <c r="AB958" i="12"/>
  <c r="AB959" i="12"/>
  <c r="AB960" i="12"/>
  <c r="AB961" i="12"/>
  <c r="AB962" i="12"/>
  <c r="AB963" i="12"/>
  <c r="AB964" i="12"/>
  <c r="AB965" i="12"/>
  <c r="AB966" i="12"/>
  <c r="AB967" i="12"/>
  <c r="AB968" i="12"/>
  <c r="AB969" i="12"/>
  <c r="AB970" i="12"/>
  <c r="AB971" i="12"/>
  <c r="AB972" i="12"/>
  <c r="AB973" i="12"/>
  <c r="AB974" i="12"/>
  <c r="AB975" i="12"/>
  <c r="AB976" i="12"/>
  <c r="AB977" i="12"/>
  <c r="AB978" i="12"/>
  <c r="AB979" i="12"/>
  <c r="AB980" i="12"/>
  <c r="AB981" i="12"/>
  <c r="AB982" i="12"/>
  <c r="AB983" i="12"/>
  <c r="AB984" i="12"/>
  <c r="AB985" i="12"/>
  <c r="AB986" i="12"/>
  <c r="AB987" i="12"/>
  <c r="AB988" i="12"/>
  <c r="AB989" i="12"/>
  <c r="AB990" i="12"/>
  <c r="AB991" i="12"/>
  <c r="AB992" i="12"/>
  <c r="AB993" i="12"/>
  <c r="AB994" i="12"/>
  <c r="AB995" i="12"/>
  <c r="AB996" i="12"/>
  <c r="AB997" i="12"/>
  <c r="AB998" i="12"/>
  <c r="AB999" i="12"/>
  <c r="AB1000" i="12"/>
  <c r="AB1001" i="12"/>
  <c r="AB1002" i="12"/>
  <c r="AB1003" i="12"/>
  <c r="AB5" i="12"/>
  <c r="AB6" i="12"/>
  <c r="AB7" i="12"/>
  <c r="AB8" i="12"/>
  <c r="AB9" i="12"/>
  <c r="AB10" i="12"/>
  <c r="AB11" i="12"/>
  <c r="AB12" i="12"/>
  <c r="AB13" i="12"/>
  <c r="AB14" i="12"/>
  <c r="AB4" i="12"/>
  <c r="AA4" i="12"/>
  <c r="U5" i="12"/>
  <c r="U4" i="12"/>
  <c r="J3" i="12"/>
  <c r="J2" i="12"/>
  <c r="N6" i="12" s="1"/>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2"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K4" i="9"/>
  <c r="K3" i="9"/>
  <c r="J4" i="9"/>
  <c r="J3" i="9"/>
  <c r="I4" i="9"/>
  <c r="R2" i="8" s="1"/>
  <c r="I3" i="9"/>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2" i="8"/>
  <c r="C16" i="15"/>
  <c r="C28" i="15"/>
  <c r="C17" i="15"/>
  <c r="C29" i="15"/>
  <c r="C18" i="15"/>
  <c r="C19" i="15"/>
  <c r="C20" i="15"/>
  <c r="C21" i="15"/>
  <c r="C22" i="15"/>
  <c r="C23" i="15"/>
  <c r="C24" i="15"/>
  <c r="C25" i="15"/>
  <c r="C26" i="15"/>
  <c r="C27" i="15"/>
  <c r="D15" i="15"/>
  <c r="D16" i="15"/>
  <c r="D17" i="15"/>
  <c r="D18" i="15"/>
  <c r="D19" i="15"/>
  <c r="D20" i="15"/>
  <c r="D21" i="15"/>
  <c r="D22" i="15"/>
  <c r="D24" i="15"/>
  <c r="D25" i="15"/>
  <c r="D26" i="15"/>
  <c r="D27" i="15"/>
  <c r="D28" i="15"/>
  <c r="D29" i="15"/>
  <c r="D23" i="15"/>
  <c r="F3" i="17" l="1"/>
  <c r="F2" i="17"/>
  <c r="U6" i="12"/>
  <c r="M6" i="12"/>
  <c r="AJ4" i="12"/>
  <c r="L10" i="12"/>
  <c r="L11" i="12"/>
  <c r="L7" i="12"/>
  <c r="M23" i="12"/>
  <c r="M22" i="12"/>
  <c r="M19" i="12"/>
  <c r="M11" i="12"/>
  <c r="M10" i="12"/>
  <c r="M7" i="12"/>
  <c r="L23" i="12"/>
  <c r="N23" i="12"/>
  <c r="L22" i="12"/>
  <c r="N22" i="12"/>
  <c r="L19" i="12"/>
  <c r="N19" i="12"/>
  <c r="L17" i="12"/>
  <c r="M5" i="12"/>
  <c r="M17" i="12"/>
  <c r="N5" i="12"/>
  <c r="N17" i="12"/>
  <c r="L28" i="12"/>
  <c r="L16" i="12"/>
  <c r="M28" i="12"/>
  <c r="M16" i="12"/>
  <c r="N28" i="12"/>
  <c r="N16" i="12"/>
  <c r="L27" i="12"/>
  <c r="L15" i="12"/>
  <c r="M27" i="12"/>
  <c r="M15" i="12"/>
  <c r="N27" i="12"/>
  <c r="N15" i="12"/>
  <c r="L26" i="12"/>
  <c r="L14" i="12"/>
  <c r="M26" i="12"/>
  <c r="M14" i="12"/>
  <c r="N26" i="12"/>
  <c r="N14" i="12"/>
  <c r="L25" i="12"/>
  <c r="L13" i="12"/>
  <c r="M25" i="12"/>
  <c r="M13" i="12"/>
  <c r="N25" i="12"/>
  <c r="N13" i="12"/>
  <c r="L24" i="12"/>
  <c r="L12" i="12"/>
  <c r="M24" i="12"/>
  <c r="M12" i="12"/>
  <c r="N24" i="12"/>
  <c r="N12" i="12"/>
  <c r="N11" i="12"/>
  <c r="N10" i="12"/>
  <c r="L21" i="12"/>
  <c r="L9" i="12"/>
  <c r="M21" i="12"/>
  <c r="M9" i="12"/>
  <c r="N21" i="12"/>
  <c r="N9" i="12"/>
  <c r="L20" i="12"/>
  <c r="L8" i="12"/>
  <c r="M20" i="12"/>
  <c r="M8" i="12"/>
  <c r="N20" i="12"/>
  <c r="N8" i="12"/>
  <c r="N7" i="12"/>
  <c r="L18" i="12"/>
  <c r="L6" i="12"/>
  <c r="M18" i="12"/>
  <c r="N18" i="12"/>
  <c r="J5" i="9"/>
  <c r="J6" i="9" s="1"/>
  <c r="K5" i="9"/>
  <c r="I5" i="9"/>
  <c r="E21" i="15"/>
  <c r="E16" i="15"/>
  <c r="E29" i="15"/>
  <c r="E27" i="15"/>
  <c r="E28" i="15"/>
  <c r="E19" i="15"/>
  <c r="E17" i="15"/>
  <c r="E20" i="15"/>
  <c r="E24" i="15"/>
  <c r="E23" i="15"/>
  <c r="E26" i="15"/>
  <c r="E18" i="15"/>
  <c r="E22" i="15"/>
  <c r="E25" i="15"/>
  <c r="G5" i="17" l="1"/>
  <c r="G8" i="17" s="1"/>
  <c r="J7" i="9"/>
  <c r="T395" i="8" s="1"/>
  <c r="T182" i="8"/>
  <c r="T159" i="8"/>
  <c r="T126" i="8"/>
  <c r="T632" i="8"/>
  <c r="T828" i="8"/>
  <c r="T972" i="8"/>
  <c r="T95" i="8"/>
  <c r="T615" i="8"/>
  <c r="T859" i="8"/>
  <c r="T621" i="8"/>
  <c r="T999" i="8"/>
  <c r="T8" i="8"/>
  <c r="T251" i="8"/>
  <c r="T252" i="8"/>
  <c r="T396" i="8"/>
  <c r="T315" i="8"/>
  <c r="T157" i="8"/>
  <c r="T460" i="8"/>
  <c r="T604" i="8"/>
  <c r="T127" i="8"/>
  <c r="T249" i="8"/>
  <c r="T601" i="8"/>
  <c r="T812" i="8"/>
  <c r="T957" i="8"/>
  <c r="T435" i="8"/>
  <c r="T559" i="8"/>
  <c r="T786" i="8"/>
  <c r="T725" i="8"/>
  <c r="T789" i="8"/>
  <c r="T96" i="8"/>
  <c r="T541" i="8"/>
  <c r="T236" i="8"/>
  <c r="T595" i="8"/>
  <c r="T663" i="8"/>
  <c r="T131" i="8"/>
  <c r="T893" i="8"/>
  <c r="T701" i="8"/>
  <c r="T836" i="8"/>
  <c r="T333" i="8"/>
  <c r="T123" i="8"/>
  <c r="T492" i="8"/>
  <c r="T263" i="8"/>
  <c r="T264" i="8"/>
  <c r="T408" i="8"/>
  <c r="T552" i="8"/>
  <c r="T48" i="8"/>
  <c r="T241" i="8"/>
  <c r="T385" i="8"/>
  <c r="T326" i="8"/>
  <c r="T327" i="8"/>
  <c r="T175" i="8"/>
  <c r="T328" i="8"/>
  <c r="T472" i="8"/>
  <c r="T616" i="8"/>
  <c r="T143" i="8"/>
  <c r="T305" i="8"/>
  <c r="T449" i="8"/>
  <c r="T426" i="8"/>
  <c r="T570" i="8"/>
  <c r="T93" i="8"/>
  <c r="T271" i="8"/>
  <c r="T297" i="8"/>
  <c r="T625" i="8"/>
  <c r="T825" i="8"/>
  <c r="T969" i="8"/>
  <c r="T459" i="8"/>
  <c r="T583" i="8"/>
  <c r="T800" i="8"/>
  <c r="T947" i="8"/>
  <c r="T387" i="8"/>
  <c r="T676" i="8"/>
  <c r="T852" i="8"/>
  <c r="T996" i="8"/>
  <c r="T489" i="8"/>
  <c r="T740" i="8"/>
  <c r="T805" i="8"/>
  <c r="T165" i="8"/>
  <c r="T565" i="8"/>
  <c r="T790" i="8"/>
  <c r="T284" i="8"/>
  <c r="T619" i="8"/>
  <c r="T713" i="8"/>
  <c r="T237" i="8"/>
  <c r="T905" i="8"/>
  <c r="T907" i="8"/>
  <c r="T717" i="8"/>
  <c r="T285" i="8"/>
  <c r="T915" i="8"/>
  <c r="T729" i="8"/>
  <c r="T296" i="8"/>
  <c r="T917" i="8"/>
  <c r="T745" i="8"/>
  <c r="T697" i="8"/>
  <c r="T1001" i="8"/>
  <c r="T777" i="8"/>
  <c r="T979" i="8"/>
  <c r="T894" i="8"/>
  <c r="T200" i="8"/>
  <c r="T348" i="8"/>
  <c r="T870" i="8"/>
  <c r="T38" i="8"/>
  <c r="T14" i="8"/>
  <c r="T195" i="8"/>
  <c r="T198" i="8"/>
  <c r="T45" i="8"/>
  <c r="T275" i="8"/>
  <c r="T671" i="8"/>
  <c r="T47" i="8"/>
  <c r="T276" i="8"/>
  <c r="T420" i="8"/>
  <c r="T564" i="8"/>
  <c r="T708" i="8"/>
  <c r="T67" i="8"/>
  <c r="T253" i="8"/>
  <c r="T397" i="8"/>
  <c r="T188" i="8"/>
  <c r="T338" i="8"/>
  <c r="T626" i="8"/>
  <c r="T770" i="8"/>
  <c r="T189" i="8"/>
  <c r="T339" i="8"/>
  <c r="T190" i="8"/>
  <c r="T340" i="8"/>
  <c r="T484" i="8"/>
  <c r="T628" i="8"/>
  <c r="T160" i="8"/>
  <c r="T317" i="8"/>
  <c r="T461" i="8"/>
  <c r="T128" i="8"/>
  <c r="T294" i="8"/>
  <c r="T438" i="8"/>
  <c r="T582" i="8"/>
  <c r="T112" i="8"/>
  <c r="T283" i="8"/>
  <c r="T345" i="8"/>
  <c r="T649" i="8"/>
  <c r="T837" i="8"/>
  <c r="T981" i="8"/>
  <c r="T483" i="8"/>
  <c r="T898" i="8"/>
  <c r="T260" i="8"/>
  <c r="T607" i="8"/>
  <c r="T814" i="8"/>
  <c r="T959" i="8"/>
  <c r="T416" i="8"/>
  <c r="T691" i="8"/>
  <c r="T864" i="8"/>
  <c r="T7" i="8"/>
  <c r="T513" i="8"/>
  <c r="T757" i="8"/>
  <c r="T272" i="8"/>
  <c r="T610" i="8"/>
  <c r="T818" i="8"/>
  <c r="T225" i="8"/>
  <c r="T589" i="8"/>
  <c r="T806" i="8"/>
  <c r="T332" i="8"/>
  <c r="T643" i="8"/>
  <c r="T748" i="8"/>
  <c r="T370" i="8"/>
  <c r="T928" i="8"/>
  <c r="T379" i="8"/>
  <c r="T930" i="8"/>
  <c r="T762" i="8"/>
  <c r="T403" i="8"/>
  <c r="T932" i="8"/>
  <c r="T764" i="8"/>
  <c r="T405" i="8"/>
  <c r="T939" i="8"/>
  <c r="T778" i="8"/>
  <c r="T423" i="8"/>
  <c r="T918" i="8"/>
  <c r="T926" i="8"/>
  <c r="T639" i="8"/>
  <c r="T322" i="8"/>
  <c r="T383" i="8"/>
  <c r="T636" i="8"/>
  <c r="T872" i="8"/>
  <c r="T50" i="8"/>
  <c r="T27" i="8"/>
  <c r="T207" i="8"/>
  <c r="T210" i="8"/>
  <c r="T64" i="8"/>
  <c r="T503" i="8"/>
  <c r="T683" i="8"/>
  <c r="T65" i="8"/>
  <c r="T288" i="8"/>
  <c r="T432" i="8"/>
  <c r="T576" i="8"/>
  <c r="T720" i="8"/>
  <c r="T84" i="8"/>
  <c r="T265" i="8"/>
  <c r="T409" i="8"/>
  <c r="T203" i="8"/>
  <c r="T494" i="8"/>
  <c r="T638" i="8"/>
  <c r="T782" i="8"/>
  <c r="T204" i="8"/>
  <c r="T351" i="8"/>
  <c r="T205" i="8"/>
  <c r="T352" i="8"/>
  <c r="T496" i="8"/>
  <c r="T640" i="8"/>
  <c r="T176" i="8"/>
  <c r="T329" i="8"/>
  <c r="T473" i="8"/>
  <c r="T617" i="8"/>
  <c r="T144" i="8"/>
  <c r="T306" i="8"/>
  <c r="T450" i="8"/>
  <c r="T594" i="8"/>
  <c r="T129" i="8"/>
  <c r="T295" i="8"/>
  <c r="T380" i="8"/>
  <c r="T670" i="8"/>
  <c r="T849" i="8"/>
  <c r="T993" i="8"/>
  <c r="T507" i="8"/>
  <c r="T752" i="8"/>
  <c r="T910" i="8"/>
  <c r="T308" i="8"/>
  <c r="T631" i="8"/>
  <c r="T827" i="8"/>
  <c r="T971" i="8"/>
  <c r="T440" i="8"/>
  <c r="T706" i="8"/>
  <c r="T876" i="8"/>
  <c r="T80" i="8"/>
  <c r="T537" i="8"/>
  <c r="T773" i="8"/>
  <c r="T925" i="8"/>
  <c r="T320" i="8"/>
  <c r="T634" i="8"/>
  <c r="T830" i="8"/>
  <c r="T273" i="8"/>
  <c r="T613" i="8"/>
  <c r="T819" i="8"/>
  <c r="T369" i="8"/>
  <c r="T666" i="8"/>
  <c r="T783" i="8"/>
  <c r="T452" i="8"/>
  <c r="T950" i="8"/>
  <c r="T794" i="8"/>
  <c r="T454" i="8"/>
  <c r="T952" i="8"/>
  <c r="T796" i="8"/>
  <c r="T476" i="8"/>
  <c r="T954" i="8"/>
  <c r="T807" i="8"/>
  <c r="T478" i="8"/>
  <c r="T956" i="8"/>
  <c r="T811" i="8"/>
  <c r="T58" i="8"/>
  <c r="T169" i="8"/>
  <c r="T89" i="8"/>
  <c r="T500" i="8"/>
  <c r="T62" i="8"/>
  <c r="T39" i="8"/>
  <c r="T30" i="8"/>
  <c r="T9" i="8"/>
  <c r="T81" i="8"/>
  <c r="T323" i="8"/>
  <c r="T515" i="8"/>
  <c r="T695" i="8"/>
  <c r="T119" i="8"/>
  <c r="T300" i="8"/>
  <c r="T444" i="8"/>
  <c r="T588" i="8"/>
  <c r="T732" i="8"/>
  <c r="T103" i="8"/>
  <c r="T277" i="8"/>
  <c r="T12" i="8"/>
  <c r="T218" i="8"/>
  <c r="T362" i="8"/>
  <c r="T506" i="8"/>
  <c r="T650" i="8"/>
  <c r="T15" i="8"/>
  <c r="T219" i="8"/>
  <c r="T16" i="8"/>
  <c r="T220" i="8"/>
  <c r="T364" i="8"/>
  <c r="T508" i="8"/>
  <c r="T652" i="8"/>
  <c r="T191" i="8"/>
  <c r="T341" i="8"/>
  <c r="T485" i="8"/>
  <c r="T629" i="8"/>
  <c r="T161" i="8"/>
  <c r="T318" i="8"/>
  <c r="T462" i="8"/>
  <c r="T606" i="8"/>
  <c r="T145" i="8"/>
  <c r="T307" i="8"/>
  <c r="T406" i="8"/>
  <c r="T688" i="8"/>
  <c r="T861" i="8"/>
  <c r="T61" i="8"/>
  <c r="T531" i="8"/>
  <c r="T769" i="8"/>
  <c r="T922" i="8"/>
  <c r="T356" i="8"/>
  <c r="T655" i="8"/>
  <c r="T839" i="8"/>
  <c r="T983" i="8"/>
  <c r="T464" i="8"/>
  <c r="T724" i="8"/>
  <c r="T888" i="8"/>
  <c r="T151" i="8"/>
  <c r="T561" i="8"/>
  <c r="T788" i="8"/>
  <c r="T937" i="8"/>
  <c r="T363" i="8"/>
  <c r="T658" i="8"/>
  <c r="T842" i="8"/>
  <c r="T321" i="8"/>
  <c r="T637" i="8"/>
  <c r="T831" i="8"/>
  <c r="T399" i="8"/>
  <c r="T681" i="8"/>
  <c r="T821" i="8"/>
  <c r="T524" i="8"/>
  <c r="T967" i="8"/>
  <c r="T823" i="8"/>
  <c r="T526" i="8"/>
  <c r="T974" i="8"/>
  <c r="T832" i="8"/>
  <c r="T548" i="8"/>
  <c r="T976" i="8"/>
  <c r="T834" i="8"/>
  <c r="T550" i="8"/>
  <c r="T978" i="8"/>
  <c r="T845" i="8"/>
  <c r="T90" i="8"/>
  <c r="T325" i="8"/>
  <c r="T941" i="8"/>
  <c r="T74" i="8"/>
  <c r="T51" i="8"/>
  <c r="T54" i="8"/>
  <c r="T22" i="8"/>
  <c r="T100" i="8"/>
  <c r="T347" i="8"/>
  <c r="T527" i="8"/>
  <c r="T707" i="8"/>
  <c r="T153" i="8"/>
  <c r="T312" i="8"/>
  <c r="T456" i="8"/>
  <c r="T600" i="8"/>
  <c r="T744" i="8"/>
  <c r="T120" i="8"/>
  <c r="T289" i="8"/>
  <c r="T32" i="8"/>
  <c r="T230" i="8"/>
  <c r="T374" i="8"/>
  <c r="T518" i="8"/>
  <c r="T662" i="8"/>
  <c r="T33" i="8"/>
  <c r="T231" i="8"/>
  <c r="T35" i="8"/>
  <c r="T232" i="8"/>
  <c r="T376" i="8"/>
  <c r="T520" i="8"/>
  <c r="T664" i="8"/>
  <c r="T208" i="8"/>
  <c r="T353" i="8"/>
  <c r="T497" i="8"/>
  <c r="T641" i="8"/>
  <c r="T177" i="8"/>
  <c r="T330" i="8"/>
  <c r="T474" i="8"/>
  <c r="T618" i="8"/>
  <c r="T163" i="8"/>
  <c r="T319" i="8"/>
  <c r="T433" i="8"/>
  <c r="T703" i="8"/>
  <c r="T873" i="8"/>
  <c r="T133" i="8"/>
  <c r="T555" i="8"/>
  <c r="T785" i="8"/>
  <c r="T934" i="8"/>
  <c r="T382" i="8"/>
  <c r="T675" i="8"/>
  <c r="T851" i="8"/>
  <c r="T995" i="8"/>
  <c r="T488" i="8"/>
  <c r="T739" i="8"/>
  <c r="T900" i="8"/>
  <c r="T214" i="8"/>
  <c r="T585" i="8"/>
  <c r="T802" i="8"/>
  <c r="T949" i="8"/>
  <c r="T392" i="8"/>
  <c r="T678" i="8"/>
  <c r="T854" i="8"/>
  <c r="T367" i="8"/>
  <c r="T661" i="8"/>
  <c r="T843" i="8"/>
  <c r="T427" i="8"/>
  <c r="T699" i="8"/>
  <c r="T847" i="8"/>
  <c r="T596" i="8"/>
  <c r="T989" i="8"/>
  <c r="T856" i="8"/>
  <c r="T598" i="8"/>
  <c r="T991" i="8"/>
  <c r="T858" i="8"/>
  <c r="T620" i="8"/>
  <c r="T998" i="8"/>
  <c r="T860" i="8"/>
  <c r="T622" i="8"/>
  <c r="T1000" i="8"/>
  <c r="T871" i="8"/>
  <c r="T646" i="8"/>
  <c r="T563" i="8"/>
  <c r="T88" i="8"/>
  <c r="T700" i="8"/>
  <c r="T86" i="8"/>
  <c r="T63" i="8"/>
  <c r="T66" i="8"/>
  <c r="T34" i="8"/>
  <c r="T117" i="8"/>
  <c r="T359" i="8"/>
  <c r="T539" i="8"/>
  <c r="T719" i="8"/>
  <c r="T168" i="8"/>
  <c r="T324" i="8"/>
  <c r="T468" i="8"/>
  <c r="T612" i="8"/>
  <c r="T756" i="8"/>
  <c r="T139" i="8"/>
  <c r="T301" i="8"/>
  <c r="T49" i="8"/>
  <c r="T242" i="8"/>
  <c r="T386" i="8"/>
  <c r="T530" i="8"/>
  <c r="T674" i="8"/>
  <c r="T52" i="8"/>
  <c r="T243" i="8"/>
  <c r="T53" i="8"/>
  <c r="T244" i="8"/>
  <c r="T388" i="8"/>
  <c r="T532" i="8"/>
  <c r="T19" i="8"/>
  <c r="T221" i="8"/>
  <c r="T365" i="8"/>
  <c r="T509" i="8"/>
  <c r="T653" i="8"/>
  <c r="T192" i="8"/>
  <c r="T342" i="8"/>
  <c r="T486" i="8"/>
  <c r="T630" i="8"/>
  <c r="T178" i="8"/>
  <c r="T331" i="8"/>
  <c r="T457" i="8"/>
  <c r="T718" i="8"/>
  <c r="T885" i="8"/>
  <c r="T199" i="8"/>
  <c r="T579" i="8"/>
  <c r="T799" i="8"/>
  <c r="T946" i="8"/>
  <c r="T415" i="8"/>
  <c r="T690" i="8"/>
  <c r="T863" i="8"/>
  <c r="T4" i="8"/>
  <c r="T512" i="8"/>
  <c r="T754" i="8"/>
  <c r="T912" i="8"/>
  <c r="T262" i="8"/>
  <c r="T609" i="8"/>
  <c r="T817" i="8"/>
  <c r="T961" i="8"/>
  <c r="T418" i="8"/>
  <c r="T693" i="8"/>
  <c r="T866" i="8"/>
  <c r="T393" i="8"/>
  <c r="T679" i="8"/>
  <c r="T855" i="8"/>
  <c r="T451" i="8"/>
  <c r="T25" i="8"/>
  <c r="T880" i="8"/>
  <c r="T667" i="8"/>
  <c r="T44" i="8"/>
  <c r="T882" i="8"/>
  <c r="T669" i="8"/>
  <c r="T97" i="8"/>
  <c r="T884" i="8"/>
  <c r="T682" i="8"/>
  <c r="T116" i="8"/>
  <c r="T892" i="8"/>
  <c r="T687" i="8"/>
  <c r="T181" i="8"/>
  <c r="T896" i="8"/>
  <c r="T344" i="8"/>
  <c r="T987" i="8"/>
  <c r="T776" i="8"/>
  <c r="T735" i="8"/>
  <c r="T266" i="8"/>
  <c r="T965" i="8"/>
  <c r="T98" i="8"/>
  <c r="T99" i="8"/>
  <c r="T78" i="8"/>
  <c r="T46" i="8"/>
  <c r="T167" i="8"/>
  <c r="T371" i="8"/>
  <c r="T551" i="8"/>
  <c r="T755" i="8"/>
  <c r="T185" i="8"/>
  <c r="T336" i="8"/>
  <c r="T480" i="8"/>
  <c r="T624" i="8"/>
  <c r="T768" i="8"/>
  <c r="T154" i="8"/>
  <c r="T313" i="8"/>
  <c r="T68" i="8"/>
  <c r="T254" i="8"/>
  <c r="T398" i="8"/>
  <c r="T542" i="8"/>
  <c r="T686" i="8"/>
  <c r="T69" i="8"/>
  <c r="T255" i="8"/>
  <c r="T71" i="8"/>
  <c r="T256" i="8"/>
  <c r="T400" i="8"/>
  <c r="T544" i="8"/>
  <c r="T36" i="8"/>
  <c r="T233" i="8"/>
  <c r="T377" i="8"/>
  <c r="T521" i="8"/>
  <c r="T665" i="8"/>
  <c r="T209" i="8"/>
  <c r="T354" i="8"/>
  <c r="T498" i="8"/>
  <c r="T642" i="8"/>
  <c r="T193" i="8"/>
  <c r="T343" i="8"/>
  <c r="T481" i="8"/>
  <c r="T736" i="8"/>
  <c r="T897" i="8"/>
  <c r="T250" i="8"/>
  <c r="T603" i="8"/>
  <c r="T813" i="8"/>
  <c r="T958" i="8"/>
  <c r="T439" i="8"/>
  <c r="T705" i="8"/>
  <c r="T875" i="8"/>
  <c r="T79" i="8"/>
  <c r="T536" i="8"/>
  <c r="T772" i="8"/>
  <c r="T924" i="8"/>
  <c r="T310" i="8"/>
  <c r="T633" i="8"/>
  <c r="T829" i="8"/>
  <c r="T973" i="8"/>
  <c r="T442" i="8"/>
  <c r="T711" i="8"/>
  <c r="T878" i="8"/>
  <c r="T421" i="8"/>
  <c r="T694" i="8"/>
  <c r="T867" i="8"/>
  <c r="T475" i="8"/>
  <c r="T226" i="8"/>
  <c r="T904" i="8"/>
  <c r="T714" i="8"/>
  <c r="T238" i="8"/>
  <c r="T906" i="8"/>
  <c r="T716" i="8"/>
  <c r="T274" i="8"/>
  <c r="T908" i="8"/>
  <c r="T728" i="8"/>
  <c r="T286" i="8"/>
  <c r="T916" i="8"/>
  <c r="T730" i="8"/>
  <c r="T334" i="8"/>
  <c r="T920" i="8"/>
  <c r="T903" i="8"/>
  <c r="T567" i="8"/>
  <c r="T110" i="8"/>
  <c r="T201" i="8"/>
  <c r="T85" i="8"/>
  <c r="T516" i="8"/>
  <c r="T227" i="8"/>
  <c r="T846" i="8"/>
  <c r="T215" i="8"/>
  <c r="T963" i="8"/>
  <c r="T869" i="8"/>
  <c r="K7" i="9"/>
  <c r="K6" i="9"/>
  <c r="I7" i="9"/>
  <c r="R3" i="8"/>
  <c r="T495" i="8"/>
  <c r="T430" i="8"/>
  <c r="T733" i="8"/>
  <c r="T844" i="8"/>
  <c r="T137" i="8"/>
  <c r="T767" i="8"/>
  <c r="T623" i="8"/>
  <c r="T479" i="8"/>
  <c r="T335" i="8"/>
  <c r="T184" i="8"/>
  <c r="T118" i="8"/>
  <c r="T186" i="8"/>
  <c r="T42" i="8"/>
  <c r="T111" i="8"/>
  <c r="T170" i="8"/>
  <c r="T26" i="8"/>
  <c r="T962" i="8"/>
  <c r="T747" i="8"/>
  <c r="T101" i="8"/>
  <c r="T743" i="8"/>
  <c r="T599" i="8"/>
  <c r="T455" i="8"/>
  <c r="T311" i="8"/>
  <c r="T152" i="8"/>
  <c r="T94" i="8"/>
  <c r="T162" i="8"/>
  <c r="T18" i="8"/>
  <c r="T87" i="8"/>
  <c r="T146" i="8"/>
  <c r="T17" i="8"/>
  <c r="T943" i="8"/>
  <c r="T702" i="8"/>
  <c r="T83" i="8"/>
  <c r="T731" i="8"/>
  <c r="T587" i="8"/>
  <c r="T443" i="8"/>
  <c r="T299" i="8"/>
  <c r="T136" i="8"/>
  <c r="T82" i="8"/>
  <c r="T150" i="8"/>
  <c r="T3" i="8"/>
  <c r="T75" i="8"/>
  <c r="T134" i="8"/>
  <c r="T5" i="8"/>
  <c r="T502" i="8"/>
  <c r="I6" i="9"/>
  <c r="R4" i="8" s="1"/>
  <c r="G7" i="17" l="1"/>
  <c r="K5" i="17" s="1"/>
  <c r="K8" i="17"/>
  <c r="K9" i="17"/>
  <c r="K21" i="17"/>
  <c r="K33" i="17"/>
  <c r="K45" i="17"/>
  <c r="K10" i="17"/>
  <c r="K22" i="17"/>
  <c r="K34" i="17"/>
  <c r="K11" i="17"/>
  <c r="K23" i="17"/>
  <c r="K12" i="17"/>
  <c r="K24" i="17"/>
  <c r="K36" i="17"/>
  <c r="K48" i="17"/>
  <c r="K29" i="17"/>
  <c r="K13" i="17"/>
  <c r="K25" i="17"/>
  <c r="K37" i="17"/>
  <c r="K14" i="17"/>
  <c r="K26" i="17"/>
  <c r="K27" i="17"/>
  <c r="K39" i="17"/>
  <c r="K16" i="17"/>
  <c r="K28" i="17"/>
  <c r="K40" i="17"/>
  <c r="K17" i="17"/>
  <c r="K4" i="17"/>
  <c r="L5" i="17"/>
  <c r="L29" i="17"/>
  <c r="L6" i="17"/>
  <c r="L30" i="17"/>
  <c r="L42" i="17"/>
  <c r="L7" i="17"/>
  <c r="L19" i="17"/>
  <c r="L31" i="17"/>
  <c r="L43" i="17"/>
  <c r="L8" i="17"/>
  <c r="L20" i="17"/>
  <c r="L4" i="17"/>
  <c r="L9" i="17"/>
  <c r="L33" i="17"/>
  <c r="L45" i="17"/>
  <c r="L10" i="17"/>
  <c r="L22" i="17"/>
  <c r="L34" i="17"/>
  <c r="L46" i="17"/>
  <c r="L11" i="17"/>
  <c r="L23" i="17"/>
  <c r="L47" i="17"/>
  <c r="L12" i="17"/>
  <c r="L24" i="17"/>
  <c r="L36" i="17"/>
  <c r="L13" i="17"/>
  <c r="L25" i="17"/>
  <c r="L37" i="17"/>
  <c r="L14" i="17"/>
  <c r="L26" i="17"/>
  <c r="L38" i="17"/>
  <c r="L15" i="17"/>
  <c r="L39" i="17"/>
  <c r="L16" i="17"/>
  <c r="L28" i="17"/>
  <c r="L40" i="17"/>
  <c r="T138" i="8"/>
  <c r="T857" i="8"/>
  <c r="T577" i="8"/>
  <c r="T453" i="8"/>
  <c r="T156" i="8"/>
  <c r="T171" i="8"/>
  <c r="T990" i="8"/>
  <c r="T197" i="8"/>
  <c r="T523" i="8"/>
  <c r="T314" i="8"/>
  <c r="T194" i="8"/>
  <c r="T591" i="8"/>
  <c r="T247" i="8"/>
  <c r="T738" i="8"/>
  <c r="T28" i="8"/>
  <c r="T891" i="8"/>
  <c r="T465" i="8"/>
  <c r="T76" i="8"/>
  <c r="T155" i="8"/>
  <c r="T267" i="8"/>
  <c r="T571" i="8"/>
  <c r="T57" i="8"/>
  <c r="T651" i="8"/>
  <c r="T174" i="8"/>
  <c r="T115" i="8"/>
  <c r="T984" i="8"/>
  <c r="T558" i="8"/>
  <c r="T373" i="8"/>
  <c r="T780" i="8"/>
  <c r="T179" i="8"/>
  <c r="T402" i="8"/>
  <c r="T791" i="8"/>
  <c r="T173" i="8"/>
  <c r="T183" i="8"/>
  <c r="T680" i="8"/>
  <c r="T840" i="8"/>
  <c r="T414" i="8"/>
  <c r="T229" i="8"/>
  <c r="T779" i="8"/>
  <c r="T517" i="8"/>
  <c r="T73" i="8"/>
  <c r="T499" i="8"/>
  <c r="T206" i="8"/>
  <c r="T881" i="8"/>
  <c r="T656" i="8"/>
  <c r="T437" i="8"/>
  <c r="T31" i="8"/>
  <c r="T645" i="8"/>
  <c r="T774" i="8"/>
  <c r="T672" i="8"/>
  <c r="T955" i="8"/>
  <c r="T172" i="8"/>
  <c r="T554" i="8"/>
  <c r="T43" i="8"/>
  <c r="T935" i="8"/>
  <c r="T293" i="8"/>
  <c r="T540" i="8"/>
  <c r="T868" i="8"/>
  <c r="T538" i="8"/>
  <c r="T635" i="8"/>
  <c r="T187" i="8"/>
  <c r="T124" i="8"/>
  <c r="T931" i="8"/>
  <c r="T511" i="8"/>
  <c r="T627" i="8"/>
  <c r="T304" i="8"/>
  <c r="T838" i="8"/>
  <c r="T381" i="8"/>
  <c r="T104" i="8"/>
  <c r="T309" i="8"/>
  <c r="T142" i="8"/>
  <c r="T914" i="8"/>
  <c r="T132" i="8"/>
  <c r="T804" i="8"/>
  <c r="T535" i="8"/>
  <c r="T141" i="8"/>
  <c r="T865" i="8"/>
  <c r="T722" i="8"/>
  <c r="T887" i="8"/>
  <c r="T77" i="8"/>
  <c r="T734" i="8"/>
  <c r="T553" i="8"/>
  <c r="T985" i="8"/>
  <c r="T375" i="8"/>
  <c r="T862" i="8"/>
  <c r="T590" i="8"/>
  <c r="T534" i="8"/>
  <c r="T366" i="8"/>
  <c r="T245" i="8"/>
  <c r="T760" i="8"/>
  <c r="T798" i="8"/>
  <c r="T361" i="8"/>
  <c r="T372" i="8"/>
  <c r="T202" i="8"/>
  <c r="T37" i="8"/>
  <c r="T575" i="8"/>
  <c r="T268" i="8"/>
  <c r="T429" i="8"/>
  <c r="T557" i="8"/>
  <c r="T529" i="8"/>
  <c r="T349" i="8"/>
  <c r="T510" i="8"/>
  <c r="T584" i="8"/>
  <c r="T41" i="8"/>
  <c r="T810" i="8"/>
  <c r="T346" i="8"/>
  <c r="T677" i="8"/>
  <c r="T337" i="8"/>
  <c r="T217" i="8"/>
  <c r="T410" i="8"/>
  <c r="T114" i="8"/>
  <c r="T121" i="8"/>
  <c r="T841" i="8"/>
  <c r="T824" i="8"/>
  <c r="T795" i="8"/>
  <c r="T487" i="8"/>
  <c r="T573" i="8"/>
  <c r="T258" i="8"/>
  <c r="T11" i="8"/>
  <c r="T929" i="8"/>
  <c r="T501" i="8"/>
  <c r="T763" i="8"/>
  <c r="T533" i="8"/>
  <c r="T966" i="8"/>
  <c r="T944" i="8"/>
  <c r="T942" i="8"/>
  <c r="T23" i="8"/>
  <c r="T290" i="8"/>
  <c r="T751" i="8"/>
  <c r="T765" i="8"/>
  <c r="T749" i="8"/>
  <c r="T994" i="8"/>
  <c r="T727" i="8"/>
  <c r="T404" i="8"/>
  <c r="T960" i="8"/>
  <c r="T923" i="8"/>
  <c r="T108" i="8"/>
  <c r="T528" i="8"/>
  <c r="T504" i="8"/>
  <c r="T20" i="8"/>
  <c r="T787" i="8"/>
  <c r="T879" i="8"/>
  <c r="T933" i="8"/>
  <c r="T982" i="8"/>
  <c r="T358" i="8"/>
  <c r="T911" i="8"/>
  <c r="T592" i="8"/>
  <c r="T240" i="8"/>
  <c r="T574" i="8"/>
  <c r="T291" i="8"/>
  <c r="T543" i="8"/>
  <c r="T298" i="8"/>
  <c r="T235" i="8"/>
  <c r="T921" i="8"/>
  <c r="T149" i="8"/>
  <c r="T56" i="8"/>
  <c r="T448" i="8"/>
  <c r="T815" i="8"/>
  <c r="T547" i="8"/>
  <c r="T953" i="8"/>
  <c r="T822" i="8"/>
  <c r="T355" i="8"/>
  <c r="T578" i="8"/>
  <c r="T566" i="8"/>
  <c r="T970" i="8"/>
  <c r="T91" i="8"/>
  <c r="T428" i="8"/>
  <c r="T835" i="8"/>
  <c r="T580" i="8"/>
  <c r="T70" i="8"/>
  <c r="T522" i="8"/>
  <c r="T105" i="8"/>
  <c r="T390" i="8"/>
  <c r="T158" i="8"/>
  <c r="T389" i="8"/>
  <c r="T803" i="8"/>
  <c r="T246" i="8"/>
  <c r="T977" i="8"/>
  <c r="T490" i="8"/>
  <c r="T469" i="8"/>
  <c r="T60" i="8"/>
  <c r="T909" i="8"/>
  <c r="T890" i="8"/>
  <c r="T850" i="8"/>
  <c r="T975" i="8"/>
  <c r="T279" i="8"/>
  <c r="T781" i="8"/>
  <c r="T545" i="8"/>
  <c r="T228" i="8"/>
  <c r="T413" i="8"/>
  <c r="T938" i="8"/>
  <c r="T412" i="8"/>
  <c r="T986" i="8"/>
  <c r="T269" i="8"/>
  <c r="T793" i="8"/>
  <c r="T391" i="8"/>
  <c r="T766" i="8"/>
  <c r="T401" i="8"/>
  <c r="T211" i="8"/>
  <c r="T505" i="8"/>
  <c r="T784" i="8"/>
  <c r="T696" i="8"/>
  <c r="T13" i="8"/>
  <c r="T685" i="8"/>
  <c r="T775" i="8"/>
  <c r="T357" i="8"/>
  <c r="T259" i="8"/>
  <c r="T316" i="8"/>
  <c r="T684" i="8"/>
  <c r="T6" i="8"/>
  <c r="T992" i="8"/>
  <c r="T24" i="8"/>
  <c r="T771" i="8"/>
  <c r="T546" i="8"/>
  <c r="T303" i="8"/>
  <c r="T384" i="8"/>
  <c r="T166" i="8"/>
  <c r="T525" i="8"/>
  <c r="T278" i="8"/>
  <c r="T808" i="8"/>
  <c r="T568" i="8"/>
  <c r="T919" i="8"/>
  <c r="T436" i="8"/>
  <c r="T394" i="8"/>
  <c r="T698" i="8"/>
  <c r="T549" i="8"/>
  <c r="T292" i="8"/>
  <c r="T741" i="8"/>
  <c r="T213" i="8"/>
  <c r="T196" i="8"/>
  <c r="T710" i="8"/>
  <c r="T222" i="8"/>
  <c r="T471" i="8"/>
  <c r="T40" i="8"/>
  <c r="T360" i="8"/>
  <c r="T113" i="8"/>
  <c r="T216" i="8"/>
  <c r="T726" i="8"/>
  <c r="T122" i="8"/>
  <c r="T742" i="8"/>
  <c r="T611" i="8"/>
  <c r="T378" i="8"/>
  <c r="T223" i="8"/>
  <c r="T723" i="8"/>
  <c r="T761" i="8"/>
  <c r="T434" i="8"/>
  <c r="T833" i="8"/>
  <c r="T125" i="8"/>
  <c r="T586" i="8"/>
  <c r="T212" i="8"/>
  <c r="T282" i="8"/>
  <c r="T758" i="8"/>
  <c r="T29" i="8"/>
  <c r="T820" i="8"/>
  <c r="T883" i="8"/>
  <c r="T562" i="8"/>
  <c r="T148" i="8"/>
  <c r="T270" i="8"/>
  <c r="T746" i="8"/>
  <c r="T10" i="8"/>
  <c r="T980" i="8"/>
  <c r="T597" i="8"/>
  <c r="T877" i="8"/>
  <c r="T689" i="8"/>
  <c r="T569" i="8"/>
  <c r="T446" i="8"/>
  <c r="T419" i="8"/>
  <c r="T826" i="8"/>
  <c r="T816" i="8"/>
  <c r="T899" i="8"/>
  <c r="T902" i="8"/>
  <c r="T102" i="8"/>
  <c r="T759" i="8"/>
  <c r="T135" i="8"/>
  <c r="T657" i="8"/>
  <c r="T797" i="8"/>
  <c r="T514" i="8"/>
  <c r="T997" i="8"/>
  <c r="T424" i="8"/>
  <c r="T234" i="8"/>
  <c r="T556" i="8"/>
  <c r="T927" i="8"/>
  <c r="T792" i="8"/>
  <c r="T968" i="8"/>
  <c r="T422" i="8"/>
  <c r="T350" i="8"/>
  <c r="T287" i="8"/>
  <c r="T572" i="8"/>
  <c r="T750" i="8"/>
  <c r="T913" i="8"/>
  <c r="T737" i="8"/>
  <c r="T605" i="8"/>
  <c r="T482" i="8"/>
  <c r="T491" i="8"/>
  <c r="T809" i="8"/>
  <c r="T248" i="8"/>
  <c r="T224" i="8"/>
  <c r="T886" i="8"/>
  <c r="T109" i="8"/>
  <c r="T614" i="8"/>
  <c r="T659" i="8"/>
  <c r="T180" i="8"/>
  <c r="T59" i="8"/>
  <c r="T164" i="8"/>
  <c r="T874" i="8"/>
  <c r="T92" i="8"/>
  <c r="T602" i="8"/>
  <c r="T647" i="8"/>
  <c r="T644" i="8"/>
  <c r="T848" i="8"/>
  <c r="T709" i="8"/>
  <c r="T411" i="8"/>
  <c r="T425" i="8"/>
  <c r="T302" i="8"/>
  <c r="T239" i="8"/>
  <c r="T654" i="8"/>
  <c r="T753" i="8"/>
  <c r="T21" i="8"/>
  <c r="T853" i="8"/>
  <c r="T948" i="8"/>
  <c r="T692" i="8"/>
  <c r="T447" i="8"/>
  <c r="T560" i="8"/>
  <c r="T72" i="8"/>
  <c r="T417" i="8"/>
  <c r="T106" i="8"/>
  <c r="T964" i="8"/>
  <c r="T257" i="8"/>
  <c r="T147" i="8"/>
  <c r="T712" i="8"/>
  <c r="T407" i="8"/>
  <c r="T519" i="8"/>
  <c r="T660" i="8"/>
  <c r="T715" i="8"/>
  <c r="T901" i="8"/>
  <c r="T721" i="8"/>
  <c r="T593" i="8"/>
  <c r="T470" i="8"/>
  <c r="T467" i="8"/>
  <c r="T895" i="8"/>
  <c r="T668" i="8"/>
  <c r="T889" i="8"/>
  <c r="T704" i="8"/>
  <c r="T581" i="8"/>
  <c r="T458" i="8"/>
  <c r="T431" i="8"/>
  <c r="T940" i="8"/>
  <c r="T988" i="8"/>
  <c r="T441" i="8"/>
  <c r="T945" i="8"/>
  <c r="T281" i="8"/>
  <c r="T140" i="8"/>
  <c r="T130" i="8"/>
  <c r="T55" i="8"/>
  <c r="T673" i="8"/>
  <c r="T368" i="8"/>
  <c r="T801" i="8"/>
  <c r="T648" i="8"/>
  <c r="T608" i="8"/>
  <c r="T107" i="8"/>
  <c r="T463" i="8"/>
  <c r="T445" i="8"/>
  <c r="T261" i="8"/>
  <c r="T936" i="8"/>
  <c r="T477" i="8"/>
  <c r="T280" i="8"/>
  <c r="T2" i="8"/>
  <c r="T466" i="8"/>
  <c r="T951" i="8"/>
  <c r="T493" i="8"/>
  <c r="R5" i="8"/>
  <c r="U141" i="8"/>
  <c r="U382" i="8"/>
  <c r="U693" i="8"/>
  <c r="U954" i="8"/>
  <c r="U522" i="8"/>
  <c r="U793" i="8"/>
  <c r="U982" i="8"/>
  <c r="U526" i="8"/>
  <c r="U824" i="8"/>
  <c r="U525" i="8"/>
  <c r="U796" i="8"/>
  <c r="U983" i="8"/>
  <c r="U564" i="8"/>
  <c r="U827" i="8"/>
  <c r="U265" i="8"/>
  <c r="U569" i="8"/>
  <c r="U828" i="8"/>
  <c r="U269" i="8"/>
  <c r="U655" i="8"/>
  <c r="U858" i="8"/>
  <c r="U323" i="8"/>
  <c r="U656" i="8"/>
  <c r="U859" i="8"/>
  <c r="U325" i="8"/>
  <c r="U684" i="8"/>
  <c r="U925" i="8"/>
  <c r="U381" i="8"/>
  <c r="U685" i="8"/>
  <c r="U929" i="8"/>
  <c r="U481" i="8"/>
  <c r="U721" i="8"/>
  <c r="U955" i="8"/>
  <c r="U484" i="8"/>
  <c r="U724" i="8"/>
  <c r="U957" i="8"/>
  <c r="U478" i="8"/>
  <c r="U75" i="8"/>
  <c r="U219" i="8"/>
  <c r="U363" i="8"/>
  <c r="U507" i="8"/>
  <c r="U651" i="8"/>
  <c r="U795" i="8"/>
  <c r="U939" i="8"/>
  <c r="U10" i="8"/>
  <c r="U132" i="8"/>
  <c r="U14" i="8"/>
  <c r="U158" i="8"/>
  <c r="U302" i="8"/>
  <c r="U446" i="8"/>
  <c r="U590" i="8"/>
  <c r="U734" i="8"/>
  <c r="U878" i="8"/>
  <c r="U31" i="8"/>
  <c r="U223" i="8"/>
  <c r="U400" i="8"/>
  <c r="U572" i="8"/>
  <c r="U744" i="8"/>
  <c r="U918" i="8"/>
  <c r="U113" i="8"/>
  <c r="U299" i="8"/>
  <c r="U473" i="8"/>
  <c r="U645" i="8"/>
  <c r="U817" i="8"/>
  <c r="U991" i="8"/>
  <c r="U193" i="8"/>
  <c r="U372" i="8"/>
  <c r="U546" i="8"/>
  <c r="U718" i="8"/>
  <c r="U892" i="8"/>
  <c r="U82" i="8"/>
  <c r="U273" i="8"/>
  <c r="U445" i="8"/>
  <c r="U619" i="8"/>
  <c r="U791" i="8"/>
  <c r="U965" i="8"/>
  <c r="U164" i="8"/>
  <c r="U346" i="8"/>
  <c r="U520" i="8"/>
  <c r="U692" i="8"/>
  <c r="U864" i="8"/>
  <c r="U54" i="8"/>
  <c r="U246" i="8"/>
  <c r="U419" i="8"/>
  <c r="U593" i="8"/>
  <c r="U136" i="8"/>
  <c r="U320" i="8"/>
  <c r="U89" i="8"/>
  <c r="U277" i="8"/>
  <c r="U451" i="8"/>
  <c r="U623" i="8"/>
  <c r="U797" i="8"/>
  <c r="U90" i="8"/>
  <c r="U280" i="8"/>
  <c r="U452" i="8"/>
  <c r="U624" i="8"/>
  <c r="U798" i="8"/>
  <c r="U970" i="8"/>
  <c r="U527" i="8"/>
  <c r="U958" i="8"/>
  <c r="U580" i="8"/>
  <c r="U989" i="8"/>
  <c r="U625" i="8"/>
  <c r="U43" i="8"/>
  <c r="U669" i="8"/>
  <c r="U107" i="8"/>
  <c r="U707" i="8"/>
  <c r="U757" i="8"/>
  <c r="U111" i="8"/>
  <c r="U255" i="8"/>
  <c r="U399" i="8"/>
  <c r="U543" i="8"/>
  <c r="U687" i="8"/>
  <c r="U831" i="8"/>
  <c r="U975" i="8"/>
  <c r="U24" i="8"/>
  <c r="U168" i="8"/>
  <c r="U50" i="8"/>
  <c r="U194" i="8"/>
  <c r="U338" i="8"/>
  <c r="U482" i="8"/>
  <c r="U626" i="8"/>
  <c r="U770" i="8"/>
  <c r="U914" i="8"/>
  <c r="U79" i="8"/>
  <c r="U270" i="8"/>
  <c r="U442" i="8"/>
  <c r="U616" i="8"/>
  <c r="U788" i="8"/>
  <c r="U960" i="8"/>
  <c r="U161" i="8"/>
  <c r="U343" i="8"/>
  <c r="U515" i="8"/>
  <c r="U689" i="8"/>
  <c r="U861" i="8"/>
  <c r="U49" i="8"/>
  <c r="U241" i="8"/>
  <c r="U416" i="8"/>
  <c r="U588" i="8"/>
  <c r="U762" i="8"/>
  <c r="U934" i="8"/>
  <c r="U130" i="8"/>
  <c r="U317" i="8"/>
  <c r="U489" i="8"/>
  <c r="U661" i="8"/>
  <c r="U835" i="8"/>
  <c r="U20" i="8"/>
  <c r="U212" i="8"/>
  <c r="U390" i="8"/>
  <c r="U562" i="8"/>
  <c r="U736" i="8"/>
  <c r="U908" i="8"/>
  <c r="U102" i="8"/>
  <c r="U289" i="8"/>
  <c r="U463" i="8"/>
  <c r="U635" i="8"/>
  <c r="U184" i="8"/>
  <c r="U364" i="8"/>
  <c r="U137" i="8"/>
  <c r="U321" i="8"/>
  <c r="U493" i="8"/>
  <c r="U667" i="8"/>
  <c r="U839" i="8"/>
  <c r="U138" i="8"/>
  <c r="U322" i="8"/>
  <c r="U496" i="8"/>
  <c r="U668" i="8"/>
  <c r="U840" i="8"/>
  <c r="U28" i="8"/>
  <c r="U657" i="8"/>
  <c r="U92" i="8"/>
  <c r="U697" i="8"/>
  <c r="U157" i="8"/>
  <c r="U737" i="8"/>
  <c r="U235" i="8"/>
  <c r="U772" i="8"/>
  <c r="U296" i="8"/>
  <c r="U810" i="8"/>
  <c r="U205" i="8"/>
  <c r="U27" i="8"/>
  <c r="U171" i="8"/>
  <c r="U315" i="8"/>
  <c r="U459" i="8"/>
  <c r="U603" i="8"/>
  <c r="U747" i="8"/>
  <c r="U891" i="8"/>
  <c r="U6" i="8"/>
  <c r="U84" i="8"/>
  <c r="U228" i="8"/>
  <c r="U110" i="8"/>
  <c r="U254" i="8"/>
  <c r="U398" i="8"/>
  <c r="U542" i="8"/>
  <c r="U686" i="8"/>
  <c r="U830" i="8"/>
  <c r="U974" i="8"/>
  <c r="U160" i="8"/>
  <c r="U342" i="8"/>
  <c r="U514" i="8"/>
  <c r="U688" i="8"/>
  <c r="U860" i="8"/>
  <c r="U47" i="8"/>
  <c r="U239" i="8"/>
  <c r="U415" i="8"/>
  <c r="U587" i="8"/>
  <c r="U761" i="8"/>
  <c r="U933" i="8"/>
  <c r="U129" i="8"/>
  <c r="U316" i="8"/>
  <c r="U488" i="8"/>
  <c r="U660" i="8"/>
  <c r="U834" i="8"/>
  <c r="U19" i="8"/>
  <c r="U211" i="8"/>
  <c r="U389" i="8"/>
  <c r="U561" i="8"/>
  <c r="U733" i="8"/>
  <c r="U907" i="8"/>
  <c r="U101" i="8"/>
  <c r="U288" i="8"/>
  <c r="U462" i="8"/>
  <c r="U634" i="8"/>
  <c r="U808" i="8"/>
  <c r="U980" i="8"/>
  <c r="U181" i="8"/>
  <c r="U361" i="8"/>
  <c r="U535" i="8"/>
  <c r="U70" i="8"/>
  <c r="U262" i="8"/>
  <c r="U23" i="8"/>
  <c r="U215" i="8"/>
  <c r="U393" i="8"/>
  <c r="U565" i="8"/>
  <c r="U739" i="8"/>
  <c r="U25" i="8"/>
  <c r="U217" i="8"/>
  <c r="U394" i="8"/>
  <c r="U568" i="8"/>
  <c r="U740" i="8"/>
  <c r="U912" i="8"/>
  <c r="U337" i="8"/>
  <c r="U829" i="8"/>
  <c r="U396" i="8"/>
  <c r="U871" i="8"/>
  <c r="U453" i="8"/>
  <c r="U909" i="8"/>
  <c r="U498" i="8"/>
  <c r="U940" i="8"/>
  <c r="U541" i="8"/>
  <c r="U969" i="8"/>
  <c r="U594" i="8"/>
  <c r="U1001" i="8"/>
  <c r="U899" i="8"/>
  <c r="U147" i="8"/>
  <c r="U339" i="8"/>
  <c r="U531" i="8"/>
  <c r="U723" i="8"/>
  <c r="U915" i="8"/>
  <c r="U12" i="8"/>
  <c r="U204" i="8"/>
  <c r="U134" i="8"/>
  <c r="U326" i="8"/>
  <c r="U518" i="8"/>
  <c r="U710" i="8"/>
  <c r="U902" i="8"/>
  <c r="U127" i="8"/>
  <c r="U370" i="8"/>
  <c r="U600" i="8"/>
  <c r="U832" i="8"/>
  <c r="U80" i="8"/>
  <c r="U329" i="8"/>
  <c r="U559" i="8"/>
  <c r="U789" i="8"/>
  <c r="U33" i="8"/>
  <c r="U286" i="8"/>
  <c r="U516" i="8"/>
  <c r="U748" i="8"/>
  <c r="U978" i="8"/>
  <c r="U244" i="8"/>
  <c r="U475" i="8"/>
  <c r="U705" i="8"/>
  <c r="U935" i="8"/>
  <c r="U197" i="8"/>
  <c r="U432" i="8"/>
  <c r="U664" i="8"/>
  <c r="U894" i="8"/>
  <c r="U150" i="8"/>
  <c r="U391" i="8"/>
  <c r="U621" i="8"/>
  <c r="U232" i="8"/>
  <c r="U56" i="8"/>
  <c r="U307" i="8"/>
  <c r="U537" i="8"/>
  <c r="U767" i="8"/>
  <c r="U121" i="8"/>
  <c r="U366" i="8"/>
  <c r="U596" i="8"/>
  <c r="U826" i="8"/>
  <c r="U220" i="8"/>
  <c r="U900" i="8"/>
  <c r="U665" i="8"/>
  <c r="U341" i="8"/>
  <c r="U967" i="8"/>
  <c r="U738" i="8"/>
  <c r="U455" i="8"/>
  <c r="U45" i="8"/>
  <c r="U708" i="8"/>
  <c r="U250" i="8"/>
  <c r="U780" i="8"/>
  <c r="U310" i="8"/>
  <c r="U815" i="8"/>
  <c r="U427" i="8"/>
  <c r="U887" i="8"/>
  <c r="U439" i="8"/>
  <c r="U76" i="8"/>
  <c r="U440" i="8"/>
  <c r="U183" i="8"/>
  <c r="U759" i="8"/>
  <c r="U48" i="8"/>
  <c r="U170" i="8"/>
  <c r="U554" i="8"/>
  <c r="U938" i="8"/>
  <c r="U414" i="8"/>
  <c r="U874" i="8"/>
  <c r="U601" i="8"/>
  <c r="U81" i="8"/>
  <c r="U560" i="8"/>
  <c r="U287" i="8"/>
  <c r="U749" i="8"/>
  <c r="U245" i="8"/>
  <c r="U706" i="8"/>
  <c r="U198" i="8"/>
  <c r="U22" i="8"/>
  <c r="U349" i="8"/>
  <c r="U811" i="8"/>
  <c r="U169" i="8"/>
  <c r="U640" i="8"/>
  <c r="U612" i="8"/>
  <c r="U159" i="8"/>
  <c r="U351" i="8"/>
  <c r="U555" i="8"/>
  <c r="U735" i="8"/>
  <c r="U927" i="8"/>
  <c r="U36" i="8"/>
  <c r="U216" i="8"/>
  <c r="U146" i="8"/>
  <c r="U350" i="8"/>
  <c r="U530" i="8"/>
  <c r="U722" i="8"/>
  <c r="U926" i="8"/>
  <c r="U142" i="8"/>
  <c r="U384" i="8"/>
  <c r="U630" i="8"/>
  <c r="U846" i="8"/>
  <c r="U95" i="8"/>
  <c r="U357" i="8"/>
  <c r="U573" i="8"/>
  <c r="U803" i="8"/>
  <c r="U66" i="8"/>
  <c r="U300" i="8"/>
  <c r="U532" i="8"/>
  <c r="U776" i="8"/>
  <c r="U992" i="8"/>
  <c r="U259" i="8"/>
  <c r="U503" i="8"/>
  <c r="U719" i="8"/>
  <c r="U949" i="8"/>
  <c r="U227" i="8"/>
  <c r="U448" i="8"/>
  <c r="U678" i="8"/>
  <c r="U922" i="8"/>
  <c r="U165" i="8"/>
  <c r="U405" i="8"/>
  <c r="U649" i="8"/>
  <c r="U247" i="8"/>
  <c r="U71" i="8"/>
  <c r="U335" i="8"/>
  <c r="U551" i="8"/>
  <c r="U781" i="8"/>
  <c r="U153" i="8"/>
  <c r="U380" i="8"/>
  <c r="U610" i="8"/>
  <c r="U856" i="8"/>
  <c r="U281" i="8"/>
  <c r="U930" i="8"/>
  <c r="U729" i="8"/>
  <c r="U397" i="8"/>
  <c r="U995" i="8"/>
  <c r="U809" i="8"/>
  <c r="U499" i="8"/>
  <c r="U109" i="8"/>
  <c r="U742" i="8"/>
  <c r="U309" i="8"/>
  <c r="U814" i="8"/>
  <c r="U368" i="8"/>
  <c r="U852" i="8"/>
  <c r="U469" i="8"/>
  <c r="U923" i="8"/>
  <c r="U139" i="8"/>
  <c r="U375" i="8"/>
  <c r="U567" i="8"/>
  <c r="U951" i="8"/>
  <c r="U240" i="8"/>
  <c r="U746" i="8"/>
  <c r="U175" i="8"/>
  <c r="U644" i="8"/>
  <c r="U128" i="8"/>
  <c r="U371" i="8"/>
  <c r="U833" i="8"/>
  <c r="U330" i="8"/>
  <c r="U34" i="8"/>
  <c r="U517" i="8"/>
  <c r="U979" i="8"/>
  <c r="U476" i="8"/>
  <c r="U936" i="8"/>
  <c r="U433" i="8"/>
  <c r="U276" i="8"/>
  <c r="U581" i="8"/>
  <c r="U408" i="8"/>
  <c r="U870" i="8"/>
  <c r="U362" i="8"/>
  <c r="U790" i="8"/>
  <c r="U3" i="8"/>
  <c r="U195" i="8"/>
  <c r="U387" i="8"/>
  <c r="U579" i="8"/>
  <c r="U771" i="8"/>
  <c r="U963" i="8"/>
  <c r="U60" i="8"/>
  <c r="U252" i="8"/>
  <c r="U182" i="8"/>
  <c r="U374" i="8"/>
  <c r="U566" i="8"/>
  <c r="U758" i="8"/>
  <c r="U950" i="8"/>
  <c r="U190" i="8"/>
  <c r="U428" i="8"/>
  <c r="U658" i="8"/>
  <c r="U888" i="8"/>
  <c r="U143" i="8"/>
  <c r="U385" i="8"/>
  <c r="U617" i="8"/>
  <c r="U847" i="8"/>
  <c r="U97" i="8"/>
  <c r="U344" i="8"/>
  <c r="U574" i="8"/>
  <c r="U804" i="8"/>
  <c r="U52" i="8"/>
  <c r="U301" i="8"/>
  <c r="U533" i="8"/>
  <c r="U763" i="8"/>
  <c r="U993" i="8"/>
  <c r="U260" i="8"/>
  <c r="U490" i="8"/>
  <c r="U720" i="8"/>
  <c r="U952" i="8"/>
  <c r="U213" i="8"/>
  <c r="U449" i="8"/>
  <c r="U40" i="8"/>
  <c r="U292" i="8"/>
  <c r="U119" i="8"/>
  <c r="U365" i="8"/>
  <c r="U595" i="8"/>
  <c r="U825" i="8"/>
  <c r="U186" i="8"/>
  <c r="U424" i="8"/>
  <c r="U654" i="8"/>
  <c r="U884" i="8"/>
  <c r="U441" i="8"/>
  <c r="U29" i="8"/>
  <c r="U800" i="8"/>
  <c r="U539" i="8"/>
  <c r="U172" i="8"/>
  <c r="U873" i="8"/>
  <c r="U629" i="8"/>
  <c r="U237" i="8"/>
  <c r="U813" i="8"/>
  <c r="U425" i="8"/>
  <c r="U885" i="8"/>
  <c r="U468" i="8"/>
  <c r="U917" i="8"/>
  <c r="U557" i="8"/>
  <c r="U981" i="8"/>
  <c r="U755" i="8"/>
  <c r="U39" i="8"/>
  <c r="U231" i="8"/>
  <c r="U423" i="8"/>
  <c r="U615" i="8"/>
  <c r="U807" i="8"/>
  <c r="U999" i="8"/>
  <c r="U96" i="8"/>
  <c r="U26" i="8"/>
  <c r="U218" i="8"/>
  <c r="U410" i="8"/>
  <c r="U602" i="8"/>
  <c r="U794" i="8"/>
  <c r="U986" i="8"/>
  <c r="U238" i="8"/>
  <c r="U472" i="8"/>
  <c r="U702" i="8"/>
  <c r="U932" i="8"/>
  <c r="U191" i="8"/>
  <c r="U429" i="8"/>
  <c r="U659" i="8"/>
  <c r="U889" i="8"/>
  <c r="U145" i="8"/>
  <c r="U388" i="8"/>
  <c r="U618" i="8"/>
  <c r="U848" i="8"/>
  <c r="U100" i="8"/>
  <c r="U345" i="8"/>
  <c r="U575" i="8"/>
  <c r="U805" i="8"/>
  <c r="U53" i="8"/>
  <c r="U304" i="8"/>
  <c r="U534" i="8"/>
  <c r="U764" i="8"/>
  <c r="U994" i="8"/>
  <c r="U261" i="8"/>
  <c r="U491" i="8"/>
  <c r="U88" i="8"/>
  <c r="U63" i="8"/>
  <c r="U267" i="8"/>
  <c r="U447" i="8"/>
  <c r="U639" i="8"/>
  <c r="U843" i="8"/>
  <c r="U5" i="8"/>
  <c r="U120" i="8"/>
  <c r="U62" i="8"/>
  <c r="U242" i="8"/>
  <c r="U434" i="8"/>
  <c r="U638" i="8"/>
  <c r="U818" i="8"/>
  <c r="U16" i="8"/>
  <c r="U284" i="8"/>
  <c r="U500" i="8"/>
  <c r="U730" i="8"/>
  <c r="U976" i="8"/>
  <c r="U224" i="8"/>
  <c r="U457" i="8"/>
  <c r="U703" i="8"/>
  <c r="U919" i="8"/>
  <c r="U177" i="8"/>
  <c r="U430" i="8"/>
  <c r="U646" i="8"/>
  <c r="U876" i="8"/>
  <c r="U148" i="8"/>
  <c r="U373" i="8"/>
  <c r="U605" i="8"/>
  <c r="U849" i="8"/>
  <c r="U83" i="8"/>
  <c r="U332" i="8"/>
  <c r="U576" i="8"/>
  <c r="U792" i="8"/>
  <c r="U37" i="8"/>
  <c r="U305" i="8"/>
  <c r="U521" i="8"/>
  <c r="U118" i="8"/>
  <c r="U378" i="8"/>
  <c r="U787" i="8"/>
  <c r="U99" i="8"/>
  <c r="U291" i="8"/>
  <c r="U483" i="8"/>
  <c r="U675" i="8"/>
  <c r="U867" i="8"/>
  <c r="U8" i="8"/>
  <c r="U156" i="8"/>
  <c r="U86" i="8"/>
  <c r="U278" i="8"/>
  <c r="U470" i="8"/>
  <c r="U662" i="8"/>
  <c r="U854" i="8"/>
  <c r="U64" i="8"/>
  <c r="U312" i="8"/>
  <c r="U544" i="8"/>
  <c r="U774" i="8"/>
  <c r="U17" i="8"/>
  <c r="U271" i="8"/>
  <c r="U501" i="8"/>
  <c r="U731" i="8"/>
  <c r="U961" i="8"/>
  <c r="U225" i="8"/>
  <c r="U460" i="8"/>
  <c r="U690" i="8"/>
  <c r="U920" i="8"/>
  <c r="U178" i="8"/>
  <c r="U417" i="8"/>
  <c r="U647" i="8"/>
  <c r="U877" i="8"/>
  <c r="U131" i="8"/>
  <c r="U376" i="8"/>
  <c r="U606" i="8"/>
  <c r="U836" i="8"/>
  <c r="U85" i="8"/>
  <c r="U333" i="8"/>
  <c r="U563" i="8"/>
  <c r="U166" i="8"/>
  <c r="U406" i="8"/>
  <c r="U248" i="8"/>
  <c r="U479" i="8"/>
  <c r="U709" i="8"/>
  <c r="U57" i="8"/>
  <c r="U308" i="8"/>
  <c r="U538" i="8"/>
  <c r="U768" i="8"/>
  <c r="U1000" i="8"/>
  <c r="U765" i="8"/>
  <c r="U492" i="8"/>
  <c r="U93" i="8"/>
  <c r="U65" i="8"/>
  <c r="U812" i="8"/>
  <c r="U642" i="8"/>
  <c r="U51" i="8"/>
  <c r="U495" i="8"/>
  <c r="U987" i="8"/>
  <c r="U74" i="8"/>
  <c r="U506" i="8"/>
  <c r="U998" i="8"/>
  <c r="U558" i="8"/>
  <c r="U176" i="8"/>
  <c r="U717" i="8"/>
  <c r="U272" i="8"/>
  <c r="U862" i="8"/>
  <c r="U431" i="8"/>
  <c r="U35" i="8"/>
  <c r="U592" i="8"/>
  <c r="U133" i="8"/>
  <c r="U103" i="8"/>
  <c r="U167" i="8"/>
  <c r="U523" i="8"/>
  <c r="U42" i="8"/>
  <c r="U480" i="8"/>
  <c r="U898" i="8"/>
  <c r="U728" i="8"/>
  <c r="U837" i="8"/>
  <c r="U801" i="8"/>
  <c r="U701" i="8"/>
  <c r="U741" i="8"/>
  <c r="U508" i="8"/>
  <c r="U187" i="8"/>
  <c r="U944" i="8"/>
  <c r="U680" i="8"/>
  <c r="U369" i="8"/>
  <c r="U140" i="8"/>
  <c r="U865" i="8"/>
  <c r="U850" i="8"/>
  <c r="U283" i="8"/>
  <c r="U893" i="8"/>
  <c r="U87" i="8"/>
  <c r="U519" i="8"/>
  <c r="U4" i="8"/>
  <c r="U98" i="8"/>
  <c r="U578" i="8"/>
  <c r="U46" i="8"/>
  <c r="U586" i="8"/>
  <c r="U209" i="8"/>
  <c r="U745" i="8"/>
  <c r="U358" i="8"/>
  <c r="U906" i="8"/>
  <c r="U461" i="8"/>
  <c r="U68" i="8"/>
  <c r="U620" i="8"/>
  <c r="U229" i="8"/>
  <c r="U151" i="8"/>
  <c r="U185" i="8"/>
  <c r="U609" i="8"/>
  <c r="U73" i="8"/>
  <c r="U510" i="8"/>
  <c r="U928" i="8"/>
  <c r="U799" i="8"/>
  <c r="U901" i="8"/>
  <c r="U838" i="8"/>
  <c r="U841" i="8"/>
  <c r="U773" i="8"/>
  <c r="U550" i="8"/>
  <c r="U367" i="8"/>
  <c r="U972" i="8"/>
  <c r="U714" i="8"/>
  <c r="U513" i="8"/>
  <c r="U203" i="8"/>
  <c r="U727" i="8"/>
  <c r="U868" i="8"/>
  <c r="U872" i="8"/>
  <c r="U844" i="8"/>
  <c r="U636" i="8"/>
  <c r="U2" i="8"/>
  <c r="U751" i="8"/>
  <c r="U268" i="8"/>
  <c r="U570" i="8"/>
  <c r="U785" i="8"/>
  <c r="U383" i="8"/>
  <c r="U663" i="8"/>
  <c r="U674" i="8"/>
  <c r="U208" i="8"/>
  <c r="U313" i="8"/>
  <c r="U67" i="8"/>
  <c r="U778" i="8"/>
  <c r="U681" i="8"/>
  <c r="U155" i="8"/>
  <c r="U911" i="8"/>
  <c r="U683" i="8"/>
  <c r="U443" i="8"/>
  <c r="U264" i="8"/>
  <c r="U997" i="8"/>
  <c r="U210" i="8"/>
  <c r="U784" i="8"/>
  <c r="U953" i="8"/>
  <c r="U962" i="8"/>
  <c r="U117" i="8"/>
  <c r="U628" i="8"/>
  <c r="U123" i="8"/>
  <c r="U591" i="8"/>
  <c r="U7" i="8"/>
  <c r="U122" i="8"/>
  <c r="U614" i="8"/>
  <c r="U94" i="8"/>
  <c r="U672" i="8"/>
  <c r="U257" i="8"/>
  <c r="U775" i="8"/>
  <c r="U402" i="8"/>
  <c r="U948" i="8"/>
  <c r="U547" i="8"/>
  <c r="U116" i="8"/>
  <c r="U648" i="8"/>
  <c r="U275" i="8"/>
  <c r="U199" i="8"/>
  <c r="U200" i="8"/>
  <c r="U637" i="8"/>
  <c r="U105" i="8"/>
  <c r="U524" i="8"/>
  <c r="U942" i="8"/>
  <c r="U931" i="8"/>
  <c r="U910" i="8"/>
  <c r="U467" i="8"/>
  <c r="U599" i="8"/>
  <c r="U324" i="8"/>
  <c r="U905" i="8"/>
  <c r="U347" i="8"/>
  <c r="U234" i="8"/>
  <c r="U30" i="8"/>
  <c r="U553" i="8"/>
  <c r="U896" i="8"/>
  <c r="U279" i="8"/>
  <c r="U108" i="8"/>
  <c r="U816" i="8"/>
  <c r="U604" i="8"/>
  <c r="U477" i="8"/>
  <c r="U696" i="8"/>
  <c r="U173" i="8"/>
  <c r="U973" i="8"/>
  <c r="U611" i="8"/>
  <c r="U631" i="8"/>
  <c r="U622" i="8"/>
  <c r="U58" i="8"/>
  <c r="U15" i="8"/>
  <c r="U403" i="8"/>
  <c r="U694" i="8"/>
  <c r="U311" i="8"/>
  <c r="U135" i="8"/>
  <c r="U627" i="8"/>
  <c r="U9" i="8"/>
  <c r="U206" i="8"/>
  <c r="U650" i="8"/>
  <c r="U112" i="8"/>
  <c r="U716" i="8"/>
  <c r="U285" i="8"/>
  <c r="U875" i="8"/>
  <c r="U444" i="8"/>
  <c r="U964" i="8"/>
  <c r="U589" i="8"/>
  <c r="U149" i="8"/>
  <c r="U750" i="8"/>
  <c r="U319" i="8"/>
  <c r="U214" i="8"/>
  <c r="U233" i="8"/>
  <c r="U653" i="8"/>
  <c r="U201" i="8"/>
  <c r="U552" i="8"/>
  <c r="U956" i="8"/>
  <c r="U988" i="8"/>
  <c r="U959" i="8"/>
  <c r="U937" i="8"/>
  <c r="U968" i="8"/>
  <c r="U881" i="8"/>
  <c r="U671" i="8"/>
  <c r="U511" i="8"/>
  <c r="U59" i="8"/>
  <c r="U643" i="8"/>
  <c r="U230" i="8"/>
  <c r="U474" i="8"/>
  <c r="U179" i="8"/>
  <c r="U306" i="8"/>
  <c r="U582" i="8"/>
  <c r="U996" i="8"/>
  <c r="U125" i="8"/>
  <c r="U711" i="8"/>
  <c r="U298" i="8"/>
  <c r="U163" i="8"/>
  <c r="U379" i="8"/>
  <c r="U282" i="8"/>
  <c r="U251" i="8"/>
  <c r="U202" i="8"/>
  <c r="U732" i="8"/>
  <c r="U104" i="8"/>
  <c r="U585" i="8"/>
  <c r="U471" i="8"/>
  <c r="U921" i="8"/>
  <c r="U766" i="8"/>
  <c r="U207" i="8"/>
  <c r="U11" i="8"/>
  <c r="U760" i="8"/>
  <c r="U633" i="8"/>
  <c r="U263" i="8"/>
  <c r="U984" i="8"/>
  <c r="U106" i="8"/>
  <c r="U779" i="8"/>
  <c r="U886" i="8"/>
  <c r="U782" i="8"/>
  <c r="U691" i="8"/>
  <c r="U725" i="8"/>
  <c r="U353" i="8"/>
  <c r="U752" i="8"/>
  <c r="U32" i="8"/>
  <c r="U465" i="8"/>
  <c r="U598" i="8"/>
  <c r="U673" i="8"/>
  <c r="U897" i="8"/>
  <c r="U916" i="8"/>
  <c r="U243" i="8"/>
  <c r="U699" i="8"/>
  <c r="U72" i="8"/>
  <c r="U266" i="8"/>
  <c r="U698" i="8"/>
  <c r="U256" i="8"/>
  <c r="U802" i="8"/>
  <c r="U401" i="8"/>
  <c r="U947" i="8"/>
  <c r="U502" i="8"/>
  <c r="U115" i="8"/>
  <c r="U677" i="8"/>
  <c r="U274" i="8"/>
  <c r="U822" i="8"/>
  <c r="U377" i="8"/>
  <c r="U334" i="8"/>
  <c r="U293" i="8"/>
  <c r="U695" i="8"/>
  <c r="U249" i="8"/>
  <c r="U682" i="8"/>
  <c r="U91" i="8"/>
  <c r="U221" i="8"/>
  <c r="U222" i="8"/>
  <c r="U295" i="8"/>
  <c r="U44" i="8"/>
  <c r="U941" i="8"/>
  <c r="U845" i="8"/>
  <c r="U597" i="8"/>
  <c r="U188" i="8"/>
  <c r="U945" i="8"/>
  <c r="U715" i="8"/>
  <c r="U756" i="8"/>
  <c r="U290" i="8"/>
  <c r="U318" i="8"/>
  <c r="U348" i="8"/>
  <c r="U154" i="8"/>
  <c r="U641" i="8"/>
  <c r="U13" i="8"/>
  <c r="U504" i="8"/>
  <c r="U584" i="8"/>
  <c r="U851" i="8"/>
  <c r="U494" i="8"/>
  <c r="U509" i="8"/>
  <c r="U124" i="8"/>
  <c r="U977" i="8"/>
  <c r="U882" i="8"/>
  <c r="U607" i="8"/>
  <c r="U77" i="8"/>
  <c r="U303" i="8"/>
  <c r="U783" i="8"/>
  <c r="U144" i="8"/>
  <c r="U314" i="8"/>
  <c r="U806" i="8"/>
  <c r="U328" i="8"/>
  <c r="U904" i="8"/>
  <c r="U487" i="8"/>
  <c r="U18" i="8"/>
  <c r="U632" i="8"/>
  <c r="U196" i="8"/>
  <c r="U777" i="8"/>
  <c r="U360" i="8"/>
  <c r="U880" i="8"/>
  <c r="U505" i="8"/>
  <c r="U392" i="8"/>
  <c r="U407" i="8"/>
  <c r="U753" i="8"/>
  <c r="U294" i="8"/>
  <c r="U712" i="8"/>
  <c r="U395" i="8"/>
  <c r="U340" i="8"/>
  <c r="U497" i="8"/>
  <c r="U409" i="8"/>
  <c r="U236" i="8"/>
  <c r="U174" i="8"/>
  <c r="U913" i="8"/>
  <c r="U679" i="8"/>
  <c r="U426" i="8"/>
  <c r="U61" i="8"/>
  <c r="U786" i="8"/>
  <c r="U895" i="8"/>
  <c r="U676" i="8"/>
  <c r="U549" i="8"/>
  <c r="U421" i="8"/>
  <c r="U336" i="8"/>
  <c r="U485" i="8"/>
  <c r="U450" i="8"/>
  <c r="U454" i="8"/>
  <c r="U354" i="8"/>
  <c r="U943" i="8"/>
  <c r="U713" i="8"/>
  <c r="U512" i="8"/>
  <c r="U823" i="8"/>
  <c r="U608" i="8"/>
  <c r="U189" i="8"/>
  <c r="U435" i="8"/>
  <c r="U890" i="8"/>
  <c r="U69" i="8"/>
  <c r="U613" i="8"/>
  <c r="U253" i="8"/>
  <c r="U528" i="8"/>
  <c r="U55" i="8"/>
  <c r="U769" i="8"/>
  <c r="U924" i="8"/>
  <c r="U327" i="8"/>
  <c r="U819" i="8"/>
  <c r="U180" i="8"/>
  <c r="U386" i="8"/>
  <c r="U842" i="8"/>
  <c r="U356" i="8"/>
  <c r="U946" i="8"/>
  <c r="U529" i="8"/>
  <c r="U114" i="8"/>
  <c r="U226" i="8"/>
  <c r="U821" i="8"/>
  <c r="U404" i="8"/>
  <c r="U966" i="8"/>
  <c r="U420" i="8"/>
  <c r="U853" i="8"/>
  <c r="U726" i="8"/>
  <c r="U583" i="8"/>
  <c r="U297" i="8"/>
  <c r="U126" i="8"/>
  <c r="U857" i="8"/>
  <c r="U486" i="8"/>
  <c r="U438" i="8"/>
  <c r="U78" i="8"/>
  <c r="U38" i="8"/>
  <c r="U258" i="8"/>
  <c r="U152" i="8"/>
  <c r="U464" i="8"/>
  <c r="U652" i="8"/>
  <c r="U411" i="8"/>
  <c r="U855" i="8"/>
  <c r="U192" i="8"/>
  <c r="U422" i="8"/>
  <c r="U866" i="8"/>
  <c r="U456" i="8"/>
  <c r="U990" i="8"/>
  <c r="U545" i="8"/>
  <c r="U162" i="8"/>
  <c r="U704" i="8"/>
  <c r="U331" i="8"/>
  <c r="U863" i="8"/>
  <c r="U418" i="8"/>
  <c r="U21" i="8"/>
  <c r="U577" i="8"/>
  <c r="U41" i="8"/>
  <c r="U437" i="8"/>
  <c r="U869" i="8"/>
  <c r="U352" i="8"/>
  <c r="U754" i="8"/>
  <c r="U571" i="8"/>
  <c r="U536" i="8"/>
  <c r="U666" i="8"/>
  <c r="U540" i="8"/>
  <c r="U412" i="8"/>
  <c r="U355" i="8"/>
  <c r="U971" i="8"/>
  <c r="U743" i="8"/>
  <c r="U556" i="8"/>
  <c r="U436" i="8"/>
  <c r="U879" i="8"/>
  <c r="U359" i="8"/>
  <c r="U883" i="8"/>
  <c r="U413" i="8"/>
  <c r="U548" i="8"/>
  <c r="U670" i="8"/>
  <c r="U458" i="8"/>
  <c r="U700" i="8"/>
  <c r="U903" i="8"/>
  <c r="U820" i="8"/>
  <c r="U466" i="8"/>
  <c r="U985" i="8"/>
  <c r="S3" i="8"/>
  <c r="S15" i="8"/>
  <c r="S27" i="8"/>
  <c r="S39" i="8"/>
  <c r="S51" i="8"/>
  <c r="S63" i="8"/>
  <c r="S75" i="8"/>
  <c r="S87" i="8"/>
  <c r="S99" i="8"/>
  <c r="S111" i="8"/>
  <c r="S123" i="8"/>
  <c r="S135" i="8"/>
  <c r="S147" i="8"/>
  <c r="S159" i="8"/>
  <c r="S171" i="8"/>
  <c r="S183" i="8"/>
  <c r="S195" i="8"/>
  <c r="S207" i="8"/>
  <c r="S219" i="8"/>
  <c r="S231" i="8"/>
  <c r="S243" i="8"/>
  <c r="S255" i="8"/>
  <c r="S267" i="8"/>
  <c r="S279" i="8"/>
  <c r="S291" i="8"/>
  <c r="S303" i="8"/>
  <c r="S315" i="8"/>
  <c r="S327" i="8"/>
  <c r="S339" i="8"/>
  <c r="S351" i="8"/>
  <c r="S363" i="8"/>
  <c r="S375" i="8"/>
  <c r="S387" i="8"/>
  <c r="S399" i="8"/>
  <c r="S411" i="8"/>
  <c r="S423" i="8"/>
  <c r="S4" i="8"/>
  <c r="S16" i="8"/>
  <c r="S28" i="8"/>
  <c r="S40" i="8"/>
  <c r="S52" i="8"/>
  <c r="S64" i="8"/>
  <c r="S76" i="8"/>
  <c r="S88" i="8"/>
  <c r="S100" i="8"/>
  <c r="S112" i="8"/>
  <c r="S124" i="8"/>
  <c r="S136" i="8"/>
  <c r="S148" i="8"/>
  <c r="S160" i="8"/>
  <c r="S172" i="8"/>
  <c r="S184" i="8"/>
  <c r="S196" i="8"/>
  <c r="S208" i="8"/>
  <c r="S220" i="8"/>
  <c r="S232" i="8"/>
  <c r="S244" i="8"/>
  <c r="S256" i="8"/>
  <c r="S268" i="8"/>
  <c r="S280" i="8"/>
  <c r="S292" i="8"/>
  <c r="S304" i="8"/>
  <c r="S316" i="8"/>
  <c r="S328" i="8"/>
  <c r="S340" i="8"/>
  <c r="S352" i="8"/>
  <c r="S364" i="8"/>
  <c r="S376" i="8"/>
  <c r="S388" i="8"/>
  <c r="S400" i="8"/>
  <c r="S412" i="8"/>
  <c r="S17" i="8"/>
  <c r="S31" i="8"/>
  <c r="S45" i="8"/>
  <c r="S59" i="8"/>
  <c r="S73" i="8"/>
  <c r="S89" i="8"/>
  <c r="S103" i="8"/>
  <c r="S117" i="8"/>
  <c r="S131" i="8"/>
  <c r="S145" i="8"/>
  <c r="S161" i="8"/>
  <c r="S175" i="8"/>
  <c r="S189" i="8"/>
  <c r="S203" i="8"/>
  <c r="S217" i="8"/>
  <c r="S233" i="8"/>
  <c r="S247" i="8"/>
  <c r="S261" i="8"/>
  <c r="S275" i="8"/>
  <c r="S289" i="8"/>
  <c r="S305" i="8"/>
  <c r="S319" i="8"/>
  <c r="S333" i="8"/>
  <c r="S347" i="8"/>
  <c r="S361" i="8"/>
  <c r="S377" i="8"/>
  <c r="S391" i="8"/>
  <c r="S405" i="8"/>
  <c r="S419" i="8"/>
  <c r="S432" i="8"/>
  <c r="S444" i="8"/>
  <c r="S456" i="8"/>
  <c r="S468" i="8"/>
  <c r="S480" i="8"/>
  <c r="S492" i="8"/>
  <c r="S504" i="8"/>
  <c r="S516" i="8"/>
  <c r="S528" i="8"/>
  <c r="S540" i="8"/>
  <c r="S552" i="8"/>
  <c r="S564" i="8"/>
  <c r="S576" i="8"/>
  <c r="S588" i="8"/>
  <c r="S600" i="8"/>
  <c r="S612" i="8"/>
  <c r="S624" i="8"/>
  <c r="S636" i="8"/>
  <c r="S648" i="8"/>
  <c r="S660" i="8"/>
  <c r="S672" i="8"/>
  <c r="S684" i="8"/>
  <c r="S696" i="8"/>
  <c r="S708" i="8"/>
  <c r="S720" i="8"/>
  <c r="S732" i="8"/>
  <c r="S744" i="8"/>
  <c r="S756" i="8"/>
  <c r="S768" i="8"/>
  <c r="S780" i="8"/>
  <c r="S792" i="8"/>
  <c r="S804" i="8"/>
  <c r="S816" i="8"/>
  <c r="S828" i="8"/>
  <c r="S840" i="8"/>
  <c r="S852" i="8"/>
  <c r="S864" i="8"/>
  <c r="S876" i="8"/>
  <c r="S888" i="8"/>
  <c r="S900" i="8"/>
  <c r="S912" i="8"/>
  <c r="S924" i="8"/>
  <c r="S936" i="8"/>
  <c r="S948" i="8"/>
  <c r="S960" i="8"/>
  <c r="S18" i="8"/>
  <c r="S32" i="8"/>
  <c r="S46" i="8"/>
  <c r="S60" i="8"/>
  <c r="S74" i="8"/>
  <c r="S90" i="8"/>
  <c r="S104" i="8"/>
  <c r="S118" i="8"/>
  <c r="S132" i="8"/>
  <c r="S146" i="8"/>
  <c r="S162" i="8"/>
  <c r="S176" i="8"/>
  <c r="S190" i="8"/>
  <c r="S204" i="8"/>
  <c r="S218" i="8"/>
  <c r="S234" i="8"/>
  <c r="S248" i="8"/>
  <c r="S262" i="8"/>
  <c r="S276" i="8"/>
  <c r="S290" i="8"/>
  <c r="S306" i="8"/>
  <c r="S320" i="8"/>
  <c r="S334" i="8"/>
  <c r="S348" i="8"/>
  <c r="S362" i="8"/>
  <c r="S378" i="8"/>
  <c r="S392" i="8"/>
  <c r="S406" i="8"/>
  <c r="S420" i="8"/>
  <c r="S433" i="8"/>
  <c r="S445" i="8"/>
  <c r="S457" i="8"/>
  <c r="S469" i="8"/>
  <c r="S481" i="8"/>
  <c r="S493" i="8"/>
  <c r="S505" i="8"/>
  <c r="S517" i="8"/>
  <c r="S529" i="8"/>
  <c r="S541" i="8"/>
  <c r="S553" i="8"/>
  <c r="S565" i="8"/>
  <c r="S577" i="8"/>
  <c r="S589" i="8"/>
  <c r="S601" i="8"/>
  <c r="S613" i="8"/>
  <c r="S625" i="8"/>
  <c r="S637" i="8"/>
  <c r="S649" i="8"/>
  <c r="S661" i="8"/>
  <c r="S673" i="8"/>
  <c r="S685" i="8"/>
  <c r="S697" i="8"/>
  <c r="S709" i="8"/>
  <c r="S721" i="8"/>
  <c r="S733" i="8"/>
  <c r="S745" i="8"/>
  <c r="S757" i="8"/>
  <c r="S769" i="8"/>
  <c r="S781" i="8"/>
  <c r="S793" i="8"/>
  <c r="S805" i="8"/>
  <c r="S817" i="8"/>
  <c r="S829" i="8"/>
  <c r="S841" i="8"/>
  <c r="S853" i="8"/>
  <c r="S865" i="8"/>
  <c r="S877" i="8"/>
  <c r="S889" i="8"/>
  <c r="S901" i="8"/>
  <c r="S913" i="8"/>
  <c r="S925" i="8"/>
  <c r="S937" i="8"/>
  <c r="S949" i="8"/>
  <c r="S5" i="8"/>
  <c r="S19" i="8"/>
  <c r="S33" i="8"/>
  <c r="S47" i="8"/>
  <c r="S61" i="8"/>
  <c r="S77" i="8"/>
  <c r="S91" i="8"/>
  <c r="S105" i="8"/>
  <c r="S119" i="8"/>
  <c r="S133" i="8"/>
  <c r="S149" i="8"/>
  <c r="S163" i="8"/>
  <c r="S177" i="8"/>
  <c r="S191" i="8"/>
  <c r="S205" i="8"/>
  <c r="S221" i="8"/>
  <c r="S235" i="8"/>
  <c r="S249" i="8"/>
  <c r="S263" i="8"/>
  <c r="S277" i="8"/>
  <c r="S293" i="8"/>
  <c r="S307" i="8"/>
  <c r="S321" i="8"/>
  <c r="S335" i="8"/>
  <c r="S349" i="8"/>
  <c r="S365" i="8"/>
  <c r="S379" i="8"/>
  <c r="S393" i="8"/>
  <c r="S407" i="8"/>
  <c r="S421" i="8"/>
  <c r="S434" i="8"/>
  <c r="S446" i="8"/>
  <c r="S458" i="8"/>
  <c r="S470" i="8"/>
  <c r="S482" i="8"/>
  <c r="S494" i="8"/>
  <c r="S506" i="8"/>
  <c r="S518" i="8"/>
  <c r="S530" i="8"/>
  <c r="S542" i="8"/>
  <c r="S554" i="8"/>
  <c r="S566" i="8"/>
  <c r="S578" i="8"/>
  <c r="S590" i="8"/>
  <c r="S602" i="8"/>
  <c r="S614" i="8"/>
  <c r="S626" i="8"/>
  <c r="S638" i="8"/>
  <c r="S650" i="8"/>
  <c r="S662" i="8"/>
  <c r="S674" i="8"/>
  <c r="S686" i="8"/>
  <c r="S698" i="8"/>
  <c r="S710" i="8"/>
  <c r="S6" i="8"/>
  <c r="S20" i="8"/>
  <c r="S34" i="8"/>
  <c r="S48" i="8"/>
  <c r="S62" i="8"/>
  <c r="S78" i="8"/>
  <c r="S92" i="8"/>
  <c r="S106" i="8"/>
  <c r="S120" i="8"/>
  <c r="S134" i="8"/>
  <c r="S150" i="8"/>
  <c r="S164" i="8"/>
  <c r="S178" i="8"/>
  <c r="S192" i="8"/>
  <c r="S206" i="8"/>
  <c r="S222" i="8"/>
  <c r="S236" i="8"/>
  <c r="S250" i="8"/>
  <c r="S264" i="8"/>
  <c r="S278" i="8"/>
  <c r="S294" i="8"/>
  <c r="S308" i="8"/>
  <c r="S322" i="8"/>
  <c r="S336" i="8"/>
  <c r="S350" i="8"/>
  <c r="S366" i="8"/>
  <c r="S380" i="8"/>
  <c r="S394" i="8"/>
  <c r="S408" i="8"/>
  <c r="S422" i="8"/>
  <c r="S435" i="8"/>
  <c r="S447" i="8"/>
  <c r="S459" i="8"/>
  <c r="S471" i="8"/>
  <c r="S483" i="8"/>
  <c r="S495" i="8"/>
  <c r="S507" i="8"/>
  <c r="S519" i="8"/>
  <c r="S531" i="8"/>
  <c r="S543" i="8"/>
  <c r="S555" i="8"/>
  <c r="S567" i="8"/>
  <c r="S579" i="8"/>
  <c r="S591" i="8"/>
  <c r="S603" i="8"/>
  <c r="S615" i="8"/>
  <c r="S627" i="8"/>
  <c r="S639" i="8"/>
  <c r="S651" i="8"/>
  <c r="S7" i="8"/>
  <c r="S21" i="8"/>
  <c r="S35" i="8"/>
  <c r="S49" i="8"/>
  <c r="S65" i="8"/>
  <c r="S79" i="8"/>
  <c r="S93" i="8"/>
  <c r="S107" i="8"/>
  <c r="S121" i="8"/>
  <c r="S137" i="8"/>
  <c r="S151" i="8"/>
  <c r="S165" i="8"/>
  <c r="S179" i="8"/>
  <c r="S193" i="8"/>
  <c r="S209" i="8"/>
  <c r="S223" i="8"/>
  <c r="S237" i="8"/>
  <c r="S251" i="8"/>
  <c r="S265" i="8"/>
  <c r="S281" i="8"/>
  <c r="S295" i="8"/>
  <c r="S309" i="8"/>
  <c r="S323" i="8"/>
  <c r="S337" i="8"/>
  <c r="S353" i="8"/>
  <c r="S367" i="8"/>
  <c r="S381" i="8"/>
  <c r="S395" i="8"/>
  <c r="S409" i="8"/>
  <c r="S424" i="8"/>
  <c r="S436" i="8"/>
  <c r="S448" i="8"/>
  <c r="S460" i="8"/>
  <c r="S472" i="8"/>
  <c r="S484" i="8"/>
  <c r="S496" i="8"/>
  <c r="S508" i="8"/>
  <c r="S520" i="8"/>
  <c r="S532" i="8"/>
  <c r="S544" i="8"/>
  <c r="S556" i="8"/>
  <c r="S568" i="8"/>
  <c r="S580" i="8"/>
  <c r="S592" i="8"/>
  <c r="S604" i="8"/>
  <c r="S616" i="8"/>
  <c r="S628" i="8"/>
  <c r="S640" i="8"/>
  <c r="S652" i="8"/>
  <c r="S664" i="8"/>
  <c r="S676" i="8"/>
  <c r="S688" i="8"/>
  <c r="S700" i="8"/>
  <c r="S712" i="8"/>
  <c r="S724" i="8"/>
  <c r="S736" i="8"/>
  <c r="S748" i="8"/>
  <c r="S760" i="8"/>
  <c r="S772" i="8"/>
  <c r="S784" i="8"/>
  <c r="S796" i="8"/>
  <c r="S808" i="8"/>
  <c r="S820" i="8"/>
  <c r="S832" i="8"/>
  <c r="S844" i="8"/>
  <c r="S856" i="8"/>
  <c r="S868" i="8"/>
  <c r="S880" i="8"/>
  <c r="S892" i="8"/>
  <c r="S904" i="8"/>
  <c r="S916" i="8"/>
  <c r="S8" i="8"/>
  <c r="S22" i="8"/>
  <c r="S36" i="8"/>
  <c r="S50" i="8"/>
  <c r="S66" i="8"/>
  <c r="S80" i="8"/>
  <c r="S94" i="8"/>
  <c r="S108" i="8"/>
  <c r="S122" i="8"/>
  <c r="S138" i="8"/>
  <c r="S152" i="8"/>
  <c r="S166" i="8"/>
  <c r="S180" i="8"/>
  <c r="S194" i="8"/>
  <c r="S210" i="8"/>
  <c r="S224" i="8"/>
  <c r="S238" i="8"/>
  <c r="S252" i="8"/>
  <c r="S266" i="8"/>
  <c r="S282" i="8"/>
  <c r="S296" i="8"/>
  <c r="S310" i="8"/>
  <c r="S324" i="8"/>
  <c r="S338" i="8"/>
  <c r="S354" i="8"/>
  <c r="S368" i="8"/>
  <c r="S382" i="8"/>
  <c r="S396" i="8"/>
  <c r="S410" i="8"/>
  <c r="S425" i="8"/>
  <c r="S437" i="8"/>
  <c r="S449" i="8"/>
  <c r="S461" i="8"/>
  <c r="S473" i="8"/>
  <c r="S485" i="8"/>
  <c r="S497" i="8"/>
  <c r="S509" i="8"/>
  <c r="S521" i="8"/>
  <c r="S533" i="8"/>
  <c r="S545" i="8"/>
  <c r="S557" i="8"/>
  <c r="S569" i="8"/>
  <c r="S581" i="8"/>
  <c r="S593" i="8"/>
  <c r="S605" i="8"/>
  <c r="S617" i="8"/>
  <c r="S629" i="8"/>
  <c r="S641" i="8"/>
  <c r="S653" i="8"/>
  <c r="S665" i="8"/>
  <c r="S677" i="8"/>
  <c r="S689" i="8"/>
  <c r="S701" i="8"/>
  <c r="S713" i="8"/>
  <c r="S725" i="8"/>
  <c r="S737" i="8"/>
  <c r="S749" i="8"/>
  <c r="S761" i="8"/>
  <c r="S773" i="8"/>
  <c r="S785" i="8"/>
  <c r="S797" i="8"/>
  <c r="S809" i="8"/>
  <c r="S821" i="8"/>
  <c r="S833" i="8"/>
  <c r="S845" i="8"/>
  <c r="S9" i="8"/>
  <c r="S23" i="8"/>
  <c r="S37" i="8"/>
  <c r="S53" i="8"/>
  <c r="S67" i="8"/>
  <c r="S81" i="8"/>
  <c r="S95" i="8"/>
  <c r="S109" i="8"/>
  <c r="S125" i="8"/>
  <c r="S139" i="8"/>
  <c r="S153" i="8"/>
  <c r="S167" i="8"/>
  <c r="S181" i="8"/>
  <c r="S197" i="8"/>
  <c r="S211" i="8"/>
  <c r="S225" i="8"/>
  <c r="S239" i="8"/>
  <c r="S253" i="8"/>
  <c r="S269" i="8"/>
  <c r="S283" i="8"/>
  <c r="S297" i="8"/>
  <c r="S311" i="8"/>
  <c r="S325" i="8"/>
  <c r="S341" i="8"/>
  <c r="S355" i="8"/>
  <c r="S369" i="8"/>
  <c r="S383" i="8"/>
  <c r="S397" i="8"/>
  <c r="S413" i="8"/>
  <c r="S426" i="8"/>
  <c r="S438" i="8"/>
  <c r="S450" i="8"/>
  <c r="S462" i="8"/>
  <c r="S474" i="8"/>
  <c r="S486" i="8"/>
  <c r="S498" i="8"/>
  <c r="S510" i="8"/>
  <c r="S522" i="8"/>
  <c r="S534" i="8"/>
  <c r="S546" i="8"/>
  <c r="S558" i="8"/>
  <c r="S570" i="8"/>
  <c r="S582" i="8"/>
  <c r="S594" i="8"/>
  <c r="S606" i="8"/>
  <c r="S618" i="8"/>
  <c r="S630" i="8"/>
  <c r="S642" i="8"/>
  <c r="S654" i="8"/>
  <c r="S666" i="8"/>
  <c r="S678" i="8"/>
  <c r="S690" i="8"/>
  <c r="S702" i="8"/>
  <c r="S714" i="8"/>
  <c r="S726" i="8"/>
  <c r="S738" i="8"/>
  <c r="S750" i="8"/>
  <c r="S762" i="8"/>
  <c r="S774" i="8"/>
  <c r="S786" i="8"/>
  <c r="S798" i="8"/>
  <c r="S810" i="8"/>
  <c r="S822" i="8"/>
  <c r="S834" i="8"/>
  <c r="S846" i="8"/>
  <c r="S858" i="8"/>
  <c r="S870" i="8"/>
  <c r="S10" i="8"/>
  <c r="S24" i="8"/>
  <c r="S38" i="8"/>
  <c r="S54" i="8"/>
  <c r="S68" i="8"/>
  <c r="S82" i="8"/>
  <c r="S96" i="8"/>
  <c r="S110" i="8"/>
  <c r="S126" i="8"/>
  <c r="S140" i="8"/>
  <c r="S154" i="8"/>
  <c r="S168" i="8"/>
  <c r="S182" i="8"/>
  <c r="S198" i="8"/>
  <c r="S212" i="8"/>
  <c r="S226" i="8"/>
  <c r="S240" i="8"/>
  <c r="S254" i="8"/>
  <c r="S270" i="8"/>
  <c r="S284" i="8"/>
  <c r="S298" i="8"/>
  <c r="S312" i="8"/>
  <c r="S326" i="8"/>
  <c r="S342" i="8"/>
  <c r="S356" i="8"/>
  <c r="S370" i="8"/>
  <c r="S384" i="8"/>
  <c r="S398" i="8"/>
  <c r="S414" i="8"/>
  <c r="S427" i="8"/>
  <c r="S439" i="8"/>
  <c r="S451" i="8"/>
  <c r="S463" i="8"/>
  <c r="S475" i="8"/>
  <c r="S13" i="8"/>
  <c r="S29" i="8"/>
  <c r="S43" i="8"/>
  <c r="S57" i="8"/>
  <c r="S71" i="8"/>
  <c r="S85" i="8"/>
  <c r="S101" i="8"/>
  <c r="S115" i="8"/>
  <c r="S129" i="8"/>
  <c r="S143" i="8"/>
  <c r="S157" i="8"/>
  <c r="S173" i="8"/>
  <c r="S187" i="8"/>
  <c r="S201" i="8"/>
  <c r="S215" i="8"/>
  <c r="S229" i="8"/>
  <c r="S245" i="8"/>
  <c r="S259" i="8"/>
  <c r="S273" i="8"/>
  <c r="S287" i="8"/>
  <c r="S301" i="8"/>
  <c r="S317" i="8"/>
  <c r="S331" i="8"/>
  <c r="S345" i="8"/>
  <c r="S359" i="8"/>
  <c r="S373" i="8"/>
  <c r="S389" i="8"/>
  <c r="S403" i="8"/>
  <c r="S417" i="8"/>
  <c r="S25" i="8"/>
  <c r="S83" i="8"/>
  <c r="S141" i="8"/>
  <c r="S199" i="8"/>
  <c r="S257" i="8"/>
  <c r="S313" i="8"/>
  <c r="S371" i="8"/>
  <c r="S428" i="8"/>
  <c r="S464" i="8"/>
  <c r="S491" i="8"/>
  <c r="S524" i="8"/>
  <c r="S550" i="8"/>
  <c r="S583" i="8"/>
  <c r="S609" i="8"/>
  <c r="S635" i="8"/>
  <c r="S667" i="8"/>
  <c r="S691" i="8"/>
  <c r="S715" i="8"/>
  <c r="S734" i="8"/>
  <c r="S754" i="8"/>
  <c r="S776" i="8"/>
  <c r="S795" i="8"/>
  <c r="S815" i="8"/>
  <c r="S837" i="8"/>
  <c r="S857" i="8"/>
  <c r="S874" i="8"/>
  <c r="S891" i="8"/>
  <c r="S907" i="8"/>
  <c r="S922" i="8"/>
  <c r="S938" i="8"/>
  <c r="S952" i="8"/>
  <c r="S965" i="8"/>
  <c r="S977" i="8"/>
  <c r="S989" i="8"/>
  <c r="S1001" i="8"/>
  <c r="S26" i="8"/>
  <c r="S84" i="8"/>
  <c r="S142" i="8"/>
  <c r="S200" i="8"/>
  <c r="S258" i="8"/>
  <c r="S314" i="8"/>
  <c r="S372" i="8"/>
  <c r="S429" i="8"/>
  <c r="S465" i="8"/>
  <c r="S499" i="8"/>
  <c r="S525" i="8"/>
  <c r="S551" i="8"/>
  <c r="S584" i="8"/>
  <c r="S610" i="8"/>
  <c r="S643" i="8"/>
  <c r="S668" i="8"/>
  <c r="S692" i="8"/>
  <c r="S716" i="8"/>
  <c r="S735" i="8"/>
  <c r="S755" i="8"/>
  <c r="S777" i="8"/>
  <c r="S799" i="8"/>
  <c r="S818" i="8"/>
  <c r="S838" i="8"/>
  <c r="S859" i="8"/>
  <c r="S875" i="8"/>
  <c r="S893" i="8"/>
  <c r="S908" i="8"/>
  <c r="S923" i="8"/>
  <c r="S939" i="8"/>
  <c r="S953" i="8"/>
  <c r="S966" i="8"/>
  <c r="S978" i="8"/>
  <c r="S990" i="8"/>
  <c r="S2" i="8"/>
  <c r="S30" i="8"/>
  <c r="S86" i="8"/>
  <c r="S144" i="8"/>
  <c r="S202" i="8"/>
  <c r="S260" i="8"/>
  <c r="S318" i="8"/>
  <c r="S374" i="8"/>
  <c r="S430" i="8"/>
  <c r="S466" i="8"/>
  <c r="S500" i="8"/>
  <c r="S526" i="8"/>
  <c r="S559" i="8"/>
  <c r="S585" i="8"/>
  <c r="S611" i="8"/>
  <c r="S644" i="8"/>
  <c r="S669" i="8"/>
  <c r="S693" i="8"/>
  <c r="S717" i="8"/>
  <c r="S739" i="8"/>
  <c r="S758" i="8"/>
  <c r="S778" i="8"/>
  <c r="S800" i="8"/>
  <c r="S819" i="8"/>
  <c r="S839" i="8"/>
  <c r="S860" i="8"/>
  <c r="S878" i="8"/>
  <c r="S894" i="8"/>
  <c r="S909" i="8"/>
  <c r="S926" i="8"/>
  <c r="S940" i="8"/>
  <c r="S954" i="8"/>
  <c r="S967" i="8"/>
  <c r="S979" i="8"/>
  <c r="S991" i="8"/>
  <c r="S41" i="8"/>
  <c r="S97" i="8"/>
  <c r="S155" i="8"/>
  <c r="S213" i="8"/>
  <c r="S271" i="8"/>
  <c r="S329" i="8"/>
  <c r="S385" i="8"/>
  <c r="S431" i="8"/>
  <c r="S467" i="8"/>
  <c r="S501" i="8"/>
  <c r="S527" i="8"/>
  <c r="S560" i="8"/>
  <c r="S586" i="8"/>
  <c r="S619" i="8"/>
  <c r="S645" i="8"/>
  <c r="S670" i="8"/>
  <c r="S694" i="8"/>
  <c r="S718" i="8"/>
  <c r="S740" i="8"/>
  <c r="S759" i="8"/>
  <c r="S779" i="8"/>
  <c r="S801" i="8"/>
  <c r="S823" i="8"/>
  <c r="S842" i="8"/>
  <c r="S861" i="8"/>
  <c r="S879" i="8"/>
  <c r="S895" i="8"/>
  <c r="S910" i="8"/>
  <c r="S927" i="8"/>
  <c r="S941" i="8"/>
  <c r="S955" i="8"/>
  <c r="S968" i="8"/>
  <c r="S980" i="8"/>
  <c r="S992" i="8"/>
  <c r="S42" i="8"/>
  <c r="S98" i="8"/>
  <c r="S156" i="8"/>
  <c r="S214" i="8"/>
  <c r="S272" i="8"/>
  <c r="S330" i="8"/>
  <c r="S386" i="8"/>
  <c r="S440" i="8"/>
  <c r="S476" i="8"/>
  <c r="S502" i="8"/>
  <c r="S535" i="8"/>
  <c r="S561" i="8"/>
  <c r="S587" i="8"/>
  <c r="S620" i="8"/>
  <c r="S646" i="8"/>
  <c r="S671" i="8"/>
  <c r="S695" i="8"/>
  <c r="S719" i="8"/>
  <c r="S741" i="8"/>
  <c r="S763" i="8"/>
  <c r="S782" i="8"/>
  <c r="S802" i="8"/>
  <c r="S824" i="8"/>
  <c r="S843" i="8"/>
  <c r="S862" i="8"/>
  <c r="S881" i="8"/>
  <c r="S896" i="8"/>
  <c r="S911" i="8"/>
  <c r="S928" i="8"/>
  <c r="S942" i="8"/>
  <c r="S956" i="8"/>
  <c r="S969" i="8"/>
  <c r="S981" i="8"/>
  <c r="S993" i="8"/>
  <c r="S44" i="8"/>
  <c r="S102" i="8"/>
  <c r="S158" i="8"/>
  <c r="S216" i="8"/>
  <c r="S274" i="8"/>
  <c r="S332" i="8"/>
  <c r="S390" i="8"/>
  <c r="S441" i="8"/>
  <c r="S477" i="8"/>
  <c r="S503" i="8"/>
  <c r="S536" i="8"/>
  <c r="S562" i="8"/>
  <c r="S595" i="8"/>
  <c r="S621" i="8"/>
  <c r="S647" i="8"/>
  <c r="S675" i="8"/>
  <c r="S699" i="8"/>
  <c r="S722" i="8"/>
  <c r="S742" i="8"/>
  <c r="S764" i="8"/>
  <c r="S783" i="8"/>
  <c r="S803" i="8"/>
  <c r="S825" i="8"/>
  <c r="S847" i="8"/>
  <c r="S863" i="8"/>
  <c r="S882" i="8"/>
  <c r="S897" i="8"/>
  <c r="S914" i="8"/>
  <c r="S929" i="8"/>
  <c r="S943" i="8"/>
  <c r="S957" i="8"/>
  <c r="S970" i="8"/>
  <c r="S982" i="8"/>
  <c r="S994" i="8"/>
  <c r="S55" i="8"/>
  <c r="S113" i="8"/>
  <c r="S169" i="8"/>
  <c r="S227" i="8"/>
  <c r="S285" i="8"/>
  <c r="S343" i="8"/>
  <c r="S401" i="8"/>
  <c r="S442" i="8"/>
  <c r="S478" i="8"/>
  <c r="S511" i="8"/>
  <c r="S537" i="8"/>
  <c r="S563" i="8"/>
  <c r="S596" i="8"/>
  <c r="S622" i="8"/>
  <c r="S655" i="8"/>
  <c r="S679" i="8"/>
  <c r="S703" i="8"/>
  <c r="S723" i="8"/>
  <c r="S743" i="8"/>
  <c r="S765" i="8"/>
  <c r="S787" i="8"/>
  <c r="S806" i="8"/>
  <c r="S826" i="8"/>
  <c r="S848" i="8"/>
  <c r="S866" i="8"/>
  <c r="S883" i="8"/>
  <c r="S898" i="8"/>
  <c r="S915" i="8"/>
  <c r="S930" i="8"/>
  <c r="S944" i="8"/>
  <c r="S958" i="8"/>
  <c r="S971" i="8"/>
  <c r="S983" i="8"/>
  <c r="S995" i="8"/>
  <c r="S56" i="8"/>
  <c r="S114" i="8"/>
  <c r="S170" i="8"/>
  <c r="S228" i="8"/>
  <c r="S286" i="8"/>
  <c r="S344" i="8"/>
  <c r="S402" i="8"/>
  <c r="S443" i="8"/>
  <c r="S479" i="8"/>
  <c r="S512" i="8"/>
  <c r="S538" i="8"/>
  <c r="S571" i="8"/>
  <c r="S597" i="8"/>
  <c r="S623" i="8"/>
  <c r="S656" i="8"/>
  <c r="S680" i="8"/>
  <c r="S704" i="8"/>
  <c r="S727" i="8"/>
  <c r="S746" i="8"/>
  <c r="S766" i="8"/>
  <c r="S788" i="8"/>
  <c r="S807" i="8"/>
  <c r="S827" i="8"/>
  <c r="S849" i="8"/>
  <c r="S867" i="8"/>
  <c r="S884" i="8"/>
  <c r="S899" i="8"/>
  <c r="S917" i="8"/>
  <c r="S931" i="8"/>
  <c r="S945" i="8"/>
  <c r="S959" i="8"/>
  <c r="S972" i="8"/>
  <c r="S984" i="8"/>
  <c r="S996" i="8"/>
  <c r="S58" i="8"/>
  <c r="S116" i="8"/>
  <c r="S174" i="8"/>
  <c r="S230" i="8"/>
  <c r="S288" i="8"/>
  <c r="S346" i="8"/>
  <c r="S404" i="8"/>
  <c r="S452" i="8"/>
  <c r="S487" i="8"/>
  <c r="S513" i="8"/>
  <c r="S539" i="8"/>
  <c r="S572" i="8"/>
  <c r="S598" i="8"/>
  <c r="S631" i="8"/>
  <c r="S657" i="8"/>
  <c r="S681" i="8"/>
  <c r="S705" i="8"/>
  <c r="S728" i="8"/>
  <c r="S747" i="8"/>
  <c r="S767" i="8"/>
  <c r="S789" i="8"/>
  <c r="S811" i="8"/>
  <c r="S830" i="8"/>
  <c r="S850" i="8"/>
  <c r="S869" i="8"/>
  <c r="S885" i="8"/>
  <c r="S902" i="8"/>
  <c r="S918" i="8"/>
  <c r="S932" i="8"/>
  <c r="S946" i="8"/>
  <c r="S961" i="8"/>
  <c r="S973" i="8"/>
  <c r="S985" i="8"/>
  <c r="S997" i="8"/>
  <c r="S11" i="8"/>
  <c r="S69" i="8"/>
  <c r="S127" i="8"/>
  <c r="S185" i="8"/>
  <c r="S241" i="8"/>
  <c r="S299" i="8"/>
  <c r="S357" i="8"/>
  <c r="S415" i="8"/>
  <c r="S453" i="8"/>
  <c r="S488" i="8"/>
  <c r="S514" i="8"/>
  <c r="S547" i="8"/>
  <c r="S573" i="8"/>
  <c r="S599" i="8"/>
  <c r="S632" i="8"/>
  <c r="S658" i="8"/>
  <c r="S682" i="8"/>
  <c r="S706" i="8"/>
  <c r="S729" i="8"/>
  <c r="S751" i="8"/>
  <c r="S770" i="8"/>
  <c r="S790" i="8"/>
  <c r="S812" i="8"/>
  <c r="S831" i="8"/>
  <c r="S851" i="8"/>
  <c r="S871" i="8"/>
  <c r="S886" i="8"/>
  <c r="S903" i="8"/>
  <c r="S919" i="8"/>
  <c r="S933" i="8"/>
  <c r="S947" i="8"/>
  <c r="S962" i="8"/>
  <c r="S974" i="8"/>
  <c r="S986" i="8"/>
  <c r="S998" i="8"/>
  <c r="S12" i="8"/>
  <c r="S70" i="8"/>
  <c r="S128" i="8"/>
  <c r="S186" i="8"/>
  <c r="S242" i="8"/>
  <c r="S300" i="8"/>
  <c r="S358" i="8"/>
  <c r="S416" i="8"/>
  <c r="S454" i="8"/>
  <c r="S489" i="8"/>
  <c r="S515" i="8"/>
  <c r="S548" i="8"/>
  <c r="S574" i="8"/>
  <c r="S607" i="8"/>
  <c r="S633" i="8"/>
  <c r="S659" i="8"/>
  <c r="S683" i="8"/>
  <c r="S707" i="8"/>
  <c r="S730" i="8"/>
  <c r="S752" i="8"/>
  <c r="S771" i="8"/>
  <c r="S791" i="8"/>
  <c r="S813" i="8"/>
  <c r="S835" i="8"/>
  <c r="S854" i="8"/>
  <c r="S872" i="8"/>
  <c r="S887" i="8"/>
  <c r="S905" i="8"/>
  <c r="S920" i="8"/>
  <c r="S934" i="8"/>
  <c r="S950" i="8"/>
  <c r="S963" i="8"/>
  <c r="S975" i="8"/>
  <c r="S987" i="8"/>
  <c r="S999" i="8"/>
  <c r="S14" i="8"/>
  <c r="S72" i="8"/>
  <c r="S130" i="8"/>
  <c r="S188" i="8"/>
  <c r="S246" i="8"/>
  <c r="S302" i="8"/>
  <c r="S360" i="8"/>
  <c r="S418" i="8"/>
  <c r="S455" i="8"/>
  <c r="S490" i="8"/>
  <c r="S523" i="8"/>
  <c r="S549" i="8"/>
  <c r="S575" i="8"/>
  <c r="S608" i="8"/>
  <c r="S634" i="8"/>
  <c r="S663" i="8"/>
  <c r="S687" i="8"/>
  <c r="S711" i="8"/>
  <c r="S731" i="8"/>
  <c r="S753" i="8"/>
  <c r="S775" i="8"/>
  <c r="S794" i="8"/>
  <c r="S814" i="8"/>
  <c r="S836" i="8"/>
  <c r="S855" i="8"/>
  <c r="S873" i="8"/>
  <c r="S890" i="8"/>
  <c r="S906" i="8"/>
  <c r="S921" i="8"/>
  <c r="S935" i="8"/>
  <c r="S951" i="8"/>
  <c r="S964" i="8"/>
  <c r="S976" i="8"/>
  <c r="S988" i="8"/>
  <c r="S1000" i="8"/>
  <c r="K32" i="17" l="1"/>
  <c r="L21" i="17"/>
  <c r="L18" i="17"/>
  <c r="K15" i="17"/>
  <c r="K35" i="17"/>
  <c r="K20" i="17"/>
  <c r="K43" i="17"/>
  <c r="L32" i="17"/>
  <c r="L17" i="17"/>
  <c r="K41" i="17"/>
  <c r="K46" i="17"/>
  <c r="K31" i="17"/>
  <c r="K19" i="17"/>
  <c r="K7" i="17"/>
  <c r="K30" i="17"/>
  <c r="K42" i="17"/>
  <c r="K18" i="17"/>
  <c r="K6" i="17"/>
  <c r="L27" i="17"/>
  <c r="L35" i="17"/>
  <c r="L44" i="17"/>
  <c r="L41" i="17"/>
  <c r="K38" i="17"/>
  <c r="K47" i="17"/>
  <c r="K44"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021BB-02A0-4BFD-921B-F363F98DEED5}"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6EF77F2C-1BCF-4120-8E43-D85908CA3150}"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3" xr16:uid="{674AAF28-F65F-492E-9BB5-43DEFBCF2499}" keepAlive="1" name="Query - dataset_1" description="Connection to the 'dataset_1' query in the workbook." type="5" refreshedVersion="0" background="1" saveData="1">
    <dbPr connection="Provider=Microsoft.Mashup.OleDb.1;Data Source=$Workbook$;Location=dataset_1;Extended Properties=&quot;&quot;" command="SELECT * FROM [dataset_1]"/>
  </connection>
  <connection id="4" xr16:uid="{52184236-2B8A-4984-8EAB-98F05F6E3C44}" keepAlive="1" name="Query - dataset_2" description="Connection to the 'dataset_2' query in the workbook." type="5" refreshedVersion="0" background="1" saveData="1">
    <dbPr connection="Provider=Microsoft.Mashup.OleDb.1;Data Source=$Workbook$;Location=dataset_2;Extended Properties=&quot;&quot;" command="SELECT * FROM [dataset_2]"/>
  </connection>
  <connection id="5" xr16:uid="{B554E3AB-F4FC-44D9-8637-48FBAD488238}"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6" xr16:uid="{24A29EB1-9C01-42D5-8F9E-0658F3CEC3CD}"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<sst xmlns="http://schemas.openxmlformats.org/spreadsheetml/2006/main" count="1254" uniqueCount="160">
  <si>
    <t>instant</t>
  </si>
  <si>
    <t>dteday</t>
  </si>
  <si>
    <t>season</t>
  </si>
  <si>
    <t>yr</t>
  </si>
  <si>
    <t>mnth</t>
  </si>
  <si>
    <t>hr</t>
  </si>
  <si>
    <t>holiday</t>
  </si>
  <si>
    <t>weekday</t>
  </si>
  <si>
    <t>weathersit</t>
  </si>
  <si>
    <t>temp</t>
  </si>
  <si>
    <t>atemp</t>
  </si>
  <si>
    <t>hum</t>
  </si>
  <si>
    <t>windspeed</t>
  </si>
  <si>
    <t>casual</t>
  </si>
  <si>
    <t>registered</t>
  </si>
  <si>
    <t>cnt</t>
  </si>
  <si>
    <t>Year</t>
  </si>
  <si>
    <t>Month</t>
  </si>
  <si>
    <t>Hour</t>
  </si>
  <si>
    <t>Date</t>
  </si>
  <si>
    <t>Weekday/weekend</t>
  </si>
  <si>
    <t>Season</t>
  </si>
  <si>
    <t>Weather</t>
  </si>
  <si>
    <t>Spring</t>
  </si>
  <si>
    <t>Temperature©</t>
  </si>
  <si>
    <t>Outlier Calculation</t>
  </si>
  <si>
    <t>Value</t>
  </si>
  <si>
    <t>Q1</t>
  </si>
  <si>
    <t>=QUARTILE.INC(Table1[cnt],1)</t>
  </si>
  <si>
    <t>Q3</t>
  </si>
  <si>
    <t>=QUARTILE.INC(Table1[cnt],3)</t>
  </si>
  <si>
    <t>IQR</t>
  </si>
  <si>
    <t>Lower Limit</t>
  </si>
  <si>
    <t>Upper Limit</t>
  </si>
  <si>
    <t>Days</t>
  </si>
  <si>
    <t>Total Count</t>
  </si>
  <si>
    <t>Casual Riders</t>
  </si>
  <si>
    <t>Registered Riders</t>
  </si>
  <si>
    <t>windspeed (%)</t>
  </si>
  <si>
    <t>Humidity(%)</t>
  </si>
  <si>
    <t>Q3-Q1</t>
  </si>
  <si>
    <t>Q1-(1.5*IQR)</t>
  </si>
  <si>
    <t>Q3+(1.5*IQR)</t>
  </si>
  <si>
    <t>Count</t>
  </si>
  <si>
    <t>Count outliners</t>
  </si>
  <si>
    <t>Humidity</t>
  </si>
  <si>
    <t>humidity outliners</t>
  </si>
  <si>
    <t>Windspeed outliners</t>
  </si>
  <si>
    <t>Demand</t>
  </si>
  <si>
    <t>Row Labels</t>
  </si>
  <si>
    <t>Grand Total</t>
  </si>
  <si>
    <t>Sum of Total Count</t>
  </si>
  <si>
    <t>Clear</t>
  </si>
  <si>
    <t>Mist</t>
  </si>
  <si>
    <t>Rain</t>
  </si>
  <si>
    <t>Storm</t>
  </si>
  <si>
    <t>1) Riders daily trend</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</si>
  <si>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</si>
  <si>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</si>
  <si>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</si>
  <si>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</si>
  <si>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</si>
  <si>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</si>
  <si>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</si>
  <si>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</si>
  <si>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</si>
  <si>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</si>
  <si>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</si>
  <si>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</si>
  <si>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</si>
  <si>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</si>
  <si>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</si>
  <si>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</si>
  <si>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</si>
  <si>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</si>
  <si>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</si>
  <si>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</si>
  <si>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</si>
  <si>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</si>
  <si>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</si>
  <si>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</si>
  <si>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</si>
  <si>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</si>
  <si>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</si>
  <si>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</si>
  <si>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</si>
  <si>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</si>
  <si>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</si>
  <si>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</si>
  <si>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</si>
  <si>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</si>
  <si>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</si>
  <si>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</si>
  <si>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</si>
  <si>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</si>
  <si>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</si>
  <si>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</si>
  <si>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</si>
  <si>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</si>
  <si>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</si>
  <si>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</si>
  <si>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</si>
  <si>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2)Demand by weather</t>
  </si>
  <si>
    <t>5 PM</t>
  </si>
  <si>
    <t>8 AM</t>
  </si>
  <si>
    <t>6 PM</t>
  </si>
  <si>
    <t>4 PM</t>
  </si>
  <si>
    <t>9 AM</t>
  </si>
  <si>
    <t>7 PM</t>
  </si>
  <si>
    <t>1 PM</t>
  </si>
  <si>
    <t>3 PM</t>
  </si>
  <si>
    <t>12 PM</t>
  </si>
  <si>
    <t>2 PM</t>
  </si>
  <si>
    <t>8 PM</t>
  </si>
  <si>
    <t>11 AM</t>
  </si>
  <si>
    <t>7 AM</t>
  </si>
  <si>
    <t>10 AM</t>
  </si>
  <si>
    <t>9 PM</t>
  </si>
  <si>
    <t>10 PM</t>
  </si>
  <si>
    <t>11 PM</t>
  </si>
  <si>
    <t>6 AM</t>
  </si>
  <si>
    <t>12 AM</t>
  </si>
  <si>
    <t>1 AM</t>
  </si>
  <si>
    <t>2 AM</t>
  </si>
  <si>
    <t>3 AM</t>
  </si>
  <si>
    <t>5 AM</t>
  </si>
  <si>
    <t>4 AM</t>
  </si>
  <si>
    <t>Sum of Casual Riders</t>
  </si>
  <si>
    <t>Sum of Registered Riders</t>
  </si>
  <si>
    <t>High</t>
  </si>
  <si>
    <t>Moderate</t>
  </si>
  <si>
    <t>Low</t>
  </si>
  <si>
    <t>Hours</t>
  </si>
  <si>
    <t>Rider</t>
  </si>
  <si>
    <t>Casual</t>
  </si>
  <si>
    <t>Registered</t>
  </si>
  <si>
    <t>Total</t>
  </si>
  <si>
    <t>Sum of Humidity(%)</t>
  </si>
  <si>
    <t>Chart data</t>
  </si>
  <si>
    <t>Correlation</t>
  </si>
  <si>
    <t>Sum of Temperature©</t>
  </si>
  <si>
    <t>Chart Data</t>
  </si>
  <si>
    <t>correlation</t>
  </si>
  <si>
    <t>Demand Forecast</t>
  </si>
  <si>
    <t>Rider Count</t>
  </si>
  <si>
    <t>Forecast(Rider Count)</t>
  </si>
  <si>
    <t>Lower Confidence Bound(Rider Count)</t>
  </si>
  <si>
    <t>Upper Confidence Bound(Rider Count)</t>
  </si>
  <si>
    <t xml:space="preserve"> </t>
  </si>
  <si>
    <t>QI</t>
  </si>
  <si>
    <t>Lower threshold</t>
  </si>
  <si>
    <t>Upper threshold</t>
  </si>
  <si>
    <t>Anamoly detection table</t>
  </si>
  <si>
    <t>Outliers</t>
  </si>
  <si>
    <t>Normal</t>
  </si>
  <si>
    <t>2-12</t>
  </si>
  <si>
    <t>12-22</t>
  </si>
  <si>
    <t>22-32</t>
  </si>
  <si>
    <t>32-42</t>
  </si>
  <si>
    <t>42-52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</si>
</sst>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0409]hh:mm\ AM/PM;@"/>
    <numFmt numFmtId="165" formatCode="[$-14009]d\ mmmm\ yyyy;@"/>
    <numFmt numFmtId="166" formatCode="m/d/yyyy;@"/>
    <numFmt numFmtId="167" formatCode="[$-409]d/mmm;@"/>
  </numFmts>
  <fonts count="7">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
      <b/>
      <sz val="11"/>
      <name val="Calibri"/>
      <family val="2"/>
      <scheme val="minor"/>
    </font>
    <font>
      <sz val="10"/>
      <color theme="1"/>
      <name val="Arial Unicode MS"/>
    </font>
    <font>
      <sz val="11"/>
      <name val="Calibri"/>
      <family val="2"/>
      <scheme val="min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theme="9" tint="-0.499984740745262"/>
        <bgColor indexed="64"/>
      </patternFill>
    </fill>
    <fill>
      <patternFill patternType="solid">
        <fgColor theme="4"/>
        <bgColor indexed="64"/>
      </patternFill>
    </fill>
  </fills>
  <borders count="12">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7">
    <xf numFmtId="0" fontId="0" fillId="0" borderId="0" xfId="0"/>
    <xf numFmtId="14" fontId="0" fillId="0" borderId="0" xfId="0" applyNumberFormat="1"/>
    <xf numFmtId="0" fontId="0" fillId="0" borderId="0" xfId="0" applyAlignment="1">
      <alignment horizontal="center" vertical="center"/>
    </xf>
    <xf numFmtId="0" fontId="1" fillId="2" borderId="4" xfId="0" applyFont="1" applyFill="1" applyBorder="1"/>
    <xf numFmtId="0" fontId="1" fillId="2" borderId="5" xfId="0" applyFont="1" applyFill="1" applyBorder="1"/>
    <xf numFmtId="0" fontId="0" fillId="4" borderId="0" xfId="0" applyFill="1"/>
    <xf numFmtId="1" fontId="0" fillId="0" borderId="0" xfId="0" applyNumberFormat="1"/>
    <xf numFmtId="49" fontId="0" fillId="0" borderId="0" xfId="0" applyNumberFormat="1"/>
    <xf numFmtId="0" fontId="0" fillId="0" borderId="7" xfId="0" applyBorder="1"/>
    <xf numFmtId="10" fontId="0" fillId="0" borderId="0" xfId="0" applyNumberFormat="1"/>
    <xf numFmtId="9" fontId="0" fillId="0" borderId="0" xfId="0" applyNumberFormat="1"/>
    <xf numFmtId="2" fontId="0" fillId="4" borderId="0" xfId="0" applyNumberFormat="1" applyFill="1"/>
    <xf numFmtId="0" fontId="3"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0" fillId="0" borderId="1" xfId="0" applyBorder="1"/>
    <xf numFmtId="0" fontId="0" fillId="0" borderId="2" xfId="0" applyBorder="1"/>
    <xf numFmtId="0" fontId="0" fillId="0" borderId="3" xfId="0" applyBorder="1"/>
    <xf numFmtId="0" fontId="4" fillId="0" borderId="7" xfId="0" applyFont="1" applyBorder="1" applyAlignment="1">
      <alignment horizontal="center" vertical="center"/>
    </xf>
    <xf numFmtId="49" fontId="4" fillId="0" borderId="7" xfId="0" applyNumberFormat="1" applyFont="1" applyBorder="1" applyAlignment="1">
      <alignment horizontal="center" vertical="center"/>
    </xf>
    <xf numFmtId="1" fontId="4" fillId="0" borderId="7" xfId="0" applyNumberFormat="1" applyFont="1" applyBorder="1" applyAlignment="1">
      <alignment horizontal="center" vertical="center"/>
    </xf>
    <xf numFmtId="1" fontId="6" fillId="0" borderId="7" xfId="0" applyNumberFormat="1" applyFont="1" applyBorder="1" applyAlignment="1">
      <alignment horizontal="center" vertical="center"/>
    </xf>
    <xf numFmtId="49" fontId="6" fillId="0" borderId="7" xfId="0" applyNumberFormat="1" applyFont="1" applyBorder="1" applyAlignment="1">
      <alignment horizontal="center" vertical="center"/>
    </xf>
    <xf numFmtId="0" fontId="6" fillId="0" borderId="7" xfId="0" applyFont="1" applyBorder="1" applyAlignment="1">
      <alignment horizontal="center" vertical="center"/>
    </xf>
    <xf numFmtId="9" fontId="6" fillId="0" borderId="7" xfId="0" applyNumberFormat="1" applyFont="1" applyBorder="1" applyAlignment="1">
      <alignment horizontal="center" vertical="center"/>
    </xf>
    <xf numFmtId="0" fontId="5" fillId="0" borderId="0" xfId="0" quotePrefix="1" applyFont="1" applyAlignment="1">
      <alignment vertical="center" wrapText="1"/>
    </xf>
    <xf numFmtId="0" fontId="0" fillId="0" borderId="0" xfId="0" applyAlignment="1">
      <alignment horizontal="center"/>
    </xf>
    <xf numFmtId="2" fontId="4" fillId="0" borderId="7"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7" xfId="0" applyBorder="1" applyAlignment="1">
      <alignment horizontal="center" vertical="center"/>
    </xf>
    <xf numFmtId="1" fontId="0" fillId="0" borderId="7" xfId="0" applyNumberFormat="1" applyBorder="1" applyAlignment="1">
      <alignment horizontal="center" vertical="center"/>
    </xf>
    <xf numFmtId="1" fontId="6" fillId="0" borderId="0" xfId="0" applyNumberFormat="1" applyFont="1" applyAlignment="1">
      <alignment horizontal="center" vertical="center"/>
    </xf>
    <xf numFmtId="49" fontId="6" fillId="0" borderId="0" xfId="0" applyNumberFormat="1" applyFont="1" applyAlignment="1">
      <alignment horizontal="center" vertical="center"/>
    </xf>
    <xf numFmtId="0" fontId="6" fillId="0" borderId="0" xfId="0" applyFont="1" applyAlignment="1">
      <alignment horizontal="center" vertical="center"/>
    </xf>
    <xf numFmtId="9" fontId="6" fillId="0" borderId="0" xfId="0" applyNumberFormat="1" applyFont="1" applyAlignment="1">
      <alignment horizontal="center" vertical="center"/>
    </xf>
    <xf numFmtId="18" fontId="4" fillId="0" borderId="7" xfId="0" applyNumberFormat="1" applyFont="1" applyBorder="1" applyAlignment="1">
      <alignment horizontal="center" vertical="center"/>
    </xf>
    <xf numFmtId="18" fontId="6" fillId="0" borderId="7" xfId="0" applyNumberFormat="1" applyFont="1" applyBorder="1" applyAlignment="1">
      <alignment horizontal="center" vertical="center"/>
    </xf>
    <xf numFmtId="18" fontId="6" fillId="0" borderId="0" xfId="0" applyNumberFormat="1" applyFont="1" applyAlignment="1">
      <alignment horizontal="center" vertical="center"/>
    </xf>
    <xf numFmtId="18" fontId="0" fillId="4" borderId="0" xfId="0" applyNumberFormat="1" applyFill="1"/>
    <xf numFmtId="0" fontId="1" fillId="2" borderId="6" xfId="0" applyFont="1" applyFill="1" applyBorder="1"/>
    <xf numFmtId="0" fontId="0" fillId="3" borderId="4" xfId="0" applyFill="1" applyBorder="1"/>
    <xf numFmtId="14" fontId="0" fillId="3" borderId="5" xfId="0" applyNumberFormat="1" applyFill="1" applyBorder="1"/>
    <xf numFmtId="0" fontId="0" fillId="3" borderId="5" xfId="0" applyFill="1" applyBorder="1"/>
    <xf numFmtId="0" fontId="0" fillId="3" borderId="6" xfId="0" applyFill="1" applyBorder="1"/>
    <xf numFmtId="0" fontId="0" fillId="0" borderId="4" xfId="0" applyBorder="1"/>
    <xf numFmtId="14" fontId="0" fillId="0" borderId="5" xfId="0" applyNumberFormat="1" applyBorder="1"/>
    <xf numFmtId="0" fontId="0" fillId="0" borderId="5" xfId="0" applyBorder="1"/>
    <xf numFmtId="0" fontId="0" fillId="0" borderId="6" xfId="0" applyBorder="1"/>
    <xf numFmtId="14" fontId="0" fillId="0" borderId="2" xfId="0" applyNumberFormat="1" applyBorder="1"/>
    <xf numFmtId="0" fontId="0" fillId="0" borderId="7" xfId="0" applyBorder="1" applyAlignment="1">
      <alignment horizontal="left"/>
    </xf>
    <xf numFmtId="1" fontId="0" fillId="0" borderId="0" xfId="0" applyNumberFormat="1" applyAlignment="1">
      <alignment horizontal="left"/>
    </xf>
    <xf numFmtId="0" fontId="0" fillId="0" borderId="7" xfId="0" pivotButton="1" applyBorder="1"/>
    <xf numFmtId="1" fontId="0" fillId="0" borderId="7" xfId="0" applyNumberFormat="1" applyBorder="1" applyAlignment="1">
      <alignment horizontal="left"/>
    </xf>
    <xf numFmtId="1" fontId="0" fillId="0" borderId="7" xfId="0" applyNumberFormat="1" applyBorder="1"/>
    <xf numFmtId="0" fontId="0" fillId="0" borderId="7" xfId="0" pivotButton="1" applyBorder="1" applyAlignment="1">
      <alignment horizontal="center" vertical="center"/>
    </xf>
    <xf numFmtId="9" fontId="0" fillId="0" borderId="7" xfId="0" applyNumberFormat="1" applyBorder="1" applyAlignment="1">
      <alignment horizontal="center" vertical="center"/>
    </xf>
    <xf numFmtId="0" fontId="3" fillId="0" borderId="8" xfId="0" applyFont="1" applyBorder="1" applyAlignment="1">
      <alignment horizontal="center" vertical="center"/>
    </xf>
    <xf numFmtId="9" fontId="0" fillId="0" borderId="7" xfId="0" applyNumberFormat="1" applyBorder="1"/>
    <xf numFmtId="0" fontId="0" fillId="5" borderId="0" xfId="0" applyFill="1"/>
    <xf numFmtId="0" fontId="0" fillId="0" borderId="9" xfId="0" applyBorder="1" applyAlignment="1">
      <alignment horizontal="center" vertical="center"/>
    </xf>
    <xf numFmtId="166" fontId="0" fillId="0" borderId="7" xfId="0" applyNumberFormat="1" applyBorder="1" applyAlignment="1">
      <alignment horizontal="center" vertical="center"/>
    </xf>
    <xf numFmtId="167" fontId="0" fillId="0" borderId="0" xfId="0" applyNumberFormat="1"/>
    <xf numFmtId="0" fontId="0" fillId="0" borderId="10" xfId="0" pivotButton="1" applyBorder="1"/>
    <xf numFmtId="0" fontId="0" fillId="0" borderId="10" xfId="0" applyBorder="1"/>
    <xf numFmtId="14" fontId="0" fillId="0" borderId="0" xfId="0" applyNumberFormat="1" applyAlignment="1">
      <alignment horizontal="left"/>
    </xf>
    <xf numFmtId="18" fontId="6" fillId="0" borderId="11" xfId="0" applyNumberFormat="1" applyFont="1" applyBorder="1" applyAlignment="1">
      <alignment horizontal="center" vertical="center"/>
    </xf>
    <xf numFmtId="167" fontId="4" fillId="0" borderId="7" xfId="0" applyNumberFormat="1" applyFont="1" applyBorder="1" applyAlignment="1">
      <alignment horizontal="center" vertical="center"/>
    </xf>
    <xf numFmtId="167" fontId="6" fillId="0" borderId="7" xfId="0" applyNumberFormat="1" applyFont="1" applyBorder="1" applyAlignment="1">
      <alignment horizontal="center" vertical="center"/>
    </xf>
    <xf numFmtId="167" fontId="6" fillId="0" borderId="0" xfId="0" applyNumberFormat="1" applyFont="1" applyAlignment="1">
      <alignment horizontal="center" vertical="center"/>
    </xf>
    <xf numFmtId="167" fontId="0" fillId="0" borderId="0" xfId="0" applyNumberFormat="1" applyAlignment="1">
      <alignment horizontal="left"/>
    </xf>
    <xf numFmtId="167" fontId="0" fillId="0" borderId="7" xfId="0" applyNumberFormat="1" applyBorder="1" applyAlignment="1">
      <alignment horizontal="center" vertical="center"/>
    </xf>
    <xf numFmtId="0" fontId="0" fillId="0" borderId="10" xfId="0" applyBorder="1" applyAlignment="1">
      <alignment horizontal="center" vertical="center"/>
    </xf>
    <xf numFmtId="167" fontId="0" fillId="6" borderId="7" xfId="0" applyNumberFormat="1" applyFill="1" applyBorder="1" applyAlignment="1">
      <alignment horizontal="center" vertical="center"/>
    </xf>
    <xf numFmtId="0" fontId="0" fillId="6" borderId="7" xfId="0" applyFill="1" applyBorder="1" applyAlignment="1">
      <alignment horizontal="center" vertical="center"/>
    </xf>
    <xf numFmtId="0" fontId="0" fillId="0" borderId="7" xfId="0" applyBorder="1" applyAlignment="1">
      <alignment horizontal="center"/>
    </xf>
    <xf numFmtId="0" fontId="0" fillId="0" borderId="7" xfId="0" applyBorder="1" applyAlignment="1">
      <alignment horizontal="center" vertical="center"/>
    </xf>
  </cellXfs>
  <cellStyles count="1">
    <cellStyle name="Normal" xfId="0" builtinId="0"/>
  </cellStyles>
  <dxfs count="124">
    <dxf>
      <font>
        <color rgb="FF9C0006"/>
      </font>
      <fill>
        <patternFill>
          <bgColor rgb="FFFFC7CE"/>
        </patternFill>
      </fill>
    </dxf>
    <dxf>
      <font>
        <color rgb="FF9C0006"/>
      </font>
      <fill>
        <patternFill>
          <bgColor rgb="FFFFC7CE"/>
        </patternFill>
      </fill>
    </dxf>
    <dxf>
      <numFmt numFmtId="19" formatCode="dd/mm/yyyy"/>
    </dxf>
    <dxf>
      <alignment horizontal="center" vertical="center" textRotation="0" wrapText="0" indent="0" justifyLastLine="0" shrinkToFit="0" readingOrder="0"/>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 formatCode="0"/>
    </dxf>
    <dxf>
      <numFmt numFmtId="1" formatCode="0"/>
    </dxf>
    <dxf>
      <numFmt numFmtId="1" formatCode="0"/>
    </dxf>
    <dxf>
      <numFmt numFmtId="167" formatCode="[$-409]d/mmm;@"/>
    </dxf>
    <dxf>
      <numFmt numFmtId="167" formatCode="[$-409]d/mmm;@"/>
    </dxf>
    <dxf>
      <numFmt numFmtId="167" formatCode="[$-409]d/mmm;@"/>
    </dxf>
    <dxf>
      <fill>
        <gradientFill degree="270">
          <stop position="0">
            <color theme="9" tint="0.80001220740379042"/>
          </stop>
          <stop position="1">
            <color theme="9" tint="0.40000610370189521"/>
          </stop>
        </gradientFill>
      </fill>
    </dxf>
  </dxfs>
  <tableStyles count="5" defaultTableStyle="TableStyleMedium2" defaultPivotStyle="PivotStyleLight16">
    <tableStyle name="Slicer new" pivot="0" table="0" count="1" xr9:uid="{678FE74D-3A09-4A1D-BF04-D71E6DCD6C4B}"/>
    <tableStyle name="Slicer Style 1" pivot="0" table="0" count="1" xr9:uid="{5197A739-F012-4E48-ACAE-C4D94467198E}">
      <tableStyleElement type="headerRow" dxfId="123"/>
    </tableStyle>
    <tableStyle name="Slicer Style 2" pivot="0" table="0" count="0" xr9:uid="{46A522B7-D94C-4B59-BF15-4F8E15E0493C}"/>
    <tableStyle name="Slicer Style 3" pivot="0" table="0" count="1" xr9:uid="{AA3E5B2D-08B8-45AA-97F2-14BDED4DC229}"/>
    <tableStyle name="Slicer Style 4" pivot="0" table="0" count="1" xr9:uid="{D81DCB6C-D7ED-4F7B-A651-9FDF0A004AA5}"/>
  </tableStyles>
  <extLst>
    <ext xmlns:x14="http://schemas.microsoft.com/office/spreadsheetml/2009/9/main" uri="{46F421CA-312F-682f-3DD2-61675219B42D}">
      <x14:dxfs count="3">
        <dxf>
          <fill>
            <patternFill>
              <bgColor theme="9" tint="0.39994506668294322"/>
            </patternFill>
          </fill>
        </dxf>
        <dxf>
          <fill>
            <gradientFill degree="90">
              <stop position="0">
                <color theme="9" tint="0.80001220740379042"/>
              </stop>
              <stop position="1">
                <color theme="9" tint="0.40000610370189521"/>
              </stop>
            </gradientFill>
          </fill>
        </dxf>
        <dxf>
          <fill>
            <gradientFill degree="270">
              <stop position="0">
                <color theme="9" tint="0.59999389629810485"/>
              </stop>
              <stop position="1">
                <color theme="9" tint="-0.25098422193060094"/>
              </stop>
            </gradientFill>
          </fill>
        </dxf>
      </x14:dxfs>
    </ext>
    <ext xmlns:x14="http://schemas.microsoft.com/office/spreadsheetml/2009/9/main" uri="{EB79DEF2-80B8-43e5-95BD-54CBDDF9020C}">
      <x14:slicerStyles defaultSlicerStyle="Slicer new">
        <x14:slicerStyle name="Slicer new">
          <x14:slicerStyleElements>
            <x14:slicerStyleElement type="selectedItemWithData" dxfId="2"/>
          </x14:slicerStyleElements>
        </x14:slicerStyle>
        <x14:slicerStyle name="Slicer Style 1"/>
        <x14:slicerStyle name="Slicer Style 2"/>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[dashboard.xlsx]pivot!rider trend</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rgbClr val="002060"/>
                </a:solidFill>
                <a:latin typeface="Aptos Narrow" panose="020B0004020202020204" pitchFamily="34" charset="0"/>
              </a:rPr>
              <a:t>RIDERS</a:t>
            </a:r>
            <a:r>
              <a:rPr lang="en-US" baseline="0">
                <a:solidFill>
                  <a:srgbClr val="002060"/>
                </a:solidFill>
                <a:latin typeface="Aptos Narrow" panose="020B0004020202020204" pitchFamily="34" charset="0"/>
              </a:rPr>
              <a:t> TREND</a:t>
            </a:r>
            <a:endParaRPr lang="en-US">
              <a:solidFill>
                <a:srgbClr val="002060"/>
              </a:solidFill>
              <a:latin typeface="Aptos Narrow" panose="020B0004020202020204" pitchFamily="34" charset="0"/>
            </a:endParaRPr>
          </a:p>
        </c:rich>
      </c:tx>
      <c:layout>
        <c:manualLayout>
          <c:xMode val="edge"/>
          <c:yMode val="edge"/>
          <c:x val="0.38724075844979511"/>
          <c:y val="7.042253521126760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lumMod val="50000"/>
              </a:schemeClr>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c:f>
              <c:strCache>
                <c:ptCount val="1"/>
                <c:pt idx="0">
                  <c:v>Total</c:v>
                </c:pt>
              </c:strCache>
            </c:strRef>
          </c:tx>
          <c:spPr>
            <a:ln w="22225" cap="rnd">
              <a:solidFill>
                <a:schemeClr val="accent6">
                  <a:lumMod val="50000"/>
                </a:schemeClr>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pivot!$A$5:$A$50</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pivot!$B$5:$B$50</c:f>
              <c:numCache>
                <c:formatCode>0</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1D97-424D-B868-9A675F38991F}"/>
            </c:ext>
          </c:extLst>
        </c:ser>
        <c:dLbls>
          <c:dLblPos val="t"/>
          <c:showLegendKey val="0"/>
          <c:showVal val="1"/>
          <c:showCatName val="0"/>
          <c:showSerName val="0"/>
          <c:showPercent val="0"/>
          <c:showBubbleSize val="0"/>
        </c:dLbls>
        <c:marker val="1"/>
        <c:smooth val="0"/>
        <c:axId val="546677088"/>
        <c:axId val="546673848"/>
      </c:lineChart>
      <c:catAx>
        <c:axId val="546677088"/>
        <c:scaling>
          <c:orientation val="minMax"/>
        </c:scaling>
        <c:delete val="0"/>
        <c:axPos val="b"/>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800" b="0" i="0" u="none" strike="noStrike" kern="1200" baseline="0">
                <a:solidFill>
                  <a:schemeClr val="accent5">
                    <a:lumMod val="75000"/>
                  </a:schemeClr>
                </a:solidFill>
                <a:latin typeface="Aptos Display" panose="020B0004020202020204" pitchFamily="34" charset="0"/>
                <a:ea typeface="+mn-ea"/>
                <a:cs typeface="+mn-cs"/>
              </a:defRPr>
            </a:pPr>
            <a:endParaRPr lang="en-US"/>
          </a:p>
        </c:txPr>
        <c:crossAx val="546673848"/>
        <c:crosses val="autoZero"/>
        <c:auto val="1"/>
        <c:lblAlgn val="ctr"/>
        <c:lblOffset val="100"/>
        <c:noMultiLvlLbl val="0"/>
      </c:catAx>
      <c:valAx>
        <c:axId val="546673848"/>
        <c:scaling>
          <c:orientation val="minMax"/>
        </c:scaling>
        <c:delete val="0"/>
        <c:axPos val="l"/>
        <c:numFmt formatCode="0"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54667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6">
          <a:lumMod val="50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[dashboard.xlsx]pivot!weather</c:name>
    <c:fmtId val="11"/>
  </c:pivotSource>
  <c:chart>
    <c:title>
      <c:tx>
        <c:rich>
          <a:bodyPr rot="0" spcFirstLastPara="1" vertOverflow="ellipsis" vert="horz" wrap="square" anchor="ctr" anchorCtr="1"/>
          <a:lstStyle/>
          <a:p>
            <a:pPr>
              <a:defRPr sz="1400" b="1" i="0" u="none" strike="noStrike" kern="1200" cap="none" baseline="0">
                <a:solidFill>
                  <a:schemeClr val="accent5">
                    <a:lumMod val="50000"/>
                  </a:schemeClr>
                </a:solidFill>
                <a:latin typeface="Aptos Display" panose="020B0004020202020204" pitchFamily="34" charset="0"/>
                <a:ea typeface="+mn-ea"/>
                <a:cs typeface="+mn-cs"/>
              </a:defRPr>
            </a:pPr>
            <a:r>
              <a:rPr lang="en-IN" sz="1400" b="1">
                <a:solidFill>
                  <a:schemeClr val="accent5">
                    <a:lumMod val="50000"/>
                  </a:schemeClr>
                </a:solidFill>
                <a:latin typeface="Aptos Narrow" panose="020B0004020202020204" pitchFamily="34" charset="0"/>
              </a:rPr>
              <a:t>DEMAND</a:t>
            </a:r>
            <a:r>
              <a:rPr lang="en-IN" sz="1400" b="1" baseline="0">
                <a:solidFill>
                  <a:schemeClr val="accent5">
                    <a:lumMod val="50000"/>
                  </a:schemeClr>
                </a:solidFill>
                <a:latin typeface="Aptos Narrow" panose="020B0004020202020204" pitchFamily="34" charset="0"/>
              </a:rPr>
              <a:t> BY WEATHER CONDITION</a:t>
            </a:r>
            <a:endParaRPr lang="en-IN" sz="1400" b="1">
              <a:solidFill>
                <a:schemeClr val="accent5">
                  <a:lumMod val="50000"/>
                </a:schemeClr>
              </a:solidFill>
              <a:latin typeface="Aptos Narrow" panose="020B0004020202020204" pitchFamily="34" charset="0"/>
            </a:endParaRPr>
          </a:p>
        </c:rich>
      </c:tx>
      <c:layout>
        <c:manualLayout>
          <c:xMode val="edge"/>
          <c:yMode val="edge"/>
          <c:x val="0.12212641449228542"/>
          <c:y val="6.463369934767811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5">
                  <a:lumMod val="50000"/>
                </a:schemeClr>
              </a:solidFill>
              <a:latin typeface="Aptos Display" panose="020B0004020202020204" pitchFamily="34" charset="0"/>
              <a:ea typeface="+mn-ea"/>
              <a:cs typeface="+mn-cs"/>
            </a:defRPr>
          </a:pPr>
          <a:endParaRPr lang="en-IN"/>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64431494329864"/>
          <c:y val="0.27547713614202929"/>
          <c:w val="0.82748534092812864"/>
          <c:h val="0.59434193200597396"/>
        </c:manualLayout>
      </c:layout>
      <c:barChart>
        <c:barDir val="col"/>
        <c:grouping val="clustered"/>
        <c:varyColors val="0"/>
        <c:ser>
          <c:idx val="0"/>
          <c:order val="0"/>
          <c:tx>
            <c:strRef>
              <c:f>pivot!$E$4</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pivot!$D$5:$D$9</c:f>
              <c:strCache>
                <c:ptCount val="4"/>
                <c:pt idx="0">
                  <c:v>Clear</c:v>
                </c:pt>
                <c:pt idx="1">
                  <c:v>Mist</c:v>
                </c:pt>
                <c:pt idx="2">
                  <c:v>Rain</c:v>
                </c:pt>
                <c:pt idx="3">
                  <c:v>Storm</c:v>
                </c:pt>
              </c:strCache>
            </c:strRef>
          </c:cat>
          <c:val>
            <c:numRef>
              <c:f>pivot!$E$5:$E$9</c:f>
              <c:numCache>
                <c:formatCode>0</c:formatCode>
                <c:ptCount val="4"/>
                <c:pt idx="0">
                  <c:v>37373</c:v>
                </c:pt>
                <c:pt idx="1">
                  <c:v>18106</c:v>
                </c:pt>
                <c:pt idx="2">
                  <c:v>2789</c:v>
                </c:pt>
                <c:pt idx="3">
                  <c:v>36</c:v>
                </c:pt>
              </c:numCache>
            </c:numRef>
          </c:val>
          <c:extLst>
            <c:ext xmlns:c16="http://schemas.microsoft.com/office/drawing/2014/chart" uri="{C3380CC4-5D6E-409C-BE32-E72D297353CC}">
              <c16:uniqueId val="{00000000-B2A8-44C1-8D84-862F448514BE}"/>
            </c:ext>
          </c:extLst>
        </c:ser>
        <c:dLbls>
          <c:dLblPos val="outEnd"/>
          <c:showLegendKey val="0"/>
          <c:showVal val="1"/>
          <c:showCatName val="0"/>
          <c:showSerName val="0"/>
          <c:showPercent val="0"/>
          <c:showBubbleSize val="0"/>
        </c:dLbls>
        <c:gapWidth val="315"/>
        <c:overlap val="-40"/>
        <c:axId val="588934456"/>
        <c:axId val="588931216"/>
      </c:barChart>
      <c:catAx>
        <c:axId val="588934456"/>
        <c:scaling>
          <c:orientation val="minMax"/>
        </c:scaling>
        <c:delete val="0"/>
        <c:axPos val="b"/>
        <c:numFmt formatCode="General" sourceLinked="1"/>
        <c:majorTickMark val="none"/>
        <c:minorTickMark val="none"/>
        <c:tickLblPos val="nextTo"/>
        <c:spPr>
          <a:noFill/>
          <a:ln>
            <a:solidFill>
              <a:srgbClr val="002060"/>
            </a:solid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88931216"/>
        <c:crosses val="autoZero"/>
        <c:auto val="1"/>
        <c:lblAlgn val="ctr"/>
        <c:lblOffset val="100"/>
        <c:noMultiLvlLbl val="0"/>
      </c:catAx>
      <c:valAx>
        <c:axId val="588931216"/>
        <c:scaling>
          <c:orientation val="minMax"/>
        </c:scaling>
        <c:delete val="0"/>
        <c:axPos val="l"/>
        <c:numFmt formatCode="0" sourceLinked="1"/>
        <c:majorTickMark val="none"/>
        <c:minorTickMark val="none"/>
        <c:tickLblPos val="nextTo"/>
        <c:spPr>
          <a:noFill/>
          <a:ln>
            <a:solidFill>
              <a:srgbClr val="002060"/>
            </a:solid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889344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6">
          <a:lumMod val="50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r>
              <a:rPr lang="en-IN" sz="1400" b="1">
                <a:solidFill>
                  <a:schemeClr val="accent5">
                    <a:lumMod val="50000"/>
                  </a:schemeClr>
                </a:solidFill>
                <a:latin typeface="Aptos Narrow" panose="020B0004020202020204" pitchFamily="34" charset="0"/>
              </a:rPr>
              <a:t>DEMAND</a:t>
            </a:r>
            <a:r>
              <a:rPr lang="en-IN" sz="1400" b="1" baseline="0">
                <a:solidFill>
                  <a:schemeClr val="accent5">
                    <a:lumMod val="50000"/>
                  </a:schemeClr>
                </a:solidFill>
                <a:latin typeface="Aptos Narrow" panose="020B0004020202020204" pitchFamily="34" charset="0"/>
              </a:rPr>
              <a:t> BY HOURS</a:t>
            </a:r>
            <a:endParaRPr lang="en-IN" sz="1400" b="1">
              <a:solidFill>
                <a:schemeClr val="accent5">
                  <a:lumMod val="50000"/>
                </a:schemeClr>
              </a:solidFill>
              <a:latin typeface="Aptos Narrow" panose="020B0004020202020204" pitchFamily="34" charset="0"/>
            </a:endParaRPr>
          </a:p>
        </c:rich>
      </c:tx>
      <c:layout>
        <c:manualLayout>
          <c:xMode val="edge"/>
          <c:yMode val="edge"/>
          <c:x val="0.26090683983550916"/>
          <c:y val="5.731968245519096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12273102648541327"/>
          <c:y val="0.16022331012525776"/>
          <c:w val="0.82300111573055956"/>
          <c:h val="0.64355865885879715"/>
        </c:manualLayout>
      </c:layout>
      <c:barChart>
        <c:barDir val="bar"/>
        <c:grouping val="stacked"/>
        <c:varyColors val="0"/>
        <c:ser>
          <c:idx val="0"/>
          <c:order val="0"/>
          <c:tx>
            <c:strRef>
              <c:f>pivot!$L$4</c:f>
              <c:strCache>
                <c:ptCount val="1"/>
                <c:pt idx="0">
                  <c:v>High</c:v>
                </c:pt>
              </c:strCache>
            </c:strRef>
          </c:tx>
          <c:spPr>
            <a:solidFill>
              <a:schemeClr val="accent5"/>
            </a:solidFill>
            <a:ln>
              <a:noFill/>
            </a:ln>
            <a:effectLst>
              <a:outerShdw blurRad="57150" dist="19050" dir="5400000" algn="ctr" rotWithShape="0">
                <a:srgbClr val="000000">
                  <a:alpha val="63000"/>
                </a:srgbClr>
              </a:outerShdw>
            </a:effectLst>
          </c:spPr>
          <c:invertIfNegative val="0"/>
          <c:dLbls>
            <c:dLbl>
              <c:idx val="13"/>
              <c:layout>
                <c:manualLayout>
                  <c:x val="0.265011778399506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11-438F-944C-F72CC3C95BE4}"/>
                </c:ext>
              </c:extLst>
            </c:dLbl>
            <c:dLbl>
              <c:idx val="15"/>
              <c:layout>
                <c:manualLayout>
                  <c:x val="0.40874698024330647"/>
                  <c:y val="4.562268804025194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11-438F-944C-F72CC3C95BE4}"/>
                </c:ext>
              </c:extLst>
            </c:dLbl>
            <c:dLbl>
              <c:idx val="17"/>
              <c:layout>
                <c:manualLayout>
                  <c:x val="0.35484627955188147"/>
                  <c:y val="-4.97707800844770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11-438F-944C-F72CC3C95BE4}"/>
                </c:ext>
              </c:extLst>
            </c:dLbl>
            <c:dLbl>
              <c:idx val="19"/>
              <c:layout>
                <c:manualLayout>
                  <c:x val="0.2515366032266500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11-438F-944C-F72CC3C95BE4}"/>
                </c:ext>
              </c:extLst>
            </c:dLbl>
            <c:dLbl>
              <c:idx val="20"/>
              <c:layout>
                <c:manualLayout>
                  <c:x val="0.35933800460950022"/>
                  <c:y val="-4.562268804025194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11-438F-944C-F72CC3C95BE4}"/>
                </c:ext>
              </c:extLst>
            </c:dLbl>
            <c:dLbl>
              <c:idx val="22"/>
              <c:layout>
                <c:manualLayout>
                  <c:x val="0.2560283282842688"/>
                  <c:y val="-2.2811344020125972E-17"/>
                </c:manualLayout>
              </c:layout>
              <c:tx>
                <c:rich>
                  <a:bodyPr/>
                  <a:lstStyle/>
                  <a:p>
                    <a:fld id="{9BBD71B1-1505-4904-A869-B8C5AE92F888}" type="VALUE">
                      <a:rPr lang="en-US" b="1">
                        <a:solidFill>
                          <a:schemeClr val="accent5">
                            <a:lumMod val="50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C11-438F-944C-F72CC3C95B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pivot!$K$5:$K$28</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pivot!$L$5:$L$28</c:f>
              <c:numCache>
                <c:formatCode>General</c:formatCode>
                <c:ptCount val="24"/>
                <c:pt idx="1">
                  <c:v>0</c:v>
                </c:pt>
                <c:pt idx="2">
                  <c:v>0</c:v>
                </c:pt>
                <c:pt idx="3">
                  <c:v>0</c:v>
                </c:pt>
                <c:pt idx="4">
                  <c:v>0</c:v>
                </c:pt>
                <c:pt idx="5">
                  <c:v>0</c:v>
                </c:pt>
                <c:pt idx="6">
                  <c:v>0</c:v>
                </c:pt>
                <c:pt idx="7">
                  <c:v>0</c:v>
                </c:pt>
                <c:pt idx="8">
                  <c:v>0</c:v>
                </c:pt>
                <c:pt idx="9">
                  <c:v>0</c:v>
                </c:pt>
                <c:pt idx="10">
                  <c:v>0</c:v>
                </c:pt>
                <c:pt idx="11">
                  <c:v>0</c:v>
                </c:pt>
                <c:pt idx="12">
                  <c:v>0</c:v>
                </c:pt>
                <c:pt idx="13">
                  <c:v>3928</c:v>
                </c:pt>
                <c:pt idx="14">
                  <c:v>0</c:v>
                </c:pt>
                <c:pt idx="15">
                  <c:v>6169</c:v>
                </c:pt>
                <c:pt idx="16">
                  <c:v>0</c:v>
                </c:pt>
                <c:pt idx="17">
                  <c:v>5283</c:v>
                </c:pt>
                <c:pt idx="18">
                  <c:v>0</c:v>
                </c:pt>
                <c:pt idx="19">
                  <c:v>3661</c:v>
                </c:pt>
                <c:pt idx="20">
                  <c:v>5388</c:v>
                </c:pt>
                <c:pt idx="21">
                  <c:v>0</c:v>
                </c:pt>
                <c:pt idx="22">
                  <c:v>3672</c:v>
                </c:pt>
                <c:pt idx="23">
                  <c:v>0</c:v>
                </c:pt>
              </c:numCache>
            </c:numRef>
          </c:val>
          <c:extLst>
            <c:ext xmlns:c16="http://schemas.microsoft.com/office/drawing/2014/chart" uri="{C3380CC4-5D6E-409C-BE32-E72D297353CC}">
              <c16:uniqueId val="{00000006-3C11-438F-944C-F72CC3C95BE4}"/>
            </c:ext>
          </c:extLst>
        </c:ser>
        <c:ser>
          <c:idx val="1"/>
          <c:order val="1"/>
          <c:tx>
            <c:strRef>
              <c:f>pivot!$M$4</c:f>
              <c:strCache>
                <c:ptCount val="1"/>
                <c:pt idx="0">
                  <c:v>Moderate</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dLbls>
            <c:dLbl>
              <c:idx val="1"/>
              <c:layout>
                <c:manualLayout>
                  <c:x val="0.23806142805379388"/>
                  <c:y val="-2.488539004223762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11-438F-944C-F72CC3C95BE4}"/>
                </c:ext>
              </c:extLst>
            </c:dLbl>
            <c:dLbl>
              <c:idx val="2"/>
              <c:layout>
                <c:manualLayout>
                  <c:x val="0.16843968966070322"/>
                  <c:y val="-7.4656170126715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11-438F-944C-F72CC3C95BE4}"/>
                </c:ext>
              </c:extLst>
            </c:dLbl>
            <c:dLbl>
              <c:idx val="3"/>
              <c:layout>
                <c:manualLayout>
                  <c:x val="0.1347517517285626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C11-438F-944C-F72CC3C95BE4}"/>
                </c:ext>
              </c:extLst>
            </c:dLbl>
            <c:dLbl>
              <c:idx val="4"/>
              <c:layout>
                <c:manualLayout>
                  <c:x val="0.179669002304750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11-438F-944C-F72CC3C95BE4}"/>
                </c:ext>
              </c:extLst>
            </c:dLbl>
            <c:dLbl>
              <c:idx val="5"/>
              <c:layout>
                <c:manualLayout>
                  <c:x val="9.2080363681184427E-2"/>
                  <c:y val="-9.12453760805038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11-438F-944C-F72CC3C95BE4}"/>
                </c:ext>
              </c:extLst>
            </c:dLbl>
            <c:dLbl>
              <c:idx val="7"/>
              <c:layout>
                <c:manualLayout>
                  <c:x val="0.2358155655249845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C11-438F-944C-F72CC3C95BE4}"/>
                </c:ext>
              </c:extLst>
            </c:dLbl>
            <c:dLbl>
              <c:idx val="9"/>
              <c:layout>
                <c:manualLayout>
                  <c:x val="0.22683211540974701"/>
                  <c:y val="-9.12453760805038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C11-438F-944C-F72CC3C95BE4}"/>
                </c:ext>
              </c:extLst>
            </c:dLbl>
            <c:dLbl>
              <c:idx val="11"/>
              <c:layout>
                <c:manualLayout>
                  <c:x val="0.23581556552498451"/>
                  <c:y val="2.48853900422385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11-438F-944C-F72CC3C95BE4}"/>
                </c:ext>
              </c:extLst>
            </c:dLbl>
            <c:dLbl>
              <c:idx val="16"/>
              <c:layout>
                <c:manualLayout>
                  <c:x val="7.635932597951879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11-438F-944C-F72CC3C95BE4}"/>
                </c:ext>
              </c:extLst>
            </c:dLbl>
            <c:dLbl>
              <c:idx val="18"/>
              <c:layout>
                <c:manualLayout>
                  <c:x val="0.1729314147183220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C11-438F-944C-F72CC3C95BE4}"/>
                </c:ext>
              </c:extLst>
            </c:dLbl>
            <c:dLbl>
              <c:idx val="21"/>
              <c:layout>
                <c:manualLayout>
                  <c:x val="0.1998817650640344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C11-438F-944C-F72CC3C95BE4}"/>
                </c:ext>
              </c:extLst>
            </c:dLbl>
            <c:dLbl>
              <c:idx val="23"/>
              <c:layout>
                <c:manualLayout>
                  <c:x val="0.14822692690141875"/>
                  <c:y val="-4.977078008447708E-3"/>
                </c:manualLayout>
              </c:layout>
              <c:tx>
                <c:rich>
                  <a:bodyPr/>
                  <a:lstStyle/>
                  <a:p>
                    <a:fld id="{60760451-62F5-4798-9A3F-EC6E80A4DC0B}" type="VALUE">
                      <a:rPr lang="en-US">
                        <a:solidFill>
                          <a:schemeClr val="accent5">
                            <a:lumMod val="50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3C11-438F-944C-F72CC3C95B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pivot!$K$5:$K$28</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pivot!$M$5:$M$28</c:f>
              <c:numCache>
                <c:formatCode>General</c:formatCode>
                <c:ptCount val="24"/>
                <c:pt idx="0">
                  <c:v>0</c:v>
                </c:pt>
                <c:pt idx="1">
                  <c:v>3376</c:v>
                </c:pt>
                <c:pt idx="2">
                  <c:v>2253</c:v>
                </c:pt>
                <c:pt idx="3">
                  <c:v>1508</c:v>
                </c:pt>
                <c:pt idx="4">
                  <c:v>2494</c:v>
                </c:pt>
                <c:pt idx="5">
                  <c:v>1083</c:v>
                </c:pt>
                <c:pt idx="6">
                  <c:v>0</c:v>
                </c:pt>
                <c:pt idx="7">
                  <c:v>3283</c:v>
                </c:pt>
                <c:pt idx="8">
                  <c:v>0</c:v>
                </c:pt>
                <c:pt idx="9">
                  <c:v>3200</c:v>
                </c:pt>
                <c:pt idx="10">
                  <c:v>0</c:v>
                </c:pt>
                <c:pt idx="11">
                  <c:v>3352</c:v>
                </c:pt>
                <c:pt idx="12">
                  <c:v>0</c:v>
                </c:pt>
                <c:pt idx="13">
                  <c:v>0</c:v>
                </c:pt>
                <c:pt idx="14">
                  <c:v>0</c:v>
                </c:pt>
                <c:pt idx="15">
                  <c:v>0</c:v>
                </c:pt>
                <c:pt idx="16">
                  <c:v>822</c:v>
                </c:pt>
                <c:pt idx="17">
                  <c:v>0</c:v>
                </c:pt>
                <c:pt idx="18">
                  <c:v>2339</c:v>
                </c:pt>
                <c:pt idx="19">
                  <c:v>0</c:v>
                </c:pt>
                <c:pt idx="20">
                  <c:v>0</c:v>
                </c:pt>
                <c:pt idx="21">
                  <c:v>2656</c:v>
                </c:pt>
                <c:pt idx="22">
                  <c:v>0</c:v>
                </c:pt>
                <c:pt idx="23">
                  <c:v>1996</c:v>
                </c:pt>
              </c:numCache>
            </c:numRef>
          </c:val>
          <c:extLst>
            <c:ext xmlns:c16="http://schemas.microsoft.com/office/drawing/2014/chart" uri="{C3380CC4-5D6E-409C-BE32-E72D297353CC}">
              <c16:uniqueId val="{00000013-3C11-438F-944C-F72CC3C95BE4}"/>
            </c:ext>
          </c:extLst>
        </c:ser>
        <c:ser>
          <c:idx val="2"/>
          <c:order val="2"/>
          <c:tx>
            <c:strRef>
              <c:f>pivot!$N$4</c:f>
              <c:strCache>
                <c:ptCount val="1"/>
                <c:pt idx="0">
                  <c:v>Low</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dLbl>
              <c:idx val="0"/>
              <c:layout>
                <c:manualLayout>
                  <c:x val="5.3900700691425031E-2"/>
                  <c:y val="-2.48853900422385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C11-438F-944C-F72CC3C95BE4}"/>
                </c:ext>
              </c:extLst>
            </c:dLbl>
            <c:dLbl>
              <c:idx val="6"/>
              <c:layout>
                <c:manualLayout>
                  <c:x val="6.7375875864281287E-2"/>
                  <c:y val="-9.12453760805038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C11-438F-944C-F72CC3C95BE4}"/>
                </c:ext>
              </c:extLst>
            </c:dLbl>
            <c:dLbl>
              <c:idx val="8"/>
              <c:layout>
                <c:manualLayout>
                  <c:x val="4.940897563380627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C11-438F-944C-F72CC3C95BE4}"/>
                </c:ext>
              </c:extLst>
            </c:dLbl>
            <c:dLbl>
              <c:idx val="10"/>
              <c:layout>
                <c:manualLayout>
                  <c:x val="4.71631131049969E-2"/>
                  <c:y val="-2.48853900422385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C11-438F-944C-F72CC3C95BE4}"/>
                </c:ext>
              </c:extLst>
            </c:dLbl>
            <c:dLbl>
              <c:idx val="12"/>
              <c:layout>
                <c:manualLayout>
                  <c:x val="3.8179662989759396E-2"/>
                  <c:y val="-9.12453760805038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3C11-438F-944C-F72CC3C95BE4}"/>
                </c:ext>
              </c:extLst>
            </c:dLbl>
            <c:dLbl>
              <c:idx val="14"/>
              <c:layout>
                <c:manualLayout>
                  <c:x val="5.39007006914250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3C11-438F-944C-F72CC3C95B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pivot!$K$5:$K$28</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pivot!$N$5:$N$28</c:f>
              <c:numCache>
                <c:formatCode>General</c:formatCode>
                <c:ptCount val="24"/>
                <c:pt idx="0">
                  <c:v>460</c:v>
                </c:pt>
                <c:pt idx="1">
                  <c:v>0</c:v>
                </c:pt>
                <c:pt idx="2">
                  <c:v>0</c:v>
                </c:pt>
                <c:pt idx="3">
                  <c:v>0</c:v>
                </c:pt>
                <c:pt idx="4">
                  <c:v>0</c:v>
                </c:pt>
                <c:pt idx="5">
                  <c:v>0</c:v>
                </c:pt>
                <c:pt idx="6">
                  <c:v>703</c:v>
                </c:pt>
                <c:pt idx="7">
                  <c:v>0</c:v>
                </c:pt>
                <c:pt idx="8">
                  <c:v>294</c:v>
                </c:pt>
                <c:pt idx="9">
                  <c:v>0</c:v>
                </c:pt>
                <c:pt idx="10">
                  <c:v>151</c:v>
                </c:pt>
                <c:pt idx="11">
                  <c:v>0</c:v>
                </c:pt>
                <c:pt idx="12">
                  <c:v>69</c:v>
                </c:pt>
                <c:pt idx="13">
                  <c:v>0</c:v>
                </c:pt>
                <c:pt idx="14">
                  <c:v>164</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1A-3C11-438F-944C-F72CC3C95BE4}"/>
            </c:ext>
          </c:extLst>
        </c:ser>
        <c:dLbls>
          <c:showLegendKey val="0"/>
          <c:showVal val="0"/>
          <c:showCatName val="0"/>
          <c:showSerName val="0"/>
          <c:showPercent val="0"/>
          <c:showBubbleSize val="0"/>
        </c:dLbls>
        <c:gapWidth val="150"/>
        <c:overlap val="100"/>
        <c:axId val="561847784"/>
        <c:axId val="561846704"/>
      </c:barChart>
      <c:catAx>
        <c:axId val="561847784"/>
        <c:scaling>
          <c:orientation val="minMax"/>
        </c:scaling>
        <c:delete val="0"/>
        <c:axPos val="l"/>
        <c:numFmt formatCode="General" sourceLinked="1"/>
        <c:majorTickMark val="none"/>
        <c:minorTickMark val="none"/>
        <c:tickLblPos val="nextTo"/>
        <c:spPr>
          <a:noFill/>
          <a:ln w="12700" cap="flat" cmpd="sng" algn="ctr">
            <a:solidFill>
              <a:schemeClr val="accent6">
                <a:lumMod val="50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61846704"/>
        <c:crosses val="autoZero"/>
        <c:auto val="1"/>
        <c:lblAlgn val="ctr"/>
        <c:lblOffset val="100"/>
        <c:noMultiLvlLbl val="0"/>
      </c:catAx>
      <c:valAx>
        <c:axId val="561846704"/>
        <c:scaling>
          <c:orientation val="minMax"/>
        </c:scaling>
        <c:delete val="0"/>
        <c:axPos val="b"/>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561847784"/>
        <c:crosses val="autoZero"/>
        <c:crossBetween val="between"/>
      </c:valAx>
      <c:spPr>
        <a:noFill/>
        <a:ln>
          <a:noFill/>
        </a:ln>
        <a:effectLst/>
      </c:spPr>
    </c:plotArea>
    <c:legend>
      <c:legendPos val="b"/>
      <c:layout>
        <c:manualLayout>
          <c:xMode val="edge"/>
          <c:yMode val="edge"/>
          <c:x val="0.27517851910594388"/>
          <c:y val="0.88170582160836453"/>
          <c:w val="0.41023555346131357"/>
          <c:h val="5.2720407899832192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chart>
  <c:spPr>
    <a:solidFill>
      <a:schemeClr val="accent6">
        <a:lumMod val="60000"/>
        <a:lumOff val="40000"/>
      </a:schemeClr>
    </a:solidFill>
    <a:ln>
      <a:solidFill>
        <a:schemeClr val="accent6">
          <a:lumMod val="50000"/>
        </a:schemeClr>
      </a:solid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accent5">
                    <a:lumMod val="50000"/>
                  </a:schemeClr>
                </a:solidFill>
                <a:latin typeface="Aptos Narrow" panose="020B0004020202020204" pitchFamily="34" charset="0"/>
              </a:rPr>
              <a:t>RIDER</a:t>
            </a:r>
            <a:r>
              <a:rPr lang="en-US" baseline="0">
                <a:solidFill>
                  <a:schemeClr val="accent5">
                    <a:lumMod val="50000"/>
                  </a:schemeClr>
                </a:solidFill>
                <a:latin typeface="Aptos Narrow" panose="020B0004020202020204" pitchFamily="34" charset="0"/>
              </a:rPr>
              <a:t> TYPE</a:t>
            </a:r>
            <a:endParaRPr lang="en-US">
              <a:solidFill>
                <a:schemeClr val="accent5">
                  <a:lumMod val="50000"/>
                </a:schemeClr>
              </a:solidFill>
              <a:latin typeface="Aptos Narrow" panose="020B0004020202020204" pitchFamily="34" charset="0"/>
            </a:endParaRPr>
          </a:p>
        </c:rich>
      </c:tx>
      <c:layout>
        <c:manualLayout>
          <c:xMode val="edge"/>
          <c:yMode val="edge"/>
          <c:x val="0.3249812867906911"/>
          <c:y val="5.062716601563754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395265289988815"/>
          <c:y val="0.22481964377701269"/>
          <c:w val="0.33688935023506339"/>
          <c:h val="0.57416077003353017"/>
        </c:manualLayout>
      </c:layout>
      <c:doughnutChart>
        <c:varyColors val="1"/>
        <c:ser>
          <c:idx val="0"/>
          <c:order val="0"/>
          <c:tx>
            <c:strRef>
              <c:f>pivot!$U$3</c:f>
              <c:strCache>
                <c:ptCount val="1"/>
                <c:pt idx="0">
                  <c:v>Count</c:v>
                </c:pt>
              </c:strCache>
            </c:strRef>
          </c:tx>
          <c:spPr>
            <a:solidFill>
              <a:schemeClr val="accent1">
                <a:lumMod val="50000"/>
              </a:schemeClr>
            </a:solidFill>
          </c:spPr>
          <c:dPt>
            <c:idx val="0"/>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EF2-4E15-A0E7-C1F3899173B6}"/>
              </c:ext>
            </c:extLst>
          </c:dPt>
          <c:dPt>
            <c:idx val="1"/>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EF2-4E15-A0E7-C1F3899173B6}"/>
              </c:ext>
            </c:extLst>
          </c:dPt>
          <c:dLbls>
            <c:dLbl>
              <c:idx val="0"/>
              <c:tx>
                <c:rich>
                  <a:bodyPr/>
                  <a:lstStyle/>
                  <a:p>
                    <a:fld id="{326DD865-7A78-4B55-A8FC-E949C1DB440F}" type="PERCENTAGE">
                      <a:rPr lang="en-US">
                        <a:solidFill>
                          <a:schemeClr val="accent5">
                            <a:lumMod val="50000"/>
                          </a:schemeClr>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EF2-4E15-A0E7-C1F3899173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pivot!$T$4:$T$5</c:f>
              <c:strCache>
                <c:ptCount val="2"/>
                <c:pt idx="0">
                  <c:v>Casual</c:v>
                </c:pt>
                <c:pt idx="1">
                  <c:v>Registered</c:v>
                </c:pt>
              </c:strCache>
            </c:strRef>
          </c:cat>
          <c:val>
            <c:numRef>
              <c:f>pivot!$U$4:$U$5</c:f>
              <c:numCache>
                <c:formatCode>0</c:formatCode>
                <c:ptCount val="2"/>
                <c:pt idx="0">
                  <c:v>4921</c:v>
                </c:pt>
                <c:pt idx="1">
                  <c:v>53383</c:v>
                </c:pt>
              </c:numCache>
            </c:numRef>
          </c:val>
          <c:extLst>
            <c:ext xmlns:c16="http://schemas.microsoft.com/office/drawing/2014/chart" uri="{C3380CC4-5D6E-409C-BE32-E72D297353CC}">
              <c16:uniqueId val="{00000004-9EF2-4E15-A0E7-C1F3899173B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2112756830285174"/>
          <c:y val="0.84725567639942445"/>
          <c:w val="0.49280117399850637"/>
          <c:h val="0.1033464266139284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6">
          <a:lumMod val="50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5">
                    <a:lumMod val="50000"/>
                  </a:schemeClr>
                </a:solidFill>
                <a:latin typeface="Aptos Narrow" panose="020B0004020202020204" pitchFamily="34" charset="0"/>
              </a:rPr>
              <a:t>HUMIDITY</a:t>
            </a:r>
            <a:r>
              <a:rPr lang="en-US" sz="1400" b="1" baseline="0">
                <a:solidFill>
                  <a:schemeClr val="accent5">
                    <a:lumMod val="50000"/>
                  </a:schemeClr>
                </a:solidFill>
                <a:latin typeface="Aptos Narrow" panose="020B0004020202020204" pitchFamily="34" charset="0"/>
              </a:rPr>
              <a:t>  VS  RIDERS</a:t>
            </a:r>
            <a:endParaRPr lang="en-US" sz="1400" b="1">
              <a:solidFill>
                <a:schemeClr val="accent5">
                  <a:lumMod val="50000"/>
                </a:schemeClr>
              </a:solidFill>
              <a:latin typeface="Aptos Narrow" panose="020B0004020202020204" pitchFamily="34" charset="0"/>
            </a:endParaRPr>
          </a:p>
        </c:rich>
      </c:tx>
      <c:layout>
        <c:manualLayout>
          <c:xMode val="edge"/>
          <c:yMode val="edge"/>
          <c:x val="0.24265546133656371"/>
          <c:y val="6.94443293272551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247594050743664E-2"/>
          <c:y val="0.21134259259259258"/>
          <c:w val="0.86225940507436571"/>
          <c:h val="0.68125801983085443"/>
        </c:manualLayout>
      </c:layout>
      <c:scatterChart>
        <c:scatterStyle val="lineMarker"/>
        <c:varyColors val="0"/>
        <c:ser>
          <c:idx val="0"/>
          <c:order val="0"/>
          <c:tx>
            <c:strRef>
              <c:f>pivot!$AC$2:$AC$3</c:f>
              <c:strCache>
                <c:ptCount val="2"/>
                <c:pt idx="0">
                  <c:v>Chart data</c:v>
                </c:pt>
                <c:pt idx="1">
                  <c:v>Count</c:v>
                </c:pt>
              </c:strCache>
            </c:strRef>
          </c:tx>
          <c:spPr>
            <a:ln w="19050" cap="rnd">
              <a:noFill/>
              <a:round/>
            </a:ln>
            <a:effectLst/>
          </c:spPr>
          <c:marker>
            <c:symbol val="circle"/>
            <c:size val="3"/>
            <c:spPr>
              <a:noFill/>
              <a:ln w="6350">
                <a:solidFill>
                  <a:schemeClr val="accent5"/>
                </a:solidFill>
              </a:ln>
              <a:effectLst/>
            </c:spPr>
          </c:marker>
          <c:trendline>
            <c:spPr>
              <a:ln w="19050" cap="rnd">
                <a:solidFill>
                  <a:schemeClr val="tx1"/>
                </a:solidFill>
                <a:prstDash val="solid"/>
              </a:ln>
              <a:effectLst/>
            </c:spPr>
            <c:trendlineType val="linear"/>
            <c:dispRSqr val="0"/>
            <c:dispEq val="0"/>
          </c:trendline>
          <c:xVal>
            <c:numRef>
              <c:f>pivot!$AB$4:$AB$1003</c:f>
              <c:numCache>
                <c:formatCode>0%</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xVal>
          <c:yVal>
            <c:numRef>
              <c:f>pivot!$AC$4:$AC$1003</c:f>
              <c:numCache>
                <c:formatCode>0</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2F6C-4495-8709-64FD2559AE35}"/>
            </c:ext>
          </c:extLst>
        </c:ser>
        <c:dLbls>
          <c:showLegendKey val="0"/>
          <c:showVal val="0"/>
          <c:showCatName val="0"/>
          <c:showSerName val="0"/>
          <c:showPercent val="0"/>
          <c:showBubbleSize val="0"/>
        </c:dLbls>
        <c:axId val="569314376"/>
        <c:axId val="569314736"/>
      </c:scatterChart>
      <c:valAx>
        <c:axId val="569314376"/>
        <c:scaling>
          <c:orientation val="minMax"/>
        </c:scaling>
        <c:delete val="0"/>
        <c:axPos val="b"/>
        <c:numFmt formatCode="0%" sourceLinked="1"/>
        <c:majorTickMark val="none"/>
        <c:minorTickMark val="none"/>
        <c:tickLblPos val="nextTo"/>
        <c:spPr>
          <a:noFill/>
          <a:ln w="9525" cap="flat" cmpd="sng" algn="ctr">
            <a:solidFill>
              <a:schemeClr val="accent5"/>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569314736"/>
        <c:crosses val="autoZero"/>
        <c:crossBetween val="midCat"/>
      </c:valAx>
      <c:valAx>
        <c:axId val="569314736"/>
        <c:scaling>
          <c:orientation val="minMax"/>
        </c:scaling>
        <c:delete val="0"/>
        <c:axPos val="l"/>
        <c:numFmt formatCode="0" sourceLinked="1"/>
        <c:majorTickMark val="none"/>
        <c:minorTickMark val="none"/>
        <c:tickLblPos val="nextTo"/>
        <c:spPr>
          <a:noFill/>
          <a:ln w="9525" cap="flat" cmpd="sng" algn="ctr">
            <a:solidFill>
              <a:schemeClr val="accent5"/>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569314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6">
          <a:lumMod val="50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Aptos Narrow" panose="020B0004020202020204" pitchFamily="34" charset="0"/>
                <a:ea typeface="+mn-ea"/>
                <a:cs typeface="+mn-cs"/>
              </a:defRPr>
            </a:pPr>
            <a:r>
              <a:rPr lang="en-US" b="1">
                <a:solidFill>
                  <a:schemeClr val="accent5">
                    <a:lumMod val="50000"/>
                  </a:schemeClr>
                </a:solidFill>
                <a:latin typeface="Aptos Narrow" panose="020B0004020202020204" pitchFamily="34" charset="0"/>
              </a:rPr>
              <a:t>TEMPERATURE</a:t>
            </a:r>
            <a:r>
              <a:rPr lang="en-US" b="1" baseline="0">
                <a:solidFill>
                  <a:schemeClr val="accent5">
                    <a:lumMod val="50000"/>
                  </a:schemeClr>
                </a:solidFill>
                <a:latin typeface="Aptos Narrow" panose="020B0004020202020204" pitchFamily="34" charset="0"/>
              </a:rPr>
              <a:t> VS RIDERS</a:t>
            </a:r>
            <a:endParaRPr lang="en-US" b="1">
              <a:solidFill>
                <a:schemeClr val="accent5">
                  <a:lumMod val="50000"/>
                </a:schemeClr>
              </a:solidFill>
              <a:latin typeface="Aptos Narrow" panose="020B0004020202020204" pitchFamily="34" charset="0"/>
            </a:endParaRPr>
          </a:p>
        </c:rich>
      </c:tx>
      <c:layout>
        <c:manualLayout>
          <c:xMode val="edge"/>
          <c:yMode val="edge"/>
          <c:x val="0.29527777777777775"/>
          <c:y val="7.87037037037037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Aptos Narrow" panose="020B0004020202020204" pitchFamily="34" charset="0"/>
              <a:ea typeface="+mn-ea"/>
              <a:cs typeface="+mn-cs"/>
            </a:defRPr>
          </a:pPr>
          <a:endParaRPr lang="en-US"/>
        </a:p>
      </c:txPr>
    </c:title>
    <c:autoTitleDeleted val="0"/>
    <c:plotArea>
      <c:layout/>
      <c:scatterChart>
        <c:scatterStyle val="lineMarker"/>
        <c:varyColors val="0"/>
        <c:ser>
          <c:idx val="0"/>
          <c:order val="0"/>
          <c:tx>
            <c:strRef>
              <c:f>pivot!$AL$2:$AL$3</c:f>
              <c:strCache>
                <c:ptCount val="2"/>
                <c:pt idx="0">
                  <c:v>Chart Data</c:v>
                </c:pt>
                <c:pt idx="1">
                  <c:v>Count</c:v>
                </c:pt>
              </c:strCache>
            </c:strRef>
          </c:tx>
          <c:spPr>
            <a:ln w="19050" cap="rnd">
              <a:noFill/>
              <a:round/>
            </a:ln>
            <a:effectLst/>
          </c:spPr>
          <c:marker>
            <c:symbol val="circle"/>
            <c:size val="3"/>
            <c:spPr>
              <a:solidFill>
                <a:schemeClr val="accent5">
                  <a:alpha val="55000"/>
                </a:schemeClr>
              </a:solidFill>
              <a:ln w="9525">
                <a:solidFill>
                  <a:schemeClr val="accent1"/>
                </a:solidFill>
              </a:ln>
              <a:effectLst/>
            </c:spPr>
          </c:marker>
          <c:trendline>
            <c:spPr>
              <a:ln w="19050" cap="rnd">
                <a:solidFill>
                  <a:schemeClr val="accent6">
                    <a:lumMod val="50000"/>
                  </a:schemeClr>
                </a:solidFill>
                <a:prstDash val="solid"/>
              </a:ln>
              <a:effectLst/>
            </c:spPr>
            <c:trendlineType val="linear"/>
            <c:dispRSqr val="0"/>
            <c:dispEq val="0"/>
          </c:trendline>
          <c:xVal>
            <c:numRef>
              <c:f>pivot!$AK$4:$AK$1003</c:f>
              <c:numCache>
                <c:formatCode>0</c:formatCode>
                <c:ptCount val="1000"/>
                <c:pt idx="0">
                  <c:v>24</c:v>
                </c:pt>
                <c:pt idx="1">
                  <c:v>22</c:v>
                </c:pt>
                <c:pt idx="2">
                  <c:v>22</c:v>
                </c:pt>
                <c:pt idx="3">
                  <c:v>24</c:v>
                </c:pt>
                <c:pt idx="4">
                  <c:v>24</c:v>
                </c:pt>
                <c:pt idx="5">
                  <c:v>24</c:v>
                </c:pt>
                <c:pt idx="6">
                  <c:v>22</c:v>
                </c:pt>
                <c:pt idx="7">
                  <c:v>20</c:v>
                </c:pt>
                <c:pt idx="8">
                  <c:v>24</c:v>
                </c:pt>
                <c:pt idx="9">
                  <c:v>32</c:v>
                </c:pt>
                <c:pt idx="10">
                  <c:v>38</c:v>
                </c:pt>
                <c:pt idx="11">
                  <c:v>36</c:v>
                </c:pt>
                <c:pt idx="12">
                  <c:v>42</c:v>
                </c:pt>
                <c:pt idx="13">
                  <c:v>46</c:v>
                </c:pt>
                <c:pt idx="14">
                  <c:v>46</c:v>
                </c:pt>
                <c:pt idx="15">
                  <c:v>44</c:v>
                </c:pt>
                <c:pt idx="16">
                  <c:v>42</c:v>
                </c:pt>
                <c:pt idx="17">
                  <c:v>44</c:v>
                </c:pt>
                <c:pt idx="18">
                  <c:v>42</c:v>
                </c:pt>
                <c:pt idx="19">
                  <c:v>42</c:v>
                </c:pt>
                <c:pt idx="20">
                  <c:v>40</c:v>
                </c:pt>
                <c:pt idx="21">
                  <c:v>40</c:v>
                </c:pt>
                <c:pt idx="22">
                  <c:v>40</c:v>
                </c:pt>
                <c:pt idx="23">
                  <c:v>46</c:v>
                </c:pt>
                <c:pt idx="24">
                  <c:v>46</c:v>
                </c:pt>
                <c:pt idx="25">
                  <c:v>44</c:v>
                </c:pt>
                <c:pt idx="26">
                  <c:v>42</c:v>
                </c:pt>
                <c:pt idx="27">
                  <c:v>46</c:v>
                </c:pt>
                <c:pt idx="28">
                  <c:v>46</c:v>
                </c:pt>
                <c:pt idx="29">
                  <c:v>42</c:v>
                </c:pt>
                <c:pt idx="30">
                  <c:v>40</c:v>
                </c:pt>
                <c:pt idx="31">
                  <c:v>40</c:v>
                </c:pt>
                <c:pt idx="32">
                  <c:v>38</c:v>
                </c:pt>
                <c:pt idx="33">
                  <c:v>36</c:v>
                </c:pt>
                <c:pt idx="34">
                  <c:v>36</c:v>
                </c:pt>
                <c:pt idx="35">
                  <c:v>36</c:v>
                </c:pt>
                <c:pt idx="36">
                  <c:v>36</c:v>
                </c:pt>
                <c:pt idx="37">
                  <c:v>36</c:v>
                </c:pt>
                <c:pt idx="38">
                  <c:v>34</c:v>
                </c:pt>
                <c:pt idx="39">
                  <c:v>34</c:v>
                </c:pt>
                <c:pt idx="40">
                  <c:v>34</c:v>
                </c:pt>
                <c:pt idx="41">
                  <c:v>36</c:v>
                </c:pt>
                <c:pt idx="42">
                  <c:v>32</c:v>
                </c:pt>
                <c:pt idx="43">
                  <c:v>30</c:v>
                </c:pt>
                <c:pt idx="44">
                  <c:v>26</c:v>
                </c:pt>
                <c:pt idx="45">
                  <c:v>24</c:v>
                </c:pt>
                <c:pt idx="46">
                  <c:v>22</c:v>
                </c:pt>
                <c:pt idx="47">
                  <c:v>22</c:v>
                </c:pt>
                <c:pt idx="48">
                  <c:v>20</c:v>
                </c:pt>
                <c:pt idx="49">
                  <c:v>16</c:v>
                </c:pt>
                <c:pt idx="50">
                  <c:v>16</c:v>
                </c:pt>
                <c:pt idx="51">
                  <c:v>14.000000000000002</c:v>
                </c:pt>
                <c:pt idx="52">
                  <c:v>14.000000000000002</c:v>
                </c:pt>
                <c:pt idx="53">
                  <c:v>14.000000000000002</c:v>
                </c:pt>
                <c:pt idx="54">
                  <c:v>16</c:v>
                </c:pt>
                <c:pt idx="55">
                  <c:v>18</c:v>
                </c:pt>
                <c:pt idx="56">
                  <c:v>20</c:v>
                </c:pt>
                <c:pt idx="57">
                  <c:v>22</c:v>
                </c:pt>
                <c:pt idx="58">
                  <c:v>24</c:v>
                </c:pt>
                <c:pt idx="59">
                  <c:v>26</c:v>
                </c:pt>
                <c:pt idx="60">
                  <c:v>26</c:v>
                </c:pt>
                <c:pt idx="61">
                  <c:v>26</c:v>
                </c:pt>
                <c:pt idx="62">
                  <c:v>24</c:v>
                </c:pt>
                <c:pt idx="63">
                  <c:v>24</c:v>
                </c:pt>
                <c:pt idx="64">
                  <c:v>20</c:v>
                </c:pt>
                <c:pt idx="65">
                  <c:v>20</c:v>
                </c:pt>
                <c:pt idx="66">
                  <c:v>18</c:v>
                </c:pt>
                <c:pt idx="67">
                  <c:v>14.000000000000002</c:v>
                </c:pt>
                <c:pt idx="68">
                  <c:v>18</c:v>
                </c:pt>
                <c:pt idx="69">
                  <c:v>16</c:v>
                </c:pt>
                <c:pt idx="70">
                  <c:v>16</c:v>
                </c:pt>
                <c:pt idx="71">
                  <c:v>14.000000000000002</c:v>
                </c:pt>
                <c:pt idx="72">
                  <c:v>14.000000000000002</c:v>
                </c:pt>
                <c:pt idx="73">
                  <c:v>12</c:v>
                </c:pt>
                <c:pt idx="74">
                  <c:v>12</c:v>
                </c:pt>
                <c:pt idx="75">
                  <c:v>12</c:v>
                </c:pt>
                <c:pt idx="76">
                  <c:v>14.000000000000002</c:v>
                </c:pt>
                <c:pt idx="77">
                  <c:v>16</c:v>
                </c:pt>
                <c:pt idx="78">
                  <c:v>16</c:v>
                </c:pt>
                <c:pt idx="79">
                  <c:v>22</c:v>
                </c:pt>
                <c:pt idx="80">
                  <c:v>22</c:v>
                </c:pt>
                <c:pt idx="81">
                  <c:v>24</c:v>
                </c:pt>
                <c:pt idx="82">
                  <c:v>26</c:v>
                </c:pt>
                <c:pt idx="83">
                  <c:v>28.000000000000004</c:v>
                </c:pt>
                <c:pt idx="84">
                  <c:v>30</c:v>
                </c:pt>
                <c:pt idx="85">
                  <c:v>28.000000000000004</c:v>
                </c:pt>
                <c:pt idx="86">
                  <c:v>26</c:v>
                </c:pt>
                <c:pt idx="87">
                  <c:v>24</c:v>
                </c:pt>
                <c:pt idx="88">
                  <c:v>24</c:v>
                </c:pt>
                <c:pt idx="89">
                  <c:v>22</c:v>
                </c:pt>
                <c:pt idx="90">
                  <c:v>22</c:v>
                </c:pt>
                <c:pt idx="91">
                  <c:v>20</c:v>
                </c:pt>
                <c:pt idx="92">
                  <c:v>20</c:v>
                </c:pt>
                <c:pt idx="93">
                  <c:v>16</c:v>
                </c:pt>
                <c:pt idx="94">
                  <c:v>16</c:v>
                </c:pt>
                <c:pt idx="95">
                  <c:v>24</c:v>
                </c:pt>
                <c:pt idx="96">
                  <c:v>22</c:v>
                </c:pt>
                <c:pt idx="97">
                  <c:v>20</c:v>
                </c:pt>
                <c:pt idx="98">
                  <c:v>18</c:v>
                </c:pt>
                <c:pt idx="99">
                  <c:v>20</c:v>
                </c:pt>
                <c:pt idx="100">
                  <c:v>22</c:v>
                </c:pt>
                <c:pt idx="101">
                  <c:v>22</c:v>
                </c:pt>
                <c:pt idx="102">
                  <c:v>26</c:v>
                </c:pt>
                <c:pt idx="103">
                  <c:v>26</c:v>
                </c:pt>
                <c:pt idx="104">
                  <c:v>28.000000000000004</c:v>
                </c:pt>
                <c:pt idx="105">
                  <c:v>30</c:v>
                </c:pt>
                <c:pt idx="106">
                  <c:v>30</c:v>
                </c:pt>
                <c:pt idx="107">
                  <c:v>30</c:v>
                </c:pt>
                <c:pt idx="108">
                  <c:v>24</c:v>
                </c:pt>
                <c:pt idx="109">
                  <c:v>24</c:v>
                </c:pt>
                <c:pt idx="110">
                  <c:v>24</c:v>
                </c:pt>
                <c:pt idx="111">
                  <c:v>22</c:v>
                </c:pt>
                <c:pt idx="112">
                  <c:v>20</c:v>
                </c:pt>
                <c:pt idx="113">
                  <c:v>18</c:v>
                </c:pt>
                <c:pt idx="114">
                  <c:v>20</c:v>
                </c:pt>
                <c:pt idx="115">
                  <c:v>18</c:v>
                </c:pt>
                <c:pt idx="116">
                  <c:v>16</c:v>
                </c:pt>
                <c:pt idx="117">
                  <c:v>16</c:v>
                </c:pt>
                <c:pt idx="118">
                  <c:v>16</c:v>
                </c:pt>
                <c:pt idx="119">
                  <c:v>14.000000000000002</c:v>
                </c:pt>
                <c:pt idx="120">
                  <c:v>14.000000000000002</c:v>
                </c:pt>
                <c:pt idx="121">
                  <c:v>16</c:v>
                </c:pt>
                <c:pt idx="122">
                  <c:v>16</c:v>
                </c:pt>
                <c:pt idx="123">
                  <c:v>18</c:v>
                </c:pt>
                <c:pt idx="124">
                  <c:v>20</c:v>
                </c:pt>
                <c:pt idx="125">
                  <c:v>22</c:v>
                </c:pt>
                <c:pt idx="126">
                  <c:v>26</c:v>
                </c:pt>
                <c:pt idx="127">
                  <c:v>26</c:v>
                </c:pt>
                <c:pt idx="128">
                  <c:v>28.000000000000004</c:v>
                </c:pt>
                <c:pt idx="129">
                  <c:v>28.000000000000004</c:v>
                </c:pt>
                <c:pt idx="130">
                  <c:v>26</c:v>
                </c:pt>
                <c:pt idx="131">
                  <c:v>22</c:v>
                </c:pt>
                <c:pt idx="132">
                  <c:v>22</c:v>
                </c:pt>
                <c:pt idx="133">
                  <c:v>22</c:v>
                </c:pt>
                <c:pt idx="134">
                  <c:v>20</c:v>
                </c:pt>
                <c:pt idx="135">
                  <c:v>22</c:v>
                </c:pt>
                <c:pt idx="136">
                  <c:v>22</c:v>
                </c:pt>
                <c:pt idx="137">
                  <c:v>20</c:v>
                </c:pt>
                <c:pt idx="138">
                  <c:v>20</c:v>
                </c:pt>
                <c:pt idx="139">
                  <c:v>20</c:v>
                </c:pt>
                <c:pt idx="140">
                  <c:v>20</c:v>
                </c:pt>
                <c:pt idx="141">
                  <c:v>20</c:v>
                </c:pt>
                <c:pt idx="142">
                  <c:v>22</c:v>
                </c:pt>
                <c:pt idx="143">
                  <c:v>20</c:v>
                </c:pt>
                <c:pt idx="144">
                  <c:v>20</c:v>
                </c:pt>
                <c:pt idx="145">
                  <c:v>20</c:v>
                </c:pt>
                <c:pt idx="146">
                  <c:v>20</c:v>
                </c:pt>
                <c:pt idx="147">
                  <c:v>22</c:v>
                </c:pt>
                <c:pt idx="148">
                  <c:v>20</c:v>
                </c:pt>
                <c:pt idx="149">
                  <c:v>20</c:v>
                </c:pt>
                <c:pt idx="150">
                  <c:v>20</c:v>
                </c:pt>
                <c:pt idx="151">
                  <c:v>20</c:v>
                </c:pt>
                <c:pt idx="152">
                  <c:v>20</c:v>
                </c:pt>
                <c:pt idx="153">
                  <c:v>20</c:v>
                </c:pt>
                <c:pt idx="154">
                  <c:v>20</c:v>
                </c:pt>
                <c:pt idx="155">
                  <c:v>20</c:v>
                </c:pt>
                <c:pt idx="156">
                  <c:v>16</c:v>
                </c:pt>
                <c:pt idx="157">
                  <c:v>18</c:v>
                </c:pt>
                <c:pt idx="158">
                  <c:v>18</c:v>
                </c:pt>
                <c:pt idx="159">
                  <c:v>18</c:v>
                </c:pt>
                <c:pt idx="160">
                  <c:v>18</c:v>
                </c:pt>
                <c:pt idx="161">
                  <c:v>18</c:v>
                </c:pt>
                <c:pt idx="162">
                  <c:v>18</c:v>
                </c:pt>
                <c:pt idx="163">
                  <c:v>18</c:v>
                </c:pt>
                <c:pt idx="164">
                  <c:v>18</c:v>
                </c:pt>
                <c:pt idx="165">
                  <c:v>18</c:v>
                </c:pt>
                <c:pt idx="166">
                  <c:v>16</c:v>
                </c:pt>
                <c:pt idx="167">
                  <c:v>16</c:v>
                </c:pt>
                <c:pt idx="168">
                  <c:v>16</c:v>
                </c:pt>
                <c:pt idx="169">
                  <c:v>16</c:v>
                </c:pt>
                <c:pt idx="170">
                  <c:v>16</c:v>
                </c:pt>
                <c:pt idx="171">
                  <c:v>18</c:v>
                </c:pt>
                <c:pt idx="172">
                  <c:v>20</c:v>
                </c:pt>
                <c:pt idx="173">
                  <c:v>20</c:v>
                </c:pt>
                <c:pt idx="174">
                  <c:v>20</c:v>
                </c:pt>
                <c:pt idx="175">
                  <c:v>20</c:v>
                </c:pt>
                <c:pt idx="176">
                  <c:v>20</c:v>
                </c:pt>
                <c:pt idx="177">
                  <c:v>18</c:v>
                </c:pt>
                <c:pt idx="178">
                  <c:v>16</c:v>
                </c:pt>
                <c:pt idx="179">
                  <c:v>14.000000000000002</c:v>
                </c:pt>
                <c:pt idx="180">
                  <c:v>14.000000000000002</c:v>
                </c:pt>
                <c:pt idx="181">
                  <c:v>12</c:v>
                </c:pt>
                <c:pt idx="182">
                  <c:v>12</c:v>
                </c:pt>
                <c:pt idx="183">
                  <c:v>12</c:v>
                </c:pt>
                <c:pt idx="184">
                  <c:v>10</c:v>
                </c:pt>
                <c:pt idx="185">
                  <c:v>10</c:v>
                </c:pt>
                <c:pt idx="186">
                  <c:v>10</c:v>
                </c:pt>
                <c:pt idx="187">
                  <c:v>10</c:v>
                </c:pt>
                <c:pt idx="188">
                  <c:v>10</c:v>
                </c:pt>
                <c:pt idx="189">
                  <c:v>8</c:v>
                </c:pt>
                <c:pt idx="190">
                  <c:v>8</c:v>
                </c:pt>
                <c:pt idx="191">
                  <c:v>10</c:v>
                </c:pt>
                <c:pt idx="192">
                  <c:v>8</c:v>
                </c:pt>
                <c:pt idx="193">
                  <c:v>10</c:v>
                </c:pt>
                <c:pt idx="194">
                  <c:v>12</c:v>
                </c:pt>
                <c:pt idx="195">
                  <c:v>14.000000000000002</c:v>
                </c:pt>
                <c:pt idx="196">
                  <c:v>16</c:v>
                </c:pt>
                <c:pt idx="197">
                  <c:v>18</c:v>
                </c:pt>
                <c:pt idx="198">
                  <c:v>20</c:v>
                </c:pt>
                <c:pt idx="199">
                  <c:v>22</c:v>
                </c:pt>
                <c:pt idx="200">
                  <c:v>22</c:v>
                </c:pt>
                <c:pt idx="201">
                  <c:v>20</c:v>
                </c:pt>
                <c:pt idx="202">
                  <c:v>18</c:v>
                </c:pt>
                <c:pt idx="203">
                  <c:v>16</c:v>
                </c:pt>
                <c:pt idx="204">
                  <c:v>16</c:v>
                </c:pt>
                <c:pt idx="205">
                  <c:v>14.000000000000002</c:v>
                </c:pt>
                <c:pt idx="206">
                  <c:v>14.000000000000002</c:v>
                </c:pt>
                <c:pt idx="207">
                  <c:v>14.000000000000002</c:v>
                </c:pt>
                <c:pt idx="208">
                  <c:v>12</c:v>
                </c:pt>
                <c:pt idx="209">
                  <c:v>12</c:v>
                </c:pt>
                <c:pt idx="210">
                  <c:v>12</c:v>
                </c:pt>
                <c:pt idx="211">
                  <c:v>12</c:v>
                </c:pt>
                <c:pt idx="212">
                  <c:v>12</c:v>
                </c:pt>
                <c:pt idx="213">
                  <c:v>10</c:v>
                </c:pt>
                <c:pt idx="214">
                  <c:v>10</c:v>
                </c:pt>
                <c:pt idx="215">
                  <c:v>12</c:v>
                </c:pt>
                <c:pt idx="216">
                  <c:v>12</c:v>
                </c:pt>
                <c:pt idx="217">
                  <c:v>12</c:v>
                </c:pt>
                <c:pt idx="218">
                  <c:v>14.000000000000002</c:v>
                </c:pt>
                <c:pt idx="219">
                  <c:v>14.000000000000002</c:v>
                </c:pt>
                <c:pt idx="220">
                  <c:v>16</c:v>
                </c:pt>
                <c:pt idx="221">
                  <c:v>20</c:v>
                </c:pt>
                <c:pt idx="222">
                  <c:v>20</c:v>
                </c:pt>
                <c:pt idx="223">
                  <c:v>20</c:v>
                </c:pt>
                <c:pt idx="224">
                  <c:v>20</c:v>
                </c:pt>
                <c:pt idx="225">
                  <c:v>20</c:v>
                </c:pt>
                <c:pt idx="226">
                  <c:v>20</c:v>
                </c:pt>
                <c:pt idx="227">
                  <c:v>20</c:v>
                </c:pt>
                <c:pt idx="228">
                  <c:v>16</c:v>
                </c:pt>
                <c:pt idx="229">
                  <c:v>16</c:v>
                </c:pt>
                <c:pt idx="230">
                  <c:v>14.000000000000002</c:v>
                </c:pt>
                <c:pt idx="231">
                  <c:v>14.000000000000002</c:v>
                </c:pt>
                <c:pt idx="232">
                  <c:v>14.000000000000002</c:v>
                </c:pt>
                <c:pt idx="233">
                  <c:v>14.000000000000002</c:v>
                </c:pt>
                <c:pt idx="234">
                  <c:v>14.000000000000002</c:v>
                </c:pt>
                <c:pt idx="235">
                  <c:v>16</c:v>
                </c:pt>
                <c:pt idx="236">
                  <c:v>16</c:v>
                </c:pt>
                <c:pt idx="237">
                  <c:v>16</c:v>
                </c:pt>
                <c:pt idx="238">
                  <c:v>16</c:v>
                </c:pt>
                <c:pt idx="239">
                  <c:v>18</c:v>
                </c:pt>
                <c:pt idx="240">
                  <c:v>18</c:v>
                </c:pt>
                <c:pt idx="241">
                  <c:v>20</c:v>
                </c:pt>
                <c:pt idx="242">
                  <c:v>20</c:v>
                </c:pt>
                <c:pt idx="243">
                  <c:v>20</c:v>
                </c:pt>
                <c:pt idx="244">
                  <c:v>20</c:v>
                </c:pt>
                <c:pt idx="245">
                  <c:v>20</c:v>
                </c:pt>
                <c:pt idx="246">
                  <c:v>16</c:v>
                </c:pt>
                <c:pt idx="247">
                  <c:v>16</c:v>
                </c:pt>
                <c:pt idx="248">
                  <c:v>16</c:v>
                </c:pt>
                <c:pt idx="249">
                  <c:v>16</c:v>
                </c:pt>
                <c:pt idx="250">
                  <c:v>16</c:v>
                </c:pt>
                <c:pt idx="251">
                  <c:v>16</c:v>
                </c:pt>
                <c:pt idx="252">
                  <c:v>16</c:v>
                </c:pt>
                <c:pt idx="253">
                  <c:v>16</c:v>
                </c:pt>
                <c:pt idx="254">
                  <c:v>16</c:v>
                </c:pt>
                <c:pt idx="255">
                  <c:v>16</c:v>
                </c:pt>
                <c:pt idx="256">
                  <c:v>16</c:v>
                </c:pt>
                <c:pt idx="257">
                  <c:v>14.000000000000002</c:v>
                </c:pt>
                <c:pt idx="258">
                  <c:v>14.000000000000002</c:v>
                </c:pt>
                <c:pt idx="259">
                  <c:v>12</c:v>
                </c:pt>
                <c:pt idx="260">
                  <c:v>14.000000000000002</c:v>
                </c:pt>
                <c:pt idx="261">
                  <c:v>16</c:v>
                </c:pt>
                <c:pt idx="262">
                  <c:v>16</c:v>
                </c:pt>
                <c:pt idx="263">
                  <c:v>18</c:v>
                </c:pt>
                <c:pt idx="264">
                  <c:v>20</c:v>
                </c:pt>
                <c:pt idx="265">
                  <c:v>20</c:v>
                </c:pt>
                <c:pt idx="266">
                  <c:v>22</c:v>
                </c:pt>
                <c:pt idx="267">
                  <c:v>20</c:v>
                </c:pt>
                <c:pt idx="268">
                  <c:v>20</c:v>
                </c:pt>
                <c:pt idx="269">
                  <c:v>22</c:v>
                </c:pt>
                <c:pt idx="270">
                  <c:v>20</c:v>
                </c:pt>
                <c:pt idx="271">
                  <c:v>20</c:v>
                </c:pt>
                <c:pt idx="272">
                  <c:v>18</c:v>
                </c:pt>
                <c:pt idx="273">
                  <c:v>16</c:v>
                </c:pt>
                <c:pt idx="274">
                  <c:v>16</c:v>
                </c:pt>
                <c:pt idx="275">
                  <c:v>16</c:v>
                </c:pt>
                <c:pt idx="276">
                  <c:v>14.000000000000002</c:v>
                </c:pt>
                <c:pt idx="277">
                  <c:v>14.000000000000002</c:v>
                </c:pt>
                <c:pt idx="278">
                  <c:v>14.000000000000002</c:v>
                </c:pt>
                <c:pt idx="279">
                  <c:v>14.000000000000002</c:v>
                </c:pt>
                <c:pt idx="280">
                  <c:v>14.000000000000002</c:v>
                </c:pt>
                <c:pt idx="281">
                  <c:v>14.000000000000002</c:v>
                </c:pt>
                <c:pt idx="282">
                  <c:v>14.000000000000002</c:v>
                </c:pt>
                <c:pt idx="283">
                  <c:v>12</c:v>
                </c:pt>
                <c:pt idx="284">
                  <c:v>12</c:v>
                </c:pt>
                <c:pt idx="285">
                  <c:v>14.000000000000002</c:v>
                </c:pt>
                <c:pt idx="286">
                  <c:v>14.000000000000002</c:v>
                </c:pt>
                <c:pt idx="287">
                  <c:v>16</c:v>
                </c:pt>
                <c:pt idx="288">
                  <c:v>20</c:v>
                </c:pt>
                <c:pt idx="289">
                  <c:v>20</c:v>
                </c:pt>
                <c:pt idx="290">
                  <c:v>22</c:v>
                </c:pt>
                <c:pt idx="291">
                  <c:v>22</c:v>
                </c:pt>
                <c:pt idx="292">
                  <c:v>24</c:v>
                </c:pt>
                <c:pt idx="293">
                  <c:v>24</c:v>
                </c:pt>
                <c:pt idx="294">
                  <c:v>20</c:v>
                </c:pt>
                <c:pt idx="295">
                  <c:v>20</c:v>
                </c:pt>
                <c:pt idx="296">
                  <c:v>16</c:v>
                </c:pt>
                <c:pt idx="297">
                  <c:v>16</c:v>
                </c:pt>
                <c:pt idx="298">
                  <c:v>14.000000000000002</c:v>
                </c:pt>
                <c:pt idx="299">
                  <c:v>14.000000000000002</c:v>
                </c:pt>
                <c:pt idx="300">
                  <c:v>12</c:v>
                </c:pt>
                <c:pt idx="301">
                  <c:v>12</c:v>
                </c:pt>
                <c:pt idx="302">
                  <c:v>10</c:v>
                </c:pt>
                <c:pt idx="303">
                  <c:v>10</c:v>
                </c:pt>
                <c:pt idx="304">
                  <c:v>10</c:v>
                </c:pt>
                <c:pt idx="305">
                  <c:v>10</c:v>
                </c:pt>
                <c:pt idx="306">
                  <c:v>10</c:v>
                </c:pt>
                <c:pt idx="307">
                  <c:v>10</c:v>
                </c:pt>
                <c:pt idx="308">
                  <c:v>12</c:v>
                </c:pt>
                <c:pt idx="309">
                  <c:v>14.000000000000002</c:v>
                </c:pt>
                <c:pt idx="310">
                  <c:v>18</c:v>
                </c:pt>
                <c:pt idx="311">
                  <c:v>18</c:v>
                </c:pt>
                <c:pt idx="312">
                  <c:v>20</c:v>
                </c:pt>
                <c:pt idx="313">
                  <c:v>22</c:v>
                </c:pt>
                <c:pt idx="314">
                  <c:v>22</c:v>
                </c:pt>
                <c:pt idx="315">
                  <c:v>24</c:v>
                </c:pt>
                <c:pt idx="316">
                  <c:v>22</c:v>
                </c:pt>
                <c:pt idx="317">
                  <c:v>22</c:v>
                </c:pt>
                <c:pt idx="318">
                  <c:v>20</c:v>
                </c:pt>
                <c:pt idx="319">
                  <c:v>16</c:v>
                </c:pt>
                <c:pt idx="320">
                  <c:v>18</c:v>
                </c:pt>
                <c:pt idx="321">
                  <c:v>16</c:v>
                </c:pt>
                <c:pt idx="322">
                  <c:v>16</c:v>
                </c:pt>
                <c:pt idx="323">
                  <c:v>18</c:v>
                </c:pt>
                <c:pt idx="324">
                  <c:v>18</c:v>
                </c:pt>
                <c:pt idx="325">
                  <c:v>16</c:v>
                </c:pt>
                <c:pt idx="326">
                  <c:v>16</c:v>
                </c:pt>
                <c:pt idx="327">
                  <c:v>16</c:v>
                </c:pt>
                <c:pt idx="328">
                  <c:v>16</c:v>
                </c:pt>
                <c:pt idx="329">
                  <c:v>16</c:v>
                </c:pt>
                <c:pt idx="330">
                  <c:v>14.000000000000002</c:v>
                </c:pt>
                <c:pt idx="331">
                  <c:v>14.000000000000002</c:v>
                </c:pt>
                <c:pt idx="332">
                  <c:v>14.000000000000002</c:v>
                </c:pt>
                <c:pt idx="333">
                  <c:v>16</c:v>
                </c:pt>
                <c:pt idx="334">
                  <c:v>18</c:v>
                </c:pt>
                <c:pt idx="335">
                  <c:v>20</c:v>
                </c:pt>
                <c:pt idx="336">
                  <c:v>24</c:v>
                </c:pt>
                <c:pt idx="337">
                  <c:v>28.000000000000004</c:v>
                </c:pt>
                <c:pt idx="338">
                  <c:v>30</c:v>
                </c:pt>
                <c:pt idx="339">
                  <c:v>32</c:v>
                </c:pt>
                <c:pt idx="340">
                  <c:v>34</c:v>
                </c:pt>
                <c:pt idx="341">
                  <c:v>32</c:v>
                </c:pt>
                <c:pt idx="342">
                  <c:v>30</c:v>
                </c:pt>
                <c:pt idx="343">
                  <c:v>32</c:v>
                </c:pt>
                <c:pt idx="344">
                  <c:v>32</c:v>
                </c:pt>
                <c:pt idx="345">
                  <c:v>32</c:v>
                </c:pt>
                <c:pt idx="346">
                  <c:v>30</c:v>
                </c:pt>
                <c:pt idx="347">
                  <c:v>30</c:v>
                </c:pt>
                <c:pt idx="348">
                  <c:v>26</c:v>
                </c:pt>
                <c:pt idx="349">
                  <c:v>26</c:v>
                </c:pt>
                <c:pt idx="350">
                  <c:v>26</c:v>
                </c:pt>
                <c:pt idx="351">
                  <c:v>22</c:v>
                </c:pt>
                <c:pt idx="352">
                  <c:v>26</c:v>
                </c:pt>
                <c:pt idx="353">
                  <c:v>26</c:v>
                </c:pt>
                <c:pt idx="354">
                  <c:v>26</c:v>
                </c:pt>
                <c:pt idx="355">
                  <c:v>24</c:v>
                </c:pt>
                <c:pt idx="356">
                  <c:v>22</c:v>
                </c:pt>
                <c:pt idx="357">
                  <c:v>22</c:v>
                </c:pt>
                <c:pt idx="358">
                  <c:v>22</c:v>
                </c:pt>
                <c:pt idx="359">
                  <c:v>24</c:v>
                </c:pt>
                <c:pt idx="360">
                  <c:v>24</c:v>
                </c:pt>
                <c:pt idx="361">
                  <c:v>26</c:v>
                </c:pt>
                <c:pt idx="362">
                  <c:v>28.000000000000004</c:v>
                </c:pt>
                <c:pt idx="363">
                  <c:v>26</c:v>
                </c:pt>
                <c:pt idx="364">
                  <c:v>24</c:v>
                </c:pt>
                <c:pt idx="365">
                  <c:v>22</c:v>
                </c:pt>
                <c:pt idx="366">
                  <c:v>20</c:v>
                </c:pt>
                <c:pt idx="367">
                  <c:v>18</c:v>
                </c:pt>
                <c:pt idx="368">
                  <c:v>18</c:v>
                </c:pt>
                <c:pt idx="369">
                  <c:v>18</c:v>
                </c:pt>
                <c:pt idx="370">
                  <c:v>20</c:v>
                </c:pt>
                <c:pt idx="371">
                  <c:v>20</c:v>
                </c:pt>
                <c:pt idx="372">
                  <c:v>20</c:v>
                </c:pt>
                <c:pt idx="373">
                  <c:v>20</c:v>
                </c:pt>
                <c:pt idx="374">
                  <c:v>18</c:v>
                </c:pt>
                <c:pt idx="375">
                  <c:v>18</c:v>
                </c:pt>
                <c:pt idx="376">
                  <c:v>18</c:v>
                </c:pt>
                <c:pt idx="377">
                  <c:v>18</c:v>
                </c:pt>
                <c:pt idx="378">
                  <c:v>18</c:v>
                </c:pt>
                <c:pt idx="379">
                  <c:v>16</c:v>
                </c:pt>
                <c:pt idx="380">
                  <c:v>16</c:v>
                </c:pt>
                <c:pt idx="381">
                  <c:v>16</c:v>
                </c:pt>
                <c:pt idx="382">
                  <c:v>16</c:v>
                </c:pt>
                <c:pt idx="383">
                  <c:v>16</c:v>
                </c:pt>
                <c:pt idx="384">
                  <c:v>18</c:v>
                </c:pt>
                <c:pt idx="385">
                  <c:v>18</c:v>
                </c:pt>
                <c:pt idx="386">
                  <c:v>18</c:v>
                </c:pt>
                <c:pt idx="387">
                  <c:v>20</c:v>
                </c:pt>
                <c:pt idx="388">
                  <c:v>20</c:v>
                </c:pt>
                <c:pt idx="389">
                  <c:v>20</c:v>
                </c:pt>
                <c:pt idx="390">
                  <c:v>18</c:v>
                </c:pt>
                <c:pt idx="391">
                  <c:v>18</c:v>
                </c:pt>
                <c:pt idx="392">
                  <c:v>16</c:v>
                </c:pt>
                <c:pt idx="393">
                  <c:v>16</c:v>
                </c:pt>
                <c:pt idx="394">
                  <c:v>14.000000000000002</c:v>
                </c:pt>
                <c:pt idx="395">
                  <c:v>16</c:v>
                </c:pt>
                <c:pt idx="396">
                  <c:v>20</c:v>
                </c:pt>
                <c:pt idx="397">
                  <c:v>20</c:v>
                </c:pt>
                <c:pt idx="398">
                  <c:v>22</c:v>
                </c:pt>
                <c:pt idx="399">
                  <c:v>22</c:v>
                </c:pt>
                <c:pt idx="400">
                  <c:v>22</c:v>
                </c:pt>
                <c:pt idx="401">
                  <c:v>22</c:v>
                </c:pt>
                <c:pt idx="402">
                  <c:v>22</c:v>
                </c:pt>
                <c:pt idx="403">
                  <c:v>22</c:v>
                </c:pt>
                <c:pt idx="404">
                  <c:v>22</c:v>
                </c:pt>
                <c:pt idx="405">
                  <c:v>22</c:v>
                </c:pt>
                <c:pt idx="406">
                  <c:v>22</c:v>
                </c:pt>
                <c:pt idx="407">
                  <c:v>22</c:v>
                </c:pt>
                <c:pt idx="408">
                  <c:v>22</c:v>
                </c:pt>
                <c:pt idx="409">
                  <c:v>22</c:v>
                </c:pt>
                <c:pt idx="410">
                  <c:v>22</c:v>
                </c:pt>
                <c:pt idx="411">
                  <c:v>22</c:v>
                </c:pt>
                <c:pt idx="412">
                  <c:v>22</c:v>
                </c:pt>
                <c:pt idx="413">
                  <c:v>22</c:v>
                </c:pt>
                <c:pt idx="414">
                  <c:v>24</c:v>
                </c:pt>
                <c:pt idx="415">
                  <c:v>24</c:v>
                </c:pt>
                <c:pt idx="416">
                  <c:v>24</c:v>
                </c:pt>
                <c:pt idx="417">
                  <c:v>26</c:v>
                </c:pt>
                <c:pt idx="418">
                  <c:v>28.000000000000004</c:v>
                </c:pt>
                <c:pt idx="419">
                  <c:v>30</c:v>
                </c:pt>
                <c:pt idx="420">
                  <c:v>40</c:v>
                </c:pt>
                <c:pt idx="421">
                  <c:v>40</c:v>
                </c:pt>
                <c:pt idx="422">
                  <c:v>40</c:v>
                </c:pt>
                <c:pt idx="423">
                  <c:v>38</c:v>
                </c:pt>
                <c:pt idx="424">
                  <c:v>36</c:v>
                </c:pt>
                <c:pt idx="425">
                  <c:v>34</c:v>
                </c:pt>
                <c:pt idx="426">
                  <c:v>32</c:v>
                </c:pt>
                <c:pt idx="427">
                  <c:v>32</c:v>
                </c:pt>
                <c:pt idx="428">
                  <c:v>32</c:v>
                </c:pt>
                <c:pt idx="429">
                  <c:v>30</c:v>
                </c:pt>
                <c:pt idx="430">
                  <c:v>30</c:v>
                </c:pt>
                <c:pt idx="431">
                  <c:v>26</c:v>
                </c:pt>
                <c:pt idx="432">
                  <c:v>26</c:v>
                </c:pt>
                <c:pt idx="433">
                  <c:v>26</c:v>
                </c:pt>
                <c:pt idx="434">
                  <c:v>26</c:v>
                </c:pt>
                <c:pt idx="435">
                  <c:v>26</c:v>
                </c:pt>
                <c:pt idx="436">
                  <c:v>24</c:v>
                </c:pt>
                <c:pt idx="437">
                  <c:v>22</c:v>
                </c:pt>
                <c:pt idx="438">
                  <c:v>22</c:v>
                </c:pt>
                <c:pt idx="439">
                  <c:v>22</c:v>
                </c:pt>
                <c:pt idx="440">
                  <c:v>24</c:v>
                </c:pt>
                <c:pt idx="441">
                  <c:v>26</c:v>
                </c:pt>
                <c:pt idx="442">
                  <c:v>28.000000000000004</c:v>
                </c:pt>
                <c:pt idx="443">
                  <c:v>30</c:v>
                </c:pt>
                <c:pt idx="444">
                  <c:v>28.000000000000004</c:v>
                </c:pt>
                <c:pt idx="445">
                  <c:v>30</c:v>
                </c:pt>
                <c:pt idx="446">
                  <c:v>32</c:v>
                </c:pt>
                <c:pt idx="447">
                  <c:v>30</c:v>
                </c:pt>
                <c:pt idx="448">
                  <c:v>30</c:v>
                </c:pt>
                <c:pt idx="449">
                  <c:v>26</c:v>
                </c:pt>
                <c:pt idx="450">
                  <c:v>26</c:v>
                </c:pt>
                <c:pt idx="451">
                  <c:v>26</c:v>
                </c:pt>
                <c:pt idx="452">
                  <c:v>24</c:v>
                </c:pt>
                <c:pt idx="453">
                  <c:v>24</c:v>
                </c:pt>
                <c:pt idx="454">
                  <c:v>24</c:v>
                </c:pt>
                <c:pt idx="455">
                  <c:v>24</c:v>
                </c:pt>
                <c:pt idx="456">
                  <c:v>24</c:v>
                </c:pt>
                <c:pt idx="457">
                  <c:v>24</c:v>
                </c:pt>
                <c:pt idx="458">
                  <c:v>22</c:v>
                </c:pt>
                <c:pt idx="459">
                  <c:v>22</c:v>
                </c:pt>
                <c:pt idx="460">
                  <c:v>24</c:v>
                </c:pt>
                <c:pt idx="461">
                  <c:v>22</c:v>
                </c:pt>
                <c:pt idx="462">
                  <c:v>20</c:v>
                </c:pt>
                <c:pt idx="463">
                  <c:v>20</c:v>
                </c:pt>
                <c:pt idx="464">
                  <c:v>20</c:v>
                </c:pt>
                <c:pt idx="465">
                  <c:v>20</c:v>
                </c:pt>
                <c:pt idx="466">
                  <c:v>22</c:v>
                </c:pt>
                <c:pt idx="467">
                  <c:v>22</c:v>
                </c:pt>
                <c:pt idx="468">
                  <c:v>20</c:v>
                </c:pt>
                <c:pt idx="469">
                  <c:v>20</c:v>
                </c:pt>
                <c:pt idx="470">
                  <c:v>16</c:v>
                </c:pt>
                <c:pt idx="471">
                  <c:v>16</c:v>
                </c:pt>
                <c:pt idx="472">
                  <c:v>14.000000000000002</c:v>
                </c:pt>
                <c:pt idx="473">
                  <c:v>12</c:v>
                </c:pt>
                <c:pt idx="474">
                  <c:v>12</c:v>
                </c:pt>
                <c:pt idx="475">
                  <c:v>10</c:v>
                </c:pt>
                <c:pt idx="476">
                  <c:v>8</c:v>
                </c:pt>
                <c:pt idx="477">
                  <c:v>6</c:v>
                </c:pt>
                <c:pt idx="478">
                  <c:v>6</c:v>
                </c:pt>
                <c:pt idx="479">
                  <c:v>4</c:v>
                </c:pt>
                <c:pt idx="480">
                  <c:v>4</c:v>
                </c:pt>
                <c:pt idx="481">
                  <c:v>4</c:v>
                </c:pt>
                <c:pt idx="482">
                  <c:v>4</c:v>
                </c:pt>
                <c:pt idx="483">
                  <c:v>2</c:v>
                </c:pt>
                <c:pt idx="484">
                  <c:v>2</c:v>
                </c:pt>
                <c:pt idx="485">
                  <c:v>2</c:v>
                </c:pt>
                <c:pt idx="486">
                  <c:v>2</c:v>
                </c:pt>
                <c:pt idx="487">
                  <c:v>4</c:v>
                </c:pt>
                <c:pt idx="488">
                  <c:v>4</c:v>
                </c:pt>
                <c:pt idx="489">
                  <c:v>6</c:v>
                </c:pt>
                <c:pt idx="490">
                  <c:v>6</c:v>
                </c:pt>
                <c:pt idx="491">
                  <c:v>8</c:v>
                </c:pt>
                <c:pt idx="492">
                  <c:v>10</c:v>
                </c:pt>
                <c:pt idx="493">
                  <c:v>12</c:v>
                </c:pt>
                <c:pt idx="494">
                  <c:v>12</c:v>
                </c:pt>
                <c:pt idx="495">
                  <c:v>12</c:v>
                </c:pt>
                <c:pt idx="496">
                  <c:v>8</c:v>
                </c:pt>
                <c:pt idx="497">
                  <c:v>8</c:v>
                </c:pt>
                <c:pt idx="498">
                  <c:v>6</c:v>
                </c:pt>
                <c:pt idx="499">
                  <c:v>6</c:v>
                </c:pt>
                <c:pt idx="500">
                  <c:v>6</c:v>
                </c:pt>
                <c:pt idx="501">
                  <c:v>4</c:v>
                </c:pt>
                <c:pt idx="502">
                  <c:v>4</c:v>
                </c:pt>
                <c:pt idx="503">
                  <c:v>4</c:v>
                </c:pt>
                <c:pt idx="504">
                  <c:v>2</c:v>
                </c:pt>
                <c:pt idx="505">
                  <c:v>2</c:v>
                </c:pt>
                <c:pt idx="506">
                  <c:v>4</c:v>
                </c:pt>
                <c:pt idx="507">
                  <c:v>4</c:v>
                </c:pt>
                <c:pt idx="508">
                  <c:v>8</c:v>
                </c:pt>
                <c:pt idx="509">
                  <c:v>6</c:v>
                </c:pt>
                <c:pt idx="510">
                  <c:v>10</c:v>
                </c:pt>
                <c:pt idx="511">
                  <c:v>14.000000000000002</c:v>
                </c:pt>
                <c:pt idx="512">
                  <c:v>14.000000000000002</c:v>
                </c:pt>
                <c:pt idx="513">
                  <c:v>16</c:v>
                </c:pt>
                <c:pt idx="514">
                  <c:v>14.000000000000002</c:v>
                </c:pt>
                <c:pt idx="515">
                  <c:v>16</c:v>
                </c:pt>
                <c:pt idx="516">
                  <c:v>16</c:v>
                </c:pt>
                <c:pt idx="517">
                  <c:v>16</c:v>
                </c:pt>
                <c:pt idx="518">
                  <c:v>14.000000000000002</c:v>
                </c:pt>
                <c:pt idx="519">
                  <c:v>12</c:v>
                </c:pt>
                <c:pt idx="520">
                  <c:v>12</c:v>
                </c:pt>
                <c:pt idx="521">
                  <c:v>10</c:v>
                </c:pt>
                <c:pt idx="522">
                  <c:v>10</c:v>
                </c:pt>
                <c:pt idx="523">
                  <c:v>8</c:v>
                </c:pt>
                <c:pt idx="524">
                  <c:v>6</c:v>
                </c:pt>
                <c:pt idx="525">
                  <c:v>6</c:v>
                </c:pt>
                <c:pt idx="526">
                  <c:v>4</c:v>
                </c:pt>
                <c:pt idx="527">
                  <c:v>4</c:v>
                </c:pt>
                <c:pt idx="528">
                  <c:v>2</c:v>
                </c:pt>
                <c:pt idx="529">
                  <c:v>2</c:v>
                </c:pt>
                <c:pt idx="530">
                  <c:v>2</c:v>
                </c:pt>
                <c:pt idx="531">
                  <c:v>2</c:v>
                </c:pt>
                <c:pt idx="532">
                  <c:v>4</c:v>
                </c:pt>
                <c:pt idx="533">
                  <c:v>6</c:v>
                </c:pt>
                <c:pt idx="534">
                  <c:v>10</c:v>
                </c:pt>
                <c:pt idx="535">
                  <c:v>10</c:v>
                </c:pt>
                <c:pt idx="536">
                  <c:v>12</c:v>
                </c:pt>
                <c:pt idx="537">
                  <c:v>14.000000000000002</c:v>
                </c:pt>
                <c:pt idx="538">
                  <c:v>14.000000000000002</c:v>
                </c:pt>
                <c:pt idx="539">
                  <c:v>16</c:v>
                </c:pt>
                <c:pt idx="540">
                  <c:v>16</c:v>
                </c:pt>
                <c:pt idx="541">
                  <c:v>14.000000000000002</c:v>
                </c:pt>
                <c:pt idx="542">
                  <c:v>14.000000000000002</c:v>
                </c:pt>
                <c:pt idx="543">
                  <c:v>14.000000000000002</c:v>
                </c:pt>
                <c:pt idx="544">
                  <c:v>14.000000000000002</c:v>
                </c:pt>
                <c:pt idx="545">
                  <c:v>14.000000000000002</c:v>
                </c:pt>
                <c:pt idx="546">
                  <c:v>14.000000000000002</c:v>
                </c:pt>
                <c:pt idx="547">
                  <c:v>16</c:v>
                </c:pt>
                <c:pt idx="548">
                  <c:v>16</c:v>
                </c:pt>
                <c:pt idx="549">
                  <c:v>16</c:v>
                </c:pt>
                <c:pt idx="550">
                  <c:v>16</c:v>
                </c:pt>
                <c:pt idx="551">
                  <c:v>14.000000000000002</c:v>
                </c:pt>
                <c:pt idx="552">
                  <c:v>14.000000000000002</c:v>
                </c:pt>
                <c:pt idx="553">
                  <c:v>16</c:v>
                </c:pt>
                <c:pt idx="554">
                  <c:v>16</c:v>
                </c:pt>
                <c:pt idx="555">
                  <c:v>16</c:v>
                </c:pt>
                <c:pt idx="556">
                  <c:v>20</c:v>
                </c:pt>
                <c:pt idx="557">
                  <c:v>22</c:v>
                </c:pt>
                <c:pt idx="558">
                  <c:v>24</c:v>
                </c:pt>
                <c:pt idx="559">
                  <c:v>26</c:v>
                </c:pt>
                <c:pt idx="560">
                  <c:v>26</c:v>
                </c:pt>
                <c:pt idx="561">
                  <c:v>30</c:v>
                </c:pt>
                <c:pt idx="562">
                  <c:v>32</c:v>
                </c:pt>
                <c:pt idx="563">
                  <c:v>32</c:v>
                </c:pt>
                <c:pt idx="564">
                  <c:v>30</c:v>
                </c:pt>
                <c:pt idx="565">
                  <c:v>30</c:v>
                </c:pt>
                <c:pt idx="566">
                  <c:v>26</c:v>
                </c:pt>
                <c:pt idx="567">
                  <c:v>24</c:v>
                </c:pt>
                <c:pt idx="568">
                  <c:v>24</c:v>
                </c:pt>
                <c:pt idx="569">
                  <c:v>22</c:v>
                </c:pt>
                <c:pt idx="570">
                  <c:v>22</c:v>
                </c:pt>
                <c:pt idx="571">
                  <c:v>22</c:v>
                </c:pt>
                <c:pt idx="572">
                  <c:v>24</c:v>
                </c:pt>
                <c:pt idx="573">
                  <c:v>22</c:v>
                </c:pt>
                <c:pt idx="574">
                  <c:v>20</c:v>
                </c:pt>
                <c:pt idx="575">
                  <c:v>20</c:v>
                </c:pt>
                <c:pt idx="576">
                  <c:v>22</c:v>
                </c:pt>
                <c:pt idx="577">
                  <c:v>22</c:v>
                </c:pt>
                <c:pt idx="578">
                  <c:v>22</c:v>
                </c:pt>
                <c:pt idx="579">
                  <c:v>22</c:v>
                </c:pt>
                <c:pt idx="580">
                  <c:v>22</c:v>
                </c:pt>
                <c:pt idx="581">
                  <c:v>22</c:v>
                </c:pt>
                <c:pt idx="582">
                  <c:v>22</c:v>
                </c:pt>
                <c:pt idx="583">
                  <c:v>22</c:v>
                </c:pt>
                <c:pt idx="584">
                  <c:v>22</c:v>
                </c:pt>
                <c:pt idx="585">
                  <c:v>22</c:v>
                </c:pt>
                <c:pt idx="586">
                  <c:v>20</c:v>
                </c:pt>
                <c:pt idx="587">
                  <c:v>22</c:v>
                </c:pt>
                <c:pt idx="588">
                  <c:v>22</c:v>
                </c:pt>
                <c:pt idx="589">
                  <c:v>20</c:v>
                </c:pt>
                <c:pt idx="590">
                  <c:v>20</c:v>
                </c:pt>
                <c:pt idx="591">
                  <c:v>18</c:v>
                </c:pt>
                <c:pt idx="592">
                  <c:v>18</c:v>
                </c:pt>
                <c:pt idx="593">
                  <c:v>18</c:v>
                </c:pt>
                <c:pt idx="594">
                  <c:v>18</c:v>
                </c:pt>
                <c:pt idx="595">
                  <c:v>20</c:v>
                </c:pt>
                <c:pt idx="596">
                  <c:v>20</c:v>
                </c:pt>
                <c:pt idx="597">
                  <c:v>20</c:v>
                </c:pt>
                <c:pt idx="598">
                  <c:v>20</c:v>
                </c:pt>
                <c:pt idx="599">
                  <c:v>18</c:v>
                </c:pt>
                <c:pt idx="600">
                  <c:v>18</c:v>
                </c:pt>
                <c:pt idx="601">
                  <c:v>16</c:v>
                </c:pt>
                <c:pt idx="602">
                  <c:v>16</c:v>
                </c:pt>
                <c:pt idx="603">
                  <c:v>18</c:v>
                </c:pt>
                <c:pt idx="604">
                  <c:v>18</c:v>
                </c:pt>
                <c:pt idx="605">
                  <c:v>18</c:v>
                </c:pt>
                <c:pt idx="606">
                  <c:v>18</c:v>
                </c:pt>
                <c:pt idx="607">
                  <c:v>18</c:v>
                </c:pt>
                <c:pt idx="608">
                  <c:v>22</c:v>
                </c:pt>
                <c:pt idx="609">
                  <c:v>20</c:v>
                </c:pt>
                <c:pt idx="610">
                  <c:v>22</c:v>
                </c:pt>
                <c:pt idx="611">
                  <c:v>24</c:v>
                </c:pt>
                <c:pt idx="612">
                  <c:v>24</c:v>
                </c:pt>
                <c:pt idx="613">
                  <c:v>24</c:v>
                </c:pt>
                <c:pt idx="614">
                  <c:v>24</c:v>
                </c:pt>
                <c:pt idx="615">
                  <c:v>22</c:v>
                </c:pt>
                <c:pt idx="616">
                  <c:v>24</c:v>
                </c:pt>
                <c:pt idx="617">
                  <c:v>24</c:v>
                </c:pt>
                <c:pt idx="618">
                  <c:v>22</c:v>
                </c:pt>
                <c:pt idx="619">
                  <c:v>22</c:v>
                </c:pt>
                <c:pt idx="620">
                  <c:v>22</c:v>
                </c:pt>
                <c:pt idx="621">
                  <c:v>20</c:v>
                </c:pt>
                <c:pt idx="622">
                  <c:v>16</c:v>
                </c:pt>
                <c:pt idx="623">
                  <c:v>16</c:v>
                </c:pt>
                <c:pt idx="624">
                  <c:v>16</c:v>
                </c:pt>
                <c:pt idx="625">
                  <c:v>18</c:v>
                </c:pt>
                <c:pt idx="626">
                  <c:v>18</c:v>
                </c:pt>
                <c:pt idx="627">
                  <c:v>18</c:v>
                </c:pt>
                <c:pt idx="628">
                  <c:v>18</c:v>
                </c:pt>
                <c:pt idx="629">
                  <c:v>20</c:v>
                </c:pt>
                <c:pt idx="630">
                  <c:v>22</c:v>
                </c:pt>
                <c:pt idx="631">
                  <c:v>22</c:v>
                </c:pt>
                <c:pt idx="632">
                  <c:v>22</c:v>
                </c:pt>
                <c:pt idx="633">
                  <c:v>24</c:v>
                </c:pt>
                <c:pt idx="634">
                  <c:v>24</c:v>
                </c:pt>
                <c:pt idx="635">
                  <c:v>22</c:v>
                </c:pt>
                <c:pt idx="636">
                  <c:v>22</c:v>
                </c:pt>
                <c:pt idx="637">
                  <c:v>18</c:v>
                </c:pt>
                <c:pt idx="638">
                  <c:v>18</c:v>
                </c:pt>
                <c:pt idx="639">
                  <c:v>16</c:v>
                </c:pt>
                <c:pt idx="640">
                  <c:v>16</c:v>
                </c:pt>
                <c:pt idx="641">
                  <c:v>16</c:v>
                </c:pt>
                <c:pt idx="642">
                  <c:v>14.000000000000002</c:v>
                </c:pt>
                <c:pt idx="643">
                  <c:v>16</c:v>
                </c:pt>
                <c:pt idx="644">
                  <c:v>14.000000000000002</c:v>
                </c:pt>
                <c:pt idx="645">
                  <c:v>14.000000000000002</c:v>
                </c:pt>
                <c:pt idx="646">
                  <c:v>14.000000000000002</c:v>
                </c:pt>
                <c:pt idx="647">
                  <c:v>14.000000000000002</c:v>
                </c:pt>
                <c:pt idx="648">
                  <c:v>14.000000000000002</c:v>
                </c:pt>
                <c:pt idx="649">
                  <c:v>16</c:v>
                </c:pt>
                <c:pt idx="650">
                  <c:v>18</c:v>
                </c:pt>
                <c:pt idx="651">
                  <c:v>22</c:v>
                </c:pt>
                <c:pt idx="652">
                  <c:v>30</c:v>
                </c:pt>
                <c:pt idx="653">
                  <c:v>28.000000000000004</c:v>
                </c:pt>
                <c:pt idx="654">
                  <c:v>28.000000000000004</c:v>
                </c:pt>
                <c:pt idx="655">
                  <c:v>30</c:v>
                </c:pt>
                <c:pt idx="656">
                  <c:v>30</c:v>
                </c:pt>
                <c:pt idx="657">
                  <c:v>30</c:v>
                </c:pt>
                <c:pt idx="658">
                  <c:v>26</c:v>
                </c:pt>
                <c:pt idx="659">
                  <c:v>26</c:v>
                </c:pt>
                <c:pt idx="660">
                  <c:v>26</c:v>
                </c:pt>
                <c:pt idx="661">
                  <c:v>24</c:v>
                </c:pt>
                <c:pt idx="662">
                  <c:v>24</c:v>
                </c:pt>
                <c:pt idx="663">
                  <c:v>24</c:v>
                </c:pt>
                <c:pt idx="664">
                  <c:v>24</c:v>
                </c:pt>
                <c:pt idx="665">
                  <c:v>22</c:v>
                </c:pt>
                <c:pt idx="666">
                  <c:v>22</c:v>
                </c:pt>
                <c:pt idx="667">
                  <c:v>22</c:v>
                </c:pt>
                <c:pt idx="668">
                  <c:v>20</c:v>
                </c:pt>
                <c:pt idx="669">
                  <c:v>18</c:v>
                </c:pt>
                <c:pt idx="670">
                  <c:v>16</c:v>
                </c:pt>
                <c:pt idx="671">
                  <c:v>16</c:v>
                </c:pt>
                <c:pt idx="672">
                  <c:v>16</c:v>
                </c:pt>
                <c:pt idx="673">
                  <c:v>16</c:v>
                </c:pt>
                <c:pt idx="674">
                  <c:v>16</c:v>
                </c:pt>
                <c:pt idx="675">
                  <c:v>16</c:v>
                </c:pt>
                <c:pt idx="676">
                  <c:v>18</c:v>
                </c:pt>
                <c:pt idx="677">
                  <c:v>16</c:v>
                </c:pt>
                <c:pt idx="678">
                  <c:v>18</c:v>
                </c:pt>
                <c:pt idx="679">
                  <c:v>16</c:v>
                </c:pt>
                <c:pt idx="680">
                  <c:v>16</c:v>
                </c:pt>
                <c:pt idx="681">
                  <c:v>16</c:v>
                </c:pt>
                <c:pt idx="682">
                  <c:v>16</c:v>
                </c:pt>
                <c:pt idx="683">
                  <c:v>30</c:v>
                </c:pt>
                <c:pt idx="684">
                  <c:v>16</c:v>
                </c:pt>
                <c:pt idx="685">
                  <c:v>16</c:v>
                </c:pt>
                <c:pt idx="686">
                  <c:v>16</c:v>
                </c:pt>
                <c:pt idx="687">
                  <c:v>16</c:v>
                </c:pt>
                <c:pt idx="688">
                  <c:v>16</c:v>
                </c:pt>
                <c:pt idx="689">
                  <c:v>16</c:v>
                </c:pt>
                <c:pt idx="690">
                  <c:v>16</c:v>
                </c:pt>
                <c:pt idx="691">
                  <c:v>16</c:v>
                </c:pt>
                <c:pt idx="692">
                  <c:v>14.000000000000002</c:v>
                </c:pt>
                <c:pt idx="693">
                  <c:v>14.000000000000002</c:v>
                </c:pt>
                <c:pt idx="694">
                  <c:v>16</c:v>
                </c:pt>
                <c:pt idx="695">
                  <c:v>16</c:v>
                </c:pt>
                <c:pt idx="696">
                  <c:v>16</c:v>
                </c:pt>
                <c:pt idx="697">
                  <c:v>16</c:v>
                </c:pt>
                <c:pt idx="698">
                  <c:v>18</c:v>
                </c:pt>
                <c:pt idx="699">
                  <c:v>20</c:v>
                </c:pt>
                <c:pt idx="700">
                  <c:v>20</c:v>
                </c:pt>
                <c:pt idx="701">
                  <c:v>22</c:v>
                </c:pt>
                <c:pt idx="702">
                  <c:v>24</c:v>
                </c:pt>
                <c:pt idx="703">
                  <c:v>24</c:v>
                </c:pt>
                <c:pt idx="704">
                  <c:v>24</c:v>
                </c:pt>
                <c:pt idx="705">
                  <c:v>24</c:v>
                </c:pt>
                <c:pt idx="706">
                  <c:v>24</c:v>
                </c:pt>
                <c:pt idx="707">
                  <c:v>22</c:v>
                </c:pt>
                <c:pt idx="708">
                  <c:v>22</c:v>
                </c:pt>
                <c:pt idx="709">
                  <c:v>22</c:v>
                </c:pt>
                <c:pt idx="710">
                  <c:v>20</c:v>
                </c:pt>
                <c:pt idx="711">
                  <c:v>22</c:v>
                </c:pt>
                <c:pt idx="712">
                  <c:v>22</c:v>
                </c:pt>
                <c:pt idx="713">
                  <c:v>22</c:v>
                </c:pt>
                <c:pt idx="714">
                  <c:v>22</c:v>
                </c:pt>
                <c:pt idx="715">
                  <c:v>22</c:v>
                </c:pt>
                <c:pt idx="716">
                  <c:v>22</c:v>
                </c:pt>
                <c:pt idx="717">
                  <c:v>22</c:v>
                </c:pt>
                <c:pt idx="718">
                  <c:v>22</c:v>
                </c:pt>
                <c:pt idx="719">
                  <c:v>22</c:v>
                </c:pt>
                <c:pt idx="720">
                  <c:v>24</c:v>
                </c:pt>
                <c:pt idx="721">
                  <c:v>22</c:v>
                </c:pt>
                <c:pt idx="722">
                  <c:v>24</c:v>
                </c:pt>
                <c:pt idx="723">
                  <c:v>24</c:v>
                </c:pt>
                <c:pt idx="724">
                  <c:v>34</c:v>
                </c:pt>
                <c:pt idx="725">
                  <c:v>38</c:v>
                </c:pt>
                <c:pt idx="726">
                  <c:v>38</c:v>
                </c:pt>
                <c:pt idx="727">
                  <c:v>36</c:v>
                </c:pt>
                <c:pt idx="728">
                  <c:v>36</c:v>
                </c:pt>
                <c:pt idx="729">
                  <c:v>34</c:v>
                </c:pt>
                <c:pt idx="730">
                  <c:v>28.000000000000004</c:v>
                </c:pt>
                <c:pt idx="731">
                  <c:v>24</c:v>
                </c:pt>
                <c:pt idx="732">
                  <c:v>22</c:v>
                </c:pt>
                <c:pt idx="733">
                  <c:v>22</c:v>
                </c:pt>
                <c:pt idx="734">
                  <c:v>20</c:v>
                </c:pt>
                <c:pt idx="735">
                  <c:v>20</c:v>
                </c:pt>
                <c:pt idx="736">
                  <c:v>20</c:v>
                </c:pt>
                <c:pt idx="737">
                  <c:v>18</c:v>
                </c:pt>
                <c:pt idx="738">
                  <c:v>18</c:v>
                </c:pt>
                <c:pt idx="739">
                  <c:v>16</c:v>
                </c:pt>
                <c:pt idx="740">
                  <c:v>16</c:v>
                </c:pt>
                <c:pt idx="741">
                  <c:v>14.000000000000002</c:v>
                </c:pt>
                <c:pt idx="742">
                  <c:v>14.000000000000002</c:v>
                </c:pt>
                <c:pt idx="743">
                  <c:v>16</c:v>
                </c:pt>
                <c:pt idx="744">
                  <c:v>18</c:v>
                </c:pt>
                <c:pt idx="745">
                  <c:v>18</c:v>
                </c:pt>
                <c:pt idx="746">
                  <c:v>20</c:v>
                </c:pt>
                <c:pt idx="747">
                  <c:v>20</c:v>
                </c:pt>
                <c:pt idx="748">
                  <c:v>22</c:v>
                </c:pt>
                <c:pt idx="749">
                  <c:v>22</c:v>
                </c:pt>
                <c:pt idx="750">
                  <c:v>22</c:v>
                </c:pt>
                <c:pt idx="751">
                  <c:v>20</c:v>
                </c:pt>
                <c:pt idx="752">
                  <c:v>20</c:v>
                </c:pt>
                <c:pt idx="753">
                  <c:v>20</c:v>
                </c:pt>
                <c:pt idx="754">
                  <c:v>20</c:v>
                </c:pt>
                <c:pt idx="755">
                  <c:v>18</c:v>
                </c:pt>
                <c:pt idx="756">
                  <c:v>18</c:v>
                </c:pt>
                <c:pt idx="757">
                  <c:v>20</c:v>
                </c:pt>
                <c:pt idx="758">
                  <c:v>20</c:v>
                </c:pt>
                <c:pt idx="759">
                  <c:v>16</c:v>
                </c:pt>
                <c:pt idx="760">
                  <c:v>14.000000000000002</c:v>
                </c:pt>
                <c:pt idx="761">
                  <c:v>14.000000000000002</c:v>
                </c:pt>
                <c:pt idx="762">
                  <c:v>14.000000000000002</c:v>
                </c:pt>
                <c:pt idx="763">
                  <c:v>16</c:v>
                </c:pt>
                <c:pt idx="764">
                  <c:v>14.000000000000002</c:v>
                </c:pt>
                <c:pt idx="765">
                  <c:v>14.000000000000002</c:v>
                </c:pt>
                <c:pt idx="766">
                  <c:v>16</c:v>
                </c:pt>
                <c:pt idx="767">
                  <c:v>20</c:v>
                </c:pt>
                <c:pt idx="768">
                  <c:v>22</c:v>
                </c:pt>
                <c:pt idx="769">
                  <c:v>24</c:v>
                </c:pt>
                <c:pt idx="770">
                  <c:v>26</c:v>
                </c:pt>
                <c:pt idx="771">
                  <c:v>28.000000000000004</c:v>
                </c:pt>
                <c:pt idx="772">
                  <c:v>28.000000000000004</c:v>
                </c:pt>
                <c:pt idx="773">
                  <c:v>30</c:v>
                </c:pt>
                <c:pt idx="774">
                  <c:v>26</c:v>
                </c:pt>
                <c:pt idx="775">
                  <c:v>24</c:v>
                </c:pt>
                <c:pt idx="776">
                  <c:v>24</c:v>
                </c:pt>
                <c:pt idx="777">
                  <c:v>24</c:v>
                </c:pt>
                <c:pt idx="778">
                  <c:v>24</c:v>
                </c:pt>
                <c:pt idx="779">
                  <c:v>24</c:v>
                </c:pt>
                <c:pt idx="780">
                  <c:v>24</c:v>
                </c:pt>
                <c:pt idx="781">
                  <c:v>24</c:v>
                </c:pt>
                <c:pt idx="782">
                  <c:v>24</c:v>
                </c:pt>
                <c:pt idx="783">
                  <c:v>24</c:v>
                </c:pt>
                <c:pt idx="784">
                  <c:v>24</c:v>
                </c:pt>
                <c:pt idx="785">
                  <c:v>22</c:v>
                </c:pt>
                <c:pt idx="786">
                  <c:v>20</c:v>
                </c:pt>
                <c:pt idx="787">
                  <c:v>20</c:v>
                </c:pt>
                <c:pt idx="788">
                  <c:v>22</c:v>
                </c:pt>
                <c:pt idx="789">
                  <c:v>20</c:v>
                </c:pt>
                <c:pt idx="790">
                  <c:v>20</c:v>
                </c:pt>
                <c:pt idx="791">
                  <c:v>20</c:v>
                </c:pt>
                <c:pt idx="792">
                  <c:v>22</c:v>
                </c:pt>
                <c:pt idx="793">
                  <c:v>22</c:v>
                </c:pt>
                <c:pt idx="794">
                  <c:v>22</c:v>
                </c:pt>
                <c:pt idx="795">
                  <c:v>22</c:v>
                </c:pt>
                <c:pt idx="796">
                  <c:v>22</c:v>
                </c:pt>
                <c:pt idx="797">
                  <c:v>22</c:v>
                </c:pt>
                <c:pt idx="798">
                  <c:v>24</c:v>
                </c:pt>
                <c:pt idx="799">
                  <c:v>28.000000000000004</c:v>
                </c:pt>
                <c:pt idx="800">
                  <c:v>28.000000000000004</c:v>
                </c:pt>
                <c:pt idx="801">
                  <c:v>30</c:v>
                </c:pt>
                <c:pt idx="802">
                  <c:v>26</c:v>
                </c:pt>
                <c:pt idx="803">
                  <c:v>26</c:v>
                </c:pt>
                <c:pt idx="804">
                  <c:v>26</c:v>
                </c:pt>
                <c:pt idx="805">
                  <c:v>26</c:v>
                </c:pt>
                <c:pt idx="806">
                  <c:v>26</c:v>
                </c:pt>
                <c:pt idx="807">
                  <c:v>26</c:v>
                </c:pt>
                <c:pt idx="808">
                  <c:v>26</c:v>
                </c:pt>
                <c:pt idx="809">
                  <c:v>26</c:v>
                </c:pt>
                <c:pt idx="810">
                  <c:v>26</c:v>
                </c:pt>
                <c:pt idx="811">
                  <c:v>26</c:v>
                </c:pt>
                <c:pt idx="812">
                  <c:v>24</c:v>
                </c:pt>
                <c:pt idx="813">
                  <c:v>24</c:v>
                </c:pt>
                <c:pt idx="814">
                  <c:v>28.000000000000004</c:v>
                </c:pt>
                <c:pt idx="815">
                  <c:v>30</c:v>
                </c:pt>
                <c:pt idx="816">
                  <c:v>32</c:v>
                </c:pt>
                <c:pt idx="817">
                  <c:v>34</c:v>
                </c:pt>
                <c:pt idx="818">
                  <c:v>34</c:v>
                </c:pt>
                <c:pt idx="819">
                  <c:v>34</c:v>
                </c:pt>
                <c:pt idx="820">
                  <c:v>34</c:v>
                </c:pt>
                <c:pt idx="821">
                  <c:v>34</c:v>
                </c:pt>
                <c:pt idx="822">
                  <c:v>34</c:v>
                </c:pt>
                <c:pt idx="823">
                  <c:v>30</c:v>
                </c:pt>
                <c:pt idx="824">
                  <c:v>28.000000000000004</c:v>
                </c:pt>
                <c:pt idx="825">
                  <c:v>28.000000000000004</c:v>
                </c:pt>
                <c:pt idx="826">
                  <c:v>26</c:v>
                </c:pt>
                <c:pt idx="827">
                  <c:v>26</c:v>
                </c:pt>
                <c:pt idx="828">
                  <c:v>24</c:v>
                </c:pt>
                <c:pt idx="829">
                  <c:v>24</c:v>
                </c:pt>
                <c:pt idx="830">
                  <c:v>22</c:v>
                </c:pt>
                <c:pt idx="831">
                  <c:v>20</c:v>
                </c:pt>
                <c:pt idx="832">
                  <c:v>20</c:v>
                </c:pt>
                <c:pt idx="833">
                  <c:v>20</c:v>
                </c:pt>
                <c:pt idx="834">
                  <c:v>20</c:v>
                </c:pt>
                <c:pt idx="835">
                  <c:v>18</c:v>
                </c:pt>
                <c:pt idx="836">
                  <c:v>18</c:v>
                </c:pt>
                <c:pt idx="837">
                  <c:v>16</c:v>
                </c:pt>
                <c:pt idx="838">
                  <c:v>22</c:v>
                </c:pt>
                <c:pt idx="839">
                  <c:v>24</c:v>
                </c:pt>
                <c:pt idx="840">
                  <c:v>30</c:v>
                </c:pt>
                <c:pt idx="841">
                  <c:v>32</c:v>
                </c:pt>
                <c:pt idx="842">
                  <c:v>36</c:v>
                </c:pt>
                <c:pt idx="843">
                  <c:v>36</c:v>
                </c:pt>
                <c:pt idx="844">
                  <c:v>38</c:v>
                </c:pt>
                <c:pt idx="845">
                  <c:v>36</c:v>
                </c:pt>
                <c:pt idx="846">
                  <c:v>32</c:v>
                </c:pt>
                <c:pt idx="847">
                  <c:v>34</c:v>
                </c:pt>
                <c:pt idx="848">
                  <c:v>32</c:v>
                </c:pt>
                <c:pt idx="849">
                  <c:v>32</c:v>
                </c:pt>
                <c:pt idx="850">
                  <c:v>32</c:v>
                </c:pt>
                <c:pt idx="851">
                  <c:v>28.000000000000004</c:v>
                </c:pt>
                <c:pt idx="852">
                  <c:v>30</c:v>
                </c:pt>
                <c:pt idx="853">
                  <c:v>28.000000000000004</c:v>
                </c:pt>
                <c:pt idx="854">
                  <c:v>28.000000000000004</c:v>
                </c:pt>
                <c:pt idx="855">
                  <c:v>26</c:v>
                </c:pt>
                <c:pt idx="856">
                  <c:v>28.000000000000004</c:v>
                </c:pt>
                <c:pt idx="857">
                  <c:v>26</c:v>
                </c:pt>
                <c:pt idx="858">
                  <c:v>26</c:v>
                </c:pt>
                <c:pt idx="859">
                  <c:v>26</c:v>
                </c:pt>
                <c:pt idx="860">
                  <c:v>24</c:v>
                </c:pt>
                <c:pt idx="861">
                  <c:v>24</c:v>
                </c:pt>
                <c:pt idx="862">
                  <c:v>24</c:v>
                </c:pt>
                <c:pt idx="863">
                  <c:v>22</c:v>
                </c:pt>
                <c:pt idx="864">
                  <c:v>22</c:v>
                </c:pt>
                <c:pt idx="865">
                  <c:v>24</c:v>
                </c:pt>
                <c:pt idx="866">
                  <c:v>24</c:v>
                </c:pt>
                <c:pt idx="867">
                  <c:v>22</c:v>
                </c:pt>
                <c:pt idx="868">
                  <c:v>22</c:v>
                </c:pt>
                <c:pt idx="869">
                  <c:v>22</c:v>
                </c:pt>
                <c:pt idx="870">
                  <c:v>22</c:v>
                </c:pt>
                <c:pt idx="871">
                  <c:v>20</c:v>
                </c:pt>
                <c:pt idx="872">
                  <c:v>16</c:v>
                </c:pt>
                <c:pt idx="873">
                  <c:v>16</c:v>
                </c:pt>
                <c:pt idx="874">
                  <c:v>14.000000000000002</c:v>
                </c:pt>
                <c:pt idx="875">
                  <c:v>12</c:v>
                </c:pt>
                <c:pt idx="876">
                  <c:v>12</c:v>
                </c:pt>
                <c:pt idx="877">
                  <c:v>10</c:v>
                </c:pt>
                <c:pt idx="878">
                  <c:v>10</c:v>
                </c:pt>
                <c:pt idx="879">
                  <c:v>8</c:v>
                </c:pt>
                <c:pt idx="880">
                  <c:v>6</c:v>
                </c:pt>
                <c:pt idx="881">
                  <c:v>6</c:v>
                </c:pt>
                <c:pt idx="882">
                  <c:v>6</c:v>
                </c:pt>
                <c:pt idx="883">
                  <c:v>6</c:v>
                </c:pt>
                <c:pt idx="884">
                  <c:v>10</c:v>
                </c:pt>
                <c:pt idx="885">
                  <c:v>12</c:v>
                </c:pt>
                <c:pt idx="886">
                  <c:v>14.000000000000002</c:v>
                </c:pt>
                <c:pt idx="887">
                  <c:v>14.000000000000002</c:v>
                </c:pt>
                <c:pt idx="888">
                  <c:v>18</c:v>
                </c:pt>
                <c:pt idx="889">
                  <c:v>18</c:v>
                </c:pt>
                <c:pt idx="890">
                  <c:v>20</c:v>
                </c:pt>
                <c:pt idx="891">
                  <c:v>20</c:v>
                </c:pt>
                <c:pt idx="892">
                  <c:v>20</c:v>
                </c:pt>
                <c:pt idx="893">
                  <c:v>20</c:v>
                </c:pt>
                <c:pt idx="894">
                  <c:v>18</c:v>
                </c:pt>
                <c:pt idx="895">
                  <c:v>14.000000000000002</c:v>
                </c:pt>
                <c:pt idx="896">
                  <c:v>14.000000000000002</c:v>
                </c:pt>
                <c:pt idx="897">
                  <c:v>14.000000000000002</c:v>
                </c:pt>
                <c:pt idx="898">
                  <c:v>16</c:v>
                </c:pt>
                <c:pt idx="899">
                  <c:v>16</c:v>
                </c:pt>
                <c:pt idx="900">
                  <c:v>14.000000000000002</c:v>
                </c:pt>
                <c:pt idx="901">
                  <c:v>14.000000000000002</c:v>
                </c:pt>
                <c:pt idx="902">
                  <c:v>14.000000000000002</c:v>
                </c:pt>
                <c:pt idx="903">
                  <c:v>14.000000000000002</c:v>
                </c:pt>
                <c:pt idx="904">
                  <c:v>12</c:v>
                </c:pt>
                <c:pt idx="905">
                  <c:v>12</c:v>
                </c:pt>
                <c:pt idx="906">
                  <c:v>10</c:v>
                </c:pt>
                <c:pt idx="907">
                  <c:v>10</c:v>
                </c:pt>
                <c:pt idx="908">
                  <c:v>12</c:v>
                </c:pt>
                <c:pt idx="909">
                  <c:v>12</c:v>
                </c:pt>
                <c:pt idx="910">
                  <c:v>14.000000000000002</c:v>
                </c:pt>
                <c:pt idx="911">
                  <c:v>16</c:v>
                </c:pt>
                <c:pt idx="912">
                  <c:v>18</c:v>
                </c:pt>
                <c:pt idx="913">
                  <c:v>20</c:v>
                </c:pt>
                <c:pt idx="914">
                  <c:v>20</c:v>
                </c:pt>
                <c:pt idx="915">
                  <c:v>20</c:v>
                </c:pt>
                <c:pt idx="916">
                  <c:v>18</c:v>
                </c:pt>
                <c:pt idx="917">
                  <c:v>16</c:v>
                </c:pt>
                <c:pt idx="918">
                  <c:v>14.000000000000002</c:v>
                </c:pt>
                <c:pt idx="919">
                  <c:v>14.000000000000002</c:v>
                </c:pt>
                <c:pt idx="920">
                  <c:v>14.000000000000002</c:v>
                </c:pt>
                <c:pt idx="921">
                  <c:v>12</c:v>
                </c:pt>
                <c:pt idx="922">
                  <c:v>12</c:v>
                </c:pt>
                <c:pt idx="923">
                  <c:v>10</c:v>
                </c:pt>
                <c:pt idx="924">
                  <c:v>10</c:v>
                </c:pt>
                <c:pt idx="925">
                  <c:v>10</c:v>
                </c:pt>
                <c:pt idx="926">
                  <c:v>8</c:v>
                </c:pt>
                <c:pt idx="927">
                  <c:v>10</c:v>
                </c:pt>
                <c:pt idx="928">
                  <c:v>8</c:v>
                </c:pt>
                <c:pt idx="929">
                  <c:v>10</c:v>
                </c:pt>
                <c:pt idx="930">
                  <c:v>12</c:v>
                </c:pt>
                <c:pt idx="931">
                  <c:v>14.000000000000002</c:v>
                </c:pt>
                <c:pt idx="932">
                  <c:v>22</c:v>
                </c:pt>
                <c:pt idx="933">
                  <c:v>22</c:v>
                </c:pt>
                <c:pt idx="934">
                  <c:v>24</c:v>
                </c:pt>
                <c:pt idx="935">
                  <c:v>30</c:v>
                </c:pt>
                <c:pt idx="936">
                  <c:v>32</c:v>
                </c:pt>
                <c:pt idx="937">
                  <c:v>30</c:v>
                </c:pt>
                <c:pt idx="938">
                  <c:v>30</c:v>
                </c:pt>
                <c:pt idx="939">
                  <c:v>28.000000000000004</c:v>
                </c:pt>
                <c:pt idx="940">
                  <c:v>26</c:v>
                </c:pt>
                <c:pt idx="941">
                  <c:v>22</c:v>
                </c:pt>
                <c:pt idx="942">
                  <c:v>20</c:v>
                </c:pt>
                <c:pt idx="943">
                  <c:v>20</c:v>
                </c:pt>
                <c:pt idx="944">
                  <c:v>18</c:v>
                </c:pt>
                <c:pt idx="945">
                  <c:v>16</c:v>
                </c:pt>
                <c:pt idx="946">
                  <c:v>14.000000000000002</c:v>
                </c:pt>
                <c:pt idx="947">
                  <c:v>14.000000000000002</c:v>
                </c:pt>
                <c:pt idx="948">
                  <c:v>12</c:v>
                </c:pt>
                <c:pt idx="949">
                  <c:v>12</c:v>
                </c:pt>
                <c:pt idx="950">
                  <c:v>12</c:v>
                </c:pt>
                <c:pt idx="951">
                  <c:v>12</c:v>
                </c:pt>
                <c:pt idx="952">
                  <c:v>12</c:v>
                </c:pt>
                <c:pt idx="953">
                  <c:v>14.000000000000002</c:v>
                </c:pt>
                <c:pt idx="954">
                  <c:v>16</c:v>
                </c:pt>
                <c:pt idx="955">
                  <c:v>22</c:v>
                </c:pt>
                <c:pt idx="956">
                  <c:v>30</c:v>
                </c:pt>
                <c:pt idx="957">
                  <c:v>30</c:v>
                </c:pt>
                <c:pt idx="958">
                  <c:v>30</c:v>
                </c:pt>
                <c:pt idx="959">
                  <c:v>34</c:v>
                </c:pt>
                <c:pt idx="960">
                  <c:v>34</c:v>
                </c:pt>
                <c:pt idx="961">
                  <c:v>34</c:v>
                </c:pt>
                <c:pt idx="962">
                  <c:v>32</c:v>
                </c:pt>
                <c:pt idx="963">
                  <c:v>28.000000000000004</c:v>
                </c:pt>
                <c:pt idx="964">
                  <c:v>28.000000000000004</c:v>
                </c:pt>
                <c:pt idx="965">
                  <c:v>26</c:v>
                </c:pt>
                <c:pt idx="966">
                  <c:v>26</c:v>
                </c:pt>
                <c:pt idx="967">
                  <c:v>24</c:v>
                </c:pt>
                <c:pt idx="968">
                  <c:v>22</c:v>
                </c:pt>
                <c:pt idx="969">
                  <c:v>20</c:v>
                </c:pt>
                <c:pt idx="970">
                  <c:v>20</c:v>
                </c:pt>
                <c:pt idx="971">
                  <c:v>20</c:v>
                </c:pt>
                <c:pt idx="972">
                  <c:v>20</c:v>
                </c:pt>
                <c:pt idx="973">
                  <c:v>20</c:v>
                </c:pt>
                <c:pt idx="974">
                  <c:v>20</c:v>
                </c:pt>
                <c:pt idx="975">
                  <c:v>22</c:v>
                </c:pt>
                <c:pt idx="976">
                  <c:v>22</c:v>
                </c:pt>
                <c:pt idx="977">
                  <c:v>24</c:v>
                </c:pt>
                <c:pt idx="978">
                  <c:v>30</c:v>
                </c:pt>
                <c:pt idx="979">
                  <c:v>32</c:v>
                </c:pt>
                <c:pt idx="980">
                  <c:v>36</c:v>
                </c:pt>
                <c:pt idx="981">
                  <c:v>38</c:v>
                </c:pt>
                <c:pt idx="982">
                  <c:v>40</c:v>
                </c:pt>
                <c:pt idx="983">
                  <c:v>40</c:v>
                </c:pt>
                <c:pt idx="984">
                  <c:v>42</c:v>
                </c:pt>
                <c:pt idx="985">
                  <c:v>42</c:v>
                </c:pt>
                <c:pt idx="986">
                  <c:v>40</c:v>
                </c:pt>
                <c:pt idx="987">
                  <c:v>40</c:v>
                </c:pt>
                <c:pt idx="988">
                  <c:v>40</c:v>
                </c:pt>
                <c:pt idx="989">
                  <c:v>40</c:v>
                </c:pt>
                <c:pt idx="990">
                  <c:v>40</c:v>
                </c:pt>
                <c:pt idx="991">
                  <c:v>40</c:v>
                </c:pt>
                <c:pt idx="992">
                  <c:v>38</c:v>
                </c:pt>
                <c:pt idx="993">
                  <c:v>38</c:v>
                </c:pt>
                <c:pt idx="994">
                  <c:v>36</c:v>
                </c:pt>
                <c:pt idx="995">
                  <c:v>34</c:v>
                </c:pt>
                <c:pt idx="996">
                  <c:v>32</c:v>
                </c:pt>
                <c:pt idx="997">
                  <c:v>32</c:v>
                </c:pt>
                <c:pt idx="998">
                  <c:v>34</c:v>
                </c:pt>
                <c:pt idx="999">
                  <c:v>34</c:v>
                </c:pt>
              </c:numCache>
            </c:numRef>
          </c:xVal>
          <c:yVal>
            <c:numRef>
              <c:f>pivot!$AL$4:$AL$1003</c:f>
              <c:numCache>
                <c:formatCode>0</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7BB5-44CD-9EB7-8AD115E4BE33}"/>
            </c:ext>
          </c:extLst>
        </c:ser>
        <c:dLbls>
          <c:showLegendKey val="0"/>
          <c:showVal val="0"/>
          <c:showCatName val="0"/>
          <c:showSerName val="0"/>
          <c:showPercent val="0"/>
          <c:showBubbleSize val="0"/>
        </c:dLbls>
        <c:axId val="413722200"/>
        <c:axId val="413726520"/>
      </c:scatterChart>
      <c:valAx>
        <c:axId val="413722200"/>
        <c:scaling>
          <c:orientation val="minMax"/>
        </c:scaling>
        <c:delete val="0"/>
        <c:axPos val="b"/>
        <c:numFmt formatCode="0"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crossAx val="413726520"/>
        <c:crosses val="autoZero"/>
        <c:crossBetween val="midCat"/>
      </c:valAx>
      <c:valAx>
        <c:axId val="413726520"/>
        <c:scaling>
          <c:orientation val="minMax"/>
        </c:scaling>
        <c:delete val="0"/>
        <c:axPos val="l"/>
        <c:numFmt formatCode="0"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crossAx val="413722200"/>
        <c:crosses val="autoZero"/>
        <c:crossBetween val="midCat"/>
      </c:valAx>
      <c:spPr>
        <a:noFill/>
        <a:ln w="25400">
          <a:noFill/>
        </a:ln>
        <a:effectLst/>
      </c:spPr>
    </c:plotArea>
    <c:plotVisOnly val="1"/>
    <c:dispBlanksAs val="gap"/>
    <c:showDLblsOverMax val="0"/>
  </c:chart>
  <c:spPr>
    <a:solidFill>
      <a:schemeClr val="accent6">
        <a:lumMod val="60000"/>
        <a:lumOff val="40000"/>
      </a:schemeClr>
    </a:solidFill>
    <a:ln w="9525" cap="flat" cmpd="sng" algn="ctr">
      <a:solidFill>
        <a:schemeClr val="accent6">
          <a:lumMod val="50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5">
                    <a:lumMod val="50000"/>
                  </a:schemeClr>
                </a:solidFill>
                <a:latin typeface="Aptos Narrow" panose="020B0004020202020204" pitchFamily="34" charset="0"/>
              </a:rPr>
              <a:t>DEMAND</a:t>
            </a:r>
            <a:r>
              <a:rPr lang="en-IN" b="1" baseline="0">
                <a:solidFill>
                  <a:schemeClr val="accent5">
                    <a:lumMod val="50000"/>
                  </a:schemeClr>
                </a:solidFill>
                <a:latin typeface="Aptos Narrow" panose="020B0004020202020204" pitchFamily="34" charset="0"/>
              </a:rPr>
              <a:t> FORECASTING</a:t>
            </a:r>
            <a:endParaRPr lang="en-IN" b="1">
              <a:solidFill>
                <a:schemeClr val="accent5">
                  <a:lumMod val="50000"/>
                </a:schemeClr>
              </a:solidFill>
              <a:latin typeface="Aptos Narrow" panose="020B0004020202020204" pitchFamily="34" charset="0"/>
            </a:endParaRPr>
          </a:p>
        </c:rich>
      </c:tx>
      <c:layout>
        <c:manualLayout>
          <c:xMode val="edge"/>
          <c:yMode val="edge"/>
          <c:x val="0.34664689831529216"/>
          <c:y val="8.18067332776755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2557636817136987E-2"/>
          <c:y val="0.26886396833477366"/>
          <c:w val="0.87266213956153893"/>
          <c:h val="0.43910840793484096"/>
        </c:manualLayout>
      </c:layout>
      <c:lineChart>
        <c:grouping val="standard"/>
        <c:varyColors val="0"/>
        <c:ser>
          <c:idx val="0"/>
          <c:order val="0"/>
          <c:tx>
            <c:strRef>
              <c:f>'Demand forecast'!$B$1</c:f>
              <c:strCache>
                <c:ptCount val="1"/>
                <c:pt idx="0">
                  <c:v>Rider Count</c:v>
                </c:pt>
              </c:strCache>
            </c:strRef>
          </c:tx>
          <c:spPr>
            <a:ln w="28575" cap="rnd">
              <a:solidFill>
                <a:schemeClr val="bg2">
                  <a:lumMod val="25000"/>
                </a:schemeClr>
              </a:solidFill>
              <a:round/>
            </a:ln>
            <a:effectLst/>
          </c:spPr>
          <c:marker>
            <c:symbol val="none"/>
          </c:marker>
          <c:val>
            <c:numRef>
              <c:f>'Demand forecast'!$B$2:$B$29</c:f>
              <c:numCache>
                <c:formatCode>0</c:formatCode>
                <c:ptCount val="28"/>
                <c:pt idx="0">
                  <c:v>1360</c:v>
                </c:pt>
                <c:pt idx="1">
                  <c:v>1526</c:v>
                </c:pt>
                <c:pt idx="2">
                  <c:v>1550</c:v>
                </c:pt>
                <c:pt idx="3">
                  <c:v>1708</c:v>
                </c:pt>
                <c:pt idx="4">
                  <c:v>1005</c:v>
                </c:pt>
                <c:pt idx="5">
                  <c:v>1623</c:v>
                </c:pt>
                <c:pt idx="6">
                  <c:v>1712</c:v>
                </c:pt>
                <c:pt idx="7">
                  <c:v>1530</c:v>
                </c:pt>
                <c:pt idx="8">
                  <c:v>1605</c:v>
                </c:pt>
                <c:pt idx="9">
                  <c:v>1538</c:v>
                </c:pt>
                <c:pt idx="10">
                  <c:v>1746</c:v>
                </c:pt>
                <c:pt idx="11">
                  <c:v>1472</c:v>
                </c:pt>
                <c:pt idx="12">
                  <c:v>1589</c:v>
                </c:pt>
                <c:pt idx="13">
                  <c:v>151</c:v>
                </c:pt>
              </c:numCache>
            </c:numRef>
          </c:val>
          <c:smooth val="0"/>
          <c:extLst>
            <c:ext xmlns:c16="http://schemas.microsoft.com/office/drawing/2014/chart" uri="{C3380CC4-5D6E-409C-BE32-E72D297353CC}">
              <c16:uniqueId val="{00000000-7A32-4E5B-AD3C-2B12A832CFB5}"/>
            </c:ext>
          </c:extLst>
        </c:ser>
        <c:ser>
          <c:idx val="1"/>
          <c:order val="1"/>
          <c:tx>
            <c:strRef>
              <c:f>'Demand forecast'!$C$1</c:f>
              <c:strCache>
                <c:ptCount val="1"/>
                <c:pt idx="0">
                  <c:v>Forecast(Rider Count)</c:v>
                </c:pt>
              </c:strCache>
            </c:strRef>
          </c:tx>
          <c:spPr>
            <a:ln w="25400" cap="rnd">
              <a:solidFill>
                <a:schemeClr val="accent5"/>
              </a:solidFill>
              <a:round/>
            </a:ln>
            <a:effectLst/>
          </c:spPr>
          <c:marker>
            <c:symbol val="circle"/>
            <c:size val="3"/>
            <c:spPr>
              <a:solidFill>
                <a:srgbClr val="002060"/>
              </a:solidFill>
              <a:ln w="9525">
                <a:solidFill>
                  <a:srgbClr val="002060"/>
                </a:solidFill>
              </a:ln>
              <a:effectLst/>
            </c:spPr>
          </c:marker>
          <c:cat>
            <c:numRef>
              <c:f>'Demand forecast'!$A$2:$A$29</c:f>
              <c:numCache>
                <c:formatCode>[$-409]d/mmm;@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'Demand forecast'!$C$2:$C$29</c:f>
              <c:numCache>
                <c:formatCode>General</c:formatCode>
                <c:ptCount val="28"/>
                <c:pt idx="13" formatCode="0">
                  <c:v>151</c:v>
                </c:pt>
                <c:pt idx="14" formatCode="0">
                  <c:v>1105.5389852346573</c:v>
                </c:pt>
                <c:pt idx="15" formatCode="0">
                  <c:v>1077.433837845477</c:v>
                </c:pt>
                <c:pt idx="16" formatCode="0">
                  <c:v>1049.328690456297</c:v>
                </c:pt>
                <c:pt idx="17" formatCode="0">
                  <c:v>1021.2235430671168</c:v>
                </c:pt>
                <c:pt idx="18" formatCode="0">
                  <c:v>993.11839567793686</c:v>
                </c:pt>
                <c:pt idx="19" formatCode="0">
                  <c:v>965.01324828875659</c:v>
                </c:pt>
                <c:pt idx="20" formatCode="0">
                  <c:v>936.90810089957665</c:v>
                </c:pt>
                <c:pt idx="21" formatCode="0">
                  <c:v>908.80295351039638</c:v>
                </c:pt>
                <c:pt idx="22" formatCode="0">
                  <c:v>880.69780612121644</c:v>
                </c:pt>
                <c:pt idx="23" formatCode="0">
                  <c:v>852.59265873203606</c:v>
                </c:pt>
                <c:pt idx="24" formatCode="0">
                  <c:v>824.48751134285624</c:v>
                </c:pt>
                <c:pt idx="25" formatCode="0">
                  <c:v>796.38236395367596</c:v>
                </c:pt>
                <c:pt idx="26" formatCode="0">
                  <c:v>768.27721656449603</c:v>
                </c:pt>
                <c:pt idx="27" formatCode="0">
                  <c:v>740.17206917531564</c:v>
                </c:pt>
              </c:numCache>
            </c:numRef>
          </c:val>
          <c:smooth val="0"/>
          <c:extLst>
            <c:ext xmlns:c16="http://schemas.microsoft.com/office/drawing/2014/chart" uri="{C3380CC4-5D6E-409C-BE32-E72D297353CC}">
              <c16:uniqueId val="{00000001-7A32-4E5B-AD3C-2B12A832CFB5}"/>
            </c:ext>
          </c:extLst>
        </c:ser>
        <c:ser>
          <c:idx val="2"/>
          <c:order val="2"/>
          <c:tx>
            <c:strRef>
              <c:f>'Demand forecast'!$D$1</c:f>
              <c:strCache>
                <c:ptCount val="1"/>
                <c:pt idx="0">
                  <c:v>Lower Confidence Bound(Rider Count)</c:v>
                </c:pt>
              </c:strCache>
            </c:strRef>
          </c:tx>
          <c:spPr>
            <a:ln w="12700" cap="rnd">
              <a:solidFill>
                <a:schemeClr val="accent6">
                  <a:lumMod val="50000"/>
                </a:schemeClr>
              </a:solidFill>
              <a:prstDash val="lgDash"/>
              <a:round/>
            </a:ln>
            <a:effectLst/>
          </c:spPr>
          <c:marker>
            <c:symbol val="circle"/>
            <c:size val="3"/>
            <c:spPr>
              <a:solidFill>
                <a:schemeClr val="accent5">
                  <a:lumMod val="50000"/>
                </a:schemeClr>
              </a:solidFill>
              <a:ln w="9525">
                <a:solidFill>
                  <a:schemeClr val="accent3"/>
                </a:solidFill>
              </a:ln>
              <a:effectLst/>
            </c:spPr>
          </c:marker>
          <c:cat>
            <c:numRef>
              <c:f>'Demand forecast'!$A$2:$A$29</c:f>
              <c:numCache>
                <c:formatCode>[$-409]d/mmm;@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'Demand forecast'!$D$2:$D$29</c:f>
              <c:numCache>
                <c:formatCode>General</c:formatCode>
                <c:ptCount val="28"/>
                <c:pt idx="13" formatCode="0">
                  <c:v>0</c:v>
                </c:pt>
                <c:pt idx="14" formatCode="0">
                  <c:v>276.77280604639122</c:v>
                </c:pt>
                <c:pt idx="15" formatCode="0">
                  <c:v>222.95983031512799</c:v>
                </c:pt>
                <c:pt idx="16" formatCode="0">
                  <c:v>169.70162938231249</c:v>
                </c:pt>
                <c:pt idx="17" formatCode="0">
                  <c:v>116.95114795648556</c:v>
                </c:pt>
                <c:pt idx="18" formatCode="0">
                  <c:v>64.667213758218963</c:v>
                </c:pt>
                <c:pt idx="19" formatCode="0">
                  <c:v>12.813564279448656</c:v>
                </c:pt>
                <c:pt idx="20" formatCode="0">
                  <c:v>0</c:v>
                </c:pt>
                <c:pt idx="21" formatCode="0">
                  <c:v>0</c:v>
                </c:pt>
                <c:pt idx="22" formatCode="0">
                  <c:v>0</c:v>
                </c:pt>
                <c:pt idx="23" formatCode="0">
                  <c:v>0</c:v>
                </c:pt>
                <c:pt idx="24" formatCode="0">
                  <c:v>0</c:v>
                </c:pt>
                <c:pt idx="25" formatCode="0">
                  <c:v>0</c:v>
                </c:pt>
                <c:pt idx="26" formatCode="0">
                  <c:v>0</c:v>
                </c:pt>
                <c:pt idx="27" formatCode="0">
                  <c:v>0</c:v>
                </c:pt>
              </c:numCache>
            </c:numRef>
          </c:val>
          <c:smooth val="0"/>
          <c:extLst>
            <c:ext xmlns:c16="http://schemas.microsoft.com/office/drawing/2014/chart" uri="{C3380CC4-5D6E-409C-BE32-E72D297353CC}">
              <c16:uniqueId val="{00000002-7A32-4E5B-AD3C-2B12A832CFB5}"/>
            </c:ext>
          </c:extLst>
        </c:ser>
        <c:ser>
          <c:idx val="3"/>
          <c:order val="3"/>
          <c:tx>
            <c:strRef>
              <c:f>'Demand forecast'!$E$1</c:f>
              <c:strCache>
                <c:ptCount val="1"/>
                <c:pt idx="0">
                  <c:v>Upper Confidence Bound(Rider Count)</c:v>
                </c:pt>
              </c:strCache>
            </c:strRef>
          </c:tx>
          <c:spPr>
            <a:ln w="12700" cap="rnd">
              <a:solidFill>
                <a:schemeClr val="tx2"/>
              </a:solidFill>
              <a:prstDash val="lgDash"/>
              <a:round/>
            </a:ln>
            <a:effectLst/>
          </c:spPr>
          <c:marker>
            <c:symbol val="none"/>
          </c:marker>
          <c:cat>
            <c:numRef>
              <c:f>'Demand forecast'!$A$2:$A$29</c:f>
              <c:numCache>
                <c:formatCode>[$-409]d/mmm;@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'Demand forecast'!$E$2:$E$29</c:f>
              <c:numCache>
                <c:formatCode>General</c:formatCode>
                <c:ptCount val="28"/>
                <c:pt idx="13" formatCode="0">
                  <c:v>151</c:v>
                </c:pt>
                <c:pt idx="14" formatCode="0">
                  <c:v>1934.3051644229233</c:v>
                </c:pt>
                <c:pt idx="15" formatCode="0">
                  <c:v>1931.9078453758261</c:v>
                </c:pt>
                <c:pt idx="16" formatCode="0">
                  <c:v>1928.9557515302813</c:v>
                </c:pt>
                <c:pt idx="17" formatCode="0">
                  <c:v>1925.495938177748</c:v>
                </c:pt>
                <c:pt idx="18" formatCode="0">
                  <c:v>1921.5695775976546</c:v>
                </c:pt>
                <c:pt idx="19" formatCode="0">
                  <c:v>1917.2129322980645</c:v>
                </c:pt>
                <c:pt idx="20" formatCode="0">
                  <c:v>1912.458131048616</c:v>
                </c:pt>
                <c:pt idx="21" formatCode="0">
                  <c:v>1907.3337943981362</c:v>
                </c:pt>
                <c:pt idx="22" formatCode="0">
                  <c:v>1901.8655438483452</c:v>
                </c:pt>
                <c:pt idx="23" formatCode="0">
                  <c:v>1896.0764200541021</c:v>
                </c:pt>
                <c:pt idx="24" formatCode="0">
                  <c:v>1889.9872291349584</c:v>
                </c:pt>
                <c:pt idx="25" formatCode="0">
                  <c:v>1883.6168316275584</c:v>
                </c:pt>
                <c:pt idx="26" formatCode="0">
                  <c:v>1876.9823852630052</c:v>
                </c:pt>
                <c:pt idx="27" formatCode="0">
                  <c:v>1870.0995502659589</c:v>
                </c:pt>
              </c:numCache>
            </c:numRef>
          </c:val>
          <c:smooth val="0"/>
          <c:extLst>
            <c:ext xmlns:c16="http://schemas.microsoft.com/office/drawing/2014/chart" uri="{C3380CC4-5D6E-409C-BE32-E72D297353CC}">
              <c16:uniqueId val="{00000003-7A32-4E5B-AD3C-2B12A832CFB5}"/>
            </c:ext>
          </c:extLst>
        </c:ser>
        <c:dLbls>
          <c:showLegendKey val="0"/>
          <c:showVal val="0"/>
          <c:showCatName val="0"/>
          <c:showSerName val="0"/>
          <c:showPercent val="0"/>
          <c:showBubbleSize val="0"/>
        </c:dLbls>
        <c:smooth val="0"/>
        <c:axId val="1009025216"/>
        <c:axId val="915494840"/>
      </c:lineChart>
      <c:catAx>
        <c:axId val="1009025216"/>
        <c:scaling>
          <c:orientation val="minMax"/>
        </c:scaling>
        <c:delete val="0"/>
        <c:axPos val="b"/>
        <c:majorTickMark val="none"/>
        <c:minorTickMark val="none"/>
        <c:tickLblPos val="low"/>
        <c:spPr>
          <a:noFill/>
          <a:ln w="9525" cap="flat" cmpd="sng" algn="ctr">
            <a:solidFill>
              <a:schemeClr val="accent6">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94840"/>
        <c:crosses val="autoZero"/>
        <c:auto val="1"/>
        <c:lblAlgn val="ctr"/>
        <c:lblOffset val="100"/>
        <c:noMultiLvlLbl val="0"/>
      </c:catAx>
      <c:valAx>
        <c:axId val="915494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25216"/>
        <c:crosses val="autoZero"/>
        <c:crossBetween val="between"/>
      </c:valAx>
      <c:spPr>
        <a:noFill/>
        <a:ln w="25400">
          <a:noFill/>
        </a:ln>
        <a:effectLst/>
      </c:spPr>
    </c:plotArea>
    <c:legend>
      <c:legendPos val="b"/>
      <c:layout>
        <c:manualLayout>
          <c:xMode val="edge"/>
          <c:yMode val="edge"/>
          <c:x val="6.4906792501852634E-2"/>
          <c:y val="0.87854954068241475"/>
          <c:w val="0.8995005030867117"/>
          <c:h val="0.1006169776723115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6">
          <a:lumMod val="50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5">
                    <a:lumMod val="50000"/>
                  </a:schemeClr>
                </a:solidFill>
                <a:latin typeface="Aptos" panose="020B0004020202020204" pitchFamily="34" charset="0"/>
              </a:rPr>
              <a:t>ANAMOLY</a:t>
            </a:r>
            <a:r>
              <a:rPr lang="en-IN" sz="1200" b="1" baseline="0">
                <a:solidFill>
                  <a:schemeClr val="accent5">
                    <a:lumMod val="50000"/>
                  </a:schemeClr>
                </a:solidFill>
                <a:latin typeface="Aptos" panose="020B0004020202020204" pitchFamily="34" charset="0"/>
              </a:rPr>
              <a:t> DETECTION (DEMAND)</a:t>
            </a:r>
            <a:endParaRPr lang="en-IN" sz="1200" b="1">
              <a:solidFill>
                <a:schemeClr val="accent5">
                  <a:lumMod val="50000"/>
                </a:schemeClr>
              </a:solidFill>
              <a:latin typeface="Aptos" panose="020B0004020202020204" pitchFamily="34" charset="0"/>
            </a:endParaRPr>
          </a:p>
        </c:rich>
      </c:tx>
      <c:layout>
        <c:manualLayout>
          <c:xMode val="edge"/>
          <c:yMode val="edge"/>
          <c:x val="0.31150170944943939"/>
          <c:y val="0.106486490985666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1063131736192551"/>
          <c:y val="0.17296116262422803"/>
          <c:w val="0.81159850586052629"/>
          <c:h val="0.59843684972782207"/>
        </c:manualLayout>
      </c:layout>
      <c:lineChart>
        <c:grouping val="standard"/>
        <c:varyColors val="0"/>
        <c:ser>
          <c:idx val="1"/>
          <c:order val="1"/>
          <c:tx>
            <c:strRef>
              <c:f>'Anamoly detection'!$M$3</c:f>
              <c:strCache>
                <c:ptCount val="1"/>
                <c:pt idx="0">
                  <c:v>Upper threshold</c:v>
                </c:pt>
              </c:strCache>
            </c:strRef>
          </c:tx>
          <c:spPr>
            <a:ln w="0" cap="rnd">
              <a:solidFill>
                <a:schemeClr val="accent2"/>
              </a:solidFill>
              <a:round/>
            </a:ln>
            <a:effectLst/>
          </c:spPr>
          <c:marker>
            <c:symbol val="circle"/>
            <c:size val="3"/>
            <c:spPr>
              <a:solidFill>
                <a:schemeClr val="accent2"/>
              </a:solidFill>
              <a:ln w="9525">
                <a:solidFill>
                  <a:schemeClr val="accent2"/>
                </a:solidFill>
              </a:ln>
              <a:effectLst/>
            </c:spPr>
          </c:marker>
          <c:val>
            <c:numRef>
              <c:f>'Anamoly detection'!$M$4:$M$48</c:f>
              <c:numCache>
                <c:formatCode>General</c:formatCode>
                <c:ptCount val="45"/>
                <c:pt idx="0">
                  <c:v>2397.5</c:v>
                </c:pt>
                <c:pt idx="1">
                  <c:v>2397.5</c:v>
                </c:pt>
                <c:pt idx="2">
                  <c:v>2397.5</c:v>
                </c:pt>
                <c:pt idx="3">
                  <c:v>2397.5</c:v>
                </c:pt>
                <c:pt idx="4">
                  <c:v>2397.5</c:v>
                </c:pt>
                <c:pt idx="5">
                  <c:v>2397.5</c:v>
                </c:pt>
                <c:pt idx="6">
                  <c:v>2397.5</c:v>
                </c:pt>
                <c:pt idx="7">
                  <c:v>2397.5</c:v>
                </c:pt>
                <c:pt idx="8">
                  <c:v>2397.5</c:v>
                </c:pt>
                <c:pt idx="9">
                  <c:v>2397.5</c:v>
                </c:pt>
                <c:pt idx="10">
                  <c:v>2397.5</c:v>
                </c:pt>
                <c:pt idx="11">
                  <c:v>2397.5</c:v>
                </c:pt>
                <c:pt idx="12">
                  <c:v>2397.5</c:v>
                </c:pt>
                <c:pt idx="13">
                  <c:v>2397.5</c:v>
                </c:pt>
                <c:pt idx="14">
                  <c:v>2397.5</c:v>
                </c:pt>
                <c:pt idx="15">
                  <c:v>2397.5</c:v>
                </c:pt>
                <c:pt idx="16">
                  <c:v>2397.5</c:v>
                </c:pt>
                <c:pt idx="17">
                  <c:v>2397.5</c:v>
                </c:pt>
                <c:pt idx="18">
                  <c:v>2397.5</c:v>
                </c:pt>
                <c:pt idx="19">
                  <c:v>2397.5</c:v>
                </c:pt>
                <c:pt idx="20">
                  <c:v>2397.5</c:v>
                </c:pt>
                <c:pt idx="21">
                  <c:v>2397.5</c:v>
                </c:pt>
                <c:pt idx="22">
                  <c:v>2397.5</c:v>
                </c:pt>
                <c:pt idx="23">
                  <c:v>2397.5</c:v>
                </c:pt>
                <c:pt idx="24">
                  <c:v>2397.5</c:v>
                </c:pt>
                <c:pt idx="25">
                  <c:v>2397.5</c:v>
                </c:pt>
                <c:pt idx="26">
                  <c:v>2397.5</c:v>
                </c:pt>
                <c:pt idx="27">
                  <c:v>2397.5</c:v>
                </c:pt>
                <c:pt idx="28">
                  <c:v>2397.5</c:v>
                </c:pt>
                <c:pt idx="29">
                  <c:v>2397.5</c:v>
                </c:pt>
                <c:pt idx="30">
                  <c:v>2397.5</c:v>
                </c:pt>
                <c:pt idx="31">
                  <c:v>2397.5</c:v>
                </c:pt>
                <c:pt idx="32">
                  <c:v>2397.5</c:v>
                </c:pt>
                <c:pt idx="33">
                  <c:v>2397.5</c:v>
                </c:pt>
                <c:pt idx="34">
                  <c:v>2397.5</c:v>
                </c:pt>
                <c:pt idx="35">
                  <c:v>2397.5</c:v>
                </c:pt>
                <c:pt idx="36">
                  <c:v>2397.5</c:v>
                </c:pt>
                <c:pt idx="37">
                  <c:v>2397.5</c:v>
                </c:pt>
                <c:pt idx="38">
                  <c:v>2397.5</c:v>
                </c:pt>
                <c:pt idx="39">
                  <c:v>2397.5</c:v>
                </c:pt>
                <c:pt idx="40">
                  <c:v>2397.5</c:v>
                </c:pt>
                <c:pt idx="41">
                  <c:v>2397.5</c:v>
                </c:pt>
                <c:pt idx="42">
                  <c:v>2397.5</c:v>
                </c:pt>
                <c:pt idx="43">
                  <c:v>2397.5</c:v>
                </c:pt>
                <c:pt idx="44">
                  <c:v>2397.5</c:v>
                </c:pt>
              </c:numCache>
            </c:numRef>
          </c:val>
          <c:smooth val="0"/>
          <c:extLst>
            <c:ext xmlns:c16="http://schemas.microsoft.com/office/drawing/2014/chart" uri="{C3380CC4-5D6E-409C-BE32-E72D297353CC}">
              <c16:uniqueId val="{00000001-A908-477F-8ECB-DBF4170DAE79}"/>
            </c:ext>
          </c:extLst>
        </c:ser>
        <c:ser>
          <c:idx val="2"/>
          <c:order val="2"/>
          <c:tx>
            <c:strRef>
              <c:f>'Anamoly detection'!$N$3</c:f>
              <c:strCache>
                <c:ptCount val="1"/>
                <c:pt idx="0">
                  <c:v>Lower threshold</c:v>
                </c:pt>
              </c:strCache>
            </c:strRef>
          </c:tx>
          <c:spPr>
            <a:ln w="9525" cap="rnd">
              <a:solidFill>
                <a:schemeClr val="bg2">
                  <a:lumMod val="25000"/>
                </a:schemeClr>
              </a:solidFill>
              <a:round/>
            </a:ln>
            <a:effectLst/>
          </c:spPr>
          <c:marker>
            <c:symbol val="circle"/>
            <c:size val="3"/>
            <c:spPr>
              <a:solidFill>
                <a:schemeClr val="accent3"/>
              </a:solidFill>
              <a:ln w="9525">
                <a:solidFill>
                  <a:schemeClr val="accent3"/>
                </a:solidFill>
              </a:ln>
              <a:effectLst/>
            </c:spPr>
          </c:marker>
          <c:dPt>
            <c:idx val="44"/>
            <c:marker>
              <c:symbol val="circle"/>
              <c:size val="5"/>
              <c:spPr>
                <a:noFill/>
                <a:ln w="9525">
                  <a:solidFill>
                    <a:schemeClr val="accent3"/>
                  </a:solidFill>
                </a:ln>
                <a:effectLst/>
              </c:spPr>
            </c:marker>
            <c:bubble3D val="0"/>
            <c:extLst>
              <c:ext xmlns:c16="http://schemas.microsoft.com/office/drawing/2014/chart" uri="{C3380CC4-5D6E-409C-BE32-E72D297353CC}">
                <c16:uniqueId val="{00000003-A908-477F-8ECB-DBF4170DAE79}"/>
              </c:ext>
            </c:extLst>
          </c:dPt>
          <c:val>
            <c:numRef>
              <c:f>'Anamoly detection'!$N$4:$N$48</c:f>
              <c:numCache>
                <c:formatCode>General</c:formatCode>
                <c:ptCount val="45"/>
                <c:pt idx="0">
                  <c:v>169.5</c:v>
                </c:pt>
                <c:pt idx="1">
                  <c:v>169.5</c:v>
                </c:pt>
                <c:pt idx="2">
                  <c:v>169.5</c:v>
                </c:pt>
                <c:pt idx="3">
                  <c:v>169.5</c:v>
                </c:pt>
                <c:pt idx="4">
                  <c:v>169.5</c:v>
                </c:pt>
                <c:pt idx="5">
                  <c:v>169.5</c:v>
                </c:pt>
                <c:pt idx="6">
                  <c:v>169.5</c:v>
                </c:pt>
                <c:pt idx="7">
                  <c:v>169.5</c:v>
                </c:pt>
                <c:pt idx="8">
                  <c:v>169.5</c:v>
                </c:pt>
                <c:pt idx="9">
                  <c:v>169.5</c:v>
                </c:pt>
                <c:pt idx="10">
                  <c:v>169.5</c:v>
                </c:pt>
                <c:pt idx="11">
                  <c:v>169.5</c:v>
                </c:pt>
                <c:pt idx="12">
                  <c:v>169.5</c:v>
                </c:pt>
                <c:pt idx="13">
                  <c:v>169.5</c:v>
                </c:pt>
                <c:pt idx="14">
                  <c:v>169.5</c:v>
                </c:pt>
                <c:pt idx="15">
                  <c:v>169.5</c:v>
                </c:pt>
                <c:pt idx="16">
                  <c:v>169.5</c:v>
                </c:pt>
                <c:pt idx="17">
                  <c:v>169.5</c:v>
                </c:pt>
                <c:pt idx="18">
                  <c:v>169.5</c:v>
                </c:pt>
                <c:pt idx="19">
                  <c:v>169.5</c:v>
                </c:pt>
                <c:pt idx="20">
                  <c:v>169.5</c:v>
                </c:pt>
                <c:pt idx="21">
                  <c:v>169.5</c:v>
                </c:pt>
                <c:pt idx="22">
                  <c:v>169.5</c:v>
                </c:pt>
                <c:pt idx="23">
                  <c:v>169.5</c:v>
                </c:pt>
                <c:pt idx="24">
                  <c:v>169.5</c:v>
                </c:pt>
                <c:pt idx="25">
                  <c:v>169.5</c:v>
                </c:pt>
                <c:pt idx="26">
                  <c:v>169.5</c:v>
                </c:pt>
                <c:pt idx="27">
                  <c:v>169.5</c:v>
                </c:pt>
                <c:pt idx="28">
                  <c:v>169.5</c:v>
                </c:pt>
                <c:pt idx="29">
                  <c:v>169.5</c:v>
                </c:pt>
                <c:pt idx="30">
                  <c:v>169.5</c:v>
                </c:pt>
                <c:pt idx="31">
                  <c:v>169.5</c:v>
                </c:pt>
                <c:pt idx="32">
                  <c:v>169.5</c:v>
                </c:pt>
                <c:pt idx="33">
                  <c:v>169.5</c:v>
                </c:pt>
                <c:pt idx="34">
                  <c:v>169.5</c:v>
                </c:pt>
                <c:pt idx="35">
                  <c:v>169.5</c:v>
                </c:pt>
                <c:pt idx="36">
                  <c:v>169.5</c:v>
                </c:pt>
                <c:pt idx="37">
                  <c:v>169.5</c:v>
                </c:pt>
                <c:pt idx="38">
                  <c:v>169.5</c:v>
                </c:pt>
                <c:pt idx="39">
                  <c:v>169.5</c:v>
                </c:pt>
                <c:pt idx="40">
                  <c:v>169.5</c:v>
                </c:pt>
                <c:pt idx="41">
                  <c:v>169.5</c:v>
                </c:pt>
                <c:pt idx="42">
                  <c:v>169.5</c:v>
                </c:pt>
                <c:pt idx="43">
                  <c:v>169.5</c:v>
                </c:pt>
                <c:pt idx="44">
                  <c:v>169.5</c:v>
                </c:pt>
              </c:numCache>
            </c:numRef>
          </c:val>
          <c:smooth val="0"/>
          <c:extLst>
            <c:ext xmlns:c16="http://schemas.microsoft.com/office/drawing/2014/chart" uri="{C3380CC4-5D6E-409C-BE32-E72D297353CC}">
              <c16:uniqueId val="{00000002-A908-477F-8ECB-DBF4170DAE79}"/>
            </c:ext>
          </c:extLst>
        </c:ser>
        <c:ser>
          <c:idx val="5"/>
          <c:order val="5"/>
          <c:tx>
            <c:strRef>
              <c:f>'Anamoly detection'!$J$3</c:f>
              <c:strCache>
                <c:ptCount val="1"/>
                <c:pt idx="0">
                  <c:v>Count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44"/>
            <c:marker>
              <c:symbol val="circle"/>
              <c:size val="5"/>
              <c:spPr>
                <a:solidFill>
                  <a:srgbClr val="FF0000"/>
                </a:solidFill>
                <a:ln w="9525">
                  <a:solidFill>
                    <a:schemeClr val="accent6"/>
                  </a:solidFill>
                </a:ln>
                <a:effectLst/>
              </c:spPr>
            </c:marker>
            <c:bubble3D val="0"/>
            <c:extLst>
              <c:ext xmlns:c16="http://schemas.microsoft.com/office/drawing/2014/chart" uri="{C3380CC4-5D6E-409C-BE32-E72D297353CC}">
                <c16:uniqueId val="{00000008-A908-477F-8ECB-DBF4170DAE79}"/>
              </c:ext>
            </c:extLst>
          </c:dPt>
          <c:dLbls>
            <c:dLbl>
              <c:idx val="44"/>
              <c:layout>
                <c:manualLayout>
                  <c:x val="-1.7806959736093595E-3"/>
                  <c:y val="-3.548534798534806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800"/>
                      <a:t>Anamoly detected</a:t>
                    </a:r>
                    <a:br>
                      <a:rPr lang="en-US" sz="800"/>
                    </a:br>
                    <a:fld id="{0E704AAA-B7F5-4BE6-A404-4D9D47813D02}" type="VALUE">
                      <a:rPr lang="en-US" sz="800"/>
                      <a:pPr>
                        <a:defRPr/>
                      </a:pPr>
                      <a:t>[VALUE]</a:t>
                    </a:fld>
                    <a:endParaRPr lang="en-US" sz="800"/>
                  </a:p>
                </c:rich>
              </c:tx>
              <c:spPr>
                <a:noFill/>
                <a:ln>
                  <a:solidFill>
                    <a:schemeClr val="tx2"/>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521938545560581E-2"/>
                      <c:h val="0.13271520146520147"/>
                    </c:manualLayout>
                  </c15:layout>
                  <c15:dlblFieldTable/>
                  <c15:showDataLabelsRange val="0"/>
                </c:ext>
                <c:ext xmlns:c16="http://schemas.microsoft.com/office/drawing/2014/chart" uri="{C3380CC4-5D6E-409C-BE32-E72D297353CC}">
                  <c16:uniqueId val="{00000008-A908-477F-8ECB-DBF4170DAE79}"/>
                </c:ext>
              </c:extLst>
            </c:dLbl>
            <c:spPr>
              <a:noFill/>
              <a:ln>
                <a:solidFill>
                  <a:schemeClr val="tx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'Anamoly detection'!$J$4:$J$48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6-A908-477F-8ECB-DBF4170DAE79}"/>
            </c:ext>
          </c:extLst>
        </c:ser>
        <c:dLbls>
          <c:showLegendKey val="0"/>
          <c:showVal val="0"/>
          <c:showCatName val="0"/>
          <c:showSerName val="0"/>
          <c:showPercent val="0"/>
          <c:showBubbleSize val="0"/>
        </c:dLbls>
        <c:marker val="1"/>
        <c:smooth val="0"/>
        <c:axId val="442936552"/>
        <c:axId val="442936912"/>
        <c:extLst>
          <c:ext xmlns:c15="http://schemas.microsoft.com/office/drawing/2012/chart" uri="{02D57815-91ED-43cb-92C2-25804820EDAC}">
            <c15:filteredLineSeries>
              <c15:ser>
                <c:idx val="0"/>
                <c:order val="0"/>
                <c:tx>
                  <c:strRef>
                    <c:extLst>
                      <c:ext uri="{02D57815-91ED-43cb-92C2-25804820EDAC}">
                        <c15:formulaRef>
                          <c15:sqref>'Anamoly detection'!$J$48</c15:sqref>
                        </c15:formulaRef>
                      </c:ext>
                    </c:extLst>
                    <c:strCache>
                      <c:ptCount val="1"/>
                      <c:pt idx="0">
                        <c:v>151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uri="{02D57815-91ED-43cb-92C2-25804820EDAC}">
                        <c15:formulaRef>
                          <c15:sqref>'Anamoly detection'!$I$4:$I$48</c15:sqref>
                        </c15:formulaRef>
                      </c:ext>
                    </c:extLst>
                    <c:numCache>
                      <c:formatCode>[$-409]d/mmm;@</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extLst>
                      <c:ext uri="{02D57815-91ED-43cb-92C2-25804820EDAC}">
                        <c15:formulaRef>
                          <c15:sqref>'Anamoly detection'!$J$4:$J$48</c15:sqref>
                        </c15:formulaRef>
                      </c:ext>
                    </c:extLst>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A908-477F-8ECB-DBF4170DAE7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'Anamoly detection'!$K$3</c15:sqref>
                        </c15:formulaRef>
                      </c:ext>
                    </c:extLst>
                    <c:strCache>
                      <c:ptCount val="1"/>
                      <c:pt idx="0">
                        <c:v>Outliers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extLst xmlns:c15="http://schemas.microsoft.com/office/drawing/2012/chart">
                      <c:ext xmlns:c15="http://schemas.microsoft.com/office/drawing/2012/chart" uri="{02D57815-91ED-43cb-92C2-25804820EDAC}">
                        <c15:formulaRef>
                          <c15:sqref>'Anamoly detection'!$K$4:$K$48</c15:sqref>
                        </c15:formulaRef>
                      </c:ext>
                    </c:extLst>
                    <c:numCache>
                      <c:formatCode>General</c:formatCode>
                      <c:ptCount val="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151</c:v>
                      </c:pt>
                    </c:numCache>
                  </c:numRef>
                </c:val>
                <c:smooth val="0"/>
                <c:extLst xmlns:c15="http://schemas.microsoft.com/office/drawing/2012/chart">
                  <c:ext xmlns:c16="http://schemas.microsoft.com/office/drawing/2014/chart" uri="{C3380CC4-5D6E-409C-BE32-E72D297353CC}">
                    <c16:uniqueId val="{00000004-A908-477F-8ECB-DBF4170DAE79}"/>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'Anamoly detection'!$L$3</c15:sqref>
                        </c15:formulaRef>
                      </c:ext>
                    </c:extLst>
                    <c:strCache>
                      <c:ptCount val="1"/>
                      <c:pt idx="0">
                        <c:v>Normal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extLst xmlns:c15="http://schemas.microsoft.com/office/drawing/2012/chart">
                      <c:ext xmlns:c15="http://schemas.microsoft.com/office/drawing/2012/chart" uri="{02D57815-91ED-43cb-92C2-25804820EDAC}">
                        <c15:formulaRef>
                          <c15:sqref>'Anamoly detection'!$L$4:$L$48</c15:sqref>
                        </c15:formulaRef>
                      </c:ext>
                    </c:extLst>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numCache>
                  </c:numRef>
                </c:val>
                <c:smooth val="0"/>
                <c:extLst xmlns:c15="http://schemas.microsoft.com/office/drawing/2012/chart">
                  <c:ext xmlns:c16="http://schemas.microsoft.com/office/drawing/2014/chart" uri="{C3380CC4-5D6E-409C-BE32-E72D297353CC}">
                    <c16:uniqueId val="{00000005-A908-477F-8ECB-DBF4170DAE79}"/>
                  </c:ext>
                </c:extLst>
              </c15:ser>
            </c15:filteredLineSeries>
          </c:ext>
        </c:extLst>
      </c:lineChart>
      <c:catAx>
        <c:axId val="442936552"/>
        <c:scaling>
          <c:orientation val="minMax"/>
        </c:scaling>
        <c:delete val="0"/>
        <c:axPos val="b"/>
        <c:numFmt formatCode="[$-409]d\/mmm;@" sourceLinked="1"/>
        <c:majorTickMark val="out"/>
        <c:minorTickMark val="none"/>
        <c:tickLblPos val="nextTo"/>
        <c:spPr>
          <a:noFill/>
          <a:ln w="9525" cap="flat" cmpd="sng" algn="ctr">
            <a:solidFill>
              <a:srgbClr val="002060"/>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42936912"/>
        <c:crosses val="autoZero"/>
        <c:auto val="1"/>
        <c:lblAlgn val="ctr"/>
        <c:lblOffset val="100"/>
        <c:noMultiLvlLbl val="0"/>
      </c:catAx>
      <c:valAx>
        <c:axId val="442936912"/>
        <c:scaling>
          <c:orientation val="minMax"/>
        </c:scaling>
        <c:delete val="0"/>
        <c:axPos val="l"/>
        <c:numFmt formatCode="General" sourceLinked="1"/>
        <c:majorTickMark val="none"/>
        <c:minorTickMark val="none"/>
        <c:tickLblPos val="nextTo"/>
        <c:spPr>
          <a:noFill/>
          <a:ln>
            <a:solidFill>
              <a:srgbClr val="00206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936552"/>
        <c:crosses val="autoZero"/>
        <c:crossBetween val="between"/>
      </c:valAx>
      <c:spPr>
        <a:noFill/>
        <a:ln>
          <a:noFill/>
        </a:ln>
        <a:effectLst/>
      </c:spPr>
    </c:plotArea>
    <c:legend>
      <c:legendPos val="b"/>
      <c:layout>
        <c:manualLayout>
          <c:xMode val="edge"/>
          <c:yMode val="edge"/>
          <c:x val="0.18058952737290815"/>
          <c:y val="0.89765706734210671"/>
          <c:w val="0.59582259526744141"/>
          <c:h val="6.555989941816714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accent6">
          <a:lumMod val="50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5">
                    <a:lumMod val="50000"/>
                  </a:schemeClr>
                </a:solidFill>
                <a:latin typeface="Aptos Narrow" panose="020B0004020202020204" pitchFamily="34" charset="0"/>
              </a:rPr>
              <a:t>DEMAND</a:t>
            </a:r>
            <a:r>
              <a:rPr lang="en-IN" b="1" baseline="0">
                <a:solidFill>
                  <a:schemeClr val="accent5">
                    <a:lumMod val="50000"/>
                  </a:schemeClr>
                </a:solidFill>
                <a:latin typeface="Aptos Narrow" panose="020B0004020202020204" pitchFamily="34" charset="0"/>
              </a:rPr>
              <a:t> FORECASTING</a:t>
            </a:r>
            <a:endParaRPr lang="en-IN" b="1">
              <a:solidFill>
                <a:schemeClr val="accent5">
                  <a:lumMod val="50000"/>
                </a:schemeClr>
              </a:solidFill>
              <a:latin typeface="Aptos Narrow" panose="020B0004020202020204" pitchFamily="34" charset="0"/>
            </a:endParaRPr>
          </a:p>
        </c:rich>
      </c:tx>
      <c:layout>
        <c:manualLayout>
          <c:xMode val="edge"/>
          <c:yMode val="edge"/>
          <c:x val="0.34664689831529216"/>
          <c:y val="8.18067332776755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8.2557636817136987E-2"/>
          <c:y val="0.26886396833477366"/>
          <c:w val="0.87266213956153893"/>
          <c:h val="0.43910840793484096"/>
        </c:manualLayout>
      </c:layout>
      <c:lineChart>
        <c:grouping val="standard"/>
        <c:varyColors val="0"/>
        <c:ser>
          <c:idx val="0"/>
          <c:order val="0"/>
          <c:tx>
            <c:strRef>
              <c:f>'Demand forecast'!$B$1</c:f>
              <c:strCache>
                <c:ptCount val="1"/>
                <c:pt idx="0">
                  <c:v>Rider Count</c:v>
                </c:pt>
              </c:strCache>
            </c:strRef>
          </c:tx>
          <c:spPr>
            <a:ln w="28575" cap="rnd">
              <a:solidFill>
                <a:schemeClr val="bg2">
                  <a:lumMod val="25000"/>
                </a:schemeClr>
              </a:solidFill>
              <a:round/>
            </a:ln>
            <a:effectLst/>
          </c:spPr>
          <c:marker>
            <c:symbol val="none"/>
          </c:marker>
          <c:val>
            <c:numRef>
              <c:f>'Demand forecast'!$B$2:$B$29</c:f>
              <c:numCache>
                <c:formatCode>0</c:formatCode>
                <c:ptCount val="28"/>
                <c:pt idx="0">
                  <c:v>1360</c:v>
                </c:pt>
                <c:pt idx="1">
                  <c:v>1526</c:v>
                </c:pt>
                <c:pt idx="2">
                  <c:v>1550</c:v>
                </c:pt>
                <c:pt idx="3">
                  <c:v>1708</c:v>
                </c:pt>
                <c:pt idx="4">
                  <c:v>1005</c:v>
                </c:pt>
                <c:pt idx="5">
                  <c:v>1623</c:v>
                </c:pt>
                <c:pt idx="6">
                  <c:v>1712</c:v>
                </c:pt>
                <c:pt idx="7">
                  <c:v>1530</c:v>
                </c:pt>
                <c:pt idx="8">
                  <c:v>1605</c:v>
                </c:pt>
                <c:pt idx="9">
                  <c:v>1538</c:v>
                </c:pt>
                <c:pt idx="10">
                  <c:v>1746</c:v>
                </c:pt>
                <c:pt idx="11">
                  <c:v>1472</c:v>
                </c:pt>
                <c:pt idx="12">
                  <c:v>1589</c:v>
                </c:pt>
                <c:pt idx="13">
                  <c:v>151</c:v>
                </c:pt>
              </c:numCache>
            </c:numRef>
          </c:val>
          <c:smooth val="0"/>
          <c:extLst>
            <c:ext xmlns:c16="http://schemas.microsoft.com/office/drawing/2014/chart" uri="{C3380CC4-5D6E-409C-BE32-E72D297353CC}">
              <c16:uniqueId val="{00000000-2DB8-4C99-82DC-E043CBE72D4B}"/>
            </c:ext>
          </c:extLst>
        </c:ser>
        <c:ser>
          <c:idx val="1"/>
          <c:order val="1"/>
          <c:tx>
            <c:strRef>
              <c:f>'Demand forecast'!$C$1</c:f>
              <c:strCache>
                <c:ptCount val="1"/>
                <c:pt idx="0">
                  <c:v>Forecast(Rider Count)</c:v>
                </c:pt>
              </c:strCache>
            </c:strRef>
          </c:tx>
          <c:spPr>
            <a:ln w="25400" cap="rnd">
              <a:solidFill>
                <a:schemeClr val="accent5"/>
              </a:solidFill>
              <a:round/>
            </a:ln>
            <a:effectLst/>
          </c:spPr>
          <c:marker>
            <c:symbol val="circle"/>
            <c:size val="3"/>
            <c:spPr>
              <a:solidFill>
                <a:srgbClr val="002060"/>
              </a:solidFill>
              <a:ln w="9525">
                <a:solidFill>
                  <a:srgbClr val="002060"/>
                </a:solidFill>
              </a:ln>
              <a:effectLst/>
            </c:spPr>
          </c:marker>
          <c:cat>
            <c:numRef>
              <c:f>'Demand forecast'!$A$2:$A$29</c:f>
              <c:numCache>
                <c:formatCode>[$-409]d/mmm;@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'Demand forecast'!$C$2:$C$29</c:f>
              <c:numCache>
                <c:formatCode>General</c:formatCode>
                <c:ptCount val="28"/>
                <c:pt idx="13" formatCode="0">
                  <c:v>151</c:v>
                </c:pt>
                <c:pt idx="14" formatCode="0">
                  <c:v>1105.5389852346573</c:v>
                </c:pt>
                <c:pt idx="15" formatCode="0">
                  <c:v>1077.433837845477</c:v>
                </c:pt>
                <c:pt idx="16" formatCode="0">
                  <c:v>1049.328690456297</c:v>
                </c:pt>
                <c:pt idx="17" formatCode="0">
                  <c:v>1021.2235430671168</c:v>
                </c:pt>
                <c:pt idx="18" formatCode="0">
                  <c:v>993.11839567793686</c:v>
                </c:pt>
                <c:pt idx="19" formatCode="0">
                  <c:v>965.01324828875659</c:v>
                </c:pt>
                <c:pt idx="20" formatCode="0">
                  <c:v>936.90810089957665</c:v>
                </c:pt>
                <c:pt idx="21" formatCode="0">
                  <c:v>908.80295351039638</c:v>
                </c:pt>
                <c:pt idx="22" formatCode="0">
                  <c:v>880.69780612121644</c:v>
                </c:pt>
                <c:pt idx="23" formatCode="0">
                  <c:v>852.59265873203606</c:v>
                </c:pt>
                <c:pt idx="24" formatCode="0">
                  <c:v>824.48751134285624</c:v>
                </c:pt>
                <c:pt idx="25" formatCode="0">
                  <c:v>796.38236395367596</c:v>
                </c:pt>
                <c:pt idx="26" formatCode="0">
                  <c:v>768.27721656449603</c:v>
                </c:pt>
                <c:pt idx="27" formatCode="0">
                  <c:v>740.17206917531564</c:v>
                </c:pt>
              </c:numCache>
            </c:numRef>
          </c:val>
          <c:smooth val="0"/>
          <c:extLst>
            <c:ext xmlns:c16="http://schemas.microsoft.com/office/drawing/2014/chart" uri="{C3380CC4-5D6E-409C-BE32-E72D297353CC}">
              <c16:uniqueId val="{00000001-2DB8-4C99-82DC-E043CBE72D4B}"/>
            </c:ext>
          </c:extLst>
        </c:ser>
        <c:ser>
          <c:idx val="2"/>
          <c:order val="2"/>
          <c:tx>
            <c:strRef>
              <c:f>'Demand forecast'!$D$1</c:f>
              <c:strCache>
                <c:ptCount val="1"/>
                <c:pt idx="0">
                  <c:v>Lower Confidence Bound(Rider Count)</c:v>
                </c:pt>
              </c:strCache>
            </c:strRef>
          </c:tx>
          <c:spPr>
            <a:ln w="12700" cap="rnd">
              <a:solidFill>
                <a:schemeClr val="accent6">
                  <a:lumMod val="50000"/>
                </a:schemeClr>
              </a:solidFill>
              <a:prstDash val="lgDash"/>
              <a:round/>
            </a:ln>
            <a:effectLst/>
          </c:spPr>
          <c:marker>
            <c:symbol val="circle"/>
            <c:size val="3"/>
            <c:spPr>
              <a:solidFill>
                <a:schemeClr val="accent5">
                  <a:lumMod val="50000"/>
                </a:schemeClr>
              </a:solidFill>
              <a:ln w="9525">
                <a:solidFill>
                  <a:schemeClr val="accent3"/>
                </a:solidFill>
              </a:ln>
              <a:effectLst/>
            </c:spPr>
          </c:marker>
          <c:cat>
            <c:numRef>
              <c:f>'Demand forecast'!$A$2:$A$29</c:f>
              <c:numCache>
                <c:formatCode>[$-409]d/mmm;@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'Demand forecast'!$D$2:$D$29</c:f>
              <c:numCache>
                <c:formatCode>General</c:formatCode>
                <c:ptCount val="28"/>
                <c:pt idx="13" formatCode="0">
                  <c:v>0</c:v>
                </c:pt>
                <c:pt idx="14" formatCode="0">
                  <c:v>276.77280604639122</c:v>
                </c:pt>
                <c:pt idx="15" formatCode="0">
                  <c:v>222.95983031512799</c:v>
                </c:pt>
                <c:pt idx="16" formatCode="0">
                  <c:v>169.70162938231249</c:v>
                </c:pt>
                <c:pt idx="17" formatCode="0">
                  <c:v>116.95114795648556</c:v>
                </c:pt>
                <c:pt idx="18" formatCode="0">
                  <c:v>64.667213758218963</c:v>
                </c:pt>
                <c:pt idx="19" formatCode="0">
                  <c:v>12.813564279448656</c:v>
                </c:pt>
                <c:pt idx="20" formatCode="0">
                  <c:v>0</c:v>
                </c:pt>
                <c:pt idx="21" formatCode="0">
                  <c:v>0</c:v>
                </c:pt>
                <c:pt idx="22" formatCode="0">
                  <c:v>0</c:v>
                </c:pt>
                <c:pt idx="23" formatCode="0">
                  <c:v>0</c:v>
                </c:pt>
                <c:pt idx="24" formatCode="0">
                  <c:v>0</c:v>
                </c:pt>
                <c:pt idx="25" formatCode="0">
                  <c:v>0</c:v>
                </c:pt>
                <c:pt idx="26" formatCode="0">
                  <c:v>0</c:v>
                </c:pt>
                <c:pt idx="27" formatCode="0">
                  <c:v>0</c:v>
                </c:pt>
              </c:numCache>
            </c:numRef>
          </c:val>
          <c:smooth val="0"/>
          <c:extLst>
            <c:ext xmlns:c16="http://schemas.microsoft.com/office/drawing/2014/chart" uri="{C3380CC4-5D6E-409C-BE32-E72D297353CC}">
              <c16:uniqueId val="{00000002-2DB8-4C99-82DC-E043CBE72D4B}"/>
            </c:ext>
          </c:extLst>
        </c:ser>
        <c:ser>
          <c:idx val="3"/>
          <c:order val="3"/>
          <c:tx>
            <c:strRef>
              <c:f>'Demand forecast'!$E$1</c:f>
              <c:strCache>
                <c:ptCount val="1"/>
                <c:pt idx="0">
                  <c:v>Upper Confidence Bound(Rider Count)</c:v>
                </c:pt>
              </c:strCache>
            </c:strRef>
          </c:tx>
          <c:spPr>
            <a:ln w="12700" cap="rnd">
              <a:solidFill>
                <a:schemeClr val="tx2"/>
              </a:solidFill>
              <a:prstDash val="lgDash"/>
              <a:round/>
            </a:ln>
            <a:effectLst/>
          </c:spPr>
          <c:marker>
            <c:symbol val="none"/>
          </c:marker>
          <c:cat>
            <c:numRef>
              <c:f>'Demand forecast'!$A$2:$A$29</c:f>
              <c:numCache>
                <c:formatCode>[$-409]d/mmm;@</c:formatCode>
                <c:ptCount val="28"/>
                <c:pt idx="0">
                  <c:v>46054</c:v>
                </c:pt>
                <c:pt idx="1">
                  <c:v>46055</c:v>
                </c:pt>
                <c:pt idx="2">
                  <c:v>46056</c:v>
                </c:pt>
                <c:pt idx="3">
                  <c:v>46057</c:v>
                </c:pt>
                <c:pt idx="4">
                  <c:v>46058</c:v>
                </c:pt>
                <c:pt idx="5">
                  <c:v>46059</c:v>
                </c:pt>
                <c:pt idx="6">
                  <c:v>46060</c:v>
                </c:pt>
                <c:pt idx="7">
                  <c:v>46061</c:v>
                </c:pt>
                <c:pt idx="8">
                  <c:v>46062</c:v>
                </c:pt>
                <c:pt idx="9">
                  <c:v>46063</c:v>
                </c:pt>
                <c:pt idx="10">
                  <c:v>46064</c:v>
                </c:pt>
                <c:pt idx="11">
                  <c:v>46065</c:v>
                </c:pt>
                <c:pt idx="12">
                  <c:v>46066</c:v>
                </c:pt>
                <c:pt idx="13">
                  <c:v>46067</c:v>
                </c:pt>
                <c:pt idx="14">
                  <c:v>46068</c:v>
                </c:pt>
                <c:pt idx="15">
                  <c:v>46069</c:v>
                </c:pt>
                <c:pt idx="16">
                  <c:v>46070</c:v>
                </c:pt>
                <c:pt idx="17">
                  <c:v>46071</c:v>
                </c:pt>
                <c:pt idx="18">
                  <c:v>46072</c:v>
                </c:pt>
                <c:pt idx="19">
                  <c:v>46073</c:v>
                </c:pt>
                <c:pt idx="20">
                  <c:v>46074</c:v>
                </c:pt>
                <c:pt idx="21">
                  <c:v>46075</c:v>
                </c:pt>
                <c:pt idx="22">
                  <c:v>46076</c:v>
                </c:pt>
                <c:pt idx="23">
                  <c:v>46077</c:v>
                </c:pt>
                <c:pt idx="24">
                  <c:v>46078</c:v>
                </c:pt>
                <c:pt idx="25">
                  <c:v>46079</c:v>
                </c:pt>
                <c:pt idx="26">
                  <c:v>46080</c:v>
                </c:pt>
                <c:pt idx="27">
                  <c:v>46081</c:v>
                </c:pt>
              </c:numCache>
            </c:numRef>
          </c:cat>
          <c:val>
            <c:numRef>
              <c:f>'Demand forecast'!$E$2:$E$29</c:f>
              <c:numCache>
                <c:formatCode>General</c:formatCode>
                <c:ptCount val="28"/>
                <c:pt idx="13" formatCode="0">
                  <c:v>151</c:v>
                </c:pt>
                <c:pt idx="14" formatCode="0">
                  <c:v>1934.3051644229233</c:v>
                </c:pt>
                <c:pt idx="15" formatCode="0">
                  <c:v>1931.9078453758261</c:v>
                </c:pt>
                <c:pt idx="16" formatCode="0">
                  <c:v>1928.9557515302813</c:v>
                </c:pt>
                <c:pt idx="17" formatCode="0">
                  <c:v>1925.495938177748</c:v>
                </c:pt>
                <c:pt idx="18" formatCode="0">
                  <c:v>1921.5695775976546</c:v>
                </c:pt>
                <c:pt idx="19" formatCode="0">
                  <c:v>1917.2129322980645</c:v>
                </c:pt>
                <c:pt idx="20" formatCode="0">
                  <c:v>1912.458131048616</c:v>
                </c:pt>
                <c:pt idx="21" formatCode="0">
                  <c:v>1907.3337943981362</c:v>
                </c:pt>
                <c:pt idx="22" formatCode="0">
                  <c:v>1901.8655438483452</c:v>
                </c:pt>
                <c:pt idx="23" formatCode="0">
                  <c:v>1896.0764200541021</c:v>
                </c:pt>
                <c:pt idx="24" formatCode="0">
                  <c:v>1889.9872291349584</c:v>
                </c:pt>
                <c:pt idx="25" formatCode="0">
                  <c:v>1883.6168316275584</c:v>
                </c:pt>
                <c:pt idx="26" formatCode="0">
                  <c:v>1876.9823852630052</c:v>
                </c:pt>
                <c:pt idx="27" formatCode="0">
                  <c:v>1870.0995502659589</c:v>
                </c:pt>
              </c:numCache>
            </c:numRef>
          </c:val>
          <c:smooth val="0"/>
          <c:extLst>
            <c:ext xmlns:c16="http://schemas.microsoft.com/office/drawing/2014/chart" uri="{C3380CC4-5D6E-409C-BE32-E72D297353CC}">
              <c16:uniqueId val="{00000003-2DB8-4C99-82DC-E043CBE72D4B}"/>
            </c:ext>
          </c:extLst>
        </c:ser>
        <c:dLbls>
          <c:showLegendKey val="0"/>
          <c:showVal val="0"/>
          <c:showCatName val="0"/>
          <c:showSerName val="0"/>
          <c:showPercent val="0"/>
          <c:showBubbleSize val="0"/>
        </c:dLbls>
        <c:smooth val="0"/>
        <c:axId val="1009025216"/>
        <c:axId val="915494840"/>
      </c:lineChart>
      <c:catAx>
        <c:axId val="1009025216"/>
        <c:scaling>
          <c:orientation val="minMax"/>
        </c:scaling>
        <c:delete val="0"/>
        <c:axPos val="b"/>
        <c:majorTickMark val="none"/>
        <c:minorTickMark val="none"/>
        <c:tickLblPos val="low"/>
        <c:spPr>
          <a:noFill/>
          <a:ln w="9525" cap="flat" cmpd="sng" algn="ctr">
            <a:solidFill>
              <a:schemeClr val="accent6">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94840"/>
        <c:crosses val="autoZero"/>
        <c:auto val="1"/>
        <c:lblAlgn val="ctr"/>
        <c:lblOffset val="100"/>
        <c:noMultiLvlLbl val="0"/>
      </c:catAx>
      <c:valAx>
        <c:axId val="915494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25216"/>
        <c:crosses val="autoZero"/>
        <c:crossBetween val="between"/>
      </c:valAx>
      <c:spPr>
        <a:noFill/>
        <a:ln w="25400">
          <a:noFill/>
        </a:ln>
        <a:effectLst/>
      </c:spPr>
    </c:plotArea>
    <c:legend>
      <c:legendPos val="b"/>
      <c:layout>
        <c:manualLayout>
          <c:xMode val="edge"/>
          <c:yMode val="edge"/>
          <c:x val="6.4906792501852634E-2"/>
          <c:y val="0.87854954068241475"/>
          <c:w val="0.8995005030867117"/>
          <c:h val="0.1006169776723115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337455</xdr:colOff>
      <xdr:row>3</xdr:row>
      <xdr:rowOff>169817</xdr:rowOff>
    </xdr:to>
    <xdr:sp macro="" textlink="">
      <xdr:nvSpPr>
        <xdr:cNvPr id="3" name="Rectangle 2">
          <a:extLst>
            <a:ext uri="{FF2B5EF4-FFF2-40B4-BE49-F238E27FC236}">
              <a16:creationId xmlns:a16="http://schemas.microsoft.com/office/drawing/2014/main" id="{C58170CA-4F3B-B5A7-E91F-5D05372AEB2C}"/>
            </a:ext>
          </a:extLst>
        </xdr:cNvPr>
        <xdr:cNvSpPr/>
      </xdr:nvSpPr>
      <xdr:spPr>
        <a:xfrm>
          <a:off x="0" y="0"/>
          <a:ext cx="20454255" cy="724988"/>
        </a:xfrm>
        <a:prstGeom prst="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12</xdr:col>
      <xdr:colOff>43542</xdr:colOff>
      <xdr:row>0</xdr:row>
      <xdr:rowOff>67875</xdr:rowOff>
    </xdr:from>
    <xdr:ext cx="5442857" cy="593239"/>
    <xdr:sp macro="" textlink="">
      <xdr:nvSpPr>
        <xdr:cNvPr id="4" name="Rectangle 3">
          <a:extLst>
            <a:ext uri="{FF2B5EF4-FFF2-40B4-BE49-F238E27FC236}">
              <a16:creationId xmlns:a16="http://schemas.microsoft.com/office/drawing/2014/main" id="{F254D362-F0C8-8249-402D-E5D56B8878AB}"/>
            </a:ext>
          </a:extLst>
        </xdr:cNvPr>
        <xdr:cNvSpPr/>
      </xdr:nvSpPr>
      <xdr:spPr>
        <a:xfrm>
          <a:off x="7358742" y="67875"/>
          <a:ext cx="5442857" cy="593239"/>
        </a:xfrm>
        <a:prstGeom prst="rect">
          <a:avLst/>
        </a:prstGeom>
        <a:noFill/>
      </xdr:spPr>
      <xdr:txBody>
        <a:bodyPr wrap="square" lIns="91440" tIns="45720" rIns="91440" bIns="45720">
          <a:spAutoFit/>
        </a:bodyPr>
        <a:lstStyle/>
        <a:p>
          <a:pPr algn="ctr"/>
          <a:r>
            <a:rPr lang="en-US" sz="3200" b="1" cap="none" spc="50">
              <a:ln w="0"/>
              <a:solidFill>
                <a:schemeClr val="accent5">
                  <a:lumMod val="50000"/>
                </a:schemeClr>
              </a:solidFill>
              <a:effectLst>
                <a:outerShdw blurRad="50800" dist="38100" dir="13500000" algn="br" rotWithShape="0">
                  <a:prstClr val="black">
                    <a:alpha val="40000"/>
                  </a:prstClr>
                </a:outerShdw>
              </a:effectLst>
              <a:latin typeface="Aptos Display" panose="020B0004020202020204" pitchFamily="34" charset="0"/>
            </a:rPr>
            <a:t>BIKE</a:t>
          </a:r>
          <a:r>
            <a:rPr lang="en-US" sz="3200" b="1" cap="none" spc="50" baseline="0">
              <a:ln w="0"/>
              <a:solidFill>
                <a:schemeClr val="accent5">
                  <a:lumMod val="50000"/>
                </a:schemeClr>
              </a:solidFill>
              <a:effectLst>
                <a:outerShdw blurRad="50800" dist="38100" dir="13500000" algn="br" rotWithShape="0">
                  <a:prstClr val="black">
                    <a:alpha val="40000"/>
                  </a:prstClr>
                </a:outerShdw>
              </a:effectLst>
              <a:latin typeface="Aptos Display" panose="020B0004020202020204" pitchFamily="34" charset="0"/>
            </a:rPr>
            <a:t> RENTAL DASHBOARD</a:t>
          </a:r>
          <a:endParaRPr lang="en-US" sz="3200" b="1" cap="none" spc="50">
            <a:ln w="0"/>
            <a:solidFill>
              <a:schemeClr val="accent5">
                <a:lumMod val="50000"/>
              </a:schemeClr>
            </a:solidFill>
            <a:effectLst>
              <a:outerShdw blurRad="50800" dist="38100" dir="13500000" algn="br" rotWithShape="0">
                <a:prstClr val="black">
                  <a:alpha val="40000"/>
                </a:prstClr>
              </a:outerShdw>
            </a:effectLst>
            <a:latin typeface="Aptos Display" panose="020B0004020202020204" pitchFamily="34" charset="0"/>
          </a:endParaRPr>
        </a:p>
      </xdr:txBody>
    </xdr:sp>
    <xdr:clientData/>
  </xdr:oneCellAnchor>
  <xdr:twoCellAnchor>
    <xdr:from>
      <xdr:col>18</xdr:col>
      <xdr:colOff>274015</xdr:colOff>
      <xdr:row>2</xdr:row>
      <xdr:rowOff>32658</xdr:rowOff>
    </xdr:from>
    <xdr:to>
      <xdr:col>21</xdr:col>
      <xdr:colOff>37795</xdr:colOff>
      <xdr:row>4</xdr:row>
      <xdr:rowOff>17417</xdr:rowOff>
    </xdr:to>
    <xdr:sp macro="" textlink="">
      <xdr:nvSpPr>
        <xdr:cNvPr id="12" name="TextBox 11">
          <a:extLst>
            <a:ext uri="{FF2B5EF4-FFF2-40B4-BE49-F238E27FC236}">
              <a16:creationId xmlns:a16="http://schemas.microsoft.com/office/drawing/2014/main" id="{F3585A54-66E6-4EA9-A0FA-D5C6DECB7577}"/>
            </a:ext>
          </a:extLst>
        </xdr:cNvPr>
        <xdr:cNvSpPr txBox="1"/>
      </xdr:nvSpPr>
      <xdr:spPr>
        <a:xfrm>
          <a:off x="11246815" y="402772"/>
          <a:ext cx="1592580" cy="35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solidFill>
                <a:schemeClr val="accent5">
                  <a:lumMod val="75000"/>
                </a:schemeClr>
              </a:solidFill>
              <a:latin typeface="Aptos Narrow" panose="020B0004020202020204" pitchFamily="34" charset="0"/>
            </a:rPr>
            <a:t>2011</a:t>
          </a:r>
        </a:p>
      </xdr:txBody>
    </xdr:sp>
    <xdr:clientData/>
  </xdr:twoCellAnchor>
  <xdr:twoCellAnchor>
    <xdr:from>
      <xdr:col>0</xdr:col>
      <xdr:colOff>76199</xdr:colOff>
      <xdr:row>4</xdr:row>
      <xdr:rowOff>53340</xdr:rowOff>
    </xdr:from>
    <xdr:to>
      <xdr:col>3</xdr:col>
      <xdr:colOff>206827</xdr:colOff>
      <xdr:row>37</xdr:row>
      <xdr:rowOff>130629</xdr:rowOff>
    </xdr:to>
    <xdr:sp macro="" textlink="">
      <xdr:nvSpPr>
        <xdr:cNvPr id="23" name="Rectangle: Rounded Corners 22">
          <a:extLst>
            <a:ext uri="{FF2B5EF4-FFF2-40B4-BE49-F238E27FC236}">
              <a16:creationId xmlns:a16="http://schemas.microsoft.com/office/drawing/2014/main" id="{9165853C-160C-17D7-D9F1-7388CFBC5F32}"/>
            </a:ext>
          </a:extLst>
        </xdr:cNvPr>
        <xdr:cNvSpPr/>
      </xdr:nvSpPr>
      <xdr:spPr>
        <a:xfrm>
          <a:off x="76199" y="793569"/>
          <a:ext cx="1959428" cy="6184174"/>
        </a:xfrm>
        <a:prstGeom prst="round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twoCellAnchor>
    <xdr:from>
      <xdr:col>4</xdr:col>
      <xdr:colOff>10886</xdr:colOff>
      <xdr:row>4</xdr:row>
      <xdr:rowOff>52391</xdr:rowOff>
    </xdr:from>
    <xdr:to>
      <xdr:col>9</xdr:col>
      <xdr:colOff>91668</xdr:colOff>
      <xdr:row>8</xdr:row>
      <xdr:rowOff>163214</xdr:rowOff>
    </xdr:to>
    <xdr:sp macro="" textlink="">
      <xdr:nvSpPr>
        <xdr:cNvPr id="26" name="Rectangle: Rounded Corners 25">
          <a:extLst>
            <a:ext uri="{FF2B5EF4-FFF2-40B4-BE49-F238E27FC236}">
              <a16:creationId xmlns:a16="http://schemas.microsoft.com/office/drawing/2014/main" id="{63A8957E-6BDA-0721-5B84-BC8AE6DFB840}"/>
            </a:ext>
          </a:extLst>
        </xdr:cNvPr>
        <xdr:cNvSpPr/>
      </xdr:nvSpPr>
      <xdr:spPr>
        <a:xfrm>
          <a:off x="2449286" y="792620"/>
          <a:ext cx="3128782" cy="851051"/>
        </a:xfrm>
        <a:prstGeom prst="round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a:t>             </a:t>
          </a:r>
          <a:r>
            <a:rPr lang="en-IN" sz="1000" b="0" i="0" u="none" strike="noStrike" kern="1200" baseline="0">
              <a:solidFill>
                <a:schemeClr val="dk1"/>
              </a:solidFill>
              <a:latin typeface="+mn-lt"/>
              <a:ea typeface="+mn-ea"/>
              <a:cs typeface="+mn-cs"/>
            </a:rPr>
            <a:t> </a:t>
          </a:r>
          <a:r>
            <a:rPr lang="en-IN" sz="1100"/>
            <a:t> </a:t>
          </a:r>
        </a:p>
        <a:p>
          <a:pPr algn="l"/>
          <a:r>
            <a:rPr lang="en-IN" sz="1600" b="1">
              <a:latin typeface="Aptos Display" panose="020B0004020202020204" pitchFamily="34" charset="0"/>
            </a:rPr>
            <a:t>                   TOTAL</a:t>
          </a:r>
          <a:r>
            <a:rPr lang="en-IN" sz="1600" b="1" baseline="0">
              <a:latin typeface="Aptos Display" panose="020B0004020202020204" pitchFamily="34" charset="0"/>
            </a:rPr>
            <a:t> RIDERS</a:t>
          </a:r>
          <a:r>
            <a:rPr lang="en-IN" sz="1600" b="1">
              <a:latin typeface="Aptos Display" panose="020B0004020202020204" pitchFamily="34" charset="0"/>
            </a:rPr>
            <a:t>                  </a:t>
          </a:r>
        </a:p>
        <a:p>
          <a:pPr algn="l"/>
          <a:r>
            <a:rPr lang="en-IN" sz="1600">
              <a:latin typeface="Aptos Display" panose="020B0004020202020204" pitchFamily="34" charset="0"/>
            </a:rPr>
            <a:t>                           58304</a:t>
          </a:r>
        </a:p>
      </xdr:txBody>
    </xdr:sp>
    <xdr:clientData/>
  </xdr:twoCellAnchor>
  <xdr:twoCellAnchor editAs="oneCell">
    <xdr:from>
      <xdr:col>4</xdr:col>
      <xdr:colOff>402771</xdr:colOff>
      <xdr:row>5</xdr:row>
      <xdr:rowOff>88314</xdr:rowOff>
    </xdr:from>
    <xdr:to>
      <xdr:col>5</xdr:col>
      <xdr:colOff>265839</xdr:colOff>
      <xdr:row>8</xdr:row>
      <xdr:rowOff>0</xdr:rowOff>
    </xdr:to>
    <xdr:pic>
      <xdr:nvPicPr>
        <xdr:cNvPr id="31" name="Graphic 30" descr="Cycling">
          <a:extLst>
            <a:ext uri="{FF2B5EF4-FFF2-40B4-BE49-F238E27FC236}">
              <a16:creationId xmlns:a16="http://schemas.microsoft.com/office/drawing/2014/main" id="{ABB2A33E-34C3-6B75-915E-DA0E3303D5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41171" y="1013600"/>
          <a:ext cx="472668" cy="466857"/>
        </a:xfrm>
        <a:prstGeom prst="rect">
          <a:avLst/>
        </a:prstGeom>
      </xdr:spPr>
    </xdr:pic>
    <xdr:clientData/>
  </xdr:twoCellAnchor>
  <xdr:twoCellAnchor>
    <xdr:from>
      <xdr:col>9</xdr:col>
      <xdr:colOff>168000</xdr:colOff>
      <xdr:row>4</xdr:row>
      <xdr:rowOff>30620</xdr:rowOff>
    </xdr:from>
    <xdr:to>
      <xdr:col>14</xdr:col>
      <xdr:colOff>0</xdr:colOff>
      <xdr:row>8</xdr:row>
      <xdr:rowOff>141443</xdr:rowOff>
    </xdr:to>
    <xdr:sp macro="" textlink="">
      <xdr:nvSpPr>
        <xdr:cNvPr id="32" name="Rectangle: Rounded Corners 31">
          <a:extLst>
            <a:ext uri="{FF2B5EF4-FFF2-40B4-BE49-F238E27FC236}">
              <a16:creationId xmlns:a16="http://schemas.microsoft.com/office/drawing/2014/main" id="{B78BD9D3-1451-4EE0-B73D-8447BCA4D314}"/>
            </a:ext>
          </a:extLst>
        </xdr:cNvPr>
        <xdr:cNvSpPr/>
      </xdr:nvSpPr>
      <xdr:spPr>
        <a:xfrm>
          <a:off x="5654400" y="770849"/>
          <a:ext cx="2880000" cy="851051"/>
        </a:xfrm>
        <a:prstGeom prst="round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600" b="1" baseline="0">
              <a:latin typeface="Aptos Narrow" panose="020B0004020202020204" pitchFamily="34" charset="0"/>
            </a:rPr>
            <a:t>    AVG DAILY RIDERS</a:t>
          </a:r>
        </a:p>
        <a:p>
          <a:pPr algn="ctr"/>
          <a:r>
            <a:rPr lang="en-IN" sz="1400" baseline="0">
              <a:latin typeface="Aptos Display" panose="020B0004020202020204" pitchFamily="34" charset="0"/>
            </a:rPr>
            <a:t>    58</a:t>
          </a:r>
          <a:r>
            <a:rPr lang="en-IN" sz="1400">
              <a:latin typeface="Aptos Display" panose="020B0004020202020204" pitchFamily="34" charset="0"/>
            </a:rPr>
            <a:t>                         </a:t>
          </a:r>
          <a:r>
            <a:rPr lang="en-IN" sz="1400" baseline="0">
              <a:latin typeface="Aptos Display" panose="020B0004020202020204" pitchFamily="34" charset="0"/>
            </a:rPr>
            <a:t> </a:t>
          </a:r>
          <a:endParaRPr lang="en-IN" sz="1400">
            <a:latin typeface="Aptos Display" panose="020B0004020202020204" pitchFamily="34" charset="0"/>
          </a:endParaRPr>
        </a:p>
      </xdr:txBody>
    </xdr:sp>
    <xdr:clientData/>
  </xdr:twoCellAnchor>
  <xdr:twoCellAnchor editAs="oneCell">
    <xdr:from>
      <xdr:col>9</xdr:col>
      <xdr:colOff>446314</xdr:colOff>
      <xdr:row>5</xdr:row>
      <xdr:rowOff>83728</xdr:rowOff>
    </xdr:from>
    <xdr:to>
      <xdr:col>10</xdr:col>
      <xdr:colOff>195016</xdr:colOff>
      <xdr:row>7</xdr:row>
      <xdr:rowOff>67515</xdr:rowOff>
    </xdr:to>
    <xdr:pic>
      <xdr:nvPicPr>
        <xdr:cNvPr id="34" name="Graphic 33" descr="Daily calendar">
          <a:extLst>
            <a:ext uri="{FF2B5EF4-FFF2-40B4-BE49-F238E27FC236}">
              <a16:creationId xmlns:a16="http://schemas.microsoft.com/office/drawing/2014/main" id="{11390F54-5162-27E9-98DA-03D185D3DF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32714" y="1009014"/>
          <a:ext cx="358302" cy="353901"/>
        </a:xfrm>
        <a:prstGeom prst="rect">
          <a:avLst/>
        </a:prstGeom>
      </xdr:spPr>
    </xdr:pic>
    <xdr:clientData/>
  </xdr:twoCellAnchor>
  <xdr:twoCellAnchor>
    <xdr:from>
      <xdr:col>23</xdr:col>
      <xdr:colOff>549657</xdr:colOff>
      <xdr:row>4</xdr:row>
      <xdr:rowOff>37984</xdr:rowOff>
    </xdr:from>
    <xdr:to>
      <xdr:col>28</xdr:col>
      <xdr:colOff>380185</xdr:colOff>
      <xdr:row>8</xdr:row>
      <xdr:rowOff>148807</xdr:rowOff>
    </xdr:to>
    <xdr:sp macro="" textlink="">
      <xdr:nvSpPr>
        <xdr:cNvPr id="35" name="Rectangle: Rounded Corners 34">
          <a:extLst>
            <a:ext uri="{FF2B5EF4-FFF2-40B4-BE49-F238E27FC236}">
              <a16:creationId xmlns:a16="http://schemas.microsoft.com/office/drawing/2014/main" id="{AF73233D-7AFE-46FC-8DC9-421E62F7980B}"/>
            </a:ext>
          </a:extLst>
        </xdr:cNvPr>
        <xdr:cNvSpPr/>
      </xdr:nvSpPr>
      <xdr:spPr>
        <a:xfrm>
          <a:off x="14570457" y="778213"/>
          <a:ext cx="2878528" cy="851051"/>
        </a:xfrm>
        <a:prstGeom prst="round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en-IN" sz="1600" b="1" baseline="0">
              <a:latin typeface="Aptos Narrow" panose="020B0004020202020204" pitchFamily="34" charset="0"/>
            </a:rPr>
            <a:t>                    PEAK HOURS                                                                           </a:t>
          </a:r>
        </a:p>
        <a:p>
          <a:pPr algn="l"/>
          <a:r>
            <a:rPr lang="en-IN" sz="1600" baseline="0">
              <a:latin typeface="Aptos Narrow" panose="020B0004020202020204" pitchFamily="34" charset="0"/>
            </a:rPr>
            <a:t>                          5.00 PM</a:t>
          </a:r>
          <a:endParaRPr lang="en-IN" sz="1600">
            <a:latin typeface="Aptos Narrow" panose="020B0004020202020204" pitchFamily="34" charset="0"/>
          </a:endParaRPr>
        </a:p>
      </xdr:txBody>
    </xdr:sp>
    <xdr:clientData/>
  </xdr:twoCellAnchor>
  <xdr:twoCellAnchor>
    <xdr:from>
      <xdr:col>28</xdr:col>
      <xdr:colOff>485299</xdr:colOff>
      <xdr:row>4</xdr:row>
      <xdr:rowOff>53340</xdr:rowOff>
    </xdr:from>
    <xdr:to>
      <xdr:col>33</xdr:col>
      <xdr:colOff>108857</xdr:colOff>
      <xdr:row>8</xdr:row>
      <xdr:rowOff>169927</xdr:rowOff>
    </xdr:to>
    <xdr:sp macro="" textlink="">
      <xdr:nvSpPr>
        <xdr:cNvPr id="36" name="Rectangle: Rounded Corners 35">
          <a:extLst>
            <a:ext uri="{FF2B5EF4-FFF2-40B4-BE49-F238E27FC236}">
              <a16:creationId xmlns:a16="http://schemas.microsoft.com/office/drawing/2014/main" id="{3B482F0A-994B-4FEA-9161-D076961FA0F9}"/>
            </a:ext>
          </a:extLst>
        </xdr:cNvPr>
        <xdr:cNvSpPr/>
      </xdr:nvSpPr>
      <xdr:spPr>
        <a:xfrm>
          <a:off x="17554099" y="793569"/>
          <a:ext cx="2671558" cy="856815"/>
        </a:xfrm>
        <a:prstGeom prst="round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600" baseline="0">
              <a:latin typeface="Aptos Narrow" panose="020B0004020202020204" pitchFamily="34" charset="0"/>
            </a:rPr>
            <a:t>    </a:t>
          </a:r>
          <a:r>
            <a:rPr lang="en-IN" sz="1600" b="1" baseline="0">
              <a:latin typeface="Aptos Narrow" panose="020B0004020202020204" pitchFamily="34" charset="0"/>
            </a:rPr>
            <a:t>PREFERRED WEATHER        </a:t>
          </a:r>
          <a:r>
            <a:rPr lang="en-IN" sz="1600" baseline="0">
              <a:latin typeface="Aptos Narrow" panose="020B0004020202020204" pitchFamily="34" charset="0"/>
            </a:rPr>
            <a:t>Clear                          </a:t>
          </a:r>
          <a:r>
            <a:rPr lang="en-IN" sz="1600">
              <a:latin typeface="Aptos Narrow" panose="020B0004020202020204" pitchFamily="34" charset="0"/>
            </a:rPr>
            <a:t>                        </a:t>
          </a:r>
          <a:r>
            <a:rPr lang="en-IN" sz="1600" baseline="0">
              <a:latin typeface="Aptos Narrow" panose="020B0004020202020204" pitchFamily="34" charset="0"/>
            </a:rPr>
            <a:t> </a:t>
          </a:r>
          <a:endParaRPr lang="en-IN" sz="1600">
            <a:latin typeface="Aptos Narrow" panose="020B0004020202020204" pitchFamily="34" charset="0"/>
          </a:endParaRPr>
        </a:p>
      </xdr:txBody>
    </xdr:sp>
    <xdr:clientData/>
  </xdr:twoCellAnchor>
  <xdr:twoCellAnchor editAs="oneCell">
    <xdr:from>
      <xdr:col>24</xdr:col>
      <xdr:colOff>190428</xdr:colOff>
      <xdr:row>5</xdr:row>
      <xdr:rowOff>105781</xdr:rowOff>
    </xdr:from>
    <xdr:to>
      <xdr:col>25</xdr:col>
      <xdr:colOff>0</xdr:colOff>
      <xdr:row>7</xdr:row>
      <xdr:rowOff>154601</xdr:rowOff>
    </xdr:to>
    <xdr:pic>
      <xdr:nvPicPr>
        <xdr:cNvPr id="38" name="Graphic 37" descr="Clock">
          <a:extLst>
            <a:ext uri="{FF2B5EF4-FFF2-40B4-BE49-F238E27FC236}">
              <a16:creationId xmlns:a16="http://schemas.microsoft.com/office/drawing/2014/main" id="{2FF7F0BA-9222-768E-C3EB-14BDC229CFA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820828" y="1031067"/>
          <a:ext cx="419172" cy="418934"/>
        </a:xfrm>
        <a:prstGeom prst="rect">
          <a:avLst/>
        </a:prstGeom>
      </xdr:spPr>
    </xdr:pic>
    <xdr:clientData/>
  </xdr:twoCellAnchor>
  <xdr:twoCellAnchor editAs="oneCell">
    <xdr:from>
      <xdr:col>28</xdr:col>
      <xdr:colOff>485299</xdr:colOff>
      <xdr:row>5</xdr:row>
      <xdr:rowOff>147123</xdr:rowOff>
    </xdr:from>
    <xdr:to>
      <xdr:col>29</xdr:col>
      <xdr:colOff>299846</xdr:colOff>
      <xdr:row>8</xdr:row>
      <xdr:rowOff>10886</xdr:rowOff>
    </xdr:to>
    <xdr:pic>
      <xdr:nvPicPr>
        <xdr:cNvPr id="40" name="Graphic 39" descr="Partial sun">
          <a:extLst>
            <a:ext uri="{FF2B5EF4-FFF2-40B4-BE49-F238E27FC236}">
              <a16:creationId xmlns:a16="http://schemas.microsoft.com/office/drawing/2014/main" id="{3EE3924F-2AE2-C351-ED67-9BA38F5BA5C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554099" y="1072409"/>
          <a:ext cx="424147" cy="418934"/>
        </a:xfrm>
        <a:prstGeom prst="rect">
          <a:avLst/>
        </a:prstGeom>
      </xdr:spPr>
    </xdr:pic>
    <xdr:clientData/>
  </xdr:twoCellAnchor>
  <xdr:twoCellAnchor>
    <xdr:from>
      <xdr:col>14</xdr:col>
      <xdr:colOff>91800</xdr:colOff>
      <xdr:row>4</xdr:row>
      <xdr:rowOff>30620</xdr:rowOff>
    </xdr:from>
    <xdr:to>
      <xdr:col>18</xdr:col>
      <xdr:colOff>533400</xdr:colOff>
      <xdr:row>8</xdr:row>
      <xdr:rowOff>141443</xdr:rowOff>
    </xdr:to>
    <xdr:sp macro="" textlink="">
      <xdr:nvSpPr>
        <xdr:cNvPr id="41" name="Rectangle: Rounded Corners 40">
          <a:extLst>
            <a:ext uri="{FF2B5EF4-FFF2-40B4-BE49-F238E27FC236}">
              <a16:creationId xmlns:a16="http://schemas.microsoft.com/office/drawing/2014/main" id="{268922F5-DD5D-40F5-94C8-A6C515AF43A0}"/>
            </a:ext>
          </a:extLst>
        </xdr:cNvPr>
        <xdr:cNvSpPr/>
      </xdr:nvSpPr>
      <xdr:spPr>
        <a:xfrm>
          <a:off x="8626200" y="770849"/>
          <a:ext cx="2880000" cy="851051"/>
        </a:xfrm>
        <a:prstGeom prst="round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600" b="1" baseline="0">
              <a:latin typeface="Aptos Narrow" panose="020B0004020202020204" pitchFamily="34" charset="0"/>
            </a:rPr>
            <a:t>REGISTERED RIDERS</a:t>
          </a:r>
        </a:p>
        <a:p>
          <a:pPr algn="ctr"/>
          <a:r>
            <a:rPr lang="en-IN" sz="1400" baseline="0">
              <a:latin typeface="Aptos Display" panose="020B0004020202020204" pitchFamily="34" charset="0"/>
            </a:rPr>
            <a:t>    91.56%</a:t>
          </a:r>
          <a:r>
            <a:rPr lang="en-IN" sz="1400">
              <a:latin typeface="Aptos Display" panose="020B0004020202020204" pitchFamily="34" charset="0"/>
            </a:rPr>
            <a:t>                         </a:t>
          </a:r>
          <a:r>
            <a:rPr lang="en-IN" sz="1400" baseline="0">
              <a:latin typeface="Aptos Display" panose="020B0004020202020204" pitchFamily="34" charset="0"/>
            </a:rPr>
            <a:t> </a:t>
          </a:r>
          <a:endParaRPr lang="en-IN" sz="1400">
            <a:latin typeface="Aptos Display" panose="020B0004020202020204" pitchFamily="34" charset="0"/>
          </a:endParaRPr>
        </a:p>
      </xdr:txBody>
    </xdr:sp>
    <xdr:clientData/>
  </xdr:twoCellAnchor>
  <xdr:twoCellAnchor>
    <xdr:from>
      <xdr:col>19</xdr:col>
      <xdr:colOff>0</xdr:colOff>
      <xdr:row>4</xdr:row>
      <xdr:rowOff>43833</xdr:rowOff>
    </xdr:from>
    <xdr:to>
      <xdr:col>23</xdr:col>
      <xdr:colOff>441600</xdr:colOff>
      <xdr:row>8</xdr:row>
      <xdr:rowOff>154656</xdr:rowOff>
    </xdr:to>
    <xdr:sp macro="" textlink="">
      <xdr:nvSpPr>
        <xdr:cNvPr id="42" name="Rectangle: Rounded Corners 41">
          <a:extLst>
            <a:ext uri="{FF2B5EF4-FFF2-40B4-BE49-F238E27FC236}">
              <a16:creationId xmlns:a16="http://schemas.microsoft.com/office/drawing/2014/main" id="{C7577AA3-1C5B-4CBF-AE4D-2431089C6B42}"/>
            </a:ext>
          </a:extLst>
        </xdr:cNvPr>
        <xdr:cNvSpPr/>
      </xdr:nvSpPr>
      <xdr:spPr>
        <a:xfrm>
          <a:off x="11582400" y="784062"/>
          <a:ext cx="2880000" cy="851051"/>
        </a:xfrm>
        <a:prstGeom prst="roundRect">
          <a:avLst/>
        </a:prstGeom>
        <a:solidFill>
          <a:schemeClr val="accent6">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en-IN" sz="1600">
              <a:solidFill>
                <a:schemeClr val="tx1"/>
              </a:solidFill>
              <a:latin typeface="Aptos Narrow" panose="020B0004020202020204" pitchFamily="34" charset="0"/>
            </a:rPr>
            <a:t>               </a:t>
          </a:r>
          <a:r>
            <a:rPr lang="en-IN" sz="1600" b="1" baseline="0">
              <a:solidFill>
                <a:schemeClr val="tx1"/>
              </a:solidFill>
              <a:latin typeface="Aptos Narrow" panose="020B0004020202020204" pitchFamily="34" charset="0"/>
            </a:rPr>
            <a:t>CASUAL RIDERS</a:t>
          </a:r>
        </a:p>
        <a:p>
          <a:pPr algn="l"/>
          <a:r>
            <a:rPr lang="en-IN" sz="1400" baseline="0">
              <a:solidFill>
                <a:schemeClr val="tx1"/>
              </a:solidFill>
              <a:latin typeface="Aptos Display" panose="020B0004020202020204" pitchFamily="34" charset="0"/>
            </a:rPr>
            <a:t>                               8.44%                                        </a:t>
          </a:r>
          <a:r>
            <a:rPr lang="en-IN" sz="1400">
              <a:solidFill>
                <a:schemeClr val="tx1"/>
              </a:solidFill>
              <a:latin typeface="Aptos Display" panose="020B0004020202020204" pitchFamily="34" charset="0"/>
            </a:rPr>
            <a:t>                         </a:t>
          </a:r>
          <a:r>
            <a:rPr lang="en-IN" sz="1400" baseline="0">
              <a:solidFill>
                <a:schemeClr val="tx1"/>
              </a:solidFill>
              <a:latin typeface="Aptos Display" panose="020B0004020202020204" pitchFamily="34" charset="0"/>
            </a:rPr>
            <a:t> </a:t>
          </a:r>
          <a:endParaRPr lang="en-IN" sz="1400">
            <a:solidFill>
              <a:schemeClr val="tx1"/>
            </a:solidFill>
            <a:latin typeface="Aptos Display" panose="020B0004020202020204" pitchFamily="34" charset="0"/>
          </a:endParaRPr>
        </a:p>
      </xdr:txBody>
    </xdr:sp>
    <xdr:clientData/>
  </xdr:twoCellAnchor>
  <xdr:twoCellAnchor>
    <xdr:from>
      <xdr:col>16</xdr:col>
      <xdr:colOff>119743</xdr:colOff>
      <xdr:row>9</xdr:row>
      <xdr:rowOff>87085</xdr:rowOff>
    </xdr:from>
    <xdr:to>
      <xdr:col>26</xdr:col>
      <xdr:colOff>566056</xdr:colOff>
      <xdr:row>21</xdr:row>
      <xdr:rowOff>0</xdr:rowOff>
    </xdr:to>
    <xdr:graphicFrame macro="">
      <xdr:nvGraphicFramePr>
        <xdr:cNvPr id="44" name="Chart 43">
          <a:extLst>
            <a:ext uri="{FF2B5EF4-FFF2-40B4-BE49-F238E27FC236}">
              <a16:creationId xmlns:a16="http://schemas.microsoft.com/office/drawing/2014/main" id="{F44B8506-B239-4EE1-9A1E-5D298D9BB998}"/>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435427</xdr:colOff>
      <xdr:row>9</xdr:row>
      <xdr:rowOff>54425</xdr:rowOff>
    </xdr:from>
    <xdr:to>
      <xdr:col>16</xdr:col>
      <xdr:colOff>65314</xdr:colOff>
      <xdr:row>21</xdr:row>
      <xdr:rowOff>10885</xdr:rowOff>
    </xdr:to>
    <xdr:graphicFrame macro="">
      <xdr:nvGraphicFramePr>
        <xdr:cNvPr id="45" name="Chart 44">
          <a:extLst>
            <a:ext uri="{FF2B5EF4-FFF2-40B4-BE49-F238E27FC236}">
              <a16:creationId xmlns:a16="http://schemas.microsoft.com/office/drawing/2014/main" id="{405C917C-4047-4DDD-B7E2-52EF31FEB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272142</xdr:colOff>
      <xdr:row>9</xdr:row>
      <xdr:rowOff>87086</xdr:rowOff>
    </xdr:from>
    <xdr:to>
      <xdr:col>10</xdr:col>
      <xdr:colOff>359228</xdr:colOff>
      <xdr:row>36</xdr:row>
      <xdr:rowOff>174172</xdr:rowOff>
    </xdr:to>
    <xdr:graphicFrame macro="">
      <xdr:nvGraphicFramePr>
        <xdr:cNvPr id="2" name="Chart 1">
          <a:extLst>
            <a:ext uri="{FF2B5EF4-FFF2-40B4-BE49-F238E27FC236}">
              <a16:creationId xmlns:a16="http://schemas.microsoft.com/office/drawing/2014/main" id="{F4AE48EE-BF53-4D68-A141-39B4C683E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21770</xdr:colOff>
      <xdr:row>9</xdr:row>
      <xdr:rowOff>76197</xdr:rowOff>
    </xdr:from>
    <xdr:to>
      <xdr:col>33</xdr:col>
      <xdr:colOff>174171</xdr:colOff>
      <xdr:row>21</xdr:row>
      <xdr:rowOff>10885</xdr:rowOff>
    </xdr:to>
    <xdr:graphicFrame macro="">
      <xdr:nvGraphicFramePr>
        <xdr:cNvPr id="5" name="Chart 4">
          <a:extLst>
            <a:ext uri="{FF2B5EF4-FFF2-40B4-BE49-F238E27FC236}">
              <a16:creationId xmlns:a16="http://schemas.microsoft.com/office/drawing/2014/main" id="{FC5E350F-89EC-4063-8945-F50BB76BC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402771</xdr:colOff>
      <xdr:row>21</xdr:row>
      <xdr:rowOff>76199</xdr:rowOff>
    </xdr:from>
    <xdr:to>
      <xdr:col>17</xdr:col>
      <xdr:colOff>108857</xdr:colOff>
      <xdr:row>37</xdr:row>
      <xdr:rowOff>10885</xdr:rowOff>
    </xdr:to>
    <xdr:graphicFrame macro="">
      <xdr:nvGraphicFramePr>
        <xdr:cNvPr id="7" name="Chart 6">
          <a:extLst>
            <a:ext uri="{FF2B5EF4-FFF2-40B4-BE49-F238E27FC236}">
              <a16:creationId xmlns:a16="http://schemas.microsoft.com/office/drawing/2014/main" id="{02E909CE-A56C-46D1-B55C-F27F0CECB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163286</xdr:colOff>
      <xdr:row>21</xdr:row>
      <xdr:rowOff>65314</xdr:rowOff>
    </xdr:from>
    <xdr:to>
      <xdr:col>24</xdr:col>
      <xdr:colOff>87086</xdr:colOff>
      <xdr:row>37</xdr:row>
      <xdr:rowOff>0</xdr:rowOff>
    </xdr:to>
    <xdr:graphicFrame macro="">
      <xdr:nvGraphicFramePr>
        <xdr:cNvPr id="8" name="Chart 7">
          <a:extLst>
            <a:ext uri="{FF2B5EF4-FFF2-40B4-BE49-F238E27FC236}">
              <a16:creationId xmlns:a16="http://schemas.microsoft.com/office/drawing/2014/main" id="{FC07702E-9681-43E7-8F72-C87679477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130630</xdr:colOff>
      <xdr:row>21</xdr:row>
      <xdr:rowOff>76200</xdr:rowOff>
    </xdr:from>
    <xdr:to>
      <xdr:col>33</xdr:col>
      <xdr:colOff>108857</xdr:colOff>
      <xdr:row>36</xdr:row>
      <xdr:rowOff>141515</xdr:rowOff>
    </xdr:to>
    <xdr:graphicFrame macro="">
      <xdr:nvGraphicFramePr>
        <xdr:cNvPr id="9" name="Chart 8">
          <a:extLst>
            <a:ext uri="{FF2B5EF4-FFF2-40B4-BE49-F238E27FC236}">
              <a16:creationId xmlns:a16="http://schemas.microsoft.com/office/drawing/2014/main" id="{A8DF86B9-77DC-4003-9DD8-0252BF8CF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206827</xdr:colOff>
      <xdr:row>7</xdr:row>
      <xdr:rowOff>68444</xdr:rowOff>
    </xdr:from>
    <xdr:to>
      <xdr:col>3</xdr:col>
      <xdr:colOff>43540</xdr:colOff>
      <xdr:row>13</xdr:row>
      <xdr:rowOff>68444</xdr:rowOff>
    </xdr:to>
    <mc:AlternateContent xmlns:mc="http://schemas.openxmlformats.org/markup-compatibility/2006" xmlns:a14="http://schemas.microsoft.com/office/drawing/2010/main">
      <mc:Choice Requires="a14">
        <xdr:graphicFrame macro="">
          <xdr:nvGraphicFramePr>
            <xdr:cNvPr id="10" name="Weekday/weekend">
              <a:extLst>
                <a:ext uri="{FF2B5EF4-FFF2-40B4-BE49-F238E27FC236}">
                  <a16:creationId xmlns:a16="http://schemas.microsoft.com/office/drawing/2014/main" id="{2EA6D845-E74A-4DC5-B9F8-70091163F6C3}"/>
                </a:ext>
              </a:extLst>
            </xdr:cNvPr>
            <xdr:cNvGraphicFramePr/>
          </xdr:nvGraphicFramePr>
          <xdr:xfrm>
            <a:off x="0" y="0"/>
            <a:ext cx="0" cy="0"/>
          </xdr:xfrm>
          <a:graphic>
            <a:graphicData uri="http://schemas.microsoft.com/office/drawing/2010/slicer">
              <sle:slicer xmlns:sle="http://schemas.microsoft.com/office/drawing/2010/slicer" name="Weekday/weekend"/>
            </a:graphicData>
          </a:graphic>
        </xdr:graphicFrame>
      </mc:Choice>
      <mc:Fallback xmlns="">
        <xdr:sp macro="" textlink="">
          <xdr:nvSpPr>
            <xdr:cNvPr id="0" name=""/>
            <xdr:cNvSpPr>
              <a:spLocks noTextEdit="1"/>
            </xdr:cNvSpPr>
          </xdr:nvSpPr>
          <xdr:spPr>
            <a:xfrm>
              <a:off x="206827" y="1363844"/>
              <a:ext cx="1665513" cy="1110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206827</xdr:colOff>
      <xdr:row>14</xdr:row>
      <xdr:rowOff>81929</xdr:rowOff>
    </xdr:from>
    <xdr:to>
      <xdr:col>3</xdr:col>
      <xdr:colOff>19027</xdr:colOff>
      <xdr:row>20</xdr:row>
      <xdr:rowOff>174170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26D5CFB8-F066-4C5B-8441-2B6B8D9DD31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6827" y="2672729"/>
              <a:ext cx="1641000" cy="1202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206827</xdr:colOff>
      <xdr:row>22</xdr:row>
      <xdr:rowOff>0</xdr:rowOff>
    </xdr:from>
    <xdr:to>
      <xdr:col>3</xdr:col>
      <xdr:colOff>0</xdr:colOff>
      <xdr:row>35</xdr:row>
      <xdr:rowOff>171019</xdr:rowOff>
    </xdr:to>
    <mc:AlternateContent xmlns:mc="http://schemas.openxmlformats.org/markup-compatibility/2006" xmlns:a14="http://schemas.microsoft.com/office/drawing/2010/main">
      <mc:Choice Requires="a14">
        <xdr:graphicFrame macro="">
          <xdr:nvGraphicFramePr>
            <xdr:cNvPr id="18" name="Days">
              <a:extLst>
                <a:ext uri="{FF2B5EF4-FFF2-40B4-BE49-F238E27FC236}">
                  <a16:creationId xmlns:a16="http://schemas.microsoft.com/office/drawing/2014/main" id="{8BB26E6D-C9D0-4E4F-A1FB-29CC87881ACC}"/>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206827" y="4071257"/>
              <a:ext cx="1621973" cy="2576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197031</xdr:colOff>
      <xdr:row>0</xdr:row>
      <xdr:rowOff>122303</xdr:rowOff>
    </xdr:from>
    <xdr:to>
      <xdr:col>12</xdr:col>
      <xdr:colOff>105591</xdr:colOff>
      <xdr:row>3</xdr:row>
      <xdr:rowOff>85292</xdr:rowOff>
    </xdr:to>
    <xdr:pic>
      <xdr:nvPicPr>
        <xdr:cNvPr id="20" name="Picture 19">
          <a:extLst>
            <a:ext uri="{FF2B5EF4-FFF2-40B4-BE49-F238E27FC236}">
              <a16:creationId xmlns:a16="http://schemas.microsoft.com/office/drawing/2014/main" id="{643C5857-03AC-1BD0-E418-59E24086D69B}"/>
            </a:ext>
          </a:extLst>
        </xdr:cNvPr>
        <xdr:cNvPicPr>
          <a:picLocks noChangeAspect="1"/>
        </xdr:cNvPicPr>
      </xdr:nvPicPr>
      <xdr:blipFill>
        <a:blip xmlns:r="http://schemas.openxmlformats.org/officeDocument/2006/relationships" r:embed="rId16"/>
        <a:stretch>
          <a:fillRect/>
        </a:stretch>
      </xdr:blipFill>
      <xdr:spPr>
        <a:xfrm>
          <a:off x="6902631" y="122303"/>
          <a:ext cx="518160" cy="518160"/>
        </a:xfrm>
        <a:prstGeom prst="rect">
          <a:avLst/>
        </a:prstGeom>
      </xdr:spPr>
    </xdr:pic>
    <xdr:clientData/>
  </xdr:twoCellAnchor>
  <xdr:twoCellAnchor>
    <xdr:from>
      <xdr:col>14</xdr:col>
      <xdr:colOff>555173</xdr:colOff>
      <xdr:row>23</xdr:row>
      <xdr:rowOff>141514</xdr:rowOff>
    </xdr:from>
    <xdr:to>
      <xdr:col>16</xdr:col>
      <xdr:colOff>566058</xdr:colOff>
      <xdr:row>25</xdr:row>
      <xdr:rowOff>10885</xdr:rowOff>
    </xdr:to>
    <xdr:sp macro="" textlink="">
      <xdr:nvSpPr>
        <xdr:cNvPr id="6" name="TextBox 5">
          <a:extLst>
            <a:ext uri="{FF2B5EF4-FFF2-40B4-BE49-F238E27FC236}">
              <a16:creationId xmlns:a16="http://schemas.microsoft.com/office/drawing/2014/main" id="{395CFFAD-376C-52FA-6125-F7441DE3212C}"/>
            </a:ext>
          </a:extLst>
        </xdr:cNvPr>
        <xdr:cNvSpPr txBox="1"/>
      </xdr:nvSpPr>
      <xdr:spPr>
        <a:xfrm>
          <a:off x="9089573" y="4397828"/>
          <a:ext cx="1230085" cy="239486"/>
        </a:xfrm>
        <a:prstGeom prst="rect">
          <a:avLst/>
        </a:prstGeom>
        <a:solidFill>
          <a:schemeClr val="accent6">
            <a:lumMod val="20000"/>
            <a:lumOff val="8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Correlation: -0.25</a:t>
          </a:r>
          <a:r>
            <a:rPr lang="en-IN">
              <a:effectLst/>
            </a:rPr>
            <a:t> </a:t>
          </a:r>
          <a:endParaRPr lang="en-IN" sz="1100"/>
        </a:p>
      </xdr:txBody>
    </xdr:sp>
    <xdr:clientData/>
  </xdr:twoCellAnchor>
  <xdr:twoCellAnchor>
    <xdr:from>
      <xdr:col>21</xdr:col>
      <xdr:colOff>576944</xdr:colOff>
      <xdr:row>24</xdr:row>
      <xdr:rowOff>10886</xdr:rowOff>
    </xdr:from>
    <xdr:to>
      <xdr:col>23</xdr:col>
      <xdr:colOff>587829</xdr:colOff>
      <xdr:row>25</xdr:row>
      <xdr:rowOff>65314</xdr:rowOff>
    </xdr:to>
    <xdr:sp macro="" textlink="">
      <xdr:nvSpPr>
        <xdr:cNvPr id="13" name="TextBox 12">
          <a:extLst>
            <a:ext uri="{FF2B5EF4-FFF2-40B4-BE49-F238E27FC236}">
              <a16:creationId xmlns:a16="http://schemas.microsoft.com/office/drawing/2014/main" id="{220B2BAB-6635-4F20-94F5-89067BDA55C8}"/>
            </a:ext>
          </a:extLst>
        </xdr:cNvPr>
        <xdr:cNvSpPr txBox="1"/>
      </xdr:nvSpPr>
      <xdr:spPr>
        <a:xfrm>
          <a:off x="13378544" y="4452257"/>
          <a:ext cx="1230085" cy="239486"/>
        </a:xfrm>
        <a:prstGeom prst="rect">
          <a:avLst/>
        </a:prstGeom>
        <a:solidFill>
          <a:schemeClr val="accent6">
            <a:lumMod val="20000"/>
            <a:lumOff val="8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Correlation: 0.23</a:t>
          </a:r>
          <a:r>
            <a:rPr lang="en-IN">
              <a:effectLst/>
            </a:rPr>
            <a:t>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9</xdr:row>
      <xdr:rowOff>22860</xdr:rowOff>
    </xdr:from>
    <xdr:to>
      <xdr:col>7</xdr:col>
      <xdr:colOff>541020</xdr:colOff>
      <xdr:row>27</xdr:row>
      <xdr:rowOff>0</xdr:rowOff>
    </xdr:to>
    <xdr:graphicFrame macro="">
      <xdr:nvGraphicFramePr>
        <xdr:cNvPr id="12" name="Chart 11">
          <a:extLst>
            <a:ext uri="{FF2B5EF4-FFF2-40B4-BE49-F238E27FC236}">
              <a16:creationId xmlns:a16="http://schemas.microsoft.com/office/drawing/2014/main" id="{4DEF59C9-2900-FB6B-8884-E9DEE28CD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190500</xdr:colOff>
      <xdr:row>3</xdr:row>
      <xdr:rowOff>0</xdr:rowOff>
    </xdr:from>
    <xdr:to>
      <xdr:col>14</xdr:col>
      <xdr:colOff>168727</xdr:colOff>
      <xdr:row>18</xdr:row>
      <xdr:rowOff>97972</xdr:rowOff>
    </xdr:to>
    <xdr:graphicFrame macro="">
      <xdr:nvGraphicFramePr>
        <xdr:cNvPr id="2" name="Chart 1">
          <a:extLst>
            <a:ext uri="{FF2B5EF4-FFF2-40B4-BE49-F238E27FC236}">
              <a16:creationId xmlns:a16="http://schemas.microsoft.com/office/drawing/2014/main" id="{0C958347-817A-41EF-B293-76F46028B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th Kumar" refreshedDate="46306.969798842591" createdVersion="8" refreshedVersion="8" minRefreshableVersion="3" recordCount="1000" xr:uid="{4FBA56D0-9C1D-4AB4-989C-336F612EF65E}">
  <cacheSource type="worksheet">
    <worksheetSource ref="A1:U1001" sheet="working data"/>
  </cacheSource>
  <cacheFields count="23">
    <cacheField name="instant" numFmtId="1">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67">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holiday" numFmtId="49">
      <sharedItems/>
    </cacheField>
    <cacheField name="Days" numFmtId="1">
      <sharedItems count="7">
        <s v="Saturday"/>
        <s v="Sunday"/>
        <s v="Monday"/>
        <s v="Tuesday"/>
        <s v="Wednesday"/>
        <s v="Thursday"/>
        <s v="Friday"/>
      </sharedItems>
    </cacheField>
    <cacheField name="atemp" numFmtId="0">
      <sharedItems containsSemiMixedTypes="0" containsString="0" containsNumber="1" minValue="1.52E-2" maxValue="0.45450000000000002"/>
    </cacheField>
    <cacheField name="Year" numFmtId="0">
      <sharedItems containsSemiMixedTypes="0" containsString="0" containsNumber="1" containsInteger="1" minValue="2011" maxValue="2011"/>
    </cacheField>
    <cacheField name="Month" numFmtId="0">
      <sharedItems count="2">
        <s v="January"/>
        <s v="February"/>
      </sharedItems>
    </cacheField>
    <cacheField name="Hour" numFmtId="18">
      <sharedItems containsDate="1" containsMixedTypes="1" minDate="1899-12-30T00:00:00" maxDate="1899-12-31T00:00:00" count="48">
        <s v="12 AM"/>
        <s v="1 AM"/>
        <s v="2 AM"/>
        <s v="3 AM"/>
        <s v="4 AM"/>
        <s v="5 AM"/>
        <s v="6 AM"/>
        <s v="7 AM"/>
        <s v="8 AM"/>
        <s v="9 AM"/>
        <s v="10 AM"/>
        <s v="11 AM"/>
        <s v="12 PM"/>
        <s v="1 PM"/>
        <s v="2 PM"/>
        <s v="3 PM"/>
        <s v="4 PM"/>
        <s v="5 PM"/>
        <s v="6 PM"/>
        <s v="7 PM"/>
        <s v="8 PM"/>
        <s v="9 PM"/>
        <s v="10 PM"/>
        <s v="11 PM"/>
        <d v="1899-12-30T00:00:00" u="1"/>
        <d v="1899-12-30T01:00:00" u="1"/>
        <d v="1899-12-30T02:00:00" u="1"/>
        <d v="1899-12-30T03:00:00" u="1"/>
        <d v="1899-12-30T04:00:00" u="1"/>
        <d v="1899-12-30T05:00:00" u="1"/>
        <d v="1899-12-30T06:00:00" u="1"/>
        <d v="1899-12-30T07:00:00" u="1"/>
        <d v="1899-12-30T08:00:00" u="1"/>
        <d v="1899-12-30T09:00:00" u="1"/>
        <d v="1899-12-30T10:00:00" u="1"/>
        <d v="1899-12-30T11:00:00" u="1"/>
        <d v="1899-12-30T12:00:00" u="1"/>
        <d v="1899-12-30T13:00:00" u="1"/>
        <d v="1899-12-30T14:00:00" u="1"/>
        <d v="1899-12-30T15:00:00" u="1"/>
        <d v="1899-12-30T16:00:00" u="1"/>
        <d v="1899-12-30T17:00:00" u="1"/>
        <d v="1899-12-30T18:00:00" u="1"/>
        <d v="1899-12-30T19:00:00" u="1"/>
        <d v="1899-12-30T20:00:00" u="1"/>
        <d v="1899-12-30T21:00:00" u="1"/>
        <d v="1899-12-30T22:00:00" u="1"/>
        <d v="1899-12-30T23:00:00" u="1"/>
      </sharedItems>
    </cacheField>
    <cacheField name="Weekday/weekend" numFmtId="0">
      <sharedItems count="2">
        <s v="weekend"/>
        <s v="weekday"/>
      </sharedItems>
    </cacheField>
    <cacheField name="Season" numFmtId="0">
      <sharedItems/>
    </cacheField>
    <cacheField name="Weather" numFmtId="0">
      <sharedItems count="4">
        <s v="Clear"/>
        <s v="Mist"/>
        <s v="Rain"/>
        <s v="Storm"/>
      </sharedItems>
    </cacheField>
    <cacheField name="Humidity(%)" numFmtId="9">
      <sharedItems containsSemiMixedTypes="0" containsString="0" containsNumber="1" minValue="0.21" maxValue="1"/>
    </cacheField>
    <cacheField name="windspeed (%)" numFmtId="9">
      <sharedItems containsSemiMixedTypes="0" containsString="0" containsNumber="1" minValue="8.9599999999999999E-2" maxValue="0.58209999999999995"/>
    </cacheField>
    <cacheField name="Temperature©" numFmtId="1">
      <sharedItems containsSemiMixedTypes="0" containsString="0" containsNumber="1" minValue="2" maxValue="46" count="23">
        <n v="24"/>
        <n v="22"/>
        <n v="20"/>
        <n v="32"/>
        <n v="38"/>
        <n v="36"/>
        <n v="42"/>
        <n v="46"/>
        <n v="44"/>
        <n v="40"/>
        <n v="34"/>
        <n v="30"/>
        <n v="26"/>
        <n v="16"/>
        <n v="14.000000000000002"/>
        <n v="18"/>
        <n v="12"/>
        <n v="28.000000000000004"/>
        <n v="10"/>
        <n v="8"/>
        <n v="6"/>
        <n v="4"/>
        <n v="2"/>
      </sharedItems>
      <fieldGroup base="13">
        <rangePr startNum="2" endNum="46" groupInterval="10"/>
        <groupItems count="7">
          <s v="&lt;2"/>
          <s v="2-12"/>
          <s v="12-22"/>
          <s v="22-32"/>
          <s v="32-42"/>
          <s v="42-52"/>
          <s v="&gt;52"/>
        </groupItems>
      </fieldGroup>
    </cacheField>
    <cacheField name="Casual Riders" numFmtId="1">
      <sharedItems containsSemiMixedTypes="0" containsString="0" containsNumber="1" containsInteger="1" minValue="0" maxValue="62"/>
    </cacheField>
    <cacheField name="Registered Riders" numFmtId="1">
      <sharedItems containsSemiMixedTypes="0" containsString="0" containsNumber="1" containsInteger="1" minValue="0" maxValue="247"/>
    </cacheField>
    <cacheField name="Total Count" numFmtId="1">
      <sharedItems containsSemiMixedTypes="0" containsString="0" containsNumber="1" containsInteger="1" minValue="1" maxValue="249"/>
    </cacheField>
    <cacheField name="Demand" numFmtId="1">
      <sharedItems/>
    </cacheField>
    <cacheField name="Count outliners" numFmtId="0">
      <sharedItems/>
    </cacheField>
    <cacheField name="humidity outliners" numFmtId="0">
      <sharedItems/>
    </cacheField>
    <cacheField name="Windspeed outliners" numFmtId="0">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932754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b v="0"/>
    <x v="0"/>
    <n v="0.28789999999999999"/>
    <n v="2011"/>
    <x v="0"/>
    <x v="0"/>
    <x v="0"/>
    <s v="Spring"/>
    <x v="0"/>
    <n v="0.81"/>
    <n v="0.23"/>
    <x v="0"/>
    <n v="3"/>
    <n v="13"/>
    <n v="16"/>
    <s v="Low"/>
    <s v="Normal"/>
    <s v="Normal"/>
    <s v="Normal"/>
  </r>
  <r>
    <x v="1"/>
    <x v="0"/>
    <b v="0"/>
    <x v="0"/>
    <n v="0.2727"/>
    <n v="2011"/>
    <x v="0"/>
    <x v="1"/>
    <x v="0"/>
    <s v="Spring"/>
    <x v="0"/>
    <n v="0.8"/>
    <n v="0.23"/>
    <x v="1"/>
    <n v="8"/>
    <n v="32"/>
    <n v="40"/>
    <s v="Low"/>
    <s v="Normal"/>
    <s v="Normal"/>
    <s v="Normal"/>
  </r>
  <r>
    <x v="2"/>
    <x v="0"/>
    <b v="0"/>
    <x v="0"/>
    <n v="0.2727"/>
    <n v="2011"/>
    <x v="0"/>
    <x v="2"/>
    <x v="0"/>
    <s v="Spring"/>
    <x v="0"/>
    <n v="0.8"/>
    <n v="0.23"/>
    <x v="1"/>
    <n v="5"/>
    <n v="27"/>
    <n v="32"/>
    <s v="High"/>
    <s v="Normal"/>
    <s v="Normal"/>
    <s v="Normal"/>
  </r>
  <r>
    <x v="3"/>
    <x v="0"/>
    <b v="0"/>
    <x v="0"/>
    <n v="0.28789999999999999"/>
    <n v="2011"/>
    <x v="0"/>
    <x v="3"/>
    <x v="0"/>
    <s v="Spring"/>
    <x v="0"/>
    <n v="0.75"/>
    <n v="0.23"/>
    <x v="0"/>
    <n v="3"/>
    <n v="10"/>
    <n v="13"/>
    <s v="Moderate"/>
    <s v="Normal"/>
    <s v="Normal"/>
    <s v="Normal"/>
  </r>
  <r>
    <x v="4"/>
    <x v="0"/>
    <b v="0"/>
    <x v="0"/>
    <n v="0.28789999999999999"/>
    <n v="2011"/>
    <x v="0"/>
    <x v="4"/>
    <x v="0"/>
    <s v="Spring"/>
    <x v="0"/>
    <n v="0.75"/>
    <n v="0.23"/>
    <x v="0"/>
    <n v="0"/>
    <n v="1"/>
    <n v="1"/>
    <s v="High"/>
    <s v="Normal"/>
    <s v="Normal"/>
    <s v="Normal"/>
  </r>
  <r>
    <x v="5"/>
    <x v="0"/>
    <b v="0"/>
    <x v="0"/>
    <n v="0.2576"/>
    <n v="2011"/>
    <x v="0"/>
    <x v="5"/>
    <x v="0"/>
    <s v="Spring"/>
    <x v="1"/>
    <n v="0.75"/>
    <n v="8.9599999999999999E-2"/>
    <x v="0"/>
    <n v="0"/>
    <n v="1"/>
    <n v="1"/>
    <s v="High"/>
    <s v="Normal"/>
    <s v="Normal"/>
    <s v="Normal"/>
  </r>
  <r>
    <x v="6"/>
    <x v="0"/>
    <b v="0"/>
    <x v="0"/>
    <n v="0.2727"/>
    <n v="2011"/>
    <x v="0"/>
    <x v="6"/>
    <x v="0"/>
    <s v="Spring"/>
    <x v="0"/>
    <n v="0.8"/>
    <n v="0.23"/>
    <x v="1"/>
    <n v="2"/>
    <n v="0"/>
    <n v="2"/>
    <s v="High"/>
    <s v="Normal"/>
    <s v="Normal"/>
    <s v="Normal"/>
  </r>
  <r>
    <x v="7"/>
    <x v="0"/>
    <b v="0"/>
    <x v="0"/>
    <n v="0.2576"/>
    <n v="2011"/>
    <x v="0"/>
    <x v="7"/>
    <x v="0"/>
    <s v="Spring"/>
    <x v="0"/>
    <n v="0.86"/>
    <n v="0.23"/>
    <x v="2"/>
    <n v="1"/>
    <n v="2"/>
    <n v="3"/>
    <s v="High"/>
    <s v="Normal"/>
    <s v="Normal"/>
    <s v="Normal"/>
  </r>
  <r>
    <x v="8"/>
    <x v="0"/>
    <b v="0"/>
    <x v="0"/>
    <n v="0.21"/>
    <n v="2011"/>
    <x v="0"/>
    <x v="8"/>
    <x v="0"/>
    <s v="Spring"/>
    <x v="0"/>
    <n v="0.75"/>
    <n v="0.23"/>
    <x v="0"/>
    <n v="1"/>
    <n v="7"/>
    <n v="8"/>
    <s v="High"/>
    <s v="Normal"/>
    <s v="Normal"/>
    <s v="Normal"/>
  </r>
  <r>
    <x v="9"/>
    <x v="0"/>
    <b v="0"/>
    <x v="0"/>
    <n v="0.34849999999999998"/>
    <n v="2011"/>
    <x v="0"/>
    <x v="9"/>
    <x v="0"/>
    <s v="Spring"/>
    <x v="0"/>
    <n v="0.76"/>
    <n v="0.23"/>
    <x v="3"/>
    <n v="8"/>
    <n v="6"/>
    <n v="14"/>
    <s v="High"/>
    <s v="Normal"/>
    <s v="Normal"/>
    <s v="Normal"/>
  </r>
  <r>
    <x v="10"/>
    <x v="0"/>
    <b v="0"/>
    <x v="0"/>
    <n v="0.39389999999999997"/>
    <n v="2011"/>
    <x v="0"/>
    <x v="10"/>
    <x v="0"/>
    <s v="Spring"/>
    <x v="0"/>
    <n v="0.76"/>
    <n v="0.25369999999999998"/>
    <x v="4"/>
    <n v="12"/>
    <n v="24"/>
    <n v="36"/>
    <s v="High"/>
    <s v="Normal"/>
    <s v="Normal"/>
    <s v="Normal"/>
  </r>
  <r>
    <x v="11"/>
    <x v="0"/>
    <b v="0"/>
    <x v="0"/>
    <n v="0.33329999999999999"/>
    <n v="2011"/>
    <x v="0"/>
    <x v="11"/>
    <x v="0"/>
    <s v="Spring"/>
    <x v="0"/>
    <n v="0.81"/>
    <n v="0.28360000000000002"/>
    <x v="5"/>
    <n v="26"/>
    <n v="30"/>
    <n v="56"/>
    <s v="High"/>
    <s v="Normal"/>
    <s v="Normal"/>
    <s v="Normal"/>
  </r>
  <r>
    <x v="12"/>
    <x v="0"/>
    <b v="0"/>
    <x v="0"/>
    <n v="0.42420000000000002"/>
    <n v="2011"/>
    <x v="0"/>
    <x v="12"/>
    <x v="0"/>
    <s v="Spring"/>
    <x v="0"/>
    <n v="0.77"/>
    <n v="0.28360000000000002"/>
    <x v="6"/>
    <n v="29"/>
    <n v="55"/>
    <n v="84"/>
    <s v="High"/>
    <s v="Normal"/>
    <s v="Normal"/>
    <s v="Normal"/>
  </r>
  <r>
    <x v="13"/>
    <x v="0"/>
    <b v="0"/>
    <x v="0"/>
    <n v="0.45450000000000002"/>
    <n v="2011"/>
    <x v="0"/>
    <x v="13"/>
    <x v="0"/>
    <s v="Spring"/>
    <x v="1"/>
    <n v="0.72"/>
    <n v="0.29849999999999999"/>
    <x v="7"/>
    <n v="47"/>
    <n v="47"/>
    <n v="94"/>
    <s v="High"/>
    <s v="Normal"/>
    <s v="Normal"/>
    <s v="Normal"/>
  </r>
  <r>
    <x v="14"/>
    <x v="0"/>
    <b v="0"/>
    <x v="0"/>
    <n v="0.45450000000000002"/>
    <n v="2011"/>
    <x v="0"/>
    <x v="14"/>
    <x v="0"/>
    <s v="Spring"/>
    <x v="1"/>
    <n v="0.72"/>
    <n v="0.28360000000000002"/>
    <x v="7"/>
    <n v="35"/>
    <n v="71"/>
    <n v="106"/>
    <s v="High"/>
    <s v="Normal"/>
    <s v="Normal"/>
    <s v="Normal"/>
  </r>
  <r>
    <x v="15"/>
    <x v="0"/>
    <b v="0"/>
    <x v="0"/>
    <n v="0.43940000000000001"/>
    <n v="2011"/>
    <x v="0"/>
    <x v="15"/>
    <x v="0"/>
    <s v="Spring"/>
    <x v="1"/>
    <n v="0.77"/>
    <n v="0.29849999999999999"/>
    <x v="8"/>
    <n v="40"/>
    <n v="70"/>
    <n v="110"/>
    <s v="High"/>
    <s v="Normal"/>
    <s v="Normal"/>
    <s v="Normal"/>
  </r>
  <r>
    <x v="16"/>
    <x v="0"/>
    <b v="0"/>
    <x v="0"/>
    <n v="0.42420000000000002"/>
    <n v="2011"/>
    <x v="0"/>
    <x v="16"/>
    <x v="0"/>
    <s v="Spring"/>
    <x v="1"/>
    <n v="0.82"/>
    <n v="0.29849999999999999"/>
    <x v="6"/>
    <n v="41"/>
    <n v="52"/>
    <n v="93"/>
    <s v="High"/>
    <s v="Normal"/>
    <s v="Normal"/>
    <s v="Normal"/>
  </r>
  <r>
    <x v="17"/>
    <x v="0"/>
    <b v="0"/>
    <x v="0"/>
    <n v="0.21"/>
    <n v="2011"/>
    <x v="0"/>
    <x v="17"/>
    <x v="0"/>
    <s v="Spring"/>
    <x v="1"/>
    <n v="0.82"/>
    <n v="0.28360000000000002"/>
    <x v="8"/>
    <n v="15"/>
    <n v="52"/>
    <n v="67"/>
    <s v="High"/>
    <s v="Normal"/>
    <s v="Normal"/>
    <s v="Normal"/>
  </r>
  <r>
    <x v="18"/>
    <x v="0"/>
    <b v="0"/>
    <x v="0"/>
    <n v="0.42420000000000002"/>
    <n v="2011"/>
    <x v="0"/>
    <x v="18"/>
    <x v="0"/>
    <s v="Spring"/>
    <x v="2"/>
    <n v="0.88"/>
    <n v="0.25369999999999998"/>
    <x v="6"/>
    <n v="9"/>
    <n v="26"/>
    <n v="35"/>
    <s v="High"/>
    <s v="Normal"/>
    <s v="Normal"/>
    <s v="Normal"/>
  </r>
  <r>
    <x v="19"/>
    <x v="0"/>
    <b v="0"/>
    <x v="0"/>
    <n v="0.42420000000000002"/>
    <n v="2011"/>
    <x v="0"/>
    <x v="19"/>
    <x v="0"/>
    <s v="Spring"/>
    <x v="2"/>
    <n v="0.88"/>
    <n v="0.25369999999999998"/>
    <x v="6"/>
    <n v="6"/>
    <n v="31"/>
    <n v="37"/>
    <s v="High"/>
    <s v="Normal"/>
    <s v="Normal"/>
    <s v="Normal"/>
  </r>
  <r>
    <x v="20"/>
    <x v="0"/>
    <b v="0"/>
    <x v="0"/>
    <n v="0.40910000000000002"/>
    <n v="2011"/>
    <x v="0"/>
    <x v="20"/>
    <x v="0"/>
    <s v="Spring"/>
    <x v="1"/>
    <n v="0.87"/>
    <n v="0.25369999999999998"/>
    <x v="9"/>
    <n v="11"/>
    <n v="25"/>
    <n v="36"/>
    <s v="High"/>
    <s v="Normal"/>
    <s v="Normal"/>
    <s v="Normal"/>
  </r>
  <r>
    <x v="21"/>
    <x v="0"/>
    <b v="0"/>
    <x v="0"/>
    <n v="0.40910000000000002"/>
    <n v="2011"/>
    <x v="0"/>
    <x v="21"/>
    <x v="0"/>
    <s v="Spring"/>
    <x v="1"/>
    <n v="0.87"/>
    <n v="0.19400000000000001"/>
    <x v="9"/>
    <n v="3"/>
    <n v="31"/>
    <n v="34"/>
    <s v="High"/>
    <s v="Normal"/>
    <s v="Normal"/>
    <s v="Normal"/>
  </r>
  <r>
    <x v="22"/>
    <x v="0"/>
    <b v="0"/>
    <x v="0"/>
    <n v="0.40910000000000002"/>
    <n v="2011"/>
    <x v="0"/>
    <x v="22"/>
    <x v="0"/>
    <s v="Spring"/>
    <x v="1"/>
    <n v="0.94"/>
    <n v="0.22389999999999999"/>
    <x v="9"/>
    <n v="11"/>
    <n v="17"/>
    <n v="28"/>
    <s v="High"/>
    <s v="Normal"/>
    <s v="Normal"/>
    <s v="Normal"/>
  </r>
  <r>
    <x v="23"/>
    <x v="0"/>
    <b v="0"/>
    <x v="0"/>
    <n v="0.21"/>
    <n v="2011"/>
    <x v="0"/>
    <x v="23"/>
    <x v="0"/>
    <s v="Spring"/>
    <x v="1"/>
    <n v="0.88"/>
    <n v="0.29849999999999999"/>
    <x v="7"/>
    <n v="15"/>
    <n v="24"/>
    <n v="39"/>
    <s v="High"/>
    <s v="Normal"/>
    <s v="Normal"/>
    <s v="Normal"/>
  </r>
  <r>
    <x v="24"/>
    <x v="1"/>
    <b v="0"/>
    <x v="1"/>
    <n v="0.45450000000000002"/>
    <n v="2011"/>
    <x v="0"/>
    <x v="0"/>
    <x v="0"/>
    <s v="Spring"/>
    <x v="1"/>
    <n v="0.88"/>
    <n v="0.29849999999999999"/>
    <x v="7"/>
    <n v="4"/>
    <n v="13"/>
    <n v="17"/>
    <s v="High"/>
    <s v="Normal"/>
    <s v="Normal"/>
    <s v="Normal"/>
  </r>
  <r>
    <x v="25"/>
    <x v="1"/>
    <b v="0"/>
    <x v="1"/>
    <n v="0.43940000000000001"/>
    <n v="2011"/>
    <x v="0"/>
    <x v="1"/>
    <x v="0"/>
    <s v="Spring"/>
    <x v="1"/>
    <n v="0.94"/>
    <n v="0.25369999999999998"/>
    <x v="8"/>
    <n v="1"/>
    <n v="16"/>
    <n v="17"/>
    <s v="High"/>
    <s v="Normal"/>
    <s v="Normal"/>
    <s v="Normal"/>
  </r>
  <r>
    <x v="26"/>
    <x v="1"/>
    <b v="0"/>
    <x v="1"/>
    <n v="0.42420000000000002"/>
    <n v="2011"/>
    <x v="0"/>
    <x v="2"/>
    <x v="0"/>
    <s v="Spring"/>
    <x v="1"/>
    <n v="1"/>
    <n v="0.28360000000000002"/>
    <x v="6"/>
    <n v="1"/>
    <n v="8"/>
    <n v="9"/>
    <s v="High"/>
    <s v="Normal"/>
    <s v="Normal"/>
    <s v="Normal"/>
  </r>
  <r>
    <x v="27"/>
    <x v="1"/>
    <b v="0"/>
    <x v="1"/>
    <n v="0.45450000000000002"/>
    <n v="2011"/>
    <x v="0"/>
    <x v="3"/>
    <x v="0"/>
    <s v="Spring"/>
    <x v="1"/>
    <n v="0.94"/>
    <n v="0.19400000000000001"/>
    <x v="7"/>
    <n v="2"/>
    <n v="4"/>
    <n v="6"/>
    <s v="High"/>
    <s v="Normal"/>
    <s v="Normal"/>
    <s v="Normal"/>
  </r>
  <r>
    <x v="28"/>
    <x v="1"/>
    <b v="0"/>
    <x v="1"/>
    <n v="0.21"/>
    <n v="2011"/>
    <x v="0"/>
    <x v="4"/>
    <x v="0"/>
    <s v="Spring"/>
    <x v="1"/>
    <n v="0.94"/>
    <n v="0.19400000000000001"/>
    <x v="7"/>
    <n v="2"/>
    <n v="1"/>
    <n v="3"/>
    <s v="High"/>
    <s v="Normal"/>
    <s v="Normal"/>
    <s v="Normal"/>
  </r>
  <r>
    <x v="29"/>
    <x v="1"/>
    <b v="0"/>
    <x v="1"/>
    <n v="0.42420000000000002"/>
    <n v="2011"/>
    <x v="0"/>
    <x v="6"/>
    <x v="0"/>
    <s v="Spring"/>
    <x v="2"/>
    <n v="0.77"/>
    <n v="0.29849999999999999"/>
    <x v="6"/>
    <n v="0"/>
    <n v="2"/>
    <n v="2"/>
    <s v="High"/>
    <s v="Normal"/>
    <s v="Normal"/>
    <s v="Normal"/>
  </r>
  <r>
    <x v="30"/>
    <x v="1"/>
    <b v="0"/>
    <x v="1"/>
    <n v="0.40910000000000002"/>
    <n v="2011"/>
    <x v="0"/>
    <x v="7"/>
    <x v="0"/>
    <s v="Spring"/>
    <x v="1"/>
    <n v="0.76"/>
    <n v="0.19400000000000001"/>
    <x v="9"/>
    <n v="0"/>
    <n v="1"/>
    <n v="1"/>
    <s v="High"/>
    <s v="Normal"/>
    <s v="Normal"/>
    <s v="Normal"/>
  </r>
  <r>
    <x v="31"/>
    <x v="1"/>
    <b v="0"/>
    <x v="1"/>
    <n v="0.40910000000000002"/>
    <n v="2011"/>
    <x v="0"/>
    <x v="8"/>
    <x v="0"/>
    <s v="Spring"/>
    <x v="2"/>
    <n v="0.71"/>
    <n v="0.22389999999999999"/>
    <x v="9"/>
    <n v="0"/>
    <n v="8"/>
    <n v="8"/>
    <s v="High"/>
    <s v="Normal"/>
    <s v="Normal"/>
    <s v="Normal"/>
  </r>
  <r>
    <x v="32"/>
    <x v="1"/>
    <b v="0"/>
    <x v="1"/>
    <n v="0.21"/>
    <n v="2011"/>
    <x v="0"/>
    <x v="9"/>
    <x v="0"/>
    <s v="Spring"/>
    <x v="1"/>
    <n v="0.76"/>
    <n v="0.22389999999999999"/>
    <x v="4"/>
    <n v="1"/>
    <n v="19"/>
    <n v="20"/>
    <s v="High"/>
    <s v="Normal"/>
    <s v="Normal"/>
    <s v="Normal"/>
  </r>
  <r>
    <x v="33"/>
    <x v="1"/>
    <b v="0"/>
    <x v="1"/>
    <n v="0.34849999999999998"/>
    <n v="2011"/>
    <x v="0"/>
    <x v="10"/>
    <x v="0"/>
    <s v="Spring"/>
    <x v="1"/>
    <n v="0.81"/>
    <n v="0.22389999999999999"/>
    <x v="5"/>
    <n v="7"/>
    <n v="46"/>
    <n v="53"/>
    <s v="High"/>
    <s v="Normal"/>
    <s v="Normal"/>
    <s v="Normal"/>
  </r>
  <r>
    <x v="34"/>
    <x v="1"/>
    <b v="0"/>
    <x v="1"/>
    <n v="0.33329999999999999"/>
    <n v="2011"/>
    <x v="0"/>
    <x v="11"/>
    <x v="0"/>
    <s v="Spring"/>
    <x v="1"/>
    <n v="0.71"/>
    <n v="0.25369999999999998"/>
    <x v="5"/>
    <n v="16"/>
    <n v="54"/>
    <n v="70"/>
    <s v="High"/>
    <s v="Normal"/>
    <s v="Normal"/>
    <s v="Normal"/>
  </r>
  <r>
    <x v="35"/>
    <x v="1"/>
    <b v="0"/>
    <x v="1"/>
    <n v="0.33329999999999999"/>
    <n v="2011"/>
    <x v="0"/>
    <x v="12"/>
    <x v="0"/>
    <s v="Spring"/>
    <x v="1"/>
    <n v="0.66"/>
    <n v="0.29849999999999999"/>
    <x v="5"/>
    <n v="20"/>
    <n v="73"/>
    <n v="93"/>
    <s v="High"/>
    <s v="Normal"/>
    <s v="Normal"/>
    <s v="Normal"/>
  </r>
  <r>
    <x v="36"/>
    <x v="1"/>
    <b v="0"/>
    <x v="1"/>
    <n v="0.34849999999999998"/>
    <n v="2011"/>
    <x v="0"/>
    <x v="13"/>
    <x v="0"/>
    <s v="Spring"/>
    <x v="1"/>
    <n v="0.66"/>
    <n v="0.1343"/>
    <x v="5"/>
    <n v="11"/>
    <n v="64"/>
    <n v="75"/>
    <s v="High"/>
    <s v="Normal"/>
    <s v="Normal"/>
    <s v="Normal"/>
  </r>
  <r>
    <x v="37"/>
    <x v="1"/>
    <b v="0"/>
    <x v="1"/>
    <n v="0.21"/>
    <n v="2011"/>
    <x v="0"/>
    <x v="14"/>
    <x v="0"/>
    <s v="Spring"/>
    <x v="2"/>
    <n v="0.76"/>
    <n v="0.19400000000000001"/>
    <x v="5"/>
    <n v="4"/>
    <n v="55"/>
    <n v="59"/>
    <s v="High"/>
    <s v="Normal"/>
    <s v="Normal"/>
    <s v="Normal"/>
  </r>
  <r>
    <x v="38"/>
    <x v="1"/>
    <b v="0"/>
    <x v="1"/>
    <n v="0.33329999999999999"/>
    <n v="2011"/>
    <x v="0"/>
    <x v="15"/>
    <x v="0"/>
    <s v="Spring"/>
    <x v="2"/>
    <n v="0.81"/>
    <n v="0.16420000000000001"/>
    <x v="10"/>
    <n v="19"/>
    <n v="55"/>
    <n v="74"/>
    <s v="High"/>
    <s v="Normal"/>
    <s v="Normal"/>
    <s v="Normal"/>
  </r>
  <r>
    <x v="39"/>
    <x v="1"/>
    <b v="0"/>
    <x v="1"/>
    <n v="0.33329999999999999"/>
    <n v="2011"/>
    <x v="0"/>
    <x v="16"/>
    <x v="0"/>
    <s v="Spring"/>
    <x v="2"/>
    <n v="0.71"/>
    <n v="0.16420000000000001"/>
    <x v="10"/>
    <n v="9"/>
    <n v="67"/>
    <n v="76"/>
    <s v="High"/>
    <s v="Normal"/>
    <s v="Normal"/>
    <s v="Normal"/>
  </r>
  <r>
    <x v="40"/>
    <x v="1"/>
    <b v="0"/>
    <x v="1"/>
    <n v="0.33329999999999999"/>
    <n v="2011"/>
    <x v="0"/>
    <x v="17"/>
    <x v="0"/>
    <s v="Spring"/>
    <x v="0"/>
    <n v="0.56999999999999995"/>
    <n v="0.19400000000000001"/>
    <x v="10"/>
    <n v="7"/>
    <n v="58"/>
    <n v="65"/>
    <s v="High"/>
    <s v="Normal"/>
    <s v="Normal"/>
    <s v="Normal"/>
  </r>
  <r>
    <x v="41"/>
    <x v="1"/>
    <b v="0"/>
    <x v="1"/>
    <n v="0.33329999999999999"/>
    <n v="2011"/>
    <x v="0"/>
    <x v="18"/>
    <x v="0"/>
    <s v="Spring"/>
    <x v="1"/>
    <n v="0.46"/>
    <n v="0.32840000000000003"/>
    <x v="5"/>
    <n v="10"/>
    <n v="43"/>
    <n v="53"/>
    <s v="High"/>
    <s v="Normal"/>
    <s v="Normal"/>
    <s v="Normal"/>
  </r>
  <r>
    <x v="42"/>
    <x v="1"/>
    <b v="0"/>
    <x v="1"/>
    <n v="0.28789999999999999"/>
    <n v="2011"/>
    <x v="0"/>
    <x v="19"/>
    <x v="0"/>
    <s v="Spring"/>
    <x v="0"/>
    <n v="0.42"/>
    <n v="0.44779999999999998"/>
    <x v="3"/>
    <n v="1"/>
    <n v="29"/>
    <n v="30"/>
    <s v="High"/>
    <s v="Normal"/>
    <s v="Normal"/>
    <s v="Normal"/>
  </r>
  <r>
    <x v="43"/>
    <x v="1"/>
    <b v="0"/>
    <x v="1"/>
    <n v="0.21"/>
    <n v="2011"/>
    <x v="0"/>
    <x v="20"/>
    <x v="0"/>
    <s v="Spring"/>
    <x v="0"/>
    <n v="0.39"/>
    <n v="0.35820000000000002"/>
    <x v="11"/>
    <n v="5"/>
    <n v="17"/>
    <n v="22"/>
    <s v="High"/>
    <s v="Normal"/>
    <s v="Normal"/>
    <s v="Normal"/>
  </r>
  <r>
    <x v="44"/>
    <x v="1"/>
    <b v="0"/>
    <x v="1"/>
    <n v="0.2273"/>
    <n v="2011"/>
    <x v="0"/>
    <x v="21"/>
    <x v="0"/>
    <s v="Spring"/>
    <x v="0"/>
    <n v="0.44"/>
    <n v="0.32840000000000003"/>
    <x v="12"/>
    <n v="11"/>
    <n v="20"/>
    <n v="31"/>
    <s v="High"/>
    <s v="Normal"/>
    <s v="Normal"/>
    <s v="Normal"/>
  </r>
  <r>
    <x v="45"/>
    <x v="1"/>
    <b v="0"/>
    <x v="1"/>
    <n v="0.21210000000000001"/>
    <n v="2011"/>
    <x v="0"/>
    <x v="22"/>
    <x v="0"/>
    <s v="Spring"/>
    <x v="0"/>
    <n v="0.44"/>
    <n v="0.29849999999999999"/>
    <x v="0"/>
    <n v="0"/>
    <n v="9"/>
    <n v="9"/>
    <s v="High"/>
    <s v="Normal"/>
    <s v="Normal"/>
    <s v="Normal"/>
  </r>
  <r>
    <x v="46"/>
    <x v="1"/>
    <b v="0"/>
    <x v="1"/>
    <n v="0.2273"/>
    <n v="2011"/>
    <x v="0"/>
    <x v="23"/>
    <x v="0"/>
    <s v="Spring"/>
    <x v="0"/>
    <n v="0.47"/>
    <n v="0.16420000000000001"/>
    <x v="1"/>
    <n v="0"/>
    <n v="8"/>
    <n v="8"/>
    <s v="High"/>
    <s v="Normal"/>
    <s v="Normal"/>
    <s v="Normal"/>
  </r>
  <r>
    <x v="47"/>
    <x v="2"/>
    <b v="0"/>
    <x v="2"/>
    <n v="0.19700000000000001"/>
    <n v="2011"/>
    <x v="0"/>
    <x v="0"/>
    <x v="1"/>
    <s v="Spring"/>
    <x v="0"/>
    <n v="0.44"/>
    <n v="0.35820000000000002"/>
    <x v="1"/>
    <n v="0"/>
    <n v="5"/>
    <n v="5"/>
    <s v="High"/>
    <s v="Normal"/>
    <s v="Normal"/>
    <s v="Normal"/>
  </r>
  <r>
    <x v="48"/>
    <x v="2"/>
    <b v="0"/>
    <x v="2"/>
    <n v="0.21"/>
    <n v="2011"/>
    <x v="0"/>
    <x v="1"/>
    <x v="1"/>
    <s v="Spring"/>
    <x v="0"/>
    <n v="0.44"/>
    <n v="0.41789999999999999"/>
    <x v="2"/>
    <n v="0"/>
    <n v="2"/>
    <n v="2"/>
    <s v="High"/>
    <s v="Normal"/>
    <s v="Normal"/>
    <s v="Normal"/>
  </r>
  <r>
    <x v="49"/>
    <x v="2"/>
    <b v="0"/>
    <x v="2"/>
    <n v="0.13639999999999999"/>
    <n v="2011"/>
    <x v="0"/>
    <x v="4"/>
    <x v="1"/>
    <s v="Spring"/>
    <x v="0"/>
    <n v="0.47"/>
    <n v="0.3881"/>
    <x v="13"/>
    <n v="0"/>
    <n v="1"/>
    <n v="1"/>
    <s v="High"/>
    <s v="Normal"/>
    <s v="Normal"/>
    <s v="Normal"/>
  </r>
  <r>
    <x v="50"/>
    <x v="2"/>
    <b v="0"/>
    <x v="2"/>
    <n v="0.13639999999999999"/>
    <n v="2011"/>
    <x v="0"/>
    <x v="5"/>
    <x v="1"/>
    <s v="Spring"/>
    <x v="0"/>
    <n v="0.47"/>
    <n v="0.28360000000000002"/>
    <x v="13"/>
    <n v="0"/>
    <n v="3"/>
    <n v="3"/>
    <s v="High"/>
    <s v="Normal"/>
    <s v="Normal"/>
    <s v="Normal"/>
  </r>
  <r>
    <x v="51"/>
    <x v="2"/>
    <b v="0"/>
    <x v="2"/>
    <n v="0.1061"/>
    <n v="2011"/>
    <x v="0"/>
    <x v="6"/>
    <x v="1"/>
    <s v="Spring"/>
    <x v="0"/>
    <n v="0.5"/>
    <n v="0.3881"/>
    <x v="14"/>
    <n v="0"/>
    <n v="30"/>
    <n v="30"/>
    <s v="High"/>
    <s v="Normal"/>
    <s v="Normal"/>
    <s v="Normal"/>
  </r>
  <r>
    <x v="52"/>
    <x v="2"/>
    <b v="0"/>
    <x v="2"/>
    <n v="0.13639999999999999"/>
    <n v="2011"/>
    <x v="0"/>
    <x v="7"/>
    <x v="1"/>
    <s v="Spring"/>
    <x v="0"/>
    <n v="0.5"/>
    <n v="0.19400000000000001"/>
    <x v="14"/>
    <n v="1"/>
    <n v="63"/>
    <n v="64"/>
    <s v="High"/>
    <s v="Normal"/>
    <s v="Normal"/>
    <s v="Normal"/>
  </r>
  <r>
    <x v="53"/>
    <x v="2"/>
    <b v="0"/>
    <x v="2"/>
    <n v="0.1212"/>
    <n v="2011"/>
    <x v="0"/>
    <x v="8"/>
    <x v="1"/>
    <s v="Spring"/>
    <x v="0"/>
    <n v="0.5"/>
    <n v="0.28360000000000002"/>
    <x v="14"/>
    <n v="1"/>
    <n v="153"/>
    <n v="154"/>
    <s v="High"/>
    <s v="Normal"/>
    <s v="Normal"/>
    <s v="Normal"/>
  </r>
  <r>
    <x v="54"/>
    <x v="2"/>
    <b v="0"/>
    <x v="2"/>
    <n v="0.13639999999999999"/>
    <n v="2011"/>
    <x v="0"/>
    <x v="9"/>
    <x v="1"/>
    <s v="Spring"/>
    <x v="0"/>
    <n v="0.43"/>
    <n v="0.3881"/>
    <x v="13"/>
    <n v="7"/>
    <n v="81"/>
    <n v="88"/>
    <s v="High"/>
    <s v="Normal"/>
    <s v="Normal"/>
    <s v="Normal"/>
  </r>
  <r>
    <x v="55"/>
    <x v="2"/>
    <b v="0"/>
    <x v="2"/>
    <n v="0.16669999999999999"/>
    <n v="2011"/>
    <x v="0"/>
    <x v="10"/>
    <x v="1"/>
    <s v="Spring"/>
    <x v="0"/>
    <n v="0.43"/>
    <n v="0.25369999999999998"/>
    <x v="15"/>
    <n v="11"/>
    <n v="33"/>
    <n v="44"/>
    <s v="High"/>
    <s v="Normal"/>
    <s v="Normal"/>
    <s v="Normal"/>
  </r>
  <r>
    <x v="56"/>
    <x v="2"/>
    <b v="0"/>
    <x v="2"/>
    <n v="0.18179999999999999"/>
    <n v="2011"/>
    <x v="0"/>
    <x v="11"/>
    <x v="1"/>
    <s v="Spring"/>
    <x v="0"/>
    <n v="0.4"/>
    <n v="0.32840000000000003"/>
    <x v="2"/>
    <n v="10"/>
    <n v="41"/>
    <n v="51"/>
    <s v="High"/>
    <s v="Normal"/>
    <s v="Normal"/>
    <s v="Normal"/>
  </r>
  <r>
    <x v="57"/>
    <x v="2"/>
    <b v="0"/>
    <x v="2"/>
    <n v="0.21210000000000001"/>
    <n v="2011"/>
    <x v="0"/>
    <x v="12"/>
    <x v="1"/>
    <s v="Spring"/>
    <x v="0"/>
    <n v="0.35"/>
    <n v="0.29849999999999999"/>
    <x v="1"/>
    <n v="13"/>
    <n v="48"/>
    <n v="61"/>
    <s v="High"/>
    <s v="Normal"/>
    <s v="Normal"/>
    <s v="Normal"/>
  </r>
  <r>
    <x v="58"/>
    <x v="2"/>
    <b v="0"/>
    <x v="2"/>
    <n v="0.21"/>
    <n v="2011"/>
    <x v="0"/>
    <x v="13"/>
    <x v="1"/>
    <s v="Spring"/>
    <x v="0"/>
    <n v="0.35"/>
    <n v="0.28360000000000002"/>
    <x v="0"/>
    <n v="8"/>
    <n v="53"/>
    <n v="61"/>
    <s v="High"/>
    <s v="Normal"/>
    <s v="Normal"/>
    <s v="Normal"/>
  </r>
  <r>
    <x v="59"/>
    <x v="2"/>
    <b v="0"/>
    <x v="2"/>
    <n v="0.2424"/>
    <n v="2011"/>
    <x v="0"/>
    <x v="14"/>
    <x v="1"/>
    <s v="Spring"/>
    <x v="0"/>
    <n v="0.3"/>
    <n v="0.28360000000000002"/>
    <x v="12"/>
    <n v="11"/>
    <n v="66"/>
    <n v="77"/>
    <s v="High"/>
    <s v="Normal"/>
    <s v="Normal"/>
    <s v="Normal"/>
  </r>
  <r>
    <x v="60"/>
    <x v="2"/>
    <b v="0"/>
    <x v="2"/>
    <n v="0.2424"/>
    <n v="2011"/>
    <x v="0"/>
    <x v="15"/>
    <x v="1"/>
    <s v="Spring"/>
    <x v="0"/>
    <n v="0.3"/>
    <n v="0.25369999999999998"/>
    <x v="12"/>
    <n v="14"/>
    <n v="58"/>
    <n v="72"/>
    <s v="High"/>
    <s v="Normal"/>
    <s v="Normal"/>
    <s v="Normal"/>
  </r>
  <r>
    <x v="61"/>
    <x v="2"/>
    <b v="0"/>
    <x v="2"/>
    <n v="0.2424"/>
    <n v="2011"/>
    <x v="0"/>
    <x v="16"/>
    <x v="1"/>
    <s v="Spring"/>
    <x v="0"/>
    <n v="0.3"/>
    <n v="0.25369999999999998"/>
    <x v="12"/>
    <n v="9"/>
    <n v="67"/>
    <n v="76"/>
    <s v="High"/>
    <s v="Normal"/>
    <s v="Normal"/>
    <s v="Normal"/>
  </r>
  <r>
    <x v="62"/>
    <x v="2"/>
    <b v="0"/>
    <x v="2"/>
    <n v="0.2273"/>
    <n v="2011"/>
    <x v="0"/>
    <x v="17"/>
    <x v="1"/>
    <s v="Spring"/>
    <x v="0"/>
    <n v="0.3"/>
    <n v="0.22389999999999999"/>
    <x v="0"/>
    <n v="11"/>
    <n v="146"/>
    <n v="157"/>
    <s v="High"/>
    <s v="Normal"/>
    <s v="Normal"/>
    <s v="Normal"/>
  </r>
  <r>
    <x v="63"/>
    <x v="2"/>
    <b v="0"/>
    <x v="2"/>
    <n v="0.2576"/>
    <n v="2011"/>
    <x v="0"/>
    <x v="18"/>
    <x v="1"/>
    <s v="Spring"/>
    <x v="0"/>
    <n v="0.32"/>
    <n v="0.1045"/>
    <x v="0"/>
    <n v="9"/>
    <n v="148"/>
    <n v="157"/>
    <s v="High"/>
    <s v="Normal"/>
    <s v="Normal"/>
    <s v="Normal"/>
  </r>
  <r>
    <x v="64"/>
    <x v="2"/>
    <b v="0"/>
    <x v="2"/>
    <n v="0.2576"/>
    <n v="2011"/>
    <x v="0"/>
    <x v="19"/>
    <x v="1"/>
    <s v="Spring"/>
    <x v="0"/>
    <n v="0.47"/>
    <n v="0.23"/>
    <x v="2"/>
    <n v="8"/>
    <n v="102"/>
    <n v="110"/>
    <s v="High"/>
    <s v="Normal"/>
    <s v="Normal"/>
    <s v="Normal"/>
  </r>
  <r>
    <x v="65"/>
    <x v="2"/>
    <b v="0"/>
    <x v="2"/>
    <n v="0.21"/>
    <n v="2011"/>
    <x v="0"/>
    <x v="20"/>
    <x v="1"/>
    <s v="Spring"/>
    <x v="0"/>
    <n v="0.47"/>
    <n v="0.1045"/>
    <x v="2"/>
    <n v="3"/>
    <n v="49"/>
    <n v="52"/>
    <s v="High"/>
    <s v="Normal"/>
    <s v="Normal"/>
    <s v="Normal"/>
  </r>
  <r>
    <x v="66"/>
    <x v="2"/>
    <b v="0"/>
    <x v="2"/>
    <n v="0.19700000000000001"/>
    <n v="2011"/>
    <x v="0"/>
    <x v="21"/>
    <x v="1"/>
    <s v="Spring"/>
    <x v="0"/>
    <n v="0.64"/>
    <n v="0.1343"/>
    <x v="15"/>
    <n v="3"/>
    <n v="49"/>
    <n v="52"/>
    <s v="High"/>
    <s v="Normal"/>
    <s v="Normal"/>
    <s v="Normal"/>
  </r>
  <r>
    <x v="67"/>
    <x v="2"/>
    <b v="0"/>
    <x v="2"/>
    <n v="0.1515"/>
    <n v="2011"/>
    <x v="0"/>
    <x v="22"/>
    <x v="1"/>
    <s v="Spring"/>
    <x v="0"/>
    <n v="0.69"/>
    <n v="0.1343"/>
    <x v="14"/>
    <n v="0"/>
    <n v="20"/>
    <n v="20"/>
    <s v="High"/>
    <s v="Normal"/>
    <s v="Normal"/>
    <s v="Normal"/>
  </r>
  <r>
    <x v="68"/>
    <x v="2"/>
    <b v="0"/>
    <x v="2"/>
    <n v="0.21210000000000001"/>
    <n v="2011"/>
    <x v="0"/>
    <x v="23"/>
    <x v="1"/>
    <s v="Spring"/>
    <x v="0"/>
    <n v="0.55000000000000004"/>
    <n v="0.1045"/>
    <x v="15"/>
    <n v="1"/>
    <n v="11"/>
    <n v="12"/>
    <s v="High"/>
    <s v="Normal"/>
    <s v="Normal"/>
    <s v="Normal"/>
  </r>
  <r>
    <x v="69"/>
    <x v="3"/>
    <b v="0"/>
    <x v="3"/>
    <n v="0.21"/>
    <n v="2011"/>
    <x v="0"/>
    <x v="0"/>
    <x v="1"/>
    <s v="Spring"/>
    <x v="0"/>
    <n v="0.55000000000000004"/>
    <n v="0.1045"/>
    <x v="13"/>
    <n v="0"/>
    <n v="5"/>
    <n v="5"/>
    <s v="High"/>
    <s v="Normal"/>
    <s v="Normal"/>
    <s v="Normal"/>
  </r>
  <r>
    <x v="70"/>
    <x v="3"/>
    <b v="0"/>
    <x v="3"/>
    <n v="0.18179999999999999"/>
    <n v="2011"/>
    <x v="0"/>
    <x v="1"/>
    <x v="1"/>
    <s v="Spring"/>
    <x v="0"/>
    <n v="0.59"/>
    <n v="0.1045"/>
    <x v="13"/>
    <n v="0"/>
    <n v="2"/>
    <n v="2"/>
    <s v="High"/>
    <s v="Normal"/>
    <s v="Normal"/>
    <s v="Normal"/>
  </r>
  <r>
    <x v="71"/>
    <x v="3"/>
    <b v="0"/>
    <x v="3"/>
    <n v="0.1515"/>
    <n v="2011"/>
    <x v="0"/>
    <x v="2"/>
    <x v="1"/>
    <s v="Spring"/>
    <x v="0"/>
    <n v="0.63"/>
    <n v="0.1343"/>
    <x v="14"/>
    <n v="0"/>
    <n v="1"/>
    <n v="1"/>
    <s v="High"/>
    <s v="Normal"/>
    <s v="Normal"/>
    <s v="Normal"/>
  </r>
  <r>
    <x v="72"/>
    <x v="3"/>
    <b v="0"/>
    <x v="3"/>
    <n v="0.18179999999999999"/>
    <n v="2011"/>
    <x v="0"/>
    <x v="4"/>
    <x v="1"/>
    <s v="Spring"/>
    <x v="0"/>
    <n v="0.63"/>
    <n v="8.9599999999999999E-2"/>
    <x v="14"/>
    <n v="0"/>
    <n v="2"/>
    <n v="2"/>
    <s v="High"/>
    <s v="Normal"/>
    <s v="Normal"/>
    <s v="Normal"/>
  </r>
  <r>
    <x v="73"/>
    <x v="3"/>
    <b v="0"/>
    <x v="3"/>
    <n v="0.1515"/>
    <n v="2011"/>
    <x v="0"/>
    <x v="5"/>
    <x v="1"/>
    <s v="Spring"/>
    <x v="0"/>
    <n v="0.68"/>
    <n v="0.1045"/>
    <x v="16"/>
    <n v="0"/>
    <n v="4"/>
    <n v="4"/>
    <s v="High"/>
    <s v="Normal"/>
    <s v="Normal"/>
    <s v="Normal"/>
  </r>
  <r>
    <x v="74"/>
    <x v="3"/>
    <b v="0"/>
    <x v="3"/>
    <n v="0.1515"/>
    <n v="2011"/>
    <x v="0"/>
    <x v="6"/>
    <x v="1"/>
    <s v="Spring"/>
    <x v="0"/>
    <n v="0.74"/>
    <n v="0.1045"/>
    <x v="16"/>
    <n v="0"/>
    <n v="36"/>
    <n v="36"/>
    <s v="High"/>
    <s v="Normal"/>
    <s v="Normal"/>
    <s v="Normal"/>
  </r>
  <r>
    <x v="75"/>
    <x v="3"/>
    <b v="0"/>
    <x v="3"/>
    <n v="0.1515"/>
    <n v="2011"/>
    <x v="0"/>
    <x v="7"/>
    <x v="1"/>
    <s v="Spring"/>
    <x v="0"/>
    <n v="0.74"/>
    <n v="0.1343"/>
    <x v="16"/>
    <n v="2"/>
    <n v="92"/>
    <n v="94"/>
    <s v="High"/>
    <s v="Normal"/>
    <s v="Normal"/>
    <s v="Normal"/>
  </r>
  <r>
    <x v="76"/>
    <x v="3"/>
    <b v="0"/>
    <x v="3"/>
    <n v="0.1515"/>
    <n v="2011"/>
    <x v="0"/>
    <x v="8"/>
    <x v="1"/>
    <s v="Spring"/>
    <x v="0"/>
    <n v="0.69"/>
    <n v="0.16420000000000001"/>
    <x v="14"/>
    <n v="2"/>
    <n v="177"/>
    <n v="179"/>
    <s v="High"/>
    <s v="Normal"/>
    <s v="Normal"/>
    <s v="Normal"/>
  </r>
  <r>
    <x v="77"/>
    <x v="3"/>
    <b v="0"/>
    <x v="3"/>
    <n v="0.1515"/>
    <n v="2011"/>
    <x v="0"/>
    <x v="9"/>
    <x v="1"/>
    <s v="Spring"/>
    <x v="0"/>
    <n v="0.64"/>
    <n v="0.22389999999999999"/>
    <x v="13"/>
    <n v="2"/>
    <n v="98"/>
    <n v="100"/>
    <s v="High"/>
    <s v="Normal"/>
    <s v="Normal"/>
    <s v="Normal"/>
  </r>
  <r>
    <x v="78"/>
    <x v="3"/>
    <b v="0"/>
    <x v="3"/>
    <n v="0.13639999999999999"/>
    <n v="2011"/>
    <x v="0"/>
    <x v="10"/>
    <x v="1"/>
    <s v="Spring"/>
    <x v="1"/>
    <n v="0.69"/>
    <n v="0.32840000000000003"/>
    <x v="13"/>
    <n v="5"/>
    <n v="37"/>
    <n v="42"/>
    <s v="High"/>
    <s v="Normal"/>
    <s v="Normal"/>
    <s v="Normal"/>
  </r>
  <r>
    <x v="79"/>
    <x v="3"/>
    <b v="0"/>
    <x v="3"/>
    <n v="0.21210000000000001"/>
    <n v="2011"/>
    <x v="0"/>
    <x v="11"/>
    <x v="1"/>
    <s v="Spring"/>
    <x v="0"/>
    <n v="0.51"/>
    <n v="0.29849999999999999"/>
    <x v="1"/>
    <n v="7"/>
    <n v="50"/>
    <n v="57"/>
    <s v="High"/>
    <s v="Normal"/>
    <s v="Normal"/>
    <s v="Normal"/>
  </r>
  <r>
    <x v="80"/>
    <x v="3"/>
    <b v="0"/>
    <x v="3"/>
    <n v="0.2273"/>
    <n v="2011"/>
    <x v="0"/>
    <x v="12"/>
    <x v="1"/>
    <s v="Spring"/>
    <x v="0"/>
    <n v="0.51"/>
    <n v="0.16420000000000001"/>
    <x v="1"/>
    <n v="12"/>
    <n v="66"/>
    <n v="78"/>
    <s v="High"/>
    <s v="Normal"/>
    <s v="Normal"/>
    <s v="Normal"/>
  </r>
  <r>
    <x v="81"/>
    <x v="3"/>
    <b v="0"/>
    <x v="3"/>
    <n v="0.2273"/>
    <n v="2011"/>
    <x v="0"/>
    <x v="13"/>
    <x v="1"/>
    <s v="Spring"/>
    <x v="0"/>
    <n v="0.56000000000000005"/>
    <n v="0.19400000000000001"/>
    <x v="0"/>
    <n v="18"/>
    <n v="79"/>
    <n v="97"/>
    <s v="High"/>
    <s v="Normal"/>
    <s v="Normal"/>
    <s v="Normal"/>
  </r>
  <r>
    <x v="82"/>
    <x v="3"/>
    <b v="0"/>
    <x v="3"/>
    <n v="0.2576"/>
    <n v="2011"/>
    <x v="0"/>
    <x v="14"/>
    <x v="1"/>
    <s v="Spring"/>
    <x v="0"/>
    <n v="0.52"/>
    <n v="0.22389999999999999"/>
    <x v="12"/>
    <n v="9"/>
    <n v="54"/>
    <n v="63"/>
    <s v="High"/>
    <s v="Normal"/>
    <s v="Normal"/>
    <s v="Normal"/>
  </r>
  <r>
    <x v="83"/>
    <x v="3"/>
    <b v="0"/>
    <x v="3"/>
    <n v="0.2727"/>
    <n v="2011"/>
    <x v="0"/>
    <x v="15"/>
    <x v="1"/>
    <s v="Spring"/>
    <x v="0"/>
    <n v="0.52"/>
    <n v="0.25369999999999998"/>
    <x v="17"/>
    <n v="17"/>
    <n v="48"/>
    <n v="65"/>
    <s v="High"/>
    <s v="Normal"/>
    <s v="Normal"/>
    <s v="Normal"/>
  </r>
  <r>
    <x v="84"/>
    <x v="3"/>
    <b v="0"/>
    <x v="3"/>
    <n v="0.28789999999999999"/>
    <n v="2011"/>
    <x v="0"/>
    <x v="16"/>
    <x v="1"/>
    <s v="Spring"/>
    <x v="0"/>
    <n v="0.49"/>
    <n v="0.25369999999999998"/>
    <x v="11"/>
    <n v="15"/>
    <n v="68"/>
    <n v="83"/>
    <s v="High"/>
    <s v="Normal"/>
    <s v="Normal"/>
    <s v="Normal"/>
  </r>
  <r>
    <x v="85"/>
    <x v="3"/>
    <b v="0"/>
    <x v="3"/>
    <n v="0.2727"/>
    <n v="2011"/>
    <x v="0"/>
    <x v="17"/>
    <x v="1"/>
    <s v="Spring"/>
    <x v="0"/>
    <n v="0.48"/>
    <n v="0.22389999999999999"/>
    <x v="17"/>
    <n v="10"/>
    <n v="202"/>
    <n v="212"/>
    <s v="High"/>
    <s v="Outlier"/>
    <s v="Normal"/>
    <s v="Normal"/>
  </r>
  <r>
    <x v="86"/>
    <x v="3"/>
    <b v="0"/>
    <x v="3"/>
    <n v="0.2576"/>
    <n v="2011"/>
    <x v="0"/>
    <x v="18"/>
    <x v="1"/>
    <s v="Spring"/>
    <x v="0"/>
    <n v="0.48"/>
    <n v="0.19400000000000001"/>
    <x v="12"/>
    <n v="3"/>
    <n v="179"/>
    <n v="182"/>
    <s v="High"/>
    <s v="Normal"/>
    <s v="Normal"/>
    <s v="Normal"/>
  </r>
  <r>
    <x v="87"/>
    <x v="3"/>
    <b v="0"/>
    <x v="3"/>
    <n v="0.2576"/>
    <n v="2011"/>
    <x v="0"/>
    <x v="19"/>
    <x v="1"/>
    <s v="Spring"/>
    <x v="0"/>
    <n v="0.48"/>
    <n v="0.1045"/>
    <x v="0"/>
    <n v="2"/>
    <n v="110"/>
    <n v="112"/>
    <s v="High"/>
    <s v="Normal"/>
    <s v="Normal"/>
    <s v="Normal"/>
  </r>
  <r>
    <x v="88"/>
    <x v="3"/>
    <b v="0"/>
    <x v="3"/>
    <n v="0.2576"/>
    <n v="2011"/>
    <x v="0"/>
    <x v="20"/>
    <x v="1"/>
    <s v="Spring"/>
    <x v="0"/>
    <n v="0.48"/>
    <n v="0.1045"/>
    <x v="0"/>
    <n v="1"/>
    <n v="53"/>
    <n v="54"/>
    <s v="High"/>
    <s v="Normal"/>
    <s v="Normal"/>
    <s v="Normal"/>
  </r>
  <r>
    <x v="89"/>
    <x v="3"/>
    <b v="0"/>
    <x v="3"/>
    <n v="0.2727"/>
    <n v="2011"/>
    <x v="0"/>
    <x v="21"/>
    <x v="1"/>
    <s v="Spring"/>
    <x v="0"/>
    <n v="0.64"/>
    <n v="0.23"/>
    <x v="1"/>
    <n v="0"/>
    <n v="48"/>
    <n v="48"/>
    <s v="High"/>
    <s v="Normal"/>
    <s v="Normal"/>
    <s v="Normal"/>
  </r>
  <r>
    <x v="90"/>
    <x v="3"/>
    <b v="0"/>
    <x v="3"/>
    <n v="0.2576"/>
    <n v="2011"/>
    <x v="0"/>
    <x v="22"/>
    <x v="1"/>
    <s v="Spring"/>
    <x v="0"/>
    <n v="0.64"/>
    <n v="8.9599999999999999E-2"/>
    <x v="1"/>
    <n v="1"/>
    <n v="34"/>
    <n v="35"/>
    <s v="High"/>
    <s v="Normal"/>
    <s v="Normal"/>
    <s v="Normal"/>
  </r>
  <r>
    <x v="91"/>
    <x v="3"/>
    <b v="0"/>
    <x v="3"/>
    <n v="0.2273"/>
    <n v="2011"/>
    <x v="0"/>
    <x v="23"/>
    <x v="1"/>
    <s v="Spring"/>
    <x v="0"/>
    <n v="0.69"/>
    <n v="8.9599999999999999E-2"/>
    <x v="2"/>
    <n v="2"/>
    <n v="9"/>
    <n v="11"/>
    <s v="High"/>
    <s v="Normal"/>
    <s v="Normal"/>
    <s v="Normal"/>
  </r>
  <r>
    <x v="92"/>
    <x v="4"/>
    <b v="0"/>
    <x v="4"/>
    <n v="0.2576"/>
    <n v="2011"/>
    <x v="0"/>
    <x v="0"/>
    <x v="1"/>
    <s v="Spring"/>
    <x v="0"/>
    <n v="0.64"/>
    <n v="0.23"/>
    <x v="2"/>
    <n v="0"/>
    <n v="6"/>
    <n v="6"/>
    <s v="High"/>
    <s v="Normal"/>
    <s v="Normal"/>
    <s v="Normal"/>
  </r>
  <r>
    <x v="93"/>
    <x v="4"/>
    <b v="0"/>
    <x v="4"/>
    <n v="0.19700000000000001"/>
    <n v="2011"/>
    <x v="0"/>
    <x v="1"/>
    <x v="1"/>
    <s v="Spring"/>
    <x v="0"/>
    <n v="0.74"/>
    <n v="8.9599999999999999E-2"/>
    <x v="13"/>
    <n v="0"/>
    <n v="6"/>
    <n v="6"/>
    <s v="High"/>
    <s v="Normal"/>
    <s v="Normal"/>
    <s v="Normal"/>
  </r>
  <r>
    <x v="94"/>
    <x v="4"/>
    <b v="0"/>
    <x v="4"/>
    <n v="0.19700000000000001"/>
    <n v="2011"/>
    <x v="0"/>
    <x v="2"/>
    <x v="1"/>
    <s v="Spring"/>
    <x v="0"/>
    <n v="0.74"/>
    <n v="8.9599999999999999E-2"/>
    <x v="13"/>
    <n v="0"/>
    <n v="2"/>
    <n v="2"/>
    <s v="High"/>
    <s v="Normal"/>
    <s v="Normal"/>
    <s v="Normal"/>
  </r>
  <r>
    <x v="95"/>
    <x v="4"/>
    <b v="0"/>
    <x v="4"/>
    <n v="0.2273"/>
    <n v="2011"/>
    <x v="0"/>
    <x v="4"/>
    <x v="1"/>
    <s v="Spring"/>
    <x v="0"/>
    <n v="0.48"/>
    <n v="0.22389999999999999"/>
    <x v="0"/>
    <n v="0"/>
    <n v="2"/>
    <n v="2"/>
    <s v="High"/>
    <s v="Normal"/>
    <s v="Normal"/>
    <s v="Normal"/>
  </r>
  <r>
    <x v="96"/>
    <x v="4"/>
    <b v="0"/>
    <x v="4"/>
    <n v="0.2273"/>
    <n v="2011"/>
    <x v="0"/>
    <x v="5"/>
    <x v="1"/>
    <s v="Spring"/>
    <x v="0"/>
    <n v="0.47"/>
    <n v="0.16420000000000001"/>
    <x v="1"/>
    <n v="0"/>
    <n v="3"/>
    <n v="3"/>
    <s v="High"/>
    <s v="Normal"/>
    <s v="Normal"/>
    <s v="Normal"/>
  </r>
  <r>
    <x v="97"/>
    <x v="4"/>
    <b v="0"/>
    <x v="4"/>
    <n v="0.19700000000000001"/>
    <n v="2011"/>
    <x v="0"/>
    <x v="6"/>
    <x v="1"/>
    <s v="Spring"/>
    <x v="0"/>
    <n v="0.47"/>
    <n v="0.22389999999999999"/>
    <x v="2"/>
    <n v="0"/>
    <n v="33"/>
    <n v="33"/>
    <s v="High"/>
    <s v="Normal"/>
    <s v="Normal"/>
    <s v="Normal"/>
  </r>
  <r>
    <x v="98"/>
    <x v="4"/>
    <b v="0"/>
    <x v="4"/>
    <n v="0.18179999999999999"/>
    <n v="2011"/>
    <x v="0"/>
    <x v="7"/>
    <x v="1"/>
    <s v="Spring"/>
    <x v="0"/>
    <n v="0.43"/>
    <n v="0.19400000000000001"/>
    <x v="15"/>
    <n v="1"/>
    <n v="87"/>
    <n v="88"/>
    <s v="High"/>
    <s v="Normal"/>
    <s v="Normal"/>
    <s v="Normal"/>
  </r>
  <r>
    <x v="99"/>
    <x v="4"/>
    <b v="0"/>
    <x v="4"/>
    <n v="0.18179999999999999"/>
    <n v="2011"/>
    <x v="0"/>
    <x v="8"/>
    <x v="1"/>
    <s v="Spring"/>
    <x v="0"/>
    <n v="0.4"/>
    <n v="0.29849999999999999"/>
    <x v="2"/>
    <n v="3"/>
    <n v="192"/>
    <n v="195"/>
    <s v="High"/>
    <s v="Outlier"/>
    <s v="Normal"/>
    <s v="Normal"/>
  </r>
  <r>
    <x v="100"/>
    <x v="4"/>
    <b v="0"/>
    <x v="4"/>
    <n v="0.19700000000000001"/>
    <n v="2011"/>
    <x v="0"/>
    <x v="9"/>
    <x v="1"/>
    <s v="Spring"/>
    <x v="0"/>
    <n v="0.37"/>
    <n v="0.32840000000000003"/>
    <x v="1"/>
    <n v="6"/>
    <n v="109"/>
    <n v="115"/>
    <s v="High"/>
    <s v="Normal"/>
    <s v="Normal"/>
    <s v="Normal"/>
  </r>
  <r>
    <x v="101"/>
    <x v="4"/>
    <b v="0"/>
    <x v="4"/>
    <n v="0.19700000000000001"/>
    <n v="2011"/>
    <x v="0"/>
    <x v="10"/>
    <x v="1"/>
    <s v="Spring"/>
    <x v="0"/>
    <n v="0.37"/>
    <n v="0.32840000000000003"/>
    <x v="1"/>
    <n v="4"/>
    <n v="53"/>
    <n v="57"/>
    <s v="High"/>
    <s v="Normal"/>
    <s v="Normal"/>
    <s v="Normal"/>
  </r>
  <r>
    <x v="102"/>
    <x v="4"/>
    <b v="0"/>
    <x v="4"/>
    <n v="0.2273"/>
    <n v="2011"/>
    <x v="0"/>
    <x v="11"/>
    <x v="1"/>
    <s v="Spring"/>
    <x v="0"/>
    <n v="0.33"/>
    <n v="0.32840000000000003"/>
    <x v="12"/>
    <n v="12"/>
    <n v="34"/>
    <n v="46"/>
    <s v="High"/>
    <s v="Normal"/>
    <s v="Normal"/>
    <s v="Normal"/>
  </r>
  <r>
    <x v="103"/>
    <x v="4"/>
    <b v="0"/>
    <x v="4"/>
    <n v="0.2273"/>
    <n v="2011"/>
    <x v="0"/>
    <x v="12"/>
    <x v="1"/>
    <s v="Spring"/>
    <x v="0"/>
    <n v="0.33"/>
    <n v="0.32840000000000003"/>
    <x v="12"/>
    <n v="5"/>
    <n v="74"/>
    <n v="79"/>
    <s v="High"/>
    <s v="Normal"/>
    <s v="Normal"/>
    <s v="Normal"/>
  </r>
  <r>
    <x v="104"/>
    <x v="4"/>
    <b v="0"/>
    <x v="4"/>
    <n v="0.2576"/>
    <n v="2011"/>
    <x v="0"/>
    <x v="13"/>
    <x v="1"/>
    <s v="Spring"/>
    <x v="0"/>
    <n v="0.3"/>
    <n v="0.29849999999999999"/>
    <x v="17"/>
    <n v="6"/>
    <n v="65"/>
    <n v="71"/>
    <s v="High"/>
    <s v="Normal"/>
    <s v="Normal"/>
    <s v="Normal"/>
  </r>
  <r>
    <x v="105"/>
    <x v="4"/>
    <b v="0"/>
    <x v="4"/>
    <n v="0.28789999999999999"/>
    <n v="2011"/>
    <x v="0"/>
    <x v="14"/>
    <x v="1"/>
    <s v="Spring"/>
    <x v="0"/>
    <n v="0.28000000000000003"/>
    <n v="0.19400000000000001"/>
    <x v="11"/>
    <n v="10"/>
    <n v="52"/>
    <n v="62"/>
    <s v="High"/>
    <s v="Normal"/>
    <s v="Normal"/>
    <s v="Normal"/>
  </r>
  <r>
    <x v="106"/>
    <x v="4"/>
    <b v="0"/>
    <x v="4"/>
    <n v="0.28789999999999999"/>
    <n v="2011"/>
    <x v="0"/>
    <x v="15"/>
    <x v="1"/>
    <s v="Spring"/>
    <x v="0"/>
    <n v="0.28000000000000003"/>
    <n v="0.19400000000000001"/>
    <x v="11"/>
    <n v="7"/>
    <n v="55"/>
    <n v="62"/>
    <s v="High"/>
    <s v="Normal"/>
    <s v="Normal"/>
    <s v="Normal"/>
  </r>
  <r>
    <x v="107"/>
    <x v="4"/>
    <b v="0"/>
    <x v="4"/>
    <n v="0.31819999999999998"/>
    <n v="2011"/>
    <x v="0"/>
    <x v="16"/>
    <x v="1"/>
    <s v="Spring"/>
    <x v="0"/>
    <n v="0.28000000000000003"/>
    <n v="8.9599999999999999E-2"/>
    <x v="11"/>
    <n v="4"/>
    <n v="85"/>
    <n v="89"/>
    <s v="High"/>
    <s v="Normal"/>
    <s v="Normal"/>
    <s v="Normal"/>
  </r>
  <r>
    <x v="108"/>
    <x v="4"/>
    <b v="0"/>
    <x v="4"/>
    <n v="0.2273"/>
    <n v="2011"/>
    <x v="0"/>
    <x v="17"/>
    <x v="1"/>
    <s v="Spring"/>
    <x v="0"/>
    <n v="0.38"/>
    <n v="0.19400000000000001"/>
    <x v="0"/>
    <n v="4"/>
    <n v="186"/>
    <n v="190"/>
    <s v="High"/>
    <s v="Outlier"/>
    <s v="Normal"/>
    <s v="Normal"/>
  </r>
  <r>
    <x v="109"/>
    <x v="4"/>
    <b v="0"/>
    <x v="4"/>
    <n v="0.2424"/>
    <n v="2011"/>
    <x v="0"/>
    <x v="18"/>
    <x v="1"/>
    <s v="Spring"/>
    <x v="0"/>
    <n v="0.38"/>
    <n v="0.1343"/>
    <x v="0"/>
    <n v="3"/>
    <n v="166"/>
    <n v="169"/>
    <s v="High"/>
    <s v="Normal"/>
    <s v="Normal"/>
    <s v="Normal"/>
  </r>
  <r>
    <x v="110"/>
    <x v="4"/>
    <b v="0"/>
    <x v="4"/>
    <n v="0.2576"/>
    <n v="2011"/>
    <x v="0"/>
    <x v="19"/>
    <x v="1"/>
    <s v="Spring"/>
    <x v="0"/>
    <n v="0.38"/>
    <n v="0.1045"/>
    <x v="0"/>
    <n v="5"/>
    <n v="127"/>
    <n v="132"/>
    <s v="High"/>
    <s v="Normal"/>
    <s v="Normal"/>
    <s v="Normal"/>
  </r>
  <r>
    <x v="111"/>
    <x v="4"/>
    <b v="0"/>
    <x v="4"/>
    <n v="0.2273"/>
    <n v="2011"/>
    <x v="0"/>
    <x v="20"/>
    <x v="1"/>
    <s v="Spring"/>
    <x v="0"/>
    <n v="0.47"/>
    <n v="0.16420000000000001"/>
    <x v="1"/>
    <n v="7"/>
    <n v="82"/>
    <n v="89"/>
    <s v="High"/>
    <s v="Normal"/>
    <s v="Normal"/>
    <s v="Normal"/>
  </r>
  <r>
    <x v="112"/>
    <x v="4"/>
    <b v="0"/>
    <x v="4"/>
    <n v="0.19700000000000001"/>
    <n v="2011"/>
    <x v="0"/>
    <x v="21"/>
    <x v="1"/>
    <s v="Spring"/>
    <x v="0"/>
    <n v="0.51"/>
    <n v="0.19400000000000001"/>
    <x v="2"/>
    <n v="3"/>
    <n v="40"/>
    <n v="43"/>
    <s v="High"/>
    <s v="Normal"/>
    <s v="Normal"/>
    <s v="Normal"/>
  </r>
  <r>
    <x v="113"/>
    <x v="4"/>
    <b v="0"/>
    <x v="4"/>
    <n v="0.19700000000000001"/>
    <n v="2011"/>
    <x v="0"/>
    <x v="22"/>
    <x v="1"/>
    <s v="Spring"/>
    <x v="0"/>
    <n v="0.55000000000000004"/>
    <n v="0.1343"/>
    <x v="15"/>
    <n v="1"/>
    <n v="41"/>
    <n v="42"/>
    <s v="High"/>
    <s v="Normal"/>
    <s v="Normal"/>
    <s v="Normal"/>
  </r>
  <r>
    <x v="114"/>
    <x v="4"/>
    <b v="0"/>
    <x v="4"/>
    <n v="0.2576"/>
    <n v="2011"/>
    <x v="0"/>
    <x v="23"/>
    <x v="1"/>
    <s v="Spring"/>
    <x v="0"/>
    <n v="0.47"/>
    <n v="0.23"/>
    <x v="2"/>
    <n v="1"/>
    <n v="18"/>
    <n v="19"/>
    <s v="High"/>
    <s v="Normal"/>
    <s v="Normal"/>
    <s v="Normal"/>
  </r>
  <r>
    <x v="115"/>
    <x v="5"/>
    <b v="0"/>
    <x v="5"/>
    <n v="0.2424"/>
    <n v="2011"/>
    <x v="0"/>
    <x v="0"/>
    <x v="1"/>
    <s v="Spring"/>
    <x v="0"/>
    <n v="0.55000000000000004"/>
    <n v="0.23"/>
    <x v="15"/>
    <n v="0"/>
    <n v="11"/>
    <n v="11"/>
    <s v="High"/>
    <s v="Normal"/>
    <s v="Normal"/>
    <s v="Normal"/>
  </r>
  <r>
    <x v="116"/>
    <x v="5"/>
    <b v="0"/>
    <x v="5"/>
    <n v="0.2273"/>
    <n v="2011"/>
    <x v="0"/>
    <x v="1"/>
    <x v="1"/>
    <s v="Spring"/>
    <x v="0"/>
    <n v="0.64"/>
    <n v="0.23"/>
    <x v="13"/>
    <n v="0"/>
    <n v="4"/>
    <n v="4"/>
    <s v="High"/>
    <s v="Normal"/>
    <s v="Normal"/>
    <s v="Normal"/>
  </r>
  <r>
    <x v="117"/>
    <x v="5"/>
    <b v="0"/>
    <x v="5"/>
    <n v="0.2273"/>
    <n v="2011"/>
    <x v="0"/>
    <x v="2"/>
    <x v="1"/>
    <s v="Spring"/>
    <x v="0"/>
    <n v="0.64"/>
    <n v="0.23"/>
    <x v="13"/>
    <n v="0"/>
    <n v="2"/>
    <n v="2"/>
    <s v="High"/>
    <s v="Normal"/>
    <s v="Normal"/>
    <s v="Normal"/>
  </r>
  <r>
    <x v="118"/>
    <x v="5"/>
    <b v="0"/>
    <x v="5"/>
    <n v="0.19700000000000001"/>
    <n v="2011"/>
    <x v="0"/>
    <x v="4"/>
    <x v="1"/>
    <s v="Spring"/>
    <x v="1"/>
    <n v="0.64"/>
    <n v="8.9599999999999999E-2"/>
    <x v="13"/>
    <n v="0"/>
    <n v="1"/>
    <n v="1"/>
    <s v="High"/>
    <s v="Normal"/>
    <s v="Normal"/>
    <s v="Normal"/>
  </r>
  <r>
    <x v="119"/>
    <x v="5"/>
    <b v="0"/>
    <x v="5"/>
    <n v="0.18179999999999999"/>
    <n v="2011"/>
    <x v="0"/>
    <x v="5"/>
    <x v="1"/>
    <s v="Spring"/>
    <x v="1"/>
    <n v="0.69"/>
    <n v="8.9599999999999999E-2"/>
    <x v="14"/>
    <n v="0"/>
    <n v="4"/>
    <n v="4"/>
    <s v="High"/>
    <s v="Normal"/>
    <s v="Normal"/>
    <s v="Normal"/>
  </r>
  <r>
    <x v="120"/>
    <x v="5"/>
    <b v="0"/>
    <x v="5"/>
    <n v="0.16669999999999999"/>
    <n v="2011"/>
    <x v="0"/>
    <x v="6"/>
    <x v="1"/>
    <s v="Spring"/>
    <x v="1"/>
    <n v="0.63"/>
    <n v="0.1045"/>
    <x v="14"/>
    <n v="0"/>
    <n v="36"/>
    <n v="36"/>
    <s v="High"/>
    <s v="Normal"/>
    <s v="Normal"/>
    <s v="Normal"/>
  </r>
  <r>
    <x v="121"/>
    <x v="5"/>
    <b v="0"/>
    <x v="5"/>
    <n v="0.2273"/>
    <n v="2011"/>
    <x v="0"/>
    <x v="7"/>
    <x v="1"/>
    <s v="Spring"/>
    <x v="1"/>
    <n v="0.59"/>
    <n v="0.23"/>
    <x v="13"/>
    <n v="0"/>
    <n v="95"/>
    <n v="95"/>
    <s v="High"/>
    <s v="Normal"/>
    <s v="Normal"/>
    <s v="Normal"/>
  </r>
  <r>
    <x v="122"/>
    <x v="5"/>
    <b v="0"/>
    <x v="5"/>
    <n v="0.2273"/>
    <n v="2011"/>
    <x v="0"/>
    <x v="8"/>
    <x v="1"/>
    <s v="Spring"/>
    <x v="0"/>
    <n v="0.59"/>
    <n v="0.23"/>
    <x v="13"/>
    <n v="3"/>
    <n v="216"/>
    <n v="219"/>
    <s v="High"/>
    <s v="Outlier"/>
    <s v="Normal"/>
    <s v="Normal"/>
  </r>
  <r>
    <x v="123"/>
    <x v="5"/>
    <b v="0"/>
    <x v="5"/>
    <n v="0.2424"/>
    <n v="2011"/>
    <x v="0"/>
    <x v="9"/>
    <x v="1"/>
    <s v="Spring"/>
    <x v="1"/>
    <n v="0.51"/>
    <n v="0.23"/>
    <x v="15"/>
    <n v="6"/>
    <n v="116"/>
    <n v="122"/>
    <s v="High"/>
    <s v="Normal"/>
    <s v="Normal"/>
    <s v="Normal"/>
  </r>
  <r>
    <x v="124"/>
    <x v="5"/>
    <b v="0"/>
    <x v="5"/>
    <n v="0.2576"/>
    <n v="2011"/>
    <x v="0"/>
    <x v="10"/>
    <x v="1"/>
    <s v="Spring"/>
    <x v="0"/>
    <n v="0.47"/>
    <n v="0.23"/>
    <x v="2"/>
    <n v="3"/>
    <n v="42"/>
    <n v="45"/>
    <s v="High"/>
    <s v="Normal"/>
    <s v="Normal"/>
    <s v="Normal"/>
  </r>
  <r>
    <x v="125"/>
    <x v="5"/>
    <b v="0"/>
    <x v="5"/>
    <n v="0.2576"/>
    <n v="2011"/>
    <x v="0"/>
    <x v="11"/>
    <x v="1"/>
    <s v="Spring"/>
    <x v="0"/>
    <n v="0.44"/>
    <n v="8.9599999999999999E-2"/>
    <x v="1"/>
    <n v="2"/>
    <n v="57"/>
    <n v="59"/>
    <s v="High"/>
    <s v="Normal"/>
    <s v="Normal"/>
    <s v="Normal"/>
  </r>
  <r>
    <x v="126"/>
    <x v="5"/>
    <b v="0"/>
    <x v="5"/>
    <n v="0.28789999999999999"/>
    <n v="2011"/>
    <x v="0"/>
    <x v="12"/>
    <x v="1"/>
    <s v="Spring"/>
    <x v="0"/>
    <n v="0.35"/>
    <n v="0.23"/>
    <x v="12"/>
    <n v="6"/>
    <n v="78"/>
    <n v="84"/>
    <s v="High"/>
    <s v="Normal"/>
    <s v="Normal"/>
    <s v="Normal"/>
  </r>
  <r>
    <x v="127"/>
    <x v="5"/>
    <b v="0"/>
    <x v="5"/>
    <n v="0.2727"/>
    <n v="2011"/>
    <x v="0"/>
    <x v="13"/>
    <x v="1"/>
    <s v="Spring"/>
    <x v="0"/>
    <n v="0.35"/>
    <n v="0.1045"/>
    <x v="12"/>
    <n v="12"/>
    <n v="55"/>
    <n v="67"/>
    <s v="High"/>
    <s v="Normal"/>
    <s v="Normal"/>
    <s v="Normal"/>
  </r>
  <r>
    <x v="128"/>
    <x v="5"/>
    <b v="0"/>
    <x v="5"/>
    <n v="0.2727"/>
    <n v="2011"/>
    <x v="0"/>
    <x v="14"/>
    <x v="1"/>
    <s v="Spring"/>
    <x v="0"/>
    <n v="0.36"/>
    <n v="0.16420000000000001"/>
    <x v="17"/>
    <n v="11"/>
    <n v="59"/>
    <n v="70"/>
    <s v="High"/>
    <s v="Normal"/>
    <s v="Normal"/>
    <s v="Normal"/>
  </r>
  <r>
    <x v="129"/>
    <x v="5"/>
    <b v="0"/>
    <x v="5"/>
    <n v="0.2727"/>
    <n v="2011"/>
    <x v="0"/>
    <x v="15"/>
    <x v="1"/>
    <s v="Spring"/>
    <x v="0"/>
    <n v="0.36"/>
    <n v="0.23"/>
    <x v="17"/>
    <n v="8"/>
    <n v="54"/>
    <n v="62"/>
    <s v="High"/>
    <s v="Normal"/>
    <s v="Normal"/>
    <s v="Normal"/>
  </r>
  <r>
    <x v="130"/>
    <x v="5"/>
    <b v="0"/>
    <x v="5"/>
    <n v="0.2576"/>
    <n v="2011"/>
    <x v="0"/>
    <x v="16"/>
    <x v="1"/>
    <s v="Spring"/>
    <x v="0"/>
    <n v="0.38"/>
    <n v="0.16420000000000001"/>
    <x v="12"/>
    <n v="12"/>
    <n v="74"/>
    <n v="86"/>
    <s v="High"/>
    <s v="Normal"/>
    <s v="Normal"/>
    <s v="Normal"/>
  </r>
  <r>
    <x v="131"/>
    <x v="5"/>
    <b v="0"/>
    <x v="5"/>
    <n v="0.2273"/>
    <n v="2011"/>
    <x v="0"/>
    <x v="17"/>
    <x v="1"/>
    <s v="Spring"/>
    <x v="0"/>
    <n v="0.51"/>
    <n v="0.16420000000000001"/>
    <x v="1"/>
    <n v="9"/>
    <n v="163"/>
    <n v="172"/>
    <s v="High"/>
    <s v="Normal"/>
    <s v="Normal"/>
    <s v="Normal"/>
  </r>
  <r>
    <x v="132"/>
    <x v="5"/>
    <b v="0"/>
    <x v="5"/>
    <n v="0.2273"/>
    <n v="2011"/>
    <x v="0"/>
    <x v="18"/>
    <x v="1"/>
    <s v="Spring"/>
    <x v="0"/>
    <n v="0.51"/>
    <n v="0.1343"/>
    <x v="1"/>
    <n v="5"/>
    <n v="158"/>
    <n v="163"/>
    <s v="High"/>
    <s v="Normal"/>
    <s v="Normal"/>
    <s v="Normal"/>
  </r>
  <r>
    <x v="133"/>
    <x v="5"/>
    <b v="0"/>
    <x v="5"/>
    <n v="0.2576"/>
    <n v="2011"/>
    <x v="0"/>
    <x v="19"/>
    <x v="1"/>
    <s v="Spring"/>
    <x v="0"/>
    <n v="0.55000000000000004"/>
    <n v="8.9599999999999999E-2"/>
    <x v="1"/>
    <n v="3"/>
    <n v="109"/>
    <n v="112"/>
    <s v="High"/>
    <s v="Normal"/>
    <s v="Normal"/>
    <s v="Normal"/>
  </r>
  <r>
    <x v="134"/>
    <x v="5"/>
    <b v="0"/>
    <x v="5"/>
    <n v="0.21210000000000001"/>
    <n v="2011"/>
    <x v="0"/>
    <x v="20"/>
    <x v="1"/>
    <s v="Spring"/>
    <x v="0"/>
    <n v="0.51"/>
    <n v="0.16420000000000001"/>
    <x v="2"/>
    <n v="3"/>
    <n v="66"/>
    <n v="69"/>
    <s v="High"/>
    <s v="Normal"/>
    <s v="Normal"/>
    <s v="Normal"/>
  </r>
  <r>
    <x v="135"/>
    <x v="5"/>
    <b v="0"/>
    <x v="5"/>
    <n v="0.21210000000000001"/>
    <n v="2011"/>
    <x v="0"/>
    <x v="21"/>
    <x v="1"/>
    <s v="Spring"/>
    <x v="1"/>
    <n v="0.55000000000000004"/>
    <n v="0.22389999999999999"/>
    <x v="1"/>
    <n v="0"/>
    <n v="48"/>
    <n v="48"/>
    <s v="High"/>
    <s v="Normal"/>
    <s v="Normal"/>
    <s v="Normal"/>
  </r>
  <r>
    <x v="136"/>
    <x v="5"/>
    <b v="0"/>
    <x v="5"/>
    <n v="0.21210000000000001"/>
    <n v="2011"/>
    <x v="0"/>
    <x v="22"/>
    <x v="1"/>
    <s v="Spring"/>
    <x v="1"/>
    <n v="0.51"/>
    <n v="0.28360000000000002"/>
    <x v="1"/>
    <n v="1"/>
    <n v="51"/>
    <n v="52"/>
    <s v="High"/>
    <s v="Normal"/>
    <s v="Normal"/>
    <s v="Normal"/>
  </r>
  <r>
    <x v="137"/>
    <x v="5"/>
    <b v="0"/>
    <x v="5"/>
    <n v="0.19700000000000001"/>
    <n v="2011"/>
    <x v="0"/>
    <x v="23"/>
    <x v="1"/>
    <s v="Spring"/>
    <x v="1"/>
    <n v="0.59"/>
    <n v="0.19400000000000001"/>
    <x v="2"/>
    <n v="4"/>
    <n v="19"/>
    <n v="23"/>
    <s v="High"/>
    <s v="Normal"/>
    <s v="Normal"/>
    <s v="Normal"/>
  </r>
  <r>
    <x v="138"/>
    <x v="6"/>
    <b v="0"/>
    <x v="6"/>
    <n v="0.19700000000000001"/>
    <n v="2011"/>
    <x v="0"/>
    <x v="0"/>
    <x v="1"/>
    <s v="Spring"/>
    <x v="1"/>
    <n v="0.64"/>
    <n v="0.19400000000000001"/>
    <x v="2"/>
    <n v="4"/>
    <n v="13"/>
    <n v="17"/>
    <s v="High"/>
    <s v="Normal"/>
    <s v="Normal"/>
    <s v="Normal"/>
  </r>
  <r>
    <x v="139"/>
    <x v="6"/>
    <b v="0"/>
    <x v="6"/>
    <n v="0.19700000000000001"/>
    <n v="2011"/>
    <x v="0"/>
    <x v="1"/>
    <x v="1"/>
    <s v="Spring"/>
    <x v="1"/>
    <n v="0.69"/>
    <n v="0.22389999999999999"/>
    <x v="2"/>
    <n v="2"/>
    <n v="5"/>
    <n v="7"/>
    <s v="High"/>
    <s v="Normal"/>
    <s v="Normal"/>
    <s v="Normal"/>
  </r>
  <r>
    <x v="140"/>
    <x v="6"/>
    <b v="0"/>
    <x v="6"/>
    <n v="0.19700000000000001"/>
    <n v="2011"/>
    <x v="0"/>
    <x v="2"/>
    <x v="1"/>
    <s v="Spring"/>
    <x v="1"/>
    <n v="0.69"/>
    <n v="0.22389999999999999"/>
    <x v="2"/>
    <n v="0"/>
    <n v="1"/>
    <n v="1"/>
    <s v="High"/>
    <s v="Normal"/>
    <s v="Normal"/>
    <s v="Normal"/>
  </r>
  <r>
    <x v="141"/>
    <x v="6"/>
    <b v="0"/>
    <x v="6"/>
    <n v="0.21210000000000001"/>
    <n v="2011"/>
    <x v="0"/>
    <x v="4"/>
    <x v="1"/>
    <s v="Spring"/>
    <x v="1"/>
    <n v="0.69"/>
    <n v="0.1343"/>
    <x v="2"/>
    <n v="0"/>
    <n v="1"/>
    <n v="1"/>
    <s v="High"/>
    <s v="Normal"/>
    <s v="Normal"/>
    <s v="Normal"/>
  </r>
  <r>
    <x v="142"/>
    <x v="6"/>
    <b v="0"/>
    <x v="6"/>
    <n v="0.2727"/>
    <n v="2011"/>
    <x v="0"/>
    <x v="5"/>
    <x v="1"/>
    <s v="Spring"/>
    <x v="2"/>
    <n v="0.55000000000000004"/>
    <n v="0.23"/>
    <x v="1"/>
    <n v="0"/>
    <n v="5"/>
    <n v="5"/>
    <s v="High"/>
    <s v="Normal"/>
    <s v="Normal"/>
    <s v="Normal"/>
  </r>
  <r>
    <x v="143"/>
    <x v="6"/>
    <b v="0"/>
    <x v="6"/>
    <n v="0.2576"/>
    <n v="2011"/>
    <x v="0"/>
    <x v="6"/>
    <x v="1"/>
    <s v="Spring"/>
    <x v="1"/>
    <n v="0.69"/>
    <n v="0.23"/>
    <x v="2"/>
    <n v="8"/>
    <n v="26"/>
    <n v="34"/>
    <s v="High"/>
    <s v="Normal"/>
    <s v="Normal"/>
    <s v="Normal"/>
  </r>
  <r>
    <x v="144"/>
    <x v="6"/>
    <b v="0"/>
    <x v="6"/>
    <n v="0.21210000000000001"/>
    <n v="2011"/>
    <x v="0"/>
    <x v="7"/>
    <x v="1"/>
    <s v="Spring"/>
    <x v="0"/>
    <n v="0.69"/>
    <n v="0.1343"/>
    <x v="2"/>
    <n v="8"/>
    <n v="76"/>
    <n v="84"/>
    <s v="High"/>
    <s v="Normal"/>
    <s v="Normal"/>
    <s v="Normal"/>
  </r>
  <r>
    <x v="145"/>
    <x v="6"/>
    <b v="0"/>
    <x v="6"/>
    <n v="0.19700000000000001"/>
    <n v="2011"/>
    <x v="0"/>
    <x v="8"/>
    <x v="1"/>
    <s v="Spring"/>
    <x v="0"/>
    <n v="0.51"/>
    <n v="0.25369999999999998"/>
    <x v="2"/>
    <n v="20"/>
    <n v="190"/>
    <n v="210"/>
    <s v="High"/>
    <s v="Outlier"/>
    <s v="Normal"/>
    <s v="Normal"/>
  </r>
  <r>
    <x v="146"/>
    <x v="6"/>
    <b v="0"/>
    <x v="6"/>
    <n v="0.18179999999999999"/>
    <n v="2011"/>
    <x v="0"/>
    <x v="9"/>
    <x v="1"/>
    <s v="Spring"/>
    <x v="0"/>
    <n v="0.47"/>
    <n v="0.29849999999999999"/>
    <x v="2"/>
    <n v="9"/>
    <n v="125"/>
    <n v="134"/>
    <s v="High"/>
    <s v="Normal"/>
    <s v="Normal"/>
    <s v="Normal"/>
  </r>
  <r>
    <x v="147"/>
    <x v="6"/>
    <b v="0"/>
    <x v="6"/>
    <n v="0.19700000000000001"/>
    <n v="2011"/>
    <x v="0"/>
    <x v="10"/>
    <x v="1"/>
    <s v="Spring"/>
    <x v="0"/>
    <n v="0.37"/>
    <n v="0.32840000000000003"/>
    <x v="1"/>
    <n v="16"/>
    <n v="47"/>
    <n v="63"/>
    <s v="High"/>
    <s v="Normal"/>
    <s v="Normal"/>
    <s v="Normal"/>
  </r>
  <r>
    <x v="148"/>
    <x v="6"/>
    <b v="0"/>
    <x v="6"/>
    <n v="0.19700000000000001"/>
    <n v="2011"/>
    <x v="0"/>
    <x v="11"/>
    <x v="1"/>
    <s v="Spring"/>
    <x v="1"/>
    <n v="0.4"/>
    <n v="0.22389999999999999"/>
    <x v="2"/>
    <n v="19"/>
    <n v="48"/>
    <n v="67"/>
    <s v="High"/>
    <s v="Normal"/>
    <s v="Normal"/>
    <s v="Normal"/>
  </r>
  <r>
    <x v="149"/>
    <x v="6"/>
    <b v="0"/>
    <x v="6"/>
    <n v="0.19700000000000001"/>
    <n v="2011"/>
    <x v="0"/>
    <x v="12"/>
    <x v="1"/>
    <s v="Spring"/>
    <x v="1"/>
    <n v="0.37"/>
    <n v="0.25369999999999998"/>
    <x v="2"/>
    <n v="9"/>
    <n v="50"/>
    <n v="59"/>
    <s v="High"/>
    <s v="Normal"/>
    <s v="Normal"/>
    <s v="Normal"/>
  </r>
  <r>
    <x v="150"/>
    <x v="6"/>
    <b v="0"/>
    <x v="6"/>
    <n v="0.18179999999999999"/>
    <n v="2011"/>
    <x v="0"/>
    <x v="13"/>
    <x v="1"/>
    <s v="Spring"/>
    <x v="1"/>
    <n v="0.37"/>
    <n v="0.28360000000000002"/>
    <x v="2"/>
    <n v="9"/>
    <n v="64"/>
    <n v="73"/>
    <s v="High"/>
    <s v="Normal"/>
    <s v="Normal"/>
    <s v="Normal"/>
  </r>
  <r>
    <x v="151"/>
    <x v="6"/>
    <b v="0"/>
    <x v="6"/>
    <n v="0.19700000000000001"/>
    <n v="2011"/>
    <x v="0"/>
    <x v="14"/>
    <x v="1"/>
    <s v="Spring"/>
    <x v="1"/>
    <n v="0.4"/>
    <n v="0.25369999999999998"/>
    <x v="2"/>
    <n v="7"/>
    <n v="43"/>
    <n v="50"/>
    <s v="High"/>
    <s v="Normal"/>
    <s v="Normal"/>
    <s v="Normal"/>
  </r>
  <r>
    <x v="152"/>
    <x v="6"/>
    <b v="0"/>
    <x v="6"/>
    <n v="0.21210000000000001"/>
    <n v="2011"/>
    <x v="0"/>
    <x v="15"/>
    <x v="1"/>
    <s v="Spring"/>
    <x v="1"/>
    <n v="0.37"/>
    <n v="0.16420000000000001"/>
    <x v="2"/>
    <n v="9"/>
    <n v="63"/>
    <n v="72"/>
    <s v="High"/>
    <s v="Normal"/>
    <s v="Normal"/>
    <s v="Normal"/>
  </r>
  <r>
    <x v="153"/>
    <x v="6"/>
    <b v="0"/>
    <x v="6"/>
    <n v="0.21210000000000001"/>
    <n v="2011"/>
    <x v="0"/>
    <x v="16"/>
    <x v="1"/>
    <s v="Spring"/>
    <x v="1"/>
    <n v="0.37"/>
    <n v="0.16420000000000001"/>
    <x v="2"/>
    <n v="5"/>
    <n v="82"/>
    <n v="87"/>
    <s v="High"/>
    <s v="Normal"/>
    <s v="Normal"/>
    <s v="Normal"/>
  </r>
  <r>
    <x v="154"/>
    <x v="6"/>
    <b v="0"/>
    <x v="6"/>
    <n v="0.2576"/>
    <n v="2011"/>
    <x v="0"/>
    <x v="17"/>
    <x v="1"/>
    <s v="Spring"/>
    <x v="1"/>
    <n v="0.37"/>
    <n v="0.23"/>
    <x v="2"/>
    <n v="9"/>
    <n v="178"/>
    <n v="187"/>
    <s v="High"/>
    <s v="Outlier"/>
    <s v="Normal"/>
    <s v="Normal"/>
  </r>
  <r>
    <x v="155"/>
    <x v="6"/>
    <b v="0"/>
    <x v="6"/>
    <n v="0.2273"/>
    <n v="2011"/>
    <x v="0"/>
    <x v="18"/>
    <x v="1"/>
    <s v="Spring"/>
    <x v="0"/>
    <n v="0.4"/>
    <n v="8.9599999999999999E-2"/>
    <x v="2"/>
    <n v="7"/>
    <n v="116"/>
    <n v="123"/>
    <s v="High"/>
    <s v="Normal"/>
    <s v="Normal"/>
    <s v="Normal"/>
  </r>
  <r>
    <x v="156"/>
    <x v="6"/>
    <b v="0"/>
    <x v="6"/>
    <n v="0.19700000000000001"/>
    <n v="2011"/>
    <x v="0"/>
    <x v="19"/>
    <x v="1"/>
    <s v="Spring"/>
    <x v="0"/>
    <n v="0.55000000000000004"/>
    <n v="8.9599999999999999E-2"/>
    <x v="13"/>
    <n v="3"/>
    <n v="92"/>
    <n v="95"/>
    <s v="High"/>
    <s v="Normal"/>
    <s v="Normal"/>
    <s v="Normal"/>
  </r>
  <r>
    <x v="157"/>
    <x v="6"/>
    <b v="0"/>
    <x v="6"/>
    <n v="0.21210000000000001"/>
    <n v="2011"/>
    <x v="0"/>
    <x v="20"/>
    <x v="1"/>
    <s v="Spring"/>
    <x v="0"/>
    <n v="0.47"/>
    <n v="0.1045"/>
    <x v="15"/>
    <n v="1"/>
    <n v="50"/>
    <n v="51"/>
    <s v="High"/>
    <s v="Normal"/>
    <s v="Normal"/>
    <s v="Normal"/>
  </r>
  <r>
    <x v="158"/>
    <x v="6"/>
    <b v="0"/>
    <x v="6"/>
    <n v="0.19700000000000001"/>
    <n v="2011"/>
    <x v="0"/>
    <x v="21"/>
    <x v="1"/>
    <s v="Spring"/>
    <x v="0"/>
    <n v="0.47"/>
    <n v="0.1343"/>
    <x v="15"/>
    <n v="0"/>
    <n v="39"/>
    <n v="39"/>
    <s v="High"/>
    <s v="Normal"/>
    <s v="Normal"/>
    <s v="Normal"/>
  </r>
  <r>
    <x v="159"/>
    <x v="6"/>
    <b v="0"/>
    <x v="6"/>
    <n v="0.19700000000000001"/>
    <n v="2011"/>
    <x v="0"/>
    <x v="22"/>
    <x v="1"/>
    <s v="Spring"/>
    <x v="1"/>
    <n v="0.43"/>
    <n v="0.16420000000000001"/>
    <x v="15"/>
    <n v="2"/>
    <n v="34"/>
    <n v="36"/>
    <s v="High"/>
    <s v="Normal"/>
    <s v="Normal"/>
    <s v="Normal"/>
  </r>
  <r>
    <x v="160"/>
    <x v="6"/>
    <b v="0"/>
    <x v="6"/>
    <n v="0.19700000000000001"/>
    <n v="2011"/>
    <x v="0"/>
    <x v="23"/>
    <x v="1"/>
    <s v="Spring"/>
    <x v="1"/>
    <n v="0.51"/>
    <n v="0.16420000000000001"/>
    <x v="15"/>
    <n v="1"/>
    <n v="14"/>
    <n v="15"/>
    <s v="High"/>
    <s v="Normal"/>
    <s v="Normal"/>
    <s v="Normal"/>
  </r>
  <r>
    <x v="161"/>
    <x v="7"/>
    <b v="0"/>
    <x v="0"/>
    <n v="0.19700000000000001"/>
    <n v="2011"/>
    <x v="0"/>
    <x v="0"/>
    <x v="0"/>
    <s v="Spring"/>
    <x v="1"/>
    <n v="0.51"/>
    <n v="0.16420000000000001"/>
    <x v="15"/>
    <n v="1"/>
    <n v="24"/>
    <n v="25"/>
    <s v="High"/>
    <s v="Normal"/>
    <s v="Normal"/>
    <s v="Normal"/>
  </r>
  <r>
    <x v="162"/>
    <x v="7"/>
    <b v="0"/>
    <x v="0"/>
    <n v="0.21210000000000001"/>
    <n v="2011"/>
    <x v="0"/>
    <x v="1"/>
    <x v="0"/>
    <s v="Spring"/>
    <x v="1"/>
    <n v="0.55000000000000004"/>
    <n v="8.9599999999999999E-2"/>
    <x v="15"/>
    <n v="1"/>
    <n v="15"/>
    <n v="16"/>
    <s v="High"/>
    <s v="Normal"/>
    <s v="Normal"/>
    <s v="Normal"/>
  </r>
  <r>
    <x v="163"/>
    <x v="7"/>
    <b v="0"/>
    <x v="0"/>
    <n v="0.2424"/>
    <n v="2011"/>
    <x v="0"/>
    <x v="2"/>
    <x v="0"/>
    <s v="Spring"/>
    <x v="1"/>
    <n v="0.55000000000000004"/>
    <n v="0.23"/>
    <x v="15"/>
    <n v="3"/>
    <n v="13"/>
    <n v="16"/>
    <s v="High"/>
    <s v="Normal"/>
    <s v="Normal"/>
    <s v="Normal"/>
  </r>
  <r>
    <x v="164"/>
    <x v="7"/>
    <b v="0"/>
    <x v="0"/>
    <n v="0.19700000000000001"/>
    <n v="2011"/>
    <x v="0"/>
    <x v="3"/>
    <x v="0"/>
    <s v="Spring"/>
    <x v="2"/>
    <n v="0.55000000000000004"/>
    <n v="0.16420000000000001"/>
    <x v="15"/>
    <n v="0"/>
    <n v="7"/>
    <n v="7"/>
    <s v="High"/>
    <s v="Normal"/>
    <s v="Normal"/>
    <s v="Normal"/>
  </r>
  <r>
    <x v="165"/>
    <x v="7"/>
    <b v="0"/>
    <x v="0"/>
    <n v="0.19700000000000001"/>
    <n v="2011"/>
    <x v="0"/>
    <x v="4"/>
    <x v="0"/>
    <s v="Spring"/>
    <x v="2"/>
    <n v="0.55000000000000004"/>
    <n v="0.16420000000000001"/>
    <x v="15"/>
    <n v="0"/>
    <n v="1"/>
    <n v="1"/>
    <s v="High"/>
    <s v="Normal"/>
    <s v="Normal"/>
    <s v="Normal"/>
  </r>
  <r>
    <x v="166"/>
    <x v="7"/>
    <b v="0"/>
    <x v="0"/>
    <n v="0.16669999999999999"/>
    <n v="2011"/>
    <x v="0"/>
    <x v="5"/>
    <x v="0"/>
    <s v="Spring"/>
    <x v="1"/>
    <n v="0.74"/>
    <n v="0.16420000000000001"/>
    <x v="13"/>
    <n v="0"/>
    <n v="5"/>
    <n v="5"/>
    <s v="High"/>
    <s v="Normal"/>
    <s v="Normal"/>
    <s v="Normal"/>
  </r>
  <r>
    <x v="167"/>
    <x v="7"/>
    <b v="0"/>
    <x v="0"/>
    <n v="0.16669999999999999"/>
    <n v="2011"/>
    <x v="0"/>
    <x v="6"/>
    <x v="0"/>
    <s v="Spring"/>
    <x v="1"/>
    <n v="0.74"/>
    <n v="0.16420000000000001"/>
    <x v="13"/>
    <n v="0"/>
    <n v="2"/>
    <n v="2"/>
    <s v="High"/>
    <s v="Normal"/>
    <s v="Normal"/>
    <s v="Normal"/>
  </r>
  <r>
    <x v="168"/>
    <x v="7"/>
    <b v="0"/>
    <x v="0"/>
    <n v="0.18179999999999999"/>
    <n v="2011"/>
    <x v="0"/>
    <x v="7"/>
    <x v="0"/>
    <s v="Spring"/>
    <x v="1"/>
    <n v="0.74"/>
    <n v="0.1045"/>
    <x v="13"/>
    <n v="1"/>
    <n v="8"/>
    <n v="9"/>
    <s v="High"/>
    <s v="Normal"/>
    <s v="Normal"/>
    <s v="Normal"/>
  </r>
  <r>
    <x v="169"/>
    <x v="7"/>
    <b v="0"/>
    <x v="0"/>
    <n v="0.18179999999999999"/>
    <n v="2011"/>
    <x v="0"/>
    <x v="8"/>
    <x v="0"/>
    <s v="Spring"/>
    <x v="2"/>
    <n v="0.93"/>
    <n v="0.1045"/>
    <x v="13"/>
    <n v="0"/>
    <n v="15"/>
    <n v="15"/>
    <s v="High"/>
    <s v="Normal"/>
    <s v="Normal"/>
    <s v="Normal"/>
  </r>
  <r>
    <x v="170"/>
    <x v="7"/>
    <b v="0"/>
    <x v="0"/>
    <n v="0.18179999999999999"/>
    <n v="2011"/>
    <x v="0"/>
    <x v="9"/>
    <x v="0"/>
    <s v="Spring"/>
    <x v="2"/>
    <n v="0.93"/>
    <n v="0.1045"/>
    <x v="13"/>
    <n v="0"/>
    <n v="20"/>
    <n v="20"/>
    <s v="High"/>
    <s v="Normal"/>
    <s v="Normal"/>
    <s v="Normal"/>
  </r>
  <r>
    <x v="171"/>
    <x v="7"/>
    <b v="0"/>
    <x v="0"/>
    <n v="0.19700000000000001"/>
    <n v="2011"/>
    <x v="0"/>
    <x v="10"/>
    <x v="0"/>
    <s v="Spring"/>
    <x v="1"/>
    <n v="0.8"/>
    <n v="0.16420000000000001"/>
    <x v="15"/>
    <n v="5"/>
    <n v="56"/>
    <n v="61"/>
    <s v="High"/>
    <s v="Normal"/>
    <s v="Normal"/>
    <s v="Normal"/>
  </r>
  <r>
    <x v="172"/>
    <x v="7"/>
    <b v="0"/>
    <x v="0"/>
    <n v="0.18179999999999999"/>
    <n v="2011"/>
    <x v="0"/>
    <x v="11"/>
    <x v="0"/>
    <s v="Spring"/>
    <x v="1"/>
    <n v="0.69"/>
    <n v="0.3881"/>
    <x v="2"/>
    <n v="2"/>
    <n v="60"/>
    <n v="62"/>
    <s v="High"/>
    <s v="Normal"/>
    <s v="Normal"/>
    <s v="Normal"/>
  </r>
  <r>
    <x v="173"/>
    <x v="7"/>
    <b v="0"/>
    <x v="0"/>
    <n v="0.18179999999999999"/>
    <n v="2011"/>
    <x v="0"/>
    <x v="12"/>
    <x v="0"/>
    <s v="Spring"/>
    <x v="1"/>
    <n v="0.59"/>
    <n v="0.35820000000000002"/>
    <x v="2"/>
    <n v="8"/>
    <n v="90"/>
    <n v="98"/>
    <s v="High"/>
    <s v="Normal"/>
    <s v="Normal"/>
    <s v="Normal"/>
  </r>
  <r>
    <x v="174"/>
    <x v="7"/>
    <b v="0"/>
    <x v="0"/>
    <n v="0.18179999999999999"/>
    <n v="2011"/>
    <x v="0"/>
    <x v="13"/>
    <x v="0"/>
    <s v="Spring"/>
    <x v="0"/>
    <n v="0.44"/>
    <n v="0.32840000000000003"/>
    <x v="2"/>
    <n v="7"/>
    <n v="95"/>
    <n v="102"/>
    <s v="High"/>
    <s v="Normal"/>
    <s v="Normal"/>
    <s v="Normal"/>
  </r>
  <r>
    <x v="175"/>
    <x v="7"/>
    <b v="0"/>
    <x v="0"/>
    <n v="0.16669999999999999"/>
    <n v="2011"/>
    <x v="0"/>
    <x v="14"/>
    <x v="0"/>
    <s v="Spring"/>
    <x v="0"/>
    <n v="0.32"/>
    <n v="0.49249999999999999"/>
    <x v="2"/>
    <n v="12"/>
    <n v="83"/>
    <n v="95"/>
    <s v="High"/>
    <s v="Normal"/>
    <s v="Normal"/>
    <s v="Normal"/>
  </r>
  <r>
    <x v="176"/>
    <x v="7"/>
    <b v="0"/>
    <x v="0"/>
    <n v="0.16669999999999999"/>
    <n v="2011"/>
    <x v="0"/>
    <x v="15"/>
    <x v="0"/>
    <s v="Spring"/>
    <x v="0"/>
    <n v="0.32"/>
    <n v="0.44779999999999998"/>
    <x v="2"/>
    <n v="5"/>
    <n v="69"/>
    <n v="74"/>
    <s v="High"/>
    <s v="Normal"/>
    <s v="Normal"/>
    <s v="Normal"/>
  </r>
  <r>
    <x v="177"/>
    <x v="7"/>
    <b v="0"/>
    <x v="0"/>
    <n v="0.13639999999999999"/>
    <n v="2011"/>
    <x v="0"/>
    <x v="16"/>
    <x v="0"/>
    <s v="Spring"/>
    <x v="0"/>
    <n v="0.28999999999999998"/>
    <n v="0.44779999999999998"/>
    <x v="15"/>
    <n v="8"/>
    <n v="68"/>
    <n v="76"/>
    <s v="High"/>
    <s v="Normal"/>
    <s v="Normal"/>
    <s v="Normal"/>
  </r>
  <r>
    <x v="178"/>
    <x v="7"/>
    <b v="0"/>
    <x v="0"/>
    <n v="0.1212"/>
    <n v="2011"/>
    <x v="0"/>
    <x v="17"/>
    <x v="0"/>
    <s v="Spring"/>
    <x v="0"/>
    <n v="0.37"/>
    <n v="0.55220000000000002"/>
    <x v="13"/>
    <n v="5"/>
    <n v="64"/>
    <n v="69"/>
    <s v="High"/>
    <s v="Normal"/>
    <s v="Normal"/>
    <s v="Outlier"/>
  </r>
  <r>
    <x v="179"/>
    <x v="7"/>
    <b v="0"/>
    <x v="0"/>
    <n v="0.1212"/>
    <n v="2011"/>
    <x v="0"/>
    <x v="18"/>
    <x v="0"/>
    <s v="Spring"/>
    <x v="0"/>
    <n v="0.39"/>
    <n v="0.29849999999999999"/>
    <x v="14"/>
    <n v="3"/>
    <n v="52"/>
    <n v="55"/>
    <s v="High"/>
    <s v="Normal"/>
    <s v="Normal"/>
    <s v="Normal"/>
  </r>
  <r>
    <x v="180"/>
    <x v="7"/>
    <b v="0"/>
    <x v="0"/>
    <n v="0.1212"/>
    <n v="2011"/>
    <x v="0"/>
    <x v="19"/>
    <x v="0"/>
    <s v="Spring"/>
    <x v="0"/>
    <n v="0.36"/>
    <n v="0.25369999999999998"/>
    <x v="14"/>
    <n v="4"/>
    <n v="26"/>
    <n v="30"/>
    <s v="High"/>
    <s v="Normal"/>
    <s v="Normal"/>
    <s v="Normal"/>
  </r>
  <r>
    <x v="181"/>
    <x v="7"/>
    <b v="0"/>
    <x v="0"/>
    <n v="0.1212"/>
    <n v="2011"/>
    <x v="0"/>
    <x v="20"/>
    <x v="0"/>
    <s v="Spring"/>
    <x v="0"/>
    <n v="0.36"/>
    <n v="0.25369999999999998"/>
    <x v="16"/>
    <n v="0"/>
    <n v="28"/>
    <n v="28"/>
    <s v="High"/>
    <s v="Normal"/>
    <s v="Normal"/>
    <s v="Normal"/>
  </r>
  <r>
    <x v="182"/>
    <x v="7"/>
    <b v="0"/>
    <x v="0"/>
    <n v="0.1061"/>
    <n v="2011"/>
    <x v="0"/>
    <x v="21"/>
    <x v="0"/>
    <s v="Spring"/>
    <x v="0"/>
    <n v="0.39"/>
    <n v="0.35820000000000002"/>
    <x v="16"/>
    <n v="2"/>
    <n v="35"/>
    <n v="37"/>
    <s v="High"/>
    <s v="Normal"/>
    <s v="Normal"/>
    <s v="Normal"/>
  </r>
  <r>
    <x v="183"/>
    <x v="7"/>
    <b v="0"/>
    <x v="0"/>
    <n v="0.1061"/>
    <n v="2011"/>
    <x v="0"/>
    <x v="22"/>
    <x v="0"/>
    <s v="Spring"/>
    <x v="0"/>
    <n v="0.36"/>
    <n v="0.3881"/>
    <x v="16"/>
    <n v="1"/>
    <n v="33"/>
    <n v="34"/>
    <s v="High"/>
    <s v="Normal"/>
    <s v="Normal"/>
    <s v="Normal"/>
  </r>
  <r>
    <x v="184"/>
    <x v="7"/>
    <b v="0"/>
    <x v="0"/>
    <n v="6.0600000000000001E-2"/>
    <n v="2011"/>
    <x v="0"/>
    <x v="23"/>
    <x v="0"/>
    <s v="Spring"/>
    <x v="0"/>
    <n v="0.39"/>
    <n v="0.44779999999999998"/>
    <x v="18"/>
    <n v="0"/>
    <n v="22"/>
    <n v="22"/>
    <s v="High"/>
    <s v="Normal"/>
    <s v="Normal"/>
    <s v="Normal"/>
  </r>
  <r>
    <x v="185"/>
    <x v="8"/>
    <b v="0"/>
    <x v="1"/>
    <n v="7.5800000000000006E-2"/>
    <n v="2011"/>
    <x v="0"/>
    <x v="0"/>
    <x v="0"/>
    <s v="Spring"/>
    <x v="0"/>
    <n v="0.42"/>
    <n v="0.3881"/>
    <x v="18"/>
    <n v="1"/>
    <n v="24"/>
    <n v="25"/>
    <s v="High"/>
    <s v="Normal"/>
    <s v="Normal"/>
    <s v="Normal"/>
  </r>
  <r>
    <x v="186"/>
    <x v="8"/>
    <b v="0"/>
    <x v="1"/>
    <n v="6.0600000000000001E-2"/>
    <n v="2011"/>
    <x v="0"/>
    <x v="1"/>
    <x v="0"/>
    <s v="Spring"/>
    <x v="0"/>
    <n v="0.42"/>
    <n v="0.4627"/>
    <x v="18"/>
    <n v="0"/>
    <n v="12"/>
    <n v="12"/>
    <s v="High"/>
    <s v="Normal"/>
    <s v="Normal"/>
    <s v="Normal"/>
  </r>
  <r>
    <x v="187"/>
    <x v="8"/>
    <b v="0"/>
    <x v="1"/>
    <n v="6.0600000000000001E-2"/>
    <n v="2011"/>
    <x v="0"/>
    <x v="2"/>
    <x v="0"/>
    <s v="Spring"/>
    <x v="0"/>
    <n v="0.46"/>
    <n v="0.4627"/>
    <x v="18"/>
    <n v="0"/>
    <n v="11"/>
    <n v="11"/>
    <s v="High"/>
    <s v="Normal"/>
    <s v="Normal"/>
    <s v="Normal"/>
  </r>
  <r>
    <x v="188"/>
    <x v="8"/>
    <b v="0"/>
    <x v="1"/>
    <n v="7.5800000000000006E-2"/>
    <n v="2011"/>
    <x v="0"/>
    <x v="3"/>
    <x v="0"/>
    <s v="Spring"/>
    <x v="0"/>
    <n v="0.46"/>
    <n v="0.41789999999999999"/>
    <x v="18"/>
    <n v="0"/>
    <n v="4"/>
    <n v="4"/>
    <s v="High"/>
    <s v="Normal"/>
    <s v="Normal"/>
    <s v="Normal"/>
  </r>
  <r>
    <x v="189"/>
    <x v="8"/>
    <b v="0"/>
    <x v="1"/>
    <n v="9.0899999999999995E-2"/>
    <n v="2011"/>
    <x v="0"/>
    <x v="4"/>
    <x v="0"/>
    <s v="Spring"/>
    <x v="0"/>
    <n v="0.53"/>
    <n v="0.19400000000000001"/>
    <x v="19"/>
    <n v="0"/>
    <n v="1"/>
    <n v="1"/>
    <s v="High"/>
    <s v="Normal"/>
    <s v="Normal"/>
    <s v="Normal"/>
  </r>
  <r>
    <x v="190"/>
    <x v="8"/>
    <b v="0"/>
    <x v="1"/>
    <n v="9.0899999999999995E-2"/>
    <n v="2011"/>
    <x v="0"/>
    <x v="5"/>
    <x v="0"/>
    <s v="Spring"/>
    <x v="0"/>
    <n v="0.53"/>
    <n v="0.19400000000000001"/>
    <x v="19"/>
    <n v="0"/>
    <n v="1"/>
    <n v="1"/>
    <s v="High"/>
    <s v="Normal"/>
    <s v="Normal"/>
    <s v="Normal"/>
  </r>
  <r>
    <x v="191"/>
    <x v="8"/>
    <b v="0"/>
    <x v="1"/>
    <n v="9.0899999999999995E-2"/>
    <n v="2011"/>
    <x v="0"/>
    <x v="6"/>
    <x v="0"/>
    <s v="Spring"/>
    <x v="0"/>
    <n v="0.49"/>
    <n v="0.28360000000000002"/>
    <x v="18"/>
    <n v="0"/>
    <n v="1"/>
    <n v="1"/>
    <s v="High"/>
    <s v="Normal"/>
    <s v="Normal"/>
    <s v="Normal"/>
  </r>
  <r>
    <x v="192"/>
    <x v="8"/>
    <b v="0"/>
    <x v="1"/>
    <n v="9.0899999999999995E-2"/>
    <n v="2011"/>
    <x v="0"/>
    <x v="7"/>
    <x v="0"/>
    <s v="Spring"/>
    <x v="0"/>
    <n v="0.53"/>
    <n v="0.19400000000000001"/>
    <x v="19"/>
    <n v="1"/>
    <n v="5"/>
    <n v="6"/>
    <s v="High"/>
    <s v="Normal"/>
    <s v="Normal"/>
    <s v="Normal"/>
  </r>
  <r>
    <x v="193"/>
    <x v="8"/>
    <b v="0"/>
    <x v="1"/>
    <n v="9.0899999999999995E-2"/>
    <n v="2011"/>
    <x v="0"/>
    <x v="8"/>
    <x v="0"/>
    <s v="Spring"/>
    <x v="0"/>
    <n v="0.49"/>
    <n v="0.28360000000000002"/>
    <x v="18"/>
    <n v="0"/>
    <n v="10"/>
    <n v="10"/>
    <s v="High"/>
    <s v="Normal"/>
    <s v="Normal"/>
    <s v="Normal"/>
  </r>
  <r>
    <x v="194"/>
    <x v="8"/>
    <b v="0"/>
    <x v="1"/>
    <n v="7.5800000000000006E-2"/>
    <n v="2011"/>
    <x v="0"/>
    <x v="9"/>
    <x v="0"/>
    <s v="Spring"/>
    <x v="0"/>
    <n v="0.46"/>
    <n v="0.52239999999999998"/>
    <x v="16"/>
    <n v="0"/>
    <n v="19"/>
    <n v="19"/>
    <s v="High"/>
    <s v="Normal"/>
    <s v="Normal"/>
    <s v="Outlier"/>
  </r>
  <r>
    <x v="195"/>
    <x v="8"/>
    <b v="0"/>
    <x v="1"/>
    <n v="0.1061"/>
    <n v="2011"/>
    <x v="0"/>
    <x v="10"/>
    <x v="0"/>
    <s v="Spring"/>
    <x v="0"/>
    <n v="0.43"/>
    <n v="0.3881"/>
    <x v="14"/>
    <n v="0"/>
    <n v="49"/>
    <n v="49"/>
    <s v="High"/>
    <s v="Normal"/>
    <s v="Normal"/>
    <s v="Normal"/>
  </r>
  <r>
    <x v="196"/>
    <x v="8"/>
    <b v="0"/>
    <x v="1"/>
    <n v="0.1212"/>
    <n v="2011"/>
    <x v="0"/>
    <x v="11"/>
    <x v="0"/>
    <s v="Spring"/>
    <x v="0"/>
    <n v="0.4"/>
    <n v="0.52239999999999998"/>
    <x v="13"/>
    <n v="2"/>
    <n v="47"/>
    <n v="49"/>
    <s v="High"/>
    <s v="Normal"/>
    <s v="Normal"/>
    <s v="Outlier"/>
  </r>
  <r>
    <x v="197"/>
    <x v="8"/>
    <b v="0"/>
    <x v="1"/>
    <n v="0.13639999999999999"/>
    <n v="2011"/>
    <x v="0"/>
    <x v="12"/>
    <x v="0"/>
    <s v="Spring"/>
    <x v="0"/>
    <n v="0.37"/>
    <n v="0.44779999999999998"/>
    <x v="15"/>
    <n v="4"/>
    <n v="79"/>
    <n v="83"/>
    <s v="High"/>
    <s v="Normal"/>
    <s v="Normal"/>
    <s v="Normal"/>
  </r>
  <r>
    <x v="198"/>
    <x v="8"/>
    <b v="0"/>
    <x v="1"/>
    <n v="0.16669999999999999"/>
    <n v="2011"/>
    <x v="0"/>
    <x v="13"/>
    <x v="0"/>
    <s v="Spring"/>
    <x v="0"/>
    <n v="0.34"/>
    <n v="0.44779999999999998"/>
    <x v="2"/>
    <n v="6"/>
    <n v="69"/>
    <n v="75"/>
    <s v="High"/>
    <s v="Normal"/>
    <s v="Normal"/>
    <s v="Normal"/>
  </r>
  <r>
    <x v="199"/>
    <x v="8"/>
    <b v="0"/>
    <x v="1"/>
    <n v="0.18179999999999999"/>
    <n v="2011"/>
    <x v="0"/>
    <x v="14"/>
    <x v="0"/>
    <s v="Spring"/>
    <x v="0"/>
    <n v="0.32"/>
    <n v="0.4627"/>
    <x v="1"/>
    <n v="8"/>
    <n v="64"/>
    <n v="72"/>
    <s v="High"/>
    <s v="Normal"/>
    <s v="Normal"/>
    <s v="Normal"/>
  </r>
  <r>
    <x v="200"/>
    <x v="8"/>
    <b v="0"/>
    <x v="1"/>
    <n v="0.19700000000000001"/>
    <n v="2011"/>
    <x v="0"/>
    <x v="15"/>
    <x v="0"/>
    <s v="Spring"/>
    <x v="0"/>
    <n v="0.35"/>
    <n v="0.35820000000000002"/>
    <x v="1"/>
    <n v="5"/>
    <n v="77"/>
    <n v="82"/>
    <s v="High"/>
    <s v="Normal"/>
    <s v="Normal"/>
    <s v="Normal"/>
  </r>
  <r>
    <x v="201"/>
    <x v="8"/>
    <b v="0"/>
    <x v="1"/>
    <n v="0.16669999999999999"/>
    <n v="2011"/>
    <x v="0"/>
    <x v="16"/>
    <x v="0"/>
    <s v="Spring"/>
    <x v="0"/>
    <n v="0.34"/>
    <n v="0.44779999999999998"/>
    <x v="2"/>
    <n v="13"/>
    <n v="79"/>
    <n v="92"/>
    <s v="High"/>
    <s v="Normal"/>
    <s v="Normal"/>
    <s v="Normal"/>
  </r>
  <r>
    <x v="202"/>
    <x v="8"/>
    <b v="0"/>
    <x v="1"/>
    <n v="0.1515"/>
    <n v="2011"/>
    <x v="0"/>
    <x v="17"/>
    <x v="0"/>
    <s v="Spring"/>
    <x v="0"/>
    <n v="0.37"/>
    <n v="0.3881"/>
    <x v="15"/>
    <n v="3"/>
    <n v="59"/>
    <n v="62"/>
    <s v="High"/>
    <s v="Normal"/>
    <s v="Normal"/>
    <s v="Normal"/>
  </r>
  <r>
    <x v="203"/>
    <x v="8"/>
    <b v="0"/>
    <x v="1"/>
    <n v="0.13639999999999999"/>
    <n v="2011"/>
    <x v="0"/>
    <x v="18"/>
    <x v="0"/>
    <s v="Spring"/>
    <x v="0"/>
    <n v="0.4"/>
    <n v="0.32840000000000003"/>
    <x v="13"/>
    <n v="4"/>
    <n v="44"/>
    <n v="48"/>
    <s v="High"/>
    <s v="Normal"/>
    <s v="Normal"/>
    <s v="Normal"/>
  </r>
  <r>
    <x v="204"/>
    <x v="8"/>
    <b v="0"/>
    <x v="1"/>
    <n v="0.13639999999999999"/>
    <n v="2011"/>
    <x v="0"/>
    <x v="19"/>
    <x v="0"/>
    <s v="Spring"/>
    <x v="0"/>
    <n v="0.43"/>
    <n v="0.32840000000000003"/>
    <x v="13"/>
    <n v="1"/>
    <n v="40"/>
    <n v="41"/>
    <s v="High"/>
    <s v="Normal"/>
    <s v="Normal"/>
    <s v="Normal"/>
  </r>
  <r>
    <x v="205"/>
    <x v="8"/>
    <b v="0"/>
    <x v="1"/>
    <n v="0.1212"/>
    <n v="2011"/>
    <x v="0"/>
    <x v="20"/>
    <x v="0"/>
    <s v="Spring"/>
    <x v="0"/>
    <n v="0.46"/>
    <n v="0.25369999999999998"/>
    <x v="14"/>
    <n v="0"/>
    <n v="38"/>
    <n v="38"/>
    <s v="High"/>
    <s v="Normal"/>
    <s v="Normal"/>
    <s v="Normal"/>
  </r>
  <r>
    <x v="206"/>
    <x v="8"/>
    <b v="0"/>
    <x v="1"/>
    <n v="0.1061"/>
    <n v="2011"/>
    <x v="0"/>
    <x v="21"/>
    <x v="0"/>
    <s v="Spring"/>
    <x v="0"/>
    <n v="0.46"/>
    <n v="0.41789999999999999"/>
    <x v="14"/>
    <n v="1"/>
    <n v="19"/>
    <n v="20"/>
    <s v="High"/>
    <s v="Normal"/>
    <s v="Normal"/>
    <s v="Normal"/>
  </r>
  <r>
    <x v="207"/>
    <x v="8"/>
    <b v="0"/>
    <x v="1"/>
    <n v="0.1212"/>
    <n v="2011"/>
    <x v="0"/>
    <x v="22"/>
    <x v="0"/>
    <s v="Spring"/>
    <x v="0"/>
    <n v="0.46"/>
    <n v="0.29849999999999999"/>
    <x v="14"/>
    <n v="5"/>
    <n v="10"/>
    <n v="15"/>
    <s v="High"/>
    <s v="Normal"/>
    <s v="Normal"/>
    <s v="Normal"/>
  </r>
  <r>
    <x v="208"/>
    <x v="8"/>
    <b v="0"/>
    <x v="1"/>
    <n v="0.13639999999999999"/>
    <n v="2011"/>
    <x v="0"/>
    <x v="23"/>
    <x v="0"/>
    <s v="Spring"/>
    <x v="0"/>
    <n v="0.5"/>
    <n v="0.19400000000000001"/>
    <x v="16"/>
    <n v="0"/>
    <n v="6"/>
    <n v="6"/>
    <s v="High"/>
    <s v="Normal"/>
    <s v="Normal"/>
    <s v="Normal"/>
  </r>
  <r>
    <x v="209"/>
    <x v="9"/>
    <b v="0"/>
    <x v="2"/>
    <n v="0.1212"/>
    <n v="2011"/>
    <x v="0"/>
    <x v="0"/>
    <x v="1"/>
    <s v="Spring"/>
    <x v="0"/>
    <n v="0.5"/>
    <n v="0.28360000000000002"/>
    <x v="16"/>
    <n v="2"/>
    <n v="3"/>
    <n v="5"/>
    <s v="High"/>
    <s v="Normal"/>
    <s v="Normal"/>
    <s v="Normal"/>
  </r>
  <r>
    <x v="210"/>
    <x v="9"/>
    <b v="0"/>
    <x v="2"/>
    <n v="0.1212"/>
    <n v="2011"/>
    <x v="0"/>
    <x v="1"/>
    <x v="1"/>
    <s v="Spring"/>
    <x v="0"/>
    <n v="0.5"/>
    <n v="0.28360000000000002"/>
    <x v="16"/>
    <n v="1"/>
    <n v="0"/>
    <n v="1"/>
    <s v="High"/>
    <s v="Normal"/>
    <s v="Normal"/>
    <s v="Normal"/>
  </r>
  <r>
    <x v="211"/>
    <x v="9"/>
    <b v="0"/>
    <x v="2"/>
    <n v="0.1212"/>
    <n v="2011"/>
    <x v="0"/>
    <x v="2"/>
    <x v="1"/>
    <s v="Spring"/>
    <x v="0"/>
    <n v="0.5"/>
    <n v="0.22389999999999999"/>
    <x v="16"/>
    <n v="0"/>
    <n v="3"/>
    <n v="3"/>
    <s v="High"/>
    <s v="Normal"/>
    <s v="Normal"/>
    <s v="Normal"/>
  </r>
  <r>
    <x v="212"/>
    <x v="9"/>
    <b v="0"/>
    <x v="2"/>
    <n v="0.1212"/>
    <n v="2011"/>
    <x v="0"/>
    <x v="3"/>
    <x v="1"/>
    <s v="Spring"/>
    <x v="0"/>
    <n v="0.5"/>
    <n v="0.22389999999999999"/>
    <x v="16"/>
    <n v="0"/>
    <n v="1"/>
    <n v="1"/>
    <s v="High"/>
    <s v="Normal"/>
    <s v="Normal"/>
    <s v="Normal"/>
  </r>
  <r>
    <x v="213"/>
    <x v="9"/>
    <b v="0"/>
    <x v="2"/>
    <n v="0.1212"/>
    <n v="2011"/>
    <x v="0"/>
    <x v="4"/>
    <x v="1"/>
    <s v="Spring"/>
    <x v="0"/>
    <n v="0.54"/>
    <n v="0.1343"/>
    <x v="18"/>
    <n v="1"/>
    <n v="2"/>
    <n v="3"/>
    <s v="High"/>
    <s v="Normal"/>
    <s v="Normal"/>
    <s v="Normal"/>
  </r>
  <r>
    <x v="214"/>
    <x v="9"/>
    <b v="0"/>
    <x v="2"/>
    <n v="0.1061"/>
    <n v="2011"/>
    <x v="0"/>
    <x v="5"/>
    <x v="1"/>
    <s v="Spring"/>
    <x v="0"/>
    <n v="0.54"/>
    <n v="0.25369999999999998"/>
    <x v="18"/>
    <n v="0"/>
    <n v="3"/>
    <n v="3"/>
    <s v="High"/>
    <s v="Normal"/>
    <s v="Normal"/>
    <s v="Normal"/>
  </r>
  <r>
    <x v="215"/>
    <x v="9"/>
    <b v="0"/>
    <x v="2"/>
    <n v="0.1212"/>
    <n v="2011"/>
    <x v="0"/>
    <x v="6"/>
    <x v="1"/>
    <s v="Spring"/>
    <x v="0"/>
    <n v="0.5"/>
    <n v="0.28360000000000002"/>
    <x v="16"/>
    <n v="0"/>
    <n v="31"/>
    <n v="31"/>
    <s v="High"/>
    <s v="Normal"/>
    <s v="Normal"/>
    <s v="Normal"/>
  </r>
  <r>
    <x v="216"/>
    <x v="9"/>
    <b v="0"/>
    <x v="2"/>
    <n v="0.1212"/>
    <n v="2011"/>
    <x v="0"/>
    <x v="7"/>
    <x v="1"/>
    <s v="Spring"/>
    <x v="0"/>
    <n v="0.5"/>
    <n v="0.22389999999999999"/>
    <x v="16"/>
    <n v="2"/>
    <n v="75"/>
    <n v="77"/>
    <s v="High"/>
    <s v="Normal"/>
    <s v="Normal"/>
    <s v="Normal"/>
  </r>
  <r>
    <x v="217"/>
    <x v="9"/>
    <b v="0"/>
    <x v="2"/>
    <n v="0.1212"/>
    <n v="2011"/>
    <x v="0"/>
    <x v="8"/>
    <x v="1"/>
    <s v="Spring"/>
    <x v="1"/>
    <n v="0.5"/>
    <n v="0.28360000000000002"/>
    <x v="16"/>
    <n v="4"/>
    <n v="184"/>
    <n v="188"/>
    <s v="High"/>
    <s v="Outlier"/>
    <s v="Normal"/>
    <s v="Normal"/>
  </r>
  <r>
    <x v="218"/>
    <x v="9"/>
    <b v="0"/>
    <x v="2"/>
    <n v="0.1212"/>
    <n v="2011"/>
    <x v="0"/>
    <x v="9"/>
    <x v="1"/>
    <s v="Spring"/>
    <x v="1"/>
    <n v="0.5"/>
    <n v="0.25369999999999998"/>
    <x v="14"/>
    <n v="2"/>
    <n v="92"/>
    <n v="94"/>
    <s v="High"/>
    <s v="Normal"/>
    <s v="Normal"/>
    <s v="Normal"/>
  </r>
  <r>
    <x v="219"/>
    <x v="9"/>
    <b v="0"/>
    <x v="2"/>
    <n v="0.1212"/>
    <n v="2011"/>
    <x v="0"/>
    <x v="10"/>
    <x v="1"/>
    <s v="Spring"/>
    <x v="1"/>
    <n v="0.5"/>
    <n v="0.29849999999999999"/>
    <x v="14"/>
    <n v="0"/>
    <n v="31"/>
    <n v="31"/>
    <s v="High"/>
    <s v="Normal"/>
    <s v="Normal"/>
    <s v="Normal"/>
  </r>
  <r>
    <x v="220"/>
    <x v="9"/>
    <b v="0"/>
    <x v="2"/>
    <n v="0.13639999999999999"/>
    <n v="2011"/>
    <x v="0"/>
    <x v="11"/>
    <x v="1"/>
    <s v="Spring"/>
    <x v="1"/>
    <n v="0.47"/>
    <n v="0.28360000000000002"/>
    <x v="13"/>
    <n v="2"/>
    <n v="28"/>
    <n v="30"/>
    <s v="High"/>
    <s v="Normal"/>
    <s v="Normal"/>
    <s v="Normal"/>
  </r>
  <r>
    <x v="221"/>
    <x v="9"/>
    <b v="0"/>
    <x v="2"/>
    <n v="0.18179999999999999"/>
    <n v="2011"/>
    <x v="0"/>
    <x v="12"/>
    <x v="1"/>
    <s v="Spring"/>
    <x v="1"/>
    <n v="0.4"/>
    <n v="0.28360000000000002"/>
    <x v="2"/>
    <n v="5"/>
    <n v="47"/>
    <n v="52"/>
    <s v="High"/>
    <s v="Normal"/>
    <s v="Normal"/>
    <s v="Normal"/>
  </r>
  <r>
    <x v="222"/>
    <x v="9"/>
    <b v="0"/>
    <x v="2"/>
    <n v="0.18179999999999999"/>
    <n v="2011"/>
    <x v="0"/>
    <x v="13"/>
    <x v="1"/>
    <s v="Spring"/>
    <x v="1"/>
    <n v="0.4"/>
    <n v="0.28360000000000002"/>
    <x v="2"/>
    <n v="4"/>
    <n v="50"/>
    <n v="54"/>
    <s v="High"/>
    <s v="Normal"/>
    <s v="Normal"/>
    <s v="Normal"/>
  </r>
  <r>
    <x v="223"/>
    <x v="9"/>
    <b v="0"/>
    <x v="2"/>
    <n v="0.19700000000000001"/>
    <n v="2011"/>
    <x v="0"/>
    <x v="14"/>
    <x v="1"/>
    <s v="Spring"/>
    <x v="1"/>
    <n v="0.4"/>
    <n v="0.22389999999999999"/>
    <x v="2"/>
    <n v="0"/>
    <n v="47"/>
    <n v="47"/>
    <s v="High"/>
    <s v="Normal"/>
    <s v="Normal"/>
    <s v="Normal"/>
  </r>
  <r>
    <x v="224"/>
    <x v="9"/>
    <b v="0"/>
    <x v="2"/>
    <n v="0.19700000000000001"/>
    <n v="2011"/>
    <x v="0"/>
    <x v="15"/>
    <x v="1"/>
    <s v="Spring"/>
    <x v="1"/>
    <n v="0.4"/>
    <n v="0.22389999999999999"/>
    <x v="2"/>
    <n v="2"/>
    <n v="43"/>
    <n v="45"/>
    <s v="High"/>
    <s v="Normal"/>
    <s v="Normal"/>
    <s v="Normal"/>
  </r>
  <r>
    <x v="225"/>
    <x v="9"/>
    <b v="0"/>
    <x v="2"/>
    <n v="0.21210000000000001"/>
    <n v="2011"/>
    <x v="0"/>
    <x v="16"/>
    <x v="1"/>
    <s v="Spring"/>
    <x v="0"/>
    <n v="0.4"/>
    <n v="0.1343"/>
    <x v="2"/>
    <n v="4"/>
    <n v="70"/>
    <n v="74"/>
    <s v="High"/>
    <s v="Normal"/>
    <s v="Normal"/>
    <s v="Normal"/>
  </r>
  <r>
    <x v="226"/>
    <x v="9"/>
    <b v="0"/>
    <x v="2"/>
    <n v="0.2273"/>
    <n v="2011"/>
    <x v="0"/>
    <x v="17"/>
    <x v="1"/>
    <s v="Spring"/>
    <x v="0"/>
    <n v="0.4"/>
    <n v="0.1045"/>
    <x v="2"/>
    <n v="4"/>
    <n v="174"/>
    <n v="178"/>
    <s v="High"/>
    <s v="Normal"/>
    <s v="Normal"/>
    <s v="Normal"/>
  </r>
  <r>
    <x v="227"/>
    <x v="9"/>
    <b v="0"/>
    <x v="2"/>
    <n v="0.19700000000000001"/>
    <n v="2011"/>
    <x v="0"/>
    <x v="18"/>
    <x v="1"/>
    <s v="Spring"/>
    <x v="0"/>
    <n v="0.4"/>
    <n v="0.22389999999999999"/>
    <x v="2"/>
    <n v="1"/>
    <n v="154"/>
    <n v="155"/>
    <s v="High"/>
    <s v="Normal"/>
    <s v="Normal"/>
    <s v="Normal"/>
  </r>
  <r>
    <x v="228"/>
    <x v="9"/>
    <b v="0"/>
    <x v="2"/>
    <n v="0.16669999999999999"/>
    <n v="2011"/>
    <x v="0"/>
    <x v="19"/>
    <x v="1"/>
    <s v="Spring"/>
    <x v="0"/>
    <n v="0.47"/>
    <n v="0.16420000000000001"/>
    <x v="13"/>
    <n v="3"/>
    <n v="92"/>
    <n v="95"/>
    <s v="High"/>
    <s v="Normal"/>
    <s v="Normal"/>
    <s v="Normal"/>
  </r>
  <r>
    <x v="229"/>
    <x v="9"/>
    <b v="0"/>
    <x v="2"/>
    <n v="0.16669999999999999"/>
    <n v="2011"/>
    <x v="0"/>
    <x v="20"/>
    <x v="1"/>
    <s v="Spring"/>
    <x v="0"/>
    <n v="0.5"/>
    <n v="0.16420000000000001"/>
    <x v="13"/>
    <n v="1"/>
    <n v="73"/>
    <n v="74"/>
    <s v="High"/>
    <s v="Normal"/>
    <s v="Normal"/>
    <s v="Normal"/>
  </r>
  <r>
    <x v="230"/>
    <x v="9"/>
    <b v="0"/>
    <x v="2"/>
    <n v="0.13639999999999999"/>
    <n v="2011"/>
    <x v="0"/>
    <x v="21"/>
    <x v="1"/>
    <s v="Spring"/>
    <x v="0"/>
    <n v="0.59"/>
    <n v="0.19400000000000001"/>
    <x v="14"/>
    <n v="1"/>
    <n v="37"/>
    <n v="38"/>
    <s v="High"/>
    <s v="Normal"/>
    <s v="Normal"/>
    <s v="Normal"/>
  </r>
  <r>
    <x v="231"/>
    <x v="9"/>
    <b v="0"/>
    <x v="2"/>
    <n v="0.1515"/>
    <n v="2011"/>
    <x v="0"/>
    <x v="22"/>
    <x v="1"/>
    <s v="Spring"/>
    <x v="0"/>
    <n v="0.59"/>
    <n v="0.16420000000000001"/>
    <x v="14"/>
    <n v="2"/>
    <n v="22"/>
    <n v="24"/>
    <s v="High"/>
    <s v="Normal"/>
    <s v="Normal"/>
    <s v="Normal"/>
  </r>
  <r>
    <x v="232"/>
    <x v="9"/>
    <b v="0"/>
    <x v="2"/>
    <n v="0.1515"/>
    <n v="2011"/>
    <x v="0"/>
    <x v="23"/>
    <x v="1"/>
    <s v="Spring"/>
    <x v="0"/>
    <n v="0.59"/>
    <n v="0.16420000000000001"/>
    <x v="14"/>
    <n v="0"/>
    <n v="18"/>
    <n v="18"/>
    <s v="High"/>
    <s v="Normal"/>
    <s v="Normal"/>
    <s v="Normal"/>
  </r>
  <r>
    <x v="233"/>
    <x v="10"/>
    <b v="0"/>
    <x v="3"/>
    <n v="0.16669999999999999"/>
    <n v="2011"/>
    <x v="0"/>
    <x v="0"/>
    <x v="1"/>
    <s v="Spring"/>
    <x v="0"/>
    <n v="0.59"/>
    <n v="0.1045"/>
    <x v="14"/>
    <n v="2"/>
    <n v="10"/>
    <n v="12"/>
    <s v="High"/>
    <s v="Normal"/>
    <s v="Normal"/>
    <s v="Normal"/>
  </r>
  <r>
    <x v="234"/>
    <x v="10"/>
    <b v="0"/>
    <x v="3"/>
    <n v="0.1515"/>
    <n v="2011"/>
    <x v="0"/>
    <x v="1"/>
    <x v="1"/>
    <s v="Spring"/>
    <x v="0"/>
    <n v="0.59"/>
    <n v="0.16420000000000001"/>
    <x v="14"/>
    <n v="0"/>
    <n v="3"/>
    <n v="3"/>
    <s v="High"/>
    <s v="Normal"/>
    <s v="Normal"/>
    <s v="Normal"/>
  </r>
  <r>
    <x v="235"/>
    <x v="10"/>
    <b v="0"/>
    <x v="3"/>
    <n v="0.1515"/>
    <n v="2011"/>
    <x v="0"/>
    <x v="2"/>
    <x v="1"/>
    <s v="Spring"/>
    <x v="1"/>
    <n v="0.55000000000000004"/>
    <n v="0.19400000000000001"/>
    <x v="13"/>
    <n v="0"/>
    <n v="3"/>
    <n v="3"/>
    <s v="High"/>
    <s v="Normal"/>
    <s v="Normal"/>
    <s v="Normal"/>
  </r>
  <r>
    <x v="236"/>
    <x v="10"/>
    <b v="0"/>
    <x v="3"/>
    <n v="0.18179999999999999"/>
    <n v="2011"/>
    <x v="0"/>
    <x v="5"/>
    <x v="1"/>
    <s v="Spring"/>
    <x v="1"/>
    <n v="0.55000000000000004"/>
    <n v="0.1343"/>
    <x v="13"/>
    <n v="0"/>
    <n v="6"/>
    <n v="6"/>
    <s v="High"/>
    <s v="Normal"/>
    <s v="Normal"/>
    <s v="Normal"/>
  </r>
  <r>
    <x v="237"/>
    <x v="10"/>
    <b v="0"/>
    <x v="3"/>
    <n v="0.18179999999999999"/>
    <n v="2011"/>
    <x v="0"/>
    <x v="6"/>
    <x v="1"/>
    <s v="Spring"/>
    <x v="1"/>
    <n v="0.55000000000000004"/>
    <n v="0.1343"/>
    <x v="13"/>
    <n v="0"/>
    <n v="27"/>
    <n v="27"/>
    <s v="High"/>
    <s v="Normal"/>
    <s v="Normal"/>
    <s v="Normal"/>
  </r>
  <r>
    <x v="238"/>
    <x v="10"/>
    <b v="0"/>
    <x v="3"/>
    <n v="0.2273"/>
    <n v="2011"/>
    <x v="0"/>
    <x v="7"/>
    <x v="1"/>
    <s v="Spring"/>
    <x v="1"/>
    <n v="0.55000000000000004"/>
    <n v="0.23"/>
    <x v="13"/>
    <n v="2"/>
    <n v="97"/>
    <n v="99"/>
    <s v="High"/>
    <s v="Normal"/>
    <s v="Normal"/>
    <s v="Normal"/>
  </r>
  <r>
    <x v="239"/>
    <x v="10"/>
    <b v="0"/>
    <x v="3"/>
    <n v="0.21210000000000001"/>
    <n v="2011"/>
    <x v="0"/>
    <x v="8"/>
    <x v="1"/>
    <s v="Spring"/>
    <x v="1"/>
    <n v="0.51"/>
    <n v="8.9599999999999999E-2"/>
    <x v="15"/>
    <n v="3"/>
    <n v="214"/>
    <n v="217"/>
    <s v="High"/>
    <s v="Outlier"/>
    <s v="Normal"/>
    <s v="Normal"/>
  </r>
  <r>
    <x v="240"/>
    <x v="10"/>
    <b v="0"/>
    <x v="3"/>
    <n v="0.19700000000000001"/>
    <n v="2011"/>
    <x v="0"/>
    <x v="9"/>
    <x v="1"/>
    <s v="Spring"/>
    <x v="1"/>
    <n v="0.51"/>
    <n v="0.16420000000000001"/>
    <x v="15"/>
    <n v="3"/>
    <n v="127"/>
    <n v="130"/>
    <s v="High"/>
    <s v="Normal"/>
    <s v="Normal"/>
    <s v="Normal"/>
  </r>
  <r>
    <x v="241"/>
    <x v="10"/>
    <b v="0"/>
    <x v="3"/>
    <n v="0.21210000000000001"/>
    <n v="2011"/>
    <x v="0"/>
    <x v="10"/>
    <x v="1"/>
    <s v="Spring"/>
    <x v="1"/>
    <n v="0.51"/>
    <n v="0.16420000000000001"/>
    <x v="2"/>
    <n v="3"/>
    <n v="51"/>
    <n v="54"/>
    <s v="High"/>
    <s v="Normal"/>
    <s v="Normal"/>
    <s v="Normal"/>
  </r>
  <r>
    <x v="242"/>
    <x v="10"/>
    <b v="0"/>
    <x v="3"/>
    <n v="0.21210000000000001"/>
    <n v="2011"/>
    <x v="0"/>
    <x v="11"/>
    <x v="1"/>
    <s v="Spring"/>
    <x v="1"/>
    <n v="0.47"/>
    <n v="0.1343"/>
    <x v="2"/>
    <n v="4"/>
    <n v="31"/>
    <n v="35"/>
    <s v="High"/>
    <s v="Normal"/>
    <s v="Normal"/>
    <s v="Normal"/>
  </r>
  <r>
    <x v="243"/>
    <x v="10"/>
    <b v="0"/>
    <x v="3"/>
    <n v="0.2273"/>
    <n v="2011"/>
    <x v="0"/>
    <x v="12"/>
    <x v="1"/>
    <s v="Spring"/>
    <x v="1"/>
    <n v="0.51"/>
    <n v="0.1045"/>
    <x v="2"/>
    <n v="2"/>
    <n v="55"/>
    <n v="57"/>
    <s v="High"/>
    <s v="Normal"/>
    <s v="Normal"/>
    <s v="Normal"/>
  </r>
  <r>
    <x v="244"/>
    <x v="10"/>
    <b v="0"/>
    <x v="3"/>
    <n v="0.2273"/>
    <n v="2011"/>
    <x v="0"/>
    <x v="13"/>
    <x v="1"/>
    <s v="Spring"/>
    <x v="1"/>
    <n v="0.59"/>
    <n v="8.9599999999999999E-2"/>
    <x v="2"/>
    <n v="6"/>
    <n v="46"/>
    <n v="52"/>
    <s v="High"/>
    <s v="Normal"/>
    <s v="Normal"/>
    <s v="Normal"/>
  </r>
  <r>
    <x v="245"/>
    <x v="10"/>
    <b v="0"/>
    <x v="3"/>
    <n v="0.2273"/>
    <n v="2011"/>
    <x v="0"/>
    <x v="14"/>
    <x v="1"/>
    <s v="Spring"/>
    <x v="1"/>
    <n v="0.59"/>
    <n v="8.9599999999999999E-2"/>
    <x v="2"/>
    <n v="3"/>
    <n v="60"/>
    <n v="63"/>
    <s v="High"/>
    <s v="Normal"/>
    <s v="Normal"/>
    <s v="Normal"/>
  </r>
  <r>
    <x v="246"/>
    <x v="10"/>
    <b v="0"/>
    <x v="3"/>
    <n v="0.19700000000000001"/>
    <n v="2011"/>
    <x v="0"/>
    <x v="15"/>
    <x v="1"/>
    <s v="Spring"/>
    <x v="1"/>
    <n v="0.8"/>
    <n v="8.9599999999999999E-2"/>
    <x v="13"/>
    <n v="2"/>
    <n v="45"/>
    <n v="47"/>
    <s v="High"/>
    <s v="Normal"/>
    <s v="Normal"/>
    <s v="Normal"/>
  </r>
  <r>
    <x v="247"/>
    <x v="10"/>
    <b v="0"/>
    <x v="3"/>
    <n v="0.1515"/>
    <n v="2011"/>
    <x v="0"/>
    <x v="16"/>
    <x v="1"/>
    <s v="Spring"/>
    <x v="1"/>
    <n v="0.86"/>
    <n v="0.22389999999999999"/>
    <x v="13"/>
    <n v="4"/>
    <n v="72"/>
    <n v="76"/>
    <s v="High"/>
    <s v="Normal"/>
    <s v="Normal"/>
    <s v="Normal"/>
  </r>
  <r>
    <x v="248"/>
    <x v="10"/>
    <b v="0"/>
    <x v="3"/>
    <n v="0.1515"/>
    <n v="2011"/>
    <x v="0"/>
    <x v="17"/>
    <x v="1"/>
    <s v="Spring"/>
    <x v="1"/>
    <n v="0.86"/>
    <n v="0.22389999999999999"/>
    <x v="13"/>
    <n v="6"/>
    <n v="130"/>
    <n v="136"/>
    <s v="High"/>
    <s v="Normal"/>
    <s v="Normal"/>
    <s v="Normal"/>
  </r>
  <r>
    <x v="249"/>
    <x v="10"/>
    <b v="0"/>
    <x v="3"/>
    <n v="0.18179999999999999"/>
    <n v="2011"/>
    <x v="0"/>
    <x v="18"/>
    <x v="1"/>
    <s v="Spring"/>
    <x v="2"/>
    <n v="0.93"/>
    <n v="0.1045"/>
    <x v="13"/>
    <n v="1"/>
    <n v="94"/>
    <n v="95"/>
    <s v="High"/>
    <s v="Normal"/>
    <s v="Normal"/>
    <s v="Normal"/>
  </r>
  <r>
    <x v="250"/>
    <x v="10"/>
    <b v="0"/>
    <x v="3"/>
    <n v="0.2273"/>
    <n v="2011"/>
    <x v="0"/>
    <x v="19"/>
    <x v="1"/>
    <s v="Spring"/>
    <x v="2"/>
    <n v="0.93"/>
    <n v="0.23"/>
    <x v="13"/>
    <n v="0"/>
    <n v="51"/>
    <n v="51"/>
    <s v="High"/>
    <s v="Normal"/>
    <s v="Normal"/>
    <s v="Normal"/>
  </r>
  <r>
    <x v="251"/>
    <x v="10"/>
    <b v="0"/>
    <x v="3"/>
    <n v="0.1515"/>
    <n v="2011"/>
    <x v="0"/>
    <x v="20"/>
    <x v="1"/>
    <s v="Spring"/>
    <x v="2"/>
    <n v="0.93"/>
    <n v="0.19400000000000001"/>
    <x v="13"/>
    <n v="0"/>
    <n v="32"/>
    <n v="32"/>
    <s v="High"/>
    <s v="Normal"/>
    <s v="Normal"/>
    <s v="Normal"/>
  </r>
  <r>
    <x v="252"/>
    <x v="10"/>
    <b v="0"/>
    <x v="3"/>
    <n v="0.19700000000000001"/>
    <n v="2011"/>
    <x v="0"/>
    <x v="21"/>
    <x v="1"/>
    <s v="Spring"/>
    <x v="2"/>
    <n v="0.86"/>
    <n v="8.9599999999999999E-2"/>
    <x v="13"/>
    <n v="0"/>
    <n v="20"/>
    <n v="20"/>
    <s v="High"/>
    <s v="Normal"/>
    <s v="Normal"/>
    <s v="Normal"/>
  </r>
  <r>
    <x v="253"/>
    <x v="10"/>
    <b v="0"/>
    <x v="3"/>
    <n v="0.18179999999999999"/>
    <n v="2011"/>
    <x v="0"/>
    <x v="22"/>
    <x v="1"/>
    <s v="Spring"/>
    <x v="2"/>
    <n v="0.93"/>
    <n v="0.1045"/>
    <x v="13"/>
    <n v="1"/>
    <n v="28"/>
    <n v="29"/>
    <s v="High"/>
    <s v="Normal"/>
    <s v="Normal"/>
    <s v="Normal"/>
  </r>
  <r>
    <x v="254"/>
    <x v="10"/>
    <b v="0"/>
    <x v="3"/>
    <n v="0.19700000000000001"/>
    <n v="2011"/>
    <x v="0"/>
    <x v="23"/>
    <x v="1"/>
    <s v="Spring"/>
    <x v="2"/>
    <n v="0.93"/>
    <n v="8.9599999999999999E-2"/>
    <x v="13"/>
    <n v="1"/>
    <n v="18"/>
    <n v="19"/>
    <s v="High"/>
    <s v="Normal"/>
    <s v="Normal"/>
    <s v="Normal"/>
  </r>
  <r>
    <x v="255"/>
    <x v="11"/>
    <b v="0"/>
    <x v="4"/>
    <n v="0.19700000000000001"/>
    <n v="2011"/>
    <x v="0"/>
    <x v="0"/>
    <x v="1"/>
    <s v="Spring"/>
    <x v="1"/>
    <n v="0.86"/>
    <n v="8.9599999999999999E-2"/>
    <x v="13"/>
    <n v="0"/>
    <n v="7"/>
    <n v="7"/>
    <s v="High"/>
    <s v="Normal"/>
    <s v="Normal"/>
    <s v="Normal"/>
  </r>
  <r>
    <x v="256"/>
    <x v="11"/>
    <b v="0"/>
    <x v="4"/>
    <n v="0.18179999999999999"/>
    <n v="2011"/>
    <x v="0"/>
    <x v="1"/>
    <x v="1"/>
    <s v="Spring"/>
    <x v="1"/>
    <n v="0.86"/>
    <n v="0.1045"/>
    <x v="13"/>
    <n v="0"/>
    <n v="6"/>
    <n v="6"/>
    <s v="High"/>
    <s v="Normal"/>
    <s v="Normal"/>
    <s v="Normal"/>
  </r>
  <r>
    <x v="257"/>
    <x v="11"/>
    <b v="0"/>
    <x v="4"/>
    <n v="0.1515"/>
    <n v="2011"/>
    <x v="0"/>
    <x v="2"/>
    <x v="1"/>
    <s v="Spring"/>
    <x v="0"/>
    <n v="0.86"/>
    <n v="0.1343"/>
    <x v="14"/>
    <n v="0"/>
    <n v="1"/>
    <n v="1"/>
    <s v="High"/>
    <s v="Normal"/>
    <s v="Normal"/>
    <s v="Normal"/>
  </r>
  <r>
    <x v="258"/>
    <x v="11"/>
    <b v="0"/>
    <x v="4"/>
    <n v="0.1515"/>
    <n v="2011"/>
    <x v="0"/>
    <x v="5"/>
    <x v="1"/>
    <s v="Spring"/>
    <x v="0"/>
    <n v="0.86"/>
    <n v="0.16420000000000001"/>
    <x v="14"/>
    <n v="0"/>
    <n v="5"/>
    <n v="5"/>
    <s v="High"/>
    <s v="Normal"/>
    <s v="Normal"/>
    <s v="Normal"/>
  </r>
  <r>
    <x v="259"/>
    <x v="11"/>
    <b v="0"/>
    <x v="4"/>
    <n v="0.1515"/>
    <n v="2011"/>
    <x v="0"/>
    <x v="6"/>
    <x v="1"/>
    <s v="Spring"/>
    <x v="0"/>
    <n v="0.93"/>
    <n v="0.1343"/>
    <x v="16"/>
    <n v="0"/>
    <n v="16"/>
    <n v="16"/>
    <s v="High"/>
    <s v="Normal"/>
    <s v="Normal"/>
    <s v="Normal"/>
  </r>
  <r>
    <x v="260"/>
    <x v="11"/>
    <b v="0"/>
    <x v="4"/>
    <n v="0.1515"/>
    <n v="2011"/>
    <x v="0"/>
    <x v="7"/>
    <x v="1"/>
    <s v="Spring"/>
    <x v="0"/>
    <n v="0.69"/>
    <n v="0.1343"/>
    <x v="14"/>
    <n v="0"/>
    <n v="54"/>
    <n v="54"/>
    <s v="High"/>
    <s v="Normal"/>
    <s v="Normal"/>
    <s v="Normal"/>
  </r>
  <r>
    <x v="261"/>
    <x v="11"/>
    <b v="0"/>
    <x v="4"/>
    <n v="0.16669999999999999"/>
    <n v="2011"/>
    <x v="0"/>
    <x v="8"/>
    <x v="1"/>
    <s v="Spring"/>
    <x v="0"/>
    <n v="0.59"/>
    <n v="0.16420000000000001"/>
    <x v="13"/>
    <n v="3"/>
    <n v="125"/>
    <n v="128"/>
    <s v="High"/>
    <s v="Normal"/>
    <s v="Normal"/>
    <s v="Normal"/>
  </r>
  <r>
    <x v="262"/>
    <x v="11"/>
    <b v="0"/>
    <x v="4"/>
    <n v="0.13639999999999999"/>
    <n v="2011"/>
    <x v="0"/>
    <x v="9"/>
    <x v="1"/>
    <s v="Spring"/>
    <x v="0"/>
    <n v="0.59"/>
    <n v="0.32840000000000003"/>
    <x v="13"/>
    <n v="3"/>
    <n v="78"/>
    <n v="81"/>
    <s v="High"/>
    <s v="Normal"/>
    <s v="Normal"/>
    <s v="Normal"/>
  </r>
  <r>
    <x v="263"/>
    <x v="11"/>
    <b v="0"/>
    <x v="4"/>
    <n v="0.18179999999999999"/>
    <n v="2011"/>
    <x v="0"/>
    <x v="10"/>
    <x v="1"/>
    <s v="Spring"/>
    <x v="0"/>
    <n v="0.55000000000000004"/>
    <n v="0.22389999999999999"/>
    <x v="15"/>
    <n v="0"/>
    <n v="39"/>
    <n v="39"/>
    <s v="High"/>
    <s v="Normal"/>
    <s v="Normal"/>
    <s v="Normal"/>
  </r>
  <r>
    <x v="264"/>
    <x v="11"/>
    <b v="0"/>
    <x v="4"/>
    <n v="0.18179999999999999"/>
    <n v="2011"/>
    <x v="0"/>
    <x v="11"/>
    <x v="1"/>
    <s v="Spring"/>
    <x v="0"/>
    <n v="0.51"/>
    <n v="0.3881"/>
    <x v="2"/>
    <n v="3"/>
    <n v="32"/>
    <n v="35"/>
    <s v="High"/>
    <s v="Normal"/>
    <s v="Normal"/>
    <s v="Normal"/>
  </r>
  <r>
    <x v="265"/>
    <x v="11"/>
    <b v="0"/>
    <x v="4"/>
    <n v="0.1515"/>
    <n v="2011"/>
    <x v="0"/>
    <x v="12"/>
    <x v="1"/>
    <s v="Spring"/>
    <x v="0"/>
    <n v="0.47"/>
    <n v="0.58209999999999995"/>
    <x v="2"/>
    <n v="3"/>
    <n v="52"/>
    <n v="55"/>
    <s v="High"/>
    <s v="Normal"/>
    <s v="Normal"/>
    <s v="Outlier"/>
  </r>
  <r>
    <x v="266"/>
    <x v="11"/>
    <b v="0"/>
    <x v="4"/>
    <n v="0.19700000000000001"/>
    <n v="2011"/>
    <x v="0"/>
    <x v="13"/>
    <x v="1"/>
    <s v="Spring"/>
    <x v="0"/>
    <n v="0.44"/>
    <n v="0.35820000000000002"/>
    <x v="1"/>
    <n v="0"/>
    <n v="49"/>
    <n v="49"/>
    <s v="High"/>
    <s v="Normal"/>
    <s v="Normal"/>
    <s v="Normal"/>
  </r>
  <r>
    <x v="267"/>
    <x v="11"/>
    <b v="0"/>
    <x v="4"/>
    <n v="0.18179999999999999"/>
    <n v="2011"/>
    <x v="0"/>
    <x v="14"/>
    <x v="1"/>
    <s v="Spring"/>
    <x v="0"/>
    <n v="0.47"/>
    <n v="0.32840000000000003"/>
    <x v="2"/>
    <n v="0"/>
    <n v="44"/>
    <n v="44"/>
    <s v="High"/>
    <s v="Normal"/>
    <s v="Normal"/>
    <s v="Normal"/>
  </r>
  <r>
    <x v="268"/>
    <x v="11"/>
    <b v="0"/>
    <x v="4"/>
    <n v="0.16669999999999999"/>
    <n v="2011"/>
    <x v="0"/>
    <x v="15"/>
    <x v="1"/>
    <s v="Spring"/>
    <x v="0"/>
    <n v="0.47"/>
    <n v="0.41789999999999999"/>
    <x v="2"/>
    <n v="1"/>
    <n v="48"/>
    <n v="49"/>
    <s v="High"/>
    <s v="Normal"/>
    <s v="Normal"/>
    <s v="Normal"/>
  </r>
  <r>
    <x v="269"/>
    <x v="11"/>
    <b v="0"/>
    <x v="4"/>
    <n v="0.19700000000000001"/>
    <n v="2011"/>
    <x v="0"/>
    <x v="16"/>
    <x v="1"/>
    <s v="Spring"/>
    <x v="0"/>
    <n v="0.44"/>
    <n v="0.32840000000000003"/>
    <x v="1"/>
    <n v="5"/>
    <n v="63"/>
    <n v="68"/>
    <s v="High"/>
    <s v="Normal"/>
    <s v="Normal"/>
    <s v="Normal"/>
  </r>
  <r>
    <x v="270"/>
    <x v="11"/>
    <b v="0"/>
    <x v="4"/>
    <n v="0.18179999999999999"/>
    <n v="2011"/>
    <x v="0"/>
    <x v="17"/>
    <x v="1"/>
    <s v="Spring"/>
    <x v="0"/>
    <n v="0.47"/>
    <n v="0.35820000000000002"/>
    <x v="2"/>
    <n v="0"/>
    <n v="139"/>
    <n v="139"/>
    <s v="High"/>
    <s v="Normal"/>
    <s v="Normal"/>
    <s v="Normal"/>
  </r>
  <r>
    <x v="271"/>
    <x v="11"/>
    <b v="0"/>
    <x v="4"/>
    <n v="0.1515"/>
    <n v="2011"/>
    <x v="0"/>
    <x v="18"/>
    <x v="1"/>
    <s v="Spring"/>
    <x v="0"/>
    <n v="0.47"/>
    <n v="0.52239999999999998"/>
    <x v="2"/>
    <n v="2"/>
    <n v="135"/>
    <n v="137"/>
    <s v="High"/>
    <s v="Normal"/>
    <s v="Normal"/>
    <s v="Outlier"/>
  </r>
  <r>
    <x v="272"/>
    <x v="11"/>
    <b v="0"/>
    <x v="4"/>
    <n v="0.1515"/>
    <n v="2011"/>
    <x v="0"/>
    <x v="19"/>
    <x v="1"/>
    <s v="Spring"/>
    <x v="0"/>
    <n v="0.47"/>
    <n v="0.41789999999999999"/>
    <x v="15"/>
    <n v="1"/>
    <n v="82"/>
    <n v="83"/>
    <s v="High"/>
    <s v="Normal"/>
    <s v="Normal"/>
    <s v="Normal"/>
  </r>
  <r>
    <x v="273"/>
    <x v="11"/>
    <b v="0"/>
    <x v="4"/>
    <n v="0.13639999999999999"/>
    <n v="2011"/>
    <x v="0"/>
    <x v="20"/>
    <x v="1"/>
    <s v="Spring"/>
    <x v="0"/>
    <n v="0.5"/>
    <n v="0.32840000000000003"/>
    <x v="13"/>
    <n v="2"/>
    <n v="54"/>
    <n v="56"/>
    <s v="High"/>
    <s v="Normal"/>
    <s v="Normal"/>
    <s v="Normal"/>
  </r>
  <r>
    <x v="274"/>
    <x v="11"/>
    <b v="0"/>
    <x v="4"/>
    <n v="0.13639999999999999"/>
    <n v="2011"/>
    <x v="0"/>
    <x v="21"/>
    <x v="1"/>
    <s v="Spring"/>
    <x v="0"/>
    <n v="0.55000000000000004"/>
    <n v="0.32840000000000003"/>
    <x v="13"/>
    <n v="0"/>
    <n v="57"/>
    <n v="57"/>
    <s v="High"/>
    <s v="Normal"/>
    <s v="Normal"/>
    <s v="Normal"/>
  </r>
  <r>
    <x v="275"/>
    <x v="11"/>
    <b v="0"/>
    <x v="4"/>
    <n v="0.1212"/>
    <n v="2011"/>
    <x v="0"/>
    <x v="22"/>
    <x v="1"/>
    <s v="Spring"/>
    <x v="0"/>
    <n v="0.55000000000000004"/>
    <n v="0.44779999999999998"/>
    <x v="13"/>
    <n v="1"/>
    <n v="32"/>
    <n v="33"/>
    <s v="High"/>
    <s v="Normal"/>
    <s v="Normal"/>
    <s v="Normal"/>
  </r>
  <r>
    <x v="276"/>
    <x v="11"/>
    <b v="0"/>
    <x v="4"/>
    <n v="0.1061"/>
    <n v="2011"/>
    <x v="0"/>
    <x v="23"/>
    <x v="1"/>
    <s v="Spring"/>
    <x v="0"/>
    <n v="0.59"/>
    <n v="0.41789999999999999"/>
    <x v="14"/>
    <n v="1"/>
    <n v="19"/>
    <n v="20"/>
    <s v="High"/>
    <s v="Normal"/>
    <s v="Normal"/>
    <s v="Normal"/>
  </r>
  <r>
    <x v="277"/>
    <x v="12"/>
    <b v="0"/>
    <x v="5"/>
    <n v="0.1212"/>
    <n v="2011"/>
    <x v="0"/>
    <x v="0"/>
    <x v="1"/>
    <s v="Spring"/>
    <x v="0"/>
    <n v="0.59"/>
    <n v="0.28360000000000002"/>
    <x v="14"/>
    <n v="1"/>
    <n v="6"/>
    <n v="7"/>
    <s v="High"/>
    <s v="Normal"/>
    <s v="Normal"/>
    <s v="Normal"/>
  </r>
  <r>
    <x v="278"/>
    <x v="12"/>
    <b v="0"/>
    <x v="5"/>
    <n v="0.1212"/>
    <n v="2011"/>
    <x v="0"/>
    <x v="1"/>
    <x v="1"/>
    <s v="Spring"/>
    <x v="0"/>
    <n v="0.5"/>
    <n v="0.28360000000000002"/>
    <x v="14"/>
    <n v="0"/>
    <n v="2"/>
    <n v="2"/>
    <s v="High"/>
    <s v="Normal"/>
    <s v="Normal"/>
    <s v="Normal"/>
  </r>
  <r>
    <x v="279"/>
    <x v="12"/>
    <b v="0"/>
    <x v="5"/>
    <n v="0.1212"/>
    <n v="2011"/>
    <x v="0"/>
    <x v="2"/>
    <x v="1"/>
    <s v="Spring"/>
    <x v="0"/>
    <n v="0.5"/>
    <n v="0.35820000000000002"/>
    <x v="14"/>
    <n v="0"/>
    <n v="2"/>
    <n v="2"/>
    <s v="High"/>
    <s v="Normal"/>
    <s v="Normal"/>
    <s v="Normal"/>
  </r>
  <r>
    <x v="280"/>
    <x v="12"/>
    <b v="0"/>
    <x v="5"/>
    <n v="0.1212"/>
    <n v="2011"/>
    <x v="0"/>
    <x v="3"/>
    <x v="1"/>
    <s v="Spring"/>
    <x v="0"/>
    <n v="0.5"/>
    <n v="0.32840000000000003"/>
    <x v="14"/>
    <n v="0"/>
    <n v="3"/>
    <n v="3"/>
    <s v="High"/>
    <s v="Normal"/>
    <s v="Normal"/>
    <s v="Normal"/>
  </r>
  <r>
    <x v="281"/>
    <x v="12"/>
    <b v="0"/>
    <x v="5"/>
    <n v="0.1212"/>
    <n v="2011"/>
    <x v="0"/>
    <x v="4"/>
    <x v="1"/>
    <s v="Spring"/>
    <x v="0"/>
    <n v="0.5"/>
    <n v="0.25369999999999998"/>
    <x v="14"/>
    <n v="0"/>
    <n v="4"/>
    <n v="4"/>
    <s v="High"/>
    <s v="Normal"/>
    <s v="Normal"/>
    <s v="Normal"/>
  </r>
  <r>
    <x v="282"/>
    <x v="12"/>
    <b v="0"/>
    <x v="5"/>
    <n v="0.1212"/>
    <n v="2011"/>
    <x v="0"/>
    <x v="5"/>
    <x v="1"/>
    <s v="Spring"/>
    <x v="0"/>
    <n v="0.5"/>
    <n v="0.29849999999999999"/>
    <x v="14"/>
    <n v="0"/>
    <n v="3"/>
    <n v="3"/>
    <s v="High"/>
    <s v="Normal"/>
    <s v="Normal"/>
    <s v="Normal"/>
  </r>
  <r>
    <x v="283"/>
    <x v="12"/>
    <b v="0"/>
    <x v="5"/>
    <n v="0.1515"/>
    <n v="2011"/>
    <x v="0"/>
    <x v="6"/>
    <x v="1"/>
    <s v="Spring"/>
    <x v="0"/>
    <n v="0.54"/>
    <n v="0.1343"/>
    <x v="16"/>
    <n v="0"/>
    <n v="28"/>
    <n v="28"/>
    <s v="High"/>
    <s v="Normal"/>
    <s v="Normal"/>
    <s v="Normal"/>
  </r>
  <r>
    <x v="284"/>
    <x v="12"/>
    <b v="0"/>
    <x v="5"/>
    <n v="0.1515"/>
    <n v="2011"/>
    <x v="0"/>
    <x v="7"/>
    <x v="1"/>
    <s v="Spring"/>
    <x v="0"/>
    <n v="0.54"/>
    <n v="0.1343"/>
    <x v="16"/>
    <n v="0"/>
    <n v="72"/>
    <n v="72"/>
    <s v="High"/>
    <s v="Normal"/>
    <s v="Normal"/>
    <s v="Normal"/>
  </r>
  <r>
    <x v="285"/>
    <x v="12"/>
    <b v="0"/>
    <x v="5"/>
    <n v="0.13639999999999999"/>
    <n v="2011"/>
    <x v="0"/>
    <x v="8"/>
    <x v="1"/>
    <s v="Spring"/>
    <x v="0"/>
    <n v="0.5"/>
    <n v="0.19400000000000001"/>
    <x v="14"/>
    <n v="5"/>
    <n v="197"/>
    <n v="202"/>
    <s v="High"/>
    <s v="Outlier"/>
    <s v="Normal"/>
    <s v="Normal"/>
  </r>
  <r>
    <x v="286"/>
    <x v="12"/>
    <b v="0"/>
    <x v="5"/>
    <n v="0.1212"/>
    <n v="2011"/>
    <x v="0"/>
    <x v="9"/>
    <x v="1"/>
    <s v="Spring"/>
    <x v="0"/>
    <n v="0.5"/>
    <n v="0.32840000000000003"/>
    <x v="14"/>
    <n v="2"/>
    <n v="137"/>
    <n v="139"/>
    <s v="High"/>
    <s v="Normal"/>
    <s v="Normal"/>
    <s v="Normal"/>
  </r>
  <r>
    <x v="287"/>
    <x v="12"/>
    <b v="0"/>
    <x v="5"/>
    <n v="0.13639999999999999"/>
    <n v="2011"/>
    <x v="0"/>
    <x v="10"/>
    <x v="1"/>
    <s v="Spring"/>
    <x v="1"/>
    <n v="0.5"/>
    <n v="0.35820000000000002"/>
    <x v="13"/>
    <n v="2"/>
    <n v="36"/>
    <n v="38"/>
    <s v="High"/>
    <s v="Normal"/>
    <s v="Normal"/>
    <s v="Normal"/>
  </r>
  <r>
    <x v="288"/>
    <x v="12"/>
    <b v="0"/>
    <x v="5"/>
    <n v="0.16669999999999999"/>
    <n v="2011"/>
    <x v="0"/>
    <x v="11"/>
    <x v="1"/>
    <s v="Spring"/>
    <x v="1"/>
    <n v="0.44"/>
    <n v="0.44779999999999998"/>
    <x v="2"/>
    <n v="4"/>
    <n v="33"/>
    <n v="37"/>
    <s v="High"/>
    <s v="Normal"/>
    <s v="Normal"/>
    <s v="Normal"/>
  </r>
  <r>
    <x v="289"/>
    <x v="12"/>
    <b v="0"/>
    <x v="5"/>
    <n v="0.16669999999999999"/>
    <n v="2011"/>
    <x v="0"/>
    <x v="12"/>
    <x v="1"/>
    <s v="Spring"/>
    <x v="0"/>
    <n v="0.44"/>
    <n v="0.41789999999999999"/>
    <x v="2"/>
    <n v="3"/>
    <n v="49"/>
    <n v="52"/>
    <s v="High"/>
    <s v="Normal"/>
    <s v="Normal"/>
    <s v="Normal"/>
  </r>
  <r>
    <x v="290"/>
    <x v="12"/>
    <b v="0"/>
    <x v="5"/>
    <n v="0.19700000000000001"/>
    <n v="2011"/>
    <x v="0"/>
    <x v="13"/>
    <x v="1"/>
    <s v="Spring"/>
    <x v="0"/>
    <n v="0.41"/>
    <n v="0.44779999999999998"/>
    <x v="1"/>
    <n v="2"/>
    <n v="81"/>
    <n v="83"/>
    <s v="High"/>
    <s v="Normal"/>
    <s v="Normal"/>
    <s v="Normal"/>
  </r>
  <r>
    <x v="291"/>
    <x v="12"/>
    <b v="0"/>
    <x v="5"/>
    <n v="0.19700000000000001"/>
    <n v="2011"/>
    <x v="0"/>
    <x v="14"/>
    <x v="1"/>
    <s v="Spring"/>
    <x v="0"/>
    <n v="0.41"/>
    <n v="0.3881"/>
    <x v="1"/>
    <n v="3"/>
    <n v="39"/>
    <n v="42"/>
    <s v="High"/>
    <s v="Normal"/>
    <s v="Normal"/>
    <s v="Normal"/>
  </r>
  <r>
    <x v="292"/>
    <x v="12"/>
    <b v="0"/>
    <x v="5"/>
    <n v="0.21210000000000001"/>
    <n v="2011"/>
    <x v="0"/>
    <x v="15"/>
    <x v="1"/>
    <s v="Spring"/>
    <x v="0"/>
    <n v="0.38"/>
    <n v="0.29849999999999999"/>
    <x v="0"/>
    <n v="5"/>
    <n v="55"/>
    <n v="60"/>
    <s v="High"/>
    <s v="Normal"/>
    <s v="Normal"/>
    <s v="Normal"/>
  </r>
  <r>
    <x v="293"/>
    <x v="12"/>
    <b v="0"/>
    <x v="5"/>
    <n v="0.21210000000000001"/>
    <n v="2011"/>
    <x v="0"/>
    <x v="16"/>
    <x v="1"/>
    <s v="Spring"/>
    <x v="0"/>
    <n v="0.38"/>
    <n v="0.35820000000000002"/>
    <x v="0"/>
    <n v="2"/>
    <n v="76"/>
    <n v="78"/>
    <s v="High"/>
    <s v="Normal"/>
    <s v="Normal"/>
    <s v="Normal"/>
  </r>
  <r>
    <x v="294"/>
    <x v="12"/>
    <b v="0"/>
    <x v="5"/>
    <n v="0.18179999999999999"/>
    <n v="2011"/>
    <x v="0"/>
    <x v="17"/>
    <x v="1"/>
    <s v="Spring"/>
    <x v="0"/>
    <n v="0.4"/>
    <n v="0.28360000000000002"/>
    <x v="2"/>
    <n v="4"/>
    <n v="158"/>
    <n v="162"/>
    <s v="High"/>
    <s v="Normal"/>
    <s v="Normal"/>
    <s v="Normal"/>
  </r>
  <r>
    <x v="295"/>
    <x v="12"/>
    <b v="0"/>
    <x v="5"/>
    <n v="0.18179999999999999"/>
    <n v="2011"/>
    <x v="0"/>
    <x v="18"/>
    <x v="1"/>
    <s v="Spring"/>
    <x v="0"/>
    <n v="0.4"/>
    <n v="0.32840000000000003"/>
    <x v="2"/>
    <n v="3"/>
    <n v="141"/>
    <n v="144"/>
    <s v="High"/>
    <s v="Normal"/>
    <s v="Normal"/>
    <s v="Normal"/>
  </r>
  <r>
    <x v="296"/>
    <x v="12"/>
    <b v="0"/>
    <x v="5"/>
    <n v="0.1515"/>
    <n v="2011"/>
    <x v="0"/>
    <x v="19"/>
    <x v="1"/>
    <s v="Spring"/>
    <x v="0"/>
    <n v="0.47"/>
    <n v="0.25369999999999998"/>
    <x v="13"/>
    <n v="1"/>
    <n v="98"/>
    <n v="99"/>
    <s v="High"/>
    <s v="Normal"/>
    <s v="Normal"/>
    <s v="Normal"/>
  </r>
  <r>
    <x v="297"/>
    <x v="12"/>
    <b v="0"/>
    <x v="5"/>
    <n v="0.1515"/>
    <n v="2011"/>
    <x v="0"/>
    <x v="20"/>
    <x v="1"/>
    <s v="Spring"/>
    <x v="0"/>
    <n v="0.47"/>
    <n v="0.22389999999999999"/>
    <x v="13"/>
    <n v="0"/>
    <n v="64"/>
    <n v="64"/>
    <s v="High"/>
    <s v="Normal"/>
    <s v="Normal"/>
    <s v="Normal"/>
  </r>
  <r>
    <x v="298"/>
    <x v="12"/>
    <b v="0"/>
    <x v="5"/>
    <n v="0.1212"/>
    <n v="2011"/>
    <x v="0"/>
    <x v="21"/>
    <x v="1"/>
    <s v="Spring"/>
    <x v="0"/>
    <n v="0.46"/>
    <n v="0.29849999999999999"/>
    <x v="14"/>
    <n v="0"/>
    <n v="40"/>
    <n v="40"/>
    <s v="High"/>
    <s v="Normal"/>
    <s v="Normal"/>
    <s v="Normal"/>
  </r>
  <r>
    <x v="299"/>
    <x v="12"/>
    <b v="0"/>
    <x v="5"/>
    <n v="0.1212"/>
    <n v="2011"/>
    <x v="0"/>
    <x v="22"/>
    <x v="1"/>
    <s v="Spring"/>
    <x v="0"/>
    <n v="0.46"/>
    <n v="0.32840000000000003"/>
    <x v="14"/>
    <n v="0"/>
    <n v="30"/>
    <n v="30"/>
    <s v="High"/>
    <s v="Normal"/>
    <s v="Normal"/>
    <s v="Normal"/>
  </r>
  <r>
    <x v="300"/>
    <x v="12"/>
    <b v="0"/>
    <x v="5"/>
    <n v="0.13639999999999999"/>
    <n v="2011"/>
    <x v="0"/>
    <x v="23"/>
    <x v="1"/>
    <s v="Spring"/>
    <x v="0"/>
    <n v="0.5"/>
    <n v="0.19400000000000001"/>
    <x v="16"/>
    <n v="1"/>
    <n v="14"/>
    <n v="15"/>
    <s v="High"/>
    <s v="Normal"/>
    <s v="Normal"/>
    <s v="Normal"/>
  </r>
  <r>
    <x v="301"/>
    <x v="13"/>
    <b v="0"/>
    <x v="6"/>
    <n v="0.13639999999999999"/>
    <n v="2011"/>
    <x v="0"/>
    <x v="0"/>
    <x v="1"/>
    <s v="Spring"/>
    <x v="0"/>
    <n v="0.5"/>
    <n v="0.19400000000000001"/>
    <x v="16"/>
    <n v="0"/>
    <n v="14"/>
    <n v="14"/>
    <s v="High"/>
    <s v="Normal"/>
    <s v="Normal"/>
    <s v="Normal"/>
  </r>
  <r>
    <x v="302"/>
    <x v="13"/>
    <b v="0"/>
    <x v="6"/>
    <n v="0.1212"/>
    <n v="2011"/>
    <x v="0"/>
    <x v="1"/>
    <x v="1"/>
    <s v="Spring"/>
    <x v="0"/>
    <n v="0.54"/>
    <n v="0.16420000000000001"/>
    <x v="18"/>
    <n v="0"/>
    <n v="5"/>
    <n v="5"/>
    <s v="High"/>
    <s v="Normal"/>
    <s v="Normal"/>
    <s v="Normal"/>
  </r>
  <r>
    <x v="303"/>
    <x v="13"/>
    <b v="0"/>
    <x v="6"/>
    <n v="0.1212"/>
    <n v="2011"/>
    <x v="0"/>
    <x v="2"/>
    <x v="1"/>
    <s v="Spring"/>
    <x v="0"/>
    <n v="0.54"/>
    <n v="0.1343"/>
    <x v="18"/>
    <n v="0"/>
    <n v="1"/>
    <n v="1"/>
    <s v="High"/>
    <s v="Normal"/>
    <s v="Normal"/>
    <s v="Normal"/>
  </r>
  <r>
    <x v="304"/>
    <x v="13"/>
    <b v="0"/>
    <x v="6"/>
    <n v="0.13639999999999999"/>
    <n v="2011"/>
    <x v="0"/>
    <x v="3"/>
    <x v="1"/>
    <s v="Spring"/>
    <x v="0"/>
    <n v="0.54"/>
    <n v="0.1045"/>
    <x v="18"/>
    <n v="0"/>
    <n v="1"/>
    <n v="1"/>
    <s v="High"/>
    <s v="Normal"/>
    <s v="Normal"/>
    <s v="Normal"/>
  </r>
  <r>
    <x v="305"/>
    <x v="13"/>
    <b v="0"/>
    <x v="6"/>
    <n v="0.13639999999999999"/>
    <n v="2011"/>
    <x v="0"/>
    <x v="5"/>
    <x v="1"/>
    <s v="Spring"/>
    <x v="0"/>
    <n v="0.54"/>
    <n v="8.9599999999999999E-2"/>
    <x v="18"/>
    <n v="0"/>
    <n v="8"/>
    <n v="8"/>
    <s v="High"/>
    <s v="Normal"/>
    <s v="Normal"/>
    <s v="Normal"/>
  </r>
  <r>
    <x v="306"/>
    <x v="13"/>
    <b v="0"/>
    <x v="6"/>
    <n v="0.18179999999999999"/>
    <n v="2011"/>
    <x v="0"/>
    <x v="6"/>
    <x v="1"/>
    <s v="Spring"/>
    <x v="0"/>
    <n v="0.54"/>
    <n v="0.23"/>
    <x v="18"/>
    <n v="0"/>
    <n v="17"/>
    <n v="17"/>
    <s v="High"/>
    <s v="Normal"/>
    <s v="Normal"/>
    <s v="Normal"/>
  </r>
  <r>
    <x v="307"/>
    <x v="13"/>
    <b v="0"/>
    <x v="6"/>
    <n v="0.1212"/>
    <n v="2011"/>
    <x v="0"/>
    <x v="7"/>
    <x v="1"/>
    <s v="Spring"/>
    <x v="0"/>
    <n v="0.74"/>
    <n v="0.16420000000000001"/>
    <x v="18"/>
    <n v="0"/>
    <n v="70"/>
    <n v="70"/>
    <s v="High"/>
    <s v="Normal"/>
    <s v="Normal"/>
    <s v="Normal"/>
  </r>
  <r>
    <x v="308"/>
    <x v="13"/>
    <b v="0"/>
    <x v="6"/>
    <n v="0.16669999999999999"/>
    <n v="2011"/>
    <x v="0"/>
    <x v="8"/>
    <x v="1"/>
    <s v="Spring"/>
    <x v="0"/>
    <n v="0.68"/>
    <n v="0.23"/>
    <x v="16"/>
    <n v="2"/>
    <n v="156"/>
    <n v="158"/>
    <s v="High"/>
    <s v="Normal"/>
    <s v="Normal"/>
    <s v="Normal"/>
  </r>
  <r>
    <x v="309"/>
    <x v="13"/>
    <b v="0"/>
    <x v="6"/>
    <n v="0.1515"/>
    <n v="2011"/>
    <x v="0"/>
    <x v="9"/>
    <x v="1"/>
    <s v="Spring"/>
    <x v="0"/>
    <n v="0.69"/>
    <n v="0.1343"/>
    <x v="14"/>
    <n v="0"/>
    <n v="117"/>
    <n v="117"/>
    <s v="High"/>
    <s v="Normal"/>
    <s v="Normal"/>
    <s v="Normal"/>
  </r>
  <r>
    <x v="310"/>
    <x v="13"/>
    <b v="0"/>
    <x v="6"/>
    <n v="0.18179999999999999"/>
    <n v="2011"/>
    <x v="0"/>
    <x v="10"/>
    <x v="1"/>
    <s v="Spring"/>
    <x v="0"/>
    <n v="0.55000000000000004"/>
    <n v="0.19400000000000001"/>
    <x v="15"/>
    <n v="4"/>
    <n v="40"/>
    <n v="44"/>
    <s v="High"/>
    <s v="Normal"/>
    <s v="Normal"/>
    <s v="Normal"/>
  </r>
  <r>
    <x v="311"/>
    <x v="13"/>
    <b v="0"/>
    <x v="6"/>
    <n v="0.16669999999999999"/>
    <n v="2011"/>
    <x v="0"/>
    <x v="11"/>
    <x v="1"/>
    <s v="Spring"/>
    <x v="0"/>
    <n v="0.51"/>
    <n v="0.28360000000000002"/>
    <x v="15"/>
    <n v="6"/>
    <n v="47"/>
    <n v="53"/>
    <s v="High"/>
    <s v="Normal"/>
    <s v="Normal"/>
    <s v="Normal"/>
  </r>
  <r>
    <x v="312"/>
    <x v="13"/>
    <b v="0"/>
    <x v="6"/>
    <n v="0.19700000000000001"/>
    <n v="2011"/>
    <x v="0"/>
    <x v="12"/>
    <x v="1"/>
    <s v="Spring"/>
    <x v="0"/>
    <n v="0.44"/>
    <n v="0.25369999999999998"/>
    <x v="2"/>
    <n v="2"/>
    <n v="59"/>
    <n v="61"/>
    <s v="High"/>
    <s v="Normal"/>
    <s v="Normal"/>
    <s v="Normal"/>
  </r>
  <r>
    <x v="313"/>
    <x v="13"/>
    <b v="0"/>
    <x v="6"/>
    <n v="0.19700000000000001"/>
    <n v="2011"/>
    <x v="0"/>
    <x v="13"/>
    <x v="1"/>
    <s v="Spring"/>
    <x v="0"/>
    <n v="0.37"/>
    <n v="0.3881"/>
    <x v="1"/>
    <n v="4"/>
    <n v="73"/>
    <n v="77"/>
    <s v="High"/>
    <s v="Normal"/>
    <s v="Normal"/>
    <s v="Normal"/>
  </r>
  <r>
    <x v="314"/>
    <x v="13"/>
    <b v="0"/>
    <x v="6"/>
    <n v="0.21210000000000001"/>
    <n v="2011"/>
    <x v="0"/>
    <x v="14"/>
    <x v="1"/>
    <s v="Spring"/>
    <x v="0"/>
    <n v="0.41"/>
    <n v="0.28360000000000002"/>
    <x v="1"/>
    <n v="5"/>
    <n v="59"/>
    <n v="64"/>
    <s v="High"/>
    <s v="Normal"/>
    <s v="Normal"/>
    <s v="Normal"/>
  </r>
  <r>
    <x v="315"/>
    <x v="13"/>
    <b v="0"/>
    <x v="6"/>
    <n v="0.2424"/>
    <n v="2011"/>
    <x v="0"/>
    <x v="15"/>
    <x v="1"/>
    <s v="Spring"/>
    <x v="0"/>
    <n v="0.38"/>
    <n v="0.16420000000000001"/>
    <x v="0"/>
    <n v="9"/>
    <n v="59"/>
    <n v="68"/>
    <s v="High"/>
    <s v="Normal"/>
    <s v="Normal"/>
    <s v="Normal"/>
  </r>
  <r>
    <x v="316"/>
    <x v="13"/>
    <b v="0"/>
    <x v="6"/>
    <n v="0.2424"/>
    <n v="2011"/>
    <x v="0"/>
    <x v="16"/>
    <x v="1"/>
    <s v="Spring"/>
    <x v="0"/>
    <n v="0.41"/>
    <n v="0.1045"/>
    <x v="1"/>
    <n v="3"/>
    <n v="87"/>
    <n v="90"/>
    <s v="High"/>
    <s v="Normal"/>
    <s v="Normal"/>
    <s v="Normal"/>
  </r>
  <r>
    <x v="317"/>
    <x v="13"/>
    <b v="0"/>
    <x v="6"/>
    <n v="0.2273"/>
    <n v="2011"/>
    <x v="0"/>
    <x v="17"/>
    <x v="1"/>
    <s v="Spring"/>
    <x v="0"/>
    <n v="0.41"/>
    <n v="0.16420000000000001"/>
    <x v="1"/>
    <n v="4"/>
    <n v="155"/>
    <n v="159"/>
    <s v="High"/>
    <s v="Normal"/>
    <s v="Normal"/>
    <s v="Normal"/>
  </r>
  <r>
    <x v="318"/>
    <x v="13"/>
    <b v="0"/>
    <x v="6"/>
    <n v="0.2576"/>
    <n v="2011"/>
    <x v="0"/>
    <x v="18"/>
    <x v="1"/>
    <s v="Spring"/>
    <x v="0"/>
    <n v="0.47"/>
    <n v="0.23"/>
    <x v="2"/>
    <n v="5"/>
    <n v="134"/>
    <n v="139"/>
    <s v="High"/>
    <s v="Normal"/>
    <s v="Normal"/>
    <s v="Normal"/>
  </r>
  <r>
    <x v="319"/>
    <x v="13"/>
    <b v="0"/>
    <x v="6"/>
    <n v="0.19700000000000001"/>
    <n v="2011"/>
    <x v="0"/>
    <x v="19"/>
    <x v="1"/>
    <s v="Spring"/>
    <x v="0"/>
    <n v="0.59"/>
    <n v="8.9599999999999999E-2"/>
    <x v="13"/>
    <n v="3"/>
    <n v="89"/>
    <n v="92"/>
    <s v="High"/>
    <s v="Normal"/>
    <s v="Normal"/>
    <s v="Normal"/>
  </r>
  <r>
    <x v="320"/>
    <x v="13"/>
    <b v="0"/>
    <x v="6"/>
    <n v="0.2424"/>
    <n v="2011"/>
    <x v="0"/>
    <x v="20"/>
    <x v="1"/>
    <s v="Spring"/>
    <x v="0"/>
    <n v="0.59"/>
    <n v="0.23"/>
    <x v="15"/>
    <n v="0"/>
    <n v="68"/>
    <n v="68"/>
    <s v="High"/>
    <s v="Normal"/>
    <s v="Normal"/>
    <s v="Normal"/>
  </r>
  <r>
    <x v="321"/>
    <x v="13"/>
    <b v="0"/>
    <x v="6"/>
    <n v="0.2273"/>
    <n v="2011"/>
    <x v="0"/>
    <x v="21"/>
    <x v="1"/>
    <s v="Spring"/>
    <x v="0"/>
    <n v="0.69"/>
    <n v="0.23"/>
    <x v="13"/>
    <n v="4"/>
    <n v="48"/>
    <n v="52"/>
    <s v="High"/>
    <s v="Normal"/>
    <s v="Normal"/>
    <s v="Normal"/>
  </r>
  <r>
    <x v="322"/>
    <x v="13"/>
    <b v="0"/>
    <x v="6"/>
    <n v="0.2273"/>
    <n v="2011"/>
    <x v="0"/>
    <x v="22"/>
    <x v="1"/>
    <s v="Spring"/>
    <x v="1"/>
    <n v="0.69"/>
    <n v="0.23"/>
    <x v="13"/>
    <n v="2"/>
    <n v="34"/>
    <n v="36"/>
    <s v="High"/>
    <s v="Normal"/>
    <s v="Normal"/>
    <s v="Normal"/>
  </r>
  <r>
    <x v="323"/>
    <x v="13"/>
    <b v="0"/>
    <x v="6"/>
    <n v="0.2424"/>
    <n v="2011"/>
    <x v="0"/>
    <x v="23"/>
    <x v="1"/>
    <s v="Spring"/>
    <x v="1"/>
    <n v="0.55000000000000004"/>
    <n v="0.23"/>
    <x v="15"/>
    <n v="1"/>
    <n v="26"/>
    <n v="27"/>
    <s v="High"/>
    <s v="Normal"/>
    <s v="Normal"/>
    <s v="Normal"/>
  </r>
  <r>
    <x v="324"/>
    <x v="14"/>
    <b v="0"/>
    <x v="0"/>
    <n v="0.2424"/>
    <n v="2011"/>
    <x v="0"/>
    <x v="0"/>
    <x v="0"/>
    <s v="Spring"/>
    <x v="0"/>
    <n v="0.55000000000000004"/>
    <n v="0.23"/>
    <x v="15"/>
    <n v="3"/>
    <n v="25"/>
    <n v="28"/>
    <s v="High"/>
    <s v="Normal"/>
    <s v="Normal"/>
    <s v="Normal"/>
  </r>
  <r>
    <x v="325"/>
    <x v="14"/>
    <b v="0"/>
    <x v="0"/>
    <n v="0.19700000000000001"/>
    <n v="2011"/>
    <x v="0"/>
    <x v="1"/>
    <x v="0"/>
    <s v="Spring"/>
    <x v="1"/>
    <n v="0.59"/>
    <n v="8.9599999999999999E-2"/>
    <x v="13"/>
    <n v="2"/>
    <n v="18"/>
    <n v="20"/>
    <s v="High"/>
    <s v="Normal"/>
    <s v="Normal"/>
    <s v="Normal"/>
  </r>
  <r>
    <x v="326"/>
    <x v="14"/>
    <b v="0"/>
    <x v="0"/>
    <n v="0.19700000000000001"/>
    <n v="2011"/>
    <x v="0"/>
    <x v="2"/>
    <x v="0"/>
    <s v="Spring"/>
    <x v="1"/>
    <n v="0.59"/>
    <n v="8.9599999999999999E-2"/>
    <x v="13"/>
    <n v="0"/>
    <n v="12"/>
    <n v="12"/>
    <s v="High"/>
    <s v="Normal"/>
    <s v="Normal"/>
    <s v="Normal"/>
  </r>
  <r>
    <x v="327"/>
    <x v="14"/>
    <b v="0"/>
    <x v="0"/>
    <n v="0.2273"/>
    <n v="2011"/>
    <x v="0"/>
    <x v="3"/>
    <x v="0"/>
    <s v="Spring"/>
    <x v="1"/>
    <n v="0.59"/>
    <n v="0.23"/>
    <x v="13"/>
    <n v="1"/>
    <n v="7"/>
    <n v="8"/>
    <s v="High"/>
    <s v="Normal"/>
    <s v="Normal"/>
    <s v="Normal"/>
  </r>
  <r>
    <x v="328"/>
    <x v="14"/>
    <b v="0"/>
    <x v="0"/>
    <n v="0.2273"/>
    <n v="2011"/>
    <x v="0"/>
    <x v="4"/>
    <x v="0"/>
    <s v="Spring"/>
    <x v="1"/>
    <n v="0.59"/>
    <n v="0.23"/>
    <x v="13"/>
    <n v="0"/>
    <n v="5"/>
    <n v="5"/>
    <s v="High"/>
    <s v="Normal"/>
    <s v="Normal"/>
    <s v="Normal"/>
  </r>
  <r>
    <x v="329"/>
    <x v="14"/>
    <b v="0"/>
    <x v="0"/>
    <n v="0.2273"/>
    <n v="2011"/>
    <x v="0"/>
    <x v="5"/>
    <x v="0"/>
    <s v="Spring"/>
    <x v="0"/>
    <n v="0.59"/>
    <n v="0.23"/>
    <x v="13"/>
    <n v="0"/>
    <n v="1"/>
    <n v="1"/>
    <s v="High"/>
    <s v="Normal"/>
    <s v="Normal"/>
    <s v="Normal"/>
  </r>
  <r>
    <x v="330"/>
    <x v="14"/>
    <b v="0"/>
    <x v="0"/>
    <n v="0.16669999999999999"/>
    <n v="2011"/>
    <x v="0"/>
    <x v="6"/>
    <x v="0"/>
    <s v="Spring"/>
    <x v="0"/>
    <n v="0.63"/>
    <n v="0.1045"/>
    <x v="14"/>
    <n v="1"/>
    <n v="2"/>
    <n v="3"/>
    <s v="High"/>
    <s v="Normal"/>
    <s v="Normal"/>
    <s v="Normal"/>
  </r>
  <r>
    <x v="331"/>
    <x v="14"/>
    <b v="0"/>
    <x v="0"/>
    <n v="0.21210000000000001"/>
    <n v="2011"/>
    <x v="0"/>
    <x v="7"/>
    <x v="0"/>
    <s v="Spring"/>
    <x v="0"/>
    <n v="0.63"/>
    <n v="0.23"/>
    <x v="14"/>
    <n v="1"/>
    <n v="9"/>
    <n v="10"/>
    <s v="High"/>
    <s v="Normal"/>
    <s v="Normal"/>
    <s v="Normal"/>
  </r>
  <r>
    <x v="332"/>
    <x v="14"/>
    <b v="0"/>
    <x v="0"/>
    <n v="0.1515"/>
    <n v="2011"/>
    <x v="0"/>
    <x v="8"/>
    <x v="0"/>
    <s v="Spring"/>
    <x v="0"/>
    <n v="0.63"/>
    <n v="0.1343"/>
    <x v="14"/>
    <n v="1"/>
    <n v="22"/>
    <n v="23"/>
    <s v="High"/>
    <s v="Normal"/>
    <s v="Normal"/>
    <s v="Normal"/>
  </r>
  <r>
    <x v="333"/>
    <x v="14"/>
    <b v="0"/>
    <x v="0"/>
    <n v="0.18179999999999999"/>
    <n v="2011"/>
    <x v="0"/>
    <x v="9"/>
    <x v="0"/>
    <s v="Spring"/>
    <x v="0"/>
    <n v="0.64"/>
    <n v="0.1343"/>
    <x v="13"/>
    <n v="2"/>
    <n v="31"/>
    <n v="33"/>
    <s v="High"/>
    <s v="Normal"/>
    <s v="Normal"/>
    <s v="Normal"/>
  </r>
  <r>
    <x v="334"/>
    <x v="14"/>
    <b v="0"/>
    <x v="0"/>
    <n v="0.19700000000000001"/>
    <n v="2011"/>
    <x v="0"/>
    <x v="10"/>
    <x v="0"/>
    <s v="Spring"/>
    <x v="0"/>
    <n v="0.59"/>
    <n v="0.16420000000000001"/>
    <x v="15"/>
    <n v="2"/>
    <n v="57"/>
    <n v="59"/>
    <s v="High"/>
    <s v="Normal"/>
    <s v="Normal"/>
    <s v="Normal"/>
  </r>
  <r>
    <x v="335"/>
    <x v="14"/>
    <b v="0"/>
    <x v="0"/>
    <n v="0.19700000000000001"/>
    <n v="2011"/>
    <x v="0"/>
    <x v="11"/>
    <x v="0"/>
    <s v="Spring"/>
    <x v="0"/>
    <n v="0.55000000000000004"/>
    <n v="0.22389999999999999"/>
    <x v="2"/>
    <n v="18"/>
    <n v="54"/>
    <n v="72"/>
    <s v="High"/>
    <s v="Normal"/>
    <s v="Normal"/>
    <s v="Normal"/>
  </r>
  <r>
    <x v="336"/>
    <x v="14"/>
    <b v="0"/>
    <x v="0"/>
    <n v="0.2273"/>
    <n v="2011"/>
    <x v="0"/>
    <x v="12"/>
    <x v="0"/>
    <s v="Spring"/>
    <x v="0"/>
    <n v="0.48"/>
    <n v="0.22389999999999999"/>
    <x v="0"/>
    <n v="15"/>
    <n v="74"/>
    <n v="89"/>
    <s v="High"/>
    <s v="Normal"/>
    <s v="Normal"/>
    <s v="Normal"/>
  </r>
  <r>
    <x v="337"/>
    <x v="14"/>
    <b v="0"/>
    <x v="0"/>
    <n v="0.2576"/>
    <n v="2011"/>
    <x v="0"/>
    <x v="13"/>
    <x v="0"/>
    <s v="Spring"/>
    <x v="0"/>
    <n v="0.38"/>
    <n v="0.29849999999999999"/>
    <x v="17"/>
    <n v="21"/>
    <n v="80"/>
    <n v="101"/>
    <s v="High"/>
    <s v="Normal"/>
    <s v="Normal"/>
    <s v="Normal"/>
  </r>
  <r>
    <x v="338"/>
    <x v="14"/>
    <b v="0"/>
    <x v="0"/>
    <n v="0.28789999999999999"/>
    <n v="2011"/>
    <x v="0"/>
    <x v="14"/>
    <x v="0"/>
    <s v="Spring"/>
    <x v="0"/>
    <n v="0.39"/>
    <n v="0.28360000000000002"/>
    <x v="11"/>
    <n v="26"/>
    <n v="92"/>
    <n v="118"/>
    <s v="High"/>
    <s v="Normal"/>
    <s v="Normal"/>
    <s v="Normal"/>
  </r>
  <r>
    <x v="339"/>
    <x v="14"/>
    <b v="0"/>
    <x v="0"/>
    <n v="0.31819999999999998"/>
    <n v="2011"/>
    <x v="0"/>
    <x v="15"/>
    <x v="0"/>
    <s v="Spring"/>
    <x v="1"/>
    <n v="0.36"/>
    <n v="0.19400000000000001"/>
    <x v="3"/>
    <n v="21"/>
    <n v="108"/>
    <n v="129"/>
    <s v="High"/>
    <s v="Normal"/>
    <s v="Normal"/>
    <s v="Normal"/>
  </r>
  <r>
    <x v="340"/>
    <x v="14"/>
    <b v="0"/>
    <x v="0"/>
    <n v="0.33329999999999999"/>
    <n v="2011"/>
    <x v="0"/>
    <x v="16"/>
    <x v="0"/>
    <s v="Spring"/>
    <x v="1"/>
    <n v="0.34"/>
    <n v="0.19400000000000001"/>
    <x v="10"/>
    <n v="33"/>
    <n v="95"/>
    <n v="128"/>
    <s v="High"/>
    <s v="Normal"/>
    <s v="Normal"/>
    <s v="Normal"/>
  </r>
  <r>
    <x v="341"/>
    <x v="14"/>
    <b v="0"/>
    <x v="0"/>
    <n v="0.30299999999999999"/>
    <n v="2011"/>
    <x v="0"/>
    <x v="17"/>
    <x v="0"/>
    <s v="Spring"/>
    <x v="1"/>
    <n v="0.36"/>
    <n v="0.28360000000000002"/>
    <x v="3"/>
    <n v="29"/>
    <n v="54"/>
    <n v="83"/>
    <s v="High"/>
    <s v="Normal"/>
    <s v="Normal"/>
    <s v="Normal"/>
  </r>
  <r>
    <x v="342"/>
    <x v="14"/>
    <b v="0"/>
    <x v="0"/>
    <n v="0.28789999999999999"/>
    <n v="2011"/>
    <x v="0"/>
    <x v="18"/>
    <x v="0"/>
    <s v="Spring"/>
    <x v="1"/>
    <n v="0.45"/>
    <n v="0.25369999999999998"/>
    <x v="11"/>
    <n v="15"/>
    <n v="69"/>
    <n v="84"/>
    <s v="High"/>
    <s v="Normal"/>
    <s v="Normal"/>
    <s v="Normal"/>
  </r>
  <r>
    <x v="343"/>
    <x v="14"/>
    <b v="0"/>
    <x v="0"/>
    <n v="0.30299999999999999"/>
    <n v="2011"/>
    <x v="0"/>
    <x v="19"/>
    <x v="0"/>
    <s v="Spring"/>
    <x v="1"/>
    <n v="0.39"/>
    <n v="0.25369999999999998"/>
    <x v="3"/>
    <n v="14"/>
    <n v="60"/>
    <n v="74"/>
    <s v="High"/>
    <s v="Normal"/>
    <s v="Normal"/>
    <s v="Normal"/>
  </r>
  <r>
    <x v="344"/>
    <x v="14"/>
    <b v="0"/>
    <x v="0"/>
    <n v="0.30299999999999999"/>
    <n v="2011"/>
    <x v="0"/>
    <x v="20"/>
    <x v="0"/>
    <s v="Spring"/>
    <x v="1"/>
    <n v="0.39"/>
    <n v="0.25369999999999998"/>
    <x v="3"/>
    <n v="6"/>
    <n v="35"/>
    <n v="41"/>
    <s v="High"/>
    <s v="Normal"/>
    <s v="Normal"/>
    <s v="Normal"/>
  </r>
  <r>
    <x v="345"/>
    <x v="14"/>
    <b v="0"/>
    <x v="0"/>
    <n v="0.30299999999999999"/>
    <n v="2011"/>
    <x v="0"/>
    <x v="21"/>
    <x v="0"/>
    <s v="Spring"/>
    <x v="1"/>
    <n v="0.39"/>
    <n v="0.22389999999999999"/>
    <x v="3"/>
    <n v="6"/>
    <n v="51"/>
    <n v="57"/>
    <s v="High"/>
    <s v="Normal"/>
    <s v="Normal"/>
    <s v="Normal"/>
  </r>
  <r>
    <x v="346"/>
    <x v="14"/>
    <b v="0"/>
    <x v="0"/>
    <n v="0.31819999999999998"/>
    <n v="2011"/>
    <x v="0"/>
    <x v="22"/>
    <x v="0"/>
    <s v="Spring"/>
    <x v="1"/>
    <n v="0.42"/>
    <n v="0.1045"/>
    <x v="11"/>
    <n v="0"/>
    <n v="26"/>
    <n v="26"/>
    <s v="High"/>
    <s v="Normal"/>
    <s v="Normal"/>
    <s v="Normal"/>
  </r>
  <r>
    <x v="347"/>
    <x v="14"/>
    <b v="0"/>
    <x v="0"/>
    <n v="0.28789999999999999"/>
    <n v="2011"/>
    <x v="0"/>
    <x v="23"/>
    <x v="0"/>
    <s v="Spring"/>
    <x v="0"/>
    <n v="0.45"/>
    <n v="0.28360000000000002"/>
    <x v="11"/>
    <n v="5"/>
    <n v="39"/>
    <n v="44"/>
    <s v="High"/>
    <s v="Normal"/>
    <s v="Normal"/>
    <s v="Normal"/>
  </r>
  <r>
    <x v="348"/>
    <x v="15"/>
    <b v="0"/>
    <x v="1"/>
    <n v="0.30299999999999999"/>
    <n v="2011"/>
    <x v="0"/>
    <x v="0"/>
    <x v="0"/>
    <s v="Spring"/>
    <x v="0"/>
    <n v="0.56000000000000005"/>
    <n v="0.23"/>
    <x v="12"/>
    <n v="6"/>
    <n v="33"/>
    <n v="39"/>
    <s v="High"/>
    <s v="Normal"/>
    <s v="Normal"/>
    <s v="Normal"/>
  </r>
  <r>
    <x v="349"/>
    <x v="15"/>
    <b v="0"/>
    <x v="1"/>
    <n v="0.2727"/>
    <n v="2011"/>
    <x v="0"/>
    <x v="1"/>
    <x v="0"/>
    <s v="Spring"/>
    <x v="0"/>
    <n v="0.56000000000000005"/>
    <n v="0.1343"/>
    <x v="12"/>
    <n v="4"/>
    <n v="19"/>
    <n v="23"/>
    <s v="High"/>
    <s v="Normal"/>
    <s v="Normal"/>
    <s v="Normal"/>
  </r>
  <r>
    <x v="350"/>
    <x v="15"/>
    <b v="0"/>
    <x v="1"/>
    <n v="0.28789999999999999"/>
    <n v="2011"/>
    <x v="0"/>
    <x v="2"/>
    <x v="0"/>
    <s v="Spring"/>
    <x v="0"/>
    <n v="0.56000000000000005"/>
    <n v="8.9599999999999999E-2"/>
    <x v="12"/>
    <n v="3"/>
    <n v="13"/>
    <n v="16"/>
    <s v="High"/>
    <s v="Normal"/>
    <s v="Normal"/>
    <s v="Normal"/>
  </r>
  <r>
    <x v="351"/>
    <x v="15"/>
    <b v="0"/>
    <x v="1"/>
    <n v="0.2727"/>
    <n v="2011"/>
    <x v="0"/>
    <x v="3"/>
    <x v="0"/>
    <s v="Spring"/>
    <x v="0"/>
    <n v="0.69"/>
    <n v="0.23"/>
    <x v="1"/>
    <n v="9"/>
    <n v="6"/>
    <n v="15"/>
    <s v="High"/>
    <s v="Normal"/>
    <s v="Normal"/>
    <s v="Normal"/>
  </r>
  <r>
    <x v="352"/>
    <x v="15"/>
    <b v="0"/>
    <x v="1"/>
    <n v="0.2576"/>
    <n v="2011"/>
    <x v="0"/>
    <x v="4"/>
    <x v="0"/>
    <s v="Spring"/>
    <x v="0"/>
    <n v="0.56000000000000005"/>
    <n v="0.16420000000000001"/>
    <x v="12"/>
    <n v="0"/>
    <n v="1"/>
    <n v="1"/>
    <s v="High"/>
    <s v="Normal"/>
    <s v="Normal"/>
    <s v="Normal"/>
  </r>
  <r>
    <x v="353"/>
    <x v="15"/>
    <b v="0"/>
    <x v="1"/>
    <n v="0.2576"/>
    <n v="2011"/>
    <x v="0"/>
    <x v="5"/>
    <x v="0"/>
    <s v="Spring"/>
    <x v="1"/>
    <n v="0.56000000000000005"/>
    <n v="0.16420000000000001"/>
    <x v="12"/>
    <n v="1"/>
    <n v="1"/>
    <n v="2"/>
    <s v="High"/>
    <s v="Normal"/>
    <s v="Normal"/>
    <s v="Normal"/>
  </r>
  <r>
    <x v="354"/>
    <x v="15"/>
    <b v="0"/>
    <x v="1"/>
    <n v="0.2576"/>
    <n v="2011"/>
    <x v="0"/>
    <x v="6"/>
    <x v="0"/>
    <s v="Spring"/>
    <x v="1"/>
    <n v="0.56000000000000005"/>
    <n v="0.16420000000000001"/>
    <x v="12"/>
    <n v="0"/>
    <n v="1"/>
    <n v="1"/>
    <s v="High"/>
    <s v="Normal"/>
    <s v="Normal"/>
    <s v="Normal"/>
  </r>
  <r>
    <x v="355"/>
    <x v="15"/>
    <b v="0"/>
    <x v="1"/>
    <n v="0.21210000000000001"/>
    <n v="2011"/>
    <x v="0"/>
    <x v="7"/>
    <x v="0"/>
    <s v="Spring"/>
    <x v="1"/>
    <n v="0.56000000000000005"/>
    <n v="0.29849999999999999"/>
    <x v="0"/>
    <n v="0"/>
    <n v="3"/>
    <n v="3"/>
    <s v="High"/>
    <s v="Normal"/>
    <s v="Normal"/>
    <s v="Normal"/>
  </r>
  <r>
    <x v="356"/>
    <x v="15"/>
    <b v="0"/>
    <x v="1"/>
    <n v="0.21210000000000001"/>
    <n v="2011"/>
    <x v="0"/>
    <x v="8"/>
    <x v="0"/>
    <s v="Spring"/>
    <x v="0"/>
    <n v="0.55000000000000004"/>
    <n v="0.28360000000000002"/>
    <x v="1"/>
    <n v="0"/>
    <n v="18"/>
    <n v="18"/>
    <s v="High"/>
    <s v="Normal"/>
    <s v="Normal"/>
    <s v="Normal"/>
  </r>
  <r>
    <x v="357"/>
    <x v="15"/>
    <b v="0"/>
    <x v="1"/>
    <n v="0.21210000000000001"/>
    <n v="2011"/>
    <x v="0"/>
    <x v="9"/>
    <x v="0"/>
    <s v="Spring"/>
    <x v="0"/>
    <n v="0.51"/>
    <n v="0.25369999999999998"/>
    <x v="1"/>
    <n v="3"/>
    <n v="29"/>
    <n v="32"/>
    <s v="High"/>
    <s v="Normal"/>
    <s v="Normal"/>
    <s v="Normal"/>
  </r>
  <r>
    <x v="358"/>
    <x v="15"/>
    <b v="0"/>
    <x v="1"/>
    <n v="0.21210000000000001"/>
    <n v="2011"/>
    <x v="0"/>
    <x v="10"/>
    <x v="0"/>
    <s v="Spring"/>
    <x v="0"/>
    <n v="0.51"/>
    <n v="0.28360000000000002"/>
    <x v="1"/>
    <n v="8"/>
    <n v="71"/>
    <n v="79"/>
    <s v="High"/>
    <s v="Normal"/>
    <s v="Normal"/>
    <s v="Normal"/>
  </r>
  <r>
    <x v="359"/>
    <x v="15"/>
    <b v="0"/>
    <x v="1"/>
    <n v="0.2273"/>
    <n v="2011"/>
    <x v="0"/>
    <x v="11"/>
    <x v="0"/>
    <s v="Spring"/>
    <x v="0"/>
    <n v="0.44"/>
    <n v="0.25369999999999998"/>
    <x v="0"/>
    <n v="23"/>
    <n v="70"/>
    <n v="93"/>
    <s v="High"/>
    <s v="Normal"/>
    <s v="Normal"/>
    <s v="Normal"/>
  </r>
  <r>
    <x v="360"/>
    <x v="15"/>
    <b v="0"/>
    <x v="1"/>
    <n v="0.21210000000000001"/>
    <n v="2011"/>
    <x v="0"/>
    <x v="12"/>
    <x v="0"/>
    <s v="Spring"/>
    <x v="0"/>
    <n v="0.41"/>
    <n v="0.28360000000000002"/>
    <x v="0"/>
    <n v="29"/>
    <n v="75"/>
    <n v="104"/>
    <s v="High"/>
    <s v="Normal"/>
    <s v="Normal"/>
    <s v="Normal"/>
  </r>
  <r>
    <x v="361"/>
    <x v="15"/>
    <b v="0"/>
    <x v="1"/>
    <n v="0.2273"/>
    <n v="2011"/>
    <x v="0"/>
    <x v="13"/>
    <x v="0"/>
    <s v="Spring"/>
    <x v="0"/>
    <n v="0.35"/>
    <n v="0.29849999999999999"/>
    <x v="12"/>
    <n v="23"/>
    <n v="95"/>
    <n v="118"/>
    <s v="High"/>
    <s v="Normal"/>
    <s v="Normal"/>
    <s v="Normal"/>
  </r>
  <r>
    <x v="362"/>
    <x v="15"/>
    <b v="0"/>
    <x v="1"/>
    <n v="0.2727"/>
    <n v="2011"/>
    <x v="0"/>
    <x v="14"/>
    <x v="0"/>
    <s v="Spring"/>
    <x v="0"/>
    <n v="0.36"/>
    <n v="0.25369999999999998"/>
    <x v="17"/>
    <n v="22"/>
    <n v="69"/>
    <n v="91"/>
    <s v="High"/>
    <s v="Normal"/>
    <s v="Normal"/>
    <s v="Normal"/>
  </r>
  <r>
    <x v="363"/>
    <x v="15"/>
    <b v="0"/>
    <x v="1"/>
    <n v="0.2424"/>
    <n v="2011"/>
    <x v="0"/>
    <x v="15"/>
    <x v="0"/>
    <s v="Spring"/>
    <x v="0"/>
    <n v="0.38"/>
    <n v="0.25369999999999998"/>
    <x v="12"/>
    <n v="35"/>
    <n v="78"/>
    <n v="113"/>
    <s v="High"/>
    <s v="Normal"/>
    <s v="Normal"/>
    <s v="Normal"/>
  </r>
  <r>
    <x v="364"/>
    <x v="15"/>
    <b v="0"/>
    <x v="1"/>
    <n v="0.2273"/>
    <n v="2011"/>
    <x v="0"/>
    <x v="16"/>
    <x v="0"/>
    <s v="Spring"/>
    <x v="0"/>
    <n v="0.38"/>
    <n v="0.22389999999999999"/>
    <x v="0"/>
    <n v="22"/>
    <n v="77"/>
    <n v="99"/>
    <s v="High"/>
    <s v="Normal"/>
    <s v="Normal"/>
    <s v="Normal"/>
  </r>
  <r>
    <x v="365"/>
    <x v="15"/>
    <b v="0"/>
    <x v="1"/>
    <n v="0.21210000000000001"/>
    <n v="2011"/>
    <x v="0"/>
    <x v="17"/>
    <x v="0"/>
    <s v="Spring"/>
    <x v="0"/>
    <n v="0.37"/>
    <n v="0.25369999999999998"/>
    <x v="1"/>
    <n v="23"/>
    <n v="82"/>
    <n v="105"/>
    <s v="High"/>
    <s v="Normal"/>
    <s v="Normal"/>
    <s v="Normal"/>
  </r>
  <r>
    <x v="366"/>
    <x v="15"/>
    <b v="0"/>
    <x v="1"/>
    <n v="0.21210000000000001"/>
    <n v="2011"/>
    <x v="0"/>
    <x v="18"/>
    <x v="0"/>
    <s v="Spring"/>
    <x v="0"/>
    <n v="0.4"/>
    <n v="0.16420000000000001"/>
    <x v="2"/>
    <n v="11"/>
    <n v="56"/>
    <n v="67"/>
    <s v="High"/>
    <s v="Normal"/>
    <s v="Normal"/>
    <s v="Normal"/>
  </r>
  <r>
    <x v="367"/>
    <x v="15"/>
    <b v="0"/>
    <x v="1"/>
    <n v="0.19700000000000001"/>
    <n v="2011"/>
    <x v="0"/>
    <x v="19"/>
    <x v="0"/>
    <s v="Spring"/>
    <x v="0"/>
    <n v="0.47"/>
    <n v="0.1343"/>
    <x v="15"/>
    <n v="14"/>
    <n v="47"/>
    <n v="61"/>
    <s v="High"/>
    <s v="Normal"/>
    <s v="Normal"/>
    <s v="Normal"/>
  </r>
  <r>
    <x v="368"/>
    <x v="15"/>
    <b v="0"/>
    <x v="1"/>
    <n v="0.19700000000000001"/>
    <n v="2011"/>
    <x v="0"/>
    <x v="20"/>
    <x v="0"/>
    <s v="Spring"/>
    <x v="0"/>
    <n v="0.47"/>
    <n v="0.16420000000000001"/>
    <x v="15"/>
    <n v="7"/>
    <n v="50"/>
    <n v="57"/>
    <s v="High"/>
    <s v="Normal"/>
    <s v="Normal"/>
    <s v="Normal"/>
  </r>
  <r>
    <x v="369"/>
    <x v="15"/>
    <b v="0"/>
    <x v="1"/>
    <n v="0.19700000000000001"/>
    <n v="2011"/>
    <x v="0"/>
    <x v="21"/>
    <x v="0"/>
    <s v="Spring"/>
    <x v="0"/>
    <n v="0.51"/>
    <n v="0.16420000000000001"/>
    <x v="15"/>
    <n v="6"/>
    <n v="22"/>
    <n v="28"/>
    <s v="High"/>
    <s v="Normal"/>
    <s v="Normal"/>
    <s v="Normal"/>
  </r>
  <r>
    <x v="370"/>
    <x v="15"/>
    <b v="0"/>
    <x v="1"/>
    <n v="0.21210000000000001"/>
    <n v="2011"/>
    <x v="0"/>
    <x v="22"/>
    <x v="0"/>
    <s v="Spring"/>
    <x v="1"/>
    <n v="0.49"/>
    <n v="0.1343"/>
    <x v="2"/>
    <n v="2"/>
    <n v="19"/>
    <n v="21"/>
    <s v="High"/>
    <s v="Normal"/>
    <s v="Normal"/>
    <s v="Normal"/>
  </r>
  <r>
    <x v="371"/>
    <x v="15"/>
    <b v="0"/>
    <x v="1"/>
    <n v="0.2273"/>
    <n v="2011"/>
    <x v="0"/>
    <x v="23"/>
    <x v="0"/>
    <s v="Spring"/>
    <x v="1"/>
    <n v="0.4"/>
    <n v="0.1045"/>
    <x v="2"/>
    <n v="0"/>
    <n v="18"/>
    <n v="18"/>
    <s v="High"/>
    <s v="Normal"/>
    <s v="Normal"/>
    <s v="Normal"/>
  </r>
  <r>
    <x v="372"/>
    <x v="16"/>
    <b v="1"/>
    <x v="2"/>
    <n v="0.19700000000000001"/>
    <n v="2011"/>
    <x v="0"/>
    <x v="0"/>
    <x v="1"/>
    <s v="Spring"/>
    <x v="1"/>
    <n v="0.47"/>
    <n v="0.22389999999999999"/>
    <x v="2"/>
    <n v="1"/>
    <n v="16"/>
    <n v="17"/>
    <s v="High"/>
    <s v="Normal"/>
    <s v="Normal"/>
    <s v="Normal"/>
  </r>
  <r>
    <x v="373"/>
    <x v="16"/>
    <b v="1"/>
    <x v="2"/>
    <n v="0.19700000000000001"/>
    <n v="2011"/>
    <x v="0"/>
    <x v="1"/>
    <x v="1"/>
    <s v="Spring"/>
    <x v="1"/>
    <n v="0.44"/>
    <n v="0.19400000000000001"/>
    <x v="2"/>
    <n v="1"/>
    <n v="15"/>
    <n v="16"/>
    <s v="High"/>
    <s v="Normal"/>
    <s v="Normal"/>
    <s v="Normal"/>
  </r>
  <r>
    <x v="374"/>
    <x v="16"/>
    <b v="1"/>
    <x v="2"/>
    <n v="0.16669999999999999"/>
    <n v="2011"/>
    <x v="0"/>
    <x v="2"/>
    <x v="1"/>
    <s v="Spring"/>
    <x v="1"/>
    <n v="0.43"/>
    <n v="0.25369999999999998"/>
    <x v="15"/>
    <n v="0"/>
    <n v="8"/>
    <n v="8"/>
    <s v="High"/>
    <s v="Normal"/>
    <s v="Normal"/>
    <s v="Normal"/>
  </r>
  <r>
    <x v="375"/>
    <x v="16"/>
    <b v="1"/>
    <x v="2"/>
    <n v="0.18179999999999999"/>
    <n v="2011"/>
    <x v="0"/>
    <x v="3"/>
    <x v="1"/>
    <s v="Spring"/>
    <x v="1"/>
    <n v="0.43"/>
    <n v="0.19400000000000001"/>
    <x v="15"/>
    <n v="0"/>
    <n v="2"/>
    <n v="2"/>
    <s v="High"/>
    <s v="Normal"/>
    <s v="Normal"/>
    <s v="Normal"/>
  </r>
  <r>
    <x v="376"/>
    <x v="16"/>
    <b v="1"/>
    <x v="2"/>
    <n v="0.19700000000000001"/>
    <n v="2011"/>
    <x v="0"/>
    <x v="4"/>
    <x v="1"/>
    <s v="Spring"/>
    <x v="1"/>
    <n v="0.43"/>
    <n v="0.1343"/>
    <x v="15"/>
    <n v="1"/>
    <n v="2"/>
    <n v="3"/>
    <s v="High"/>
    <s v="Normal"/>
    <s v="Normal"/>
    <s v="Normal"/>
  </r>
  <r>
    <x v="377"/>
    <x v="16"/>
    <b v="1"/>
    <x v="2"/>
    <n v="0.19700000000000001"/>
    <n v="2011"/>
    <x v="0"/>
    <x v="5"/>
    <x v="1"/>
    <s v="Spring"/>
    <x v="1"/>
    <n v="0.43"/>
    <n v="0.16420000000000001"/>
    <x v="15"/>
    <n v="0"/>
    <n v="1"/>
    <n v="1"/>
    <s v="High"/>
    <s v="Normal"/>
    <s v="Normal"/>
    <s v="Normal"/>
  </r>
  <r>
    <x v="378"/>
    <x v="16"/>
    <b v="1"/>
    <x v="2"/>
    <n v="0.18179999999999999"/>
    <n v="2011"/>
    <x v="0"/>
    <x v="6"/>
    <x v="1"/>
    <s v="Spring"/>
    <x v="1"/>
    <n v="0.43"/>
    <n v="0.19400000000000001"/>
    <x v="15"/>
    <n v="0"/>
    <n v="5"/>
    <n v="5"/>
    <s v="High"/>
    <s v="Normal"/>
    <s v="Normal"/>
    <s v="Normal"/>
  </r>
  <r>
    <x v="379"/>
    <x v="16"/>
    <b v="1"/>
    <x v="2"/>
    <n v="0.18179999999999999"/>
    <n v="2011"/>
    <x v="0"/>
    <x v="7"/>
    <x v="1"/>
    <s v="Spring"/>
    <x v="1"/>
    <n v="0.5"/>
    <n v="0.1343"/>
    <x v="13"/>
    <n v="4"/>
    <n v="9"/>
    <n v="13"/>
    <s v="High"/>
    <s v="Normal"/>
    <s v="Normal"/>
    <s v="Normal"/>
  </r>
  <r>
    <x v="380"/>
    <x v="16"/>
    <b v="1"/>
    <x v="2"/>
    <n v="0.1515"/>
    <n v="2011"/>
    <x v="0"/>
    <x v="8"/>
    <x v="1"/>
    <s v="Spring"/>
    <x v="1"/>
    <n v="0.47"/>
    <n v="0.22389999999999999"/>
    <x v="13"/>
    <n v="3"/>
    <n v="30"/>
    <n v="33"/>
    <s v="High"/>
    <s v="Normal"/>
    <s v="Normal"/>
    <s v="Normal"/>
  </r>
  <r>
    <x v="381"/>
    <x v="16"/>
    <b v="1"/>
    <x v="2"/>
    <n v="0.1515"/>
    <n v="2011"/>
    <x v="0"/>
    <x v="9"/>
    <x v="1"/>
    <s v="Spring"/>
    <x v="1"/>
    <n v="0.47"/>
    <n v="0.22389999999999999"/>
    <x v="13"/>
    <n v="8"/>
    <n v="39"/>
    <n v="47"/>
    <s v="High"/>
    <s v="Normal"/>
    <s v="Normal"/>
    <s v="Normal"/>
  </r>
  <r>
    <x v="382"/>
    <x v="16"/>
    <b v="1"/>
    <x v="2"/>
    <n v="0.1515"/>
    <n v="2011"/>
    <x v="0"/>
    <x v="10"/>
    <x v="1"/>
    <s v="Spring"/>
    <x v="1"/>
    <n v="0.5"/>
    <n v="0.25369999999999998"/>
    <x v="13"/>
    <n v="7"/>
    <n v="50"/>
    <n v="57"/>
    <s v="High"/>
    <s v="Normal"/>
    <s v="Normal"/>
    <s v="Normal"/>
  </r>
  <r>
    <x v="383"/>
    <x v="16"/>
    <b v="1"/>
    <x v="2"/>
    <n v="0.1515"/>
    <n v="2011"/>
    <x v="0"/>
    <x v="11"/>
    <x v="1"/>
    <s v="Spring"/>
    <x v="1"/>
    <n v="0.55000000000000004"/>
    <n v="0.19400000000000001"/>
    <x v="13"/>
    <n v="9"/>
    <n v="55"/>
    <n v="64"/>
    <s v="High"/>
    <s v="Normal"/>
    <s v="Normal"/>
    <s v="Normal"/>
  </r>
  <r>
    <x v="384"/>
    <x v="16"/>
    <b v="1"/>
    <x v="2"/>
    <n v="0.19700000000000001"/>
    <n v="2011"/>
    <x v="0"/>
    <x v="12"/>
    <x v="1"/>
    <s v="Spring"/>
    <x v="1"/>
    <n v="0.47"/>
    <n v="0.1343"/>
    <x v="15"/>
    <n v="10"/>
    <n v="70"/>
    <n v="80"/>
    <s v="High"/>
    <s v="Normal"/>
    <s v="Normal"/>
    <s v="Normal"/>
  </r>
  <r>
    <x v="385"/>
    <x v="16"/>
    <b v="1"/>
    <x v="2"/>
    <n v="0.19700000000000001"/>
    <n v="2011"/>
    <x v="0"/>
    <x v="13"/>
    <x v="1"/>
    <s v="Spring"/>
    <x v="1"/>
    <n v="0.47"/>
    <n v="0.1343"/>
    <x v="15"/>
    <n v="13"/>
    <n v="80"/>
    <n v="93"/>
    <s v="High"/>
    <s v="Normal"/>
    <s v="Normal"/>
    <s v="Normal"/>
  </r>
  <r>
    <x v="386"/>
    <x v="16"/>
    <b v="1"/>
    <x v="2"/>
    <n v="0.21210000000000001"/>
    <n v="2011"/>
    <x v="0"/>
    <x v="14"/>
    <x v="1"/>
    <s v="Spring"/>
    <x v="1"/>
    <n v="0.43"/>
    <n v="0.1045"/>
    <x v="15"/>
    <n v="12"/>
    <n v="74"/>
    <n v="86"/>
    <s v="High"/>
    <s v="Normal"/>
    <s v="Normal"/>
    <s v="Normal"/>
  </r>
  <r>
    <x v="387"/>
    <x v="16"/>
    <b v="1"/>
    <x v="2"/>
    <n v="0.21210000000000001"/>
    <n v="2011"/>
    <x v="0"/>
    <x v="15"/>
    <x v="1"/>
    <s v="Spring"/>
    <x v="1"/>
    <n v="0.47"/>
    <n v="0.16420000000000001"/>
    <x v="2"/>
    <n v="21"/>
    <n v="72"/>
    <n v="93"/>
    <s v="High"/>
    <s v="Normal"/>
    <s v="Normal"/>
    <s v="Normal"/>
  </r>
  <r>
    <x v="388"/>
    <x v="16"/>
    <b v="1"/>
    <x v="2"/>
    <n v="0.21210000000000001"/>
    <n v="2011"/>
    <x v="0"/>
    <x v="16"/>
    <x v="1"/>
    <s v="Spring"/>
    <x v="1"/>
    <n v="0.47"/>
    <n v="0.16420000000000001"/>
    <x v="2"/>
    <n v="6"/>
    <n v="76"/>
    <n v="82"/>
    <s v="High"/>
    <s v="Normal"/>
    <s v="Normal"/>
    <s v="Normal"/>
  </r>
  <r>
    <x v="389"/>
    <x v="16"/>
    <b v="1"/>
    <x v="2"/>
    <n v="0.19700000000000001"/>
    <n v="2011"/>
    <x v="0"/>
    <x v="17"/>
    <x v="1"/>
    <s v="Spring"/>
    <x v="0"/>
    <n v="0.51"/>
    <n v="0.19400000000000001"/>
    <x v="2"/>
    <n v="4"/>
    <n v="67"/>
    <n v="71"/>
    <s v="High"/>
    <s v="Normal"/>
    <s v="Normal"/>
    <s v="Normal"/>
  </r>
  <r>
    <x v="390"/>
    <x v="16"/>
    <b v="1"/>
    <x v="2"/>
    <n v="0.16669999999999999"/>
    <n v="2011"/>
    <x v="0"/>
    <x v="18"/>
    <x v="1"/>
    <s v="Spring"/>
    <x v="1"/>
    <n v="0.55000000000000004"/>
    <n v="0.25369999999999998"/>
    <x v="15"/>
    <n v="7"/>
    <n v="85"/>
    <n v="92"/>
    <s v="High"/>
    <s v="Normal"/>
    <s v="Normal"/>
    <s v="Normal"/>
  </r>
  <r>
    <x v="391"/>
    <x v="16"/>
    <b v="1"/>
    <x v="2"/>
    <n v="0.18179999999999999"/>
    <n v="2011"/>
    <x v="0"/>
    <x v="19"/>
    <x v="1"/>
    <s v="Spring"/>
    <x v="2"/>
    <n v="0.59"/>
    <n v="0.19400000000000001"/>
    <x v="15"/>
    <n v="2"/>
    <n v="58"/>
    <n v="60"/>
    <s v="High"/>
    <s v="Normal"/>
    <s v="Normal"/>
    <s v="Normal"/>
  </r>
  <r>
    <x v="392"/>
    <x v="16"/>
    <b v="1"/>
    <x v="2"/>
    <n v="0.1515"/>
    <n v="2011"/>
    <x v="0"/>
    <x v="20"/>
    <x v="1"/>
    <s v="Spring"/>
    <x v="2"/>
    <n v="0.8"/>
    <n v="0.19400000000000001"/>
    <x v="13"/>
    <n v="4"/>
    <n v="29"/>
    <n v="33"/>
    <s v="High"/>
    <s v="Normal"/>
    <s v="Normal"/>
    <s v="Normal"/>
  </r>
  <r>
    <x v="393"/>
    <x v="16"/>
    <b v="1"/>
    <x v="2"/>
    <n v="0.1515"/>
    <n v="2011"/>
    <x v="0"/>
    <x v="21"/>
    <x v="1"/>
    <s v="Spring"/>
    <x v="2"/>
    <n v="0.8"/>
    <n v="0.19400000000000001"/>
    <x v="13"/>
    <n v="3"/>
    <n v="24"/>
    <n v="27"/>
    <s v="High"/>
    <s v="Normal"/>
    <s v="Normal"/>
    <s v="Normal"/>
  </r>
  <r>
    <x v="394"/>
    <x v="16"/>
    <b v="1"/>
    <x v="2"/>
    <n v="0.1212"/>
    <n v="2011"/>
    <x v="0"/>
    <x v="22"/>
    <x v="1"/>
    <s v="Spring"/>
    <x v="2"/>
    <n v="0.93"/>
    <n v="0.25369999999999998"/>
    <x v="14"/>
    <n v="0"/>
    <n v="13"/>
    <n v="13"/>
    <s v="High"/>
    <s v="Normal"/>
    <s v="Normal"/>
    <s v="Normal"/>
  </r>
  <r>
    <x v="395"/>
    <x v="16"/>
    <b v="1"/>
    <x v="2"/>
    <n v="0.13639999999999999"/>
    <n v="2011"/>
    <x v="0"/>
    <x v="23"/>
    <x v="1"/>
    <s v="Spring"/>
    <x v="2"/>
    <n v="0.86"/>
    <n v="0.28360000000000002"/>
    <x v="13"/>
    <n v="1"/>
    <n v="3"/>
    <n v="4"/>
    <s v="High"/>
    <s v="Normal"/>
    <s v="Normal"/>
    <s v="Normal"/>
  </r>
  <r>
    <x v="396"/>
    <x v="17"/>
    <b v="0"/>
    <x v="3"/>
    <n v="0.18179999999999999"/>
    <n v="2011"/>
    <x v="0"/>
    <x v="12"/>
    <x v="1"/>
    <s v="Spring"/>
    <x v="1"/>
    <n v="0.86"/>
    <n v="0.32840000000000003"/>
    <x v="2"/>
    <n v="0"/>
    <n v="3"/>
    <n v="3"/>
    <s v="High"/>
    <s v="Normal"/>
    <s v="Normal"/>
    <s v="Normal"/>
  </r>
  <r>
    <x v="397"/>
    <x v="17"/>
    <b v="0"/>
    <x v="3"/>
    <n v="0.19700000000000001"/>
    <n v="2011"/>
    <x v="0"/>
    <x v="13"/>
    <x v="1"/>
    <s v="Spring"/>
    <x v="1"/>
    <n v="0.86"/>
    <n v="0.22389999999999999"/>
    <x v="2"/>
    <n v="0"/>
    <n v="22"/>
    <n v="22"/>
    <s v="High"/>
    <s v="Normal"/>
    <s v="Normal"/>
    <s v="Normal"/>
  </r>
  <r>
    <x v="398"/>
    <x v="17"/>
    <b v="0"/>
    <x v="3"/>
    <n v="0.2273"/>
    <n v="2011"/>
    <x v="0"/>
    <x v="14"/>
    <x v="1"/>
    <s v="Spring"/>
    <x v="1"/>
    <n v="0.8"/>
    <n v="0.16420000000000001"/>
    <x v="1"/>
    <n v="2"/>
    <n v="26"/>
    <n v="28"/>
    <s v="High"/>
    <s v="Normal"/>
    <s v="Normal"/>
    <s v="Normal"/>
  </r>
  <r>
    <x v="399"/>
    <x v="17"/>
    <b v="0"/>
    <x v="3"/>
    <n v="0.2273"/>
    <n v="2011"/>
    <x v="0"/>
    <x v="15"/>
    <x v="1"/>
    <s v="Spring"/>
    <x v="1"/>
    <n v="0.87"/>
    <n v="0.16420000000000001"/>
    <x v="1"/>
    <n v="3"/>
    <n v="32"/>
    <n v="35"/>
    <s v="High"/>
    <s v="Normal"/>
    <s v="Normal"/>
    <s v="Normal"/>
  </r>
  <r>
    <x v="400"/>
    <x v="17"/>
    <b v="0"/>
    <x v="3"/>
    <n v="0.2273"/>
    <n v="2011"/>
    <x v="0"/>
    <x v="16"/>
    <x v="1"/>
    <s v="Spring"/>
    <x v="1"/>
    <n v="0.87"/>
    <n v="0.19400000000000001"/>
    <x v="1"/>
    <n v="0"/>
    <n v="61"/>
    <n v="61"/>
    <s v="High"/>
    <s v="Normal"/>
    <s v="Normal"/>
    <s v="Normal"/>
  </r>
  <r>
    <x v="401"/>
    <x v="17"/>
    <b v="0"/>
    <x v="3"/>
    <n v="0.2273"/>
    <n v="2011"/>
    <x v="0"/>
    <x v="17"/>
    <x v="1"/>
    <s v="Spring"/>
    <x v="1"/>
    <n v="0.82"/>
    <n v="0.19400000000000001"/>
    <x v="1"/>
    <n v="1"/>
    <n v="124"/>
    <n v="125"/>
    <s v="High"/>
    <s v="Normal"/>
    <s v="Normal"/>
    <s v="Normal"/>
  </r>
  <r>
    <x v="402"/>
    <x v="17"/>
    <b v="0"/>
    <x v="3"/>
    <n v="0.2273"/>
    <n v="2011"/>
    <x v="0"/>
    <x v="18"/>
    <x v="1"/>
    <s v="Spring"/>
    <x v="1"/>
    <n v="0.8"/>
    <n v="0.16420000000000001"/>
    <x v="1"/>
    <n v="1"/>
    <n v="132"/>
    <n v="133"/>
    <s v="High"/>
    <s v="Normal"/>
    <s v="Normal"/>
    <s v="Normal"/>
  </r>
  <r>
    <x v="403"/>
    <x v="17"/>
    <b v="0"/>
    <x v="3"/>
    <n v="0.2273"/>
    <n v="2011"/>
    <x v="0"/>
    <x v="19"/>
    <x v="1"/>
    <s v="Spring"/>
    <x v="1"/>
    <n v="0.8"/>
    <n v="0.1343"/>
    <x v="1"/>
    <n v="1"/>
    <n v="98"/>
    <n v="99"/>
    <s v="High"/>
    <s v="Normal"/>
    <s v="Normal"/>
    <s v="Normal"/>
  </r>
  <r>
    <x v="404"/>
    <x v="17"/>
    <b v="0"/>
    <x v="3"/>
    <n v="0.2727"/>
    <n v="2011"/>
    <x v="0"/>
    <x v="20"/>
    <x v="1"/>
    <s v="Spring"/>
    <x v="1"/>
    <n v="0.87"/>
    <n v="0.23"/>
    <x v="1"/>
    <n v="0"/>
    <n v="83"/>
    <n v="83"/>
    <s v="High"/>
    <s v="Normal"/>
    <s v="Normal"/>
    <s v="Normal"/>
  </r>
  <r>
    <x v="405"/>
    <x v="17"/>
    <b v="0"/>
    <x v="3"/>
    <n v="0.2424"/>
    <n v="2011"/>
    <x v="0"/>
    <x v="21"/>
    <x v="1"/>
    <s v="Spring"/>
    <x v="1"/>
    <n v="0.93"/>
    <n v="0.1045"/>
    <x v="1"/>
    <n v="0"/>
    <n v="41"/>
    <n v="41"/>
    <s v="High"/>
    <s v="Normal"/>
    <s v="Normal"/>
    <s v="Normal"/>
  </r>
  <r>
    <x v="406"/>
    <x v="17"/>
    <b v="0"/>
    <x v="3"/>
    <n v="0.2576"/>
    <n v="2011"/>
    <x v="0"/>
    <x v="22"/>
    <x v="1"/>
    <s v="Spring"/>
    <x v="1"/>
    <n v="0.93"/>
    <n v="8.9599999999999999E-2"/>
    <x v="1"/>
    <n v="0"/>
    <n v="33"/>
    <n v="33"/>
    <s v="High"/>
    <s v="Normal"/>
    <s v="Normal"/>
    <s v="Normal"/>
  </r>
  <r>
    <x v="407"/>
    <x v="17"/>
    <b v="0"/>
    <x v="3"/>
    <n v="0.2727"/>
    <n v="2011"/>
    <x v="0"/>
    <x v="23"/>
    <x v="1"/>
    <s v="Spring"/>
    <x v="1"/>
    <n v="0.93"/>
    <n v="0.23"/>
    <x v="1"/>
    <n v="1"/>
    <n v="19"/>
    <n v="20"/>
    <s v="High"/>
    <s v="Normal"/>
    <s v="Normal"/>
    <s v="Normal"/>
  </r>
  <r>
    <x v="408"/>
    <x v="18"/>
    <b v="0"/>
    <x v="4"/>
    <n v="0.2727"/>
    <n v="2011"/>
    <x v="0"/>
    <x v="0"/>
    <x v="1"/>
    <s v="Spring"/>
    <x v="1"/>
    <n v="0.93"/>
    <n v="0.23"/>
    <x v="1"/>
    <n v="0"/>
    <n v="3"/>
    <n v="3"/>
    <s v="High"/>
    <s v="Normal"/>
    <s v="Normal"/>
    <s v="Normal"/>
  </r>
  <r>
    <x v="409"/>
    <x v="18"/>
    <b v="0"/>
    <x v="4"/>
    <n v="0.2273"/>
    <n v="2011"/>
    <x v="0"/>
    <x v="1"/>
    <x v="1"/>
    <s v="Spring"/>
    <x v="2"/>
    <n v="0.93"/>
    <n v="0.1343"/>
    <x v="1"/>
    <n v="1"/>
    <n v="6"/>
    <n v="7"/>
    <s v="High"/>
    <s v="Normal"/>
    <s v="Normal"/>
    <s v="Normal"/>
  </r>
  <r>
    <x v="410"/>
    <x v="18"/>
    <b v="0"/>
    <x v="4"/>
    <n v="0.2273"/>
    <n v="2011"/>
    <x v="0"/>
    <x v="2"/>
    <x v="1"/>
    <s v="Spring"/>
    <x v="2"/>
    <n v="0.93"/>
    <n v="0.1343"/>
    <x v="1"/>
    <n v="0"/>
    <n v="3"/>
    <n v="3"/>
    <s v="High"/>
    <s v="Normal"/>
    <s v="Normal"/>
    <s v="Normal"/>
  </r>
  <r>
    <x v="411"/>
    <x v="18"/>
    <b v="0"/>
    <x v="4"/>
    <n v="0.2273"/>
    <n v="2011"/>
    <x v="0"/>
    <x v="4"/>
    <x v="1"/>
    <s v="Spring"/>
    <x v="2"/>
    <n v="0.93"/>
    <n v="0.1343"/>
    <x v="1"/>
    <n v="1"/>
    <n v="1"/>
    <n v="2"/>
    <s v="High"/>
    <s v="Normal"/>
    <s v="Normal"/>
    <s v="Normal"/>
  </r>
  <r>
    <x v="412"/>
    <x v="18"/>
    <b v="0"/>
    <x v="4"/>
    <n v="0.2576"/>
    <n v="2011"/>
    <x v="0"/>
    <x v="5"/>
    <x v="1"/>
    <s v="Spring"/>
    <x v="1"/>
    <n v="0.93"/>
    <n v="8.9599999999999999E-2"/>
    <x v="1"/>
    <n v="0"/>
    <n v="7"/>
    <n v="7"/>
    <s v="High"/>
    <s v="Normal"/>
    <s v="Normal"/>
    <s v="Normal"/>
  </r>
  <r>
    <x v="413"/>
    <x v="18"/>
    <b v="0"/>
    <x v="4"/>
    <n v="0.2576"/>
    <n v="2011"/>
    <x v="0"/>
    <x v="6"/>
    <x v="1"/>
    <s v="Spring"/>
    <x v="1"/>
    <n v="0.93"/>
    <n v="8.9599999999999999E-2"/>
    <x v="1"/>
    <n v="0"/>
    <n v="32"/>
    <n v="32"/>
    <s v="High"/>
    <s v="Normal"/>
    <s v="Normal"/>
    <s v="Normal"/>
  </r>
  <r>
    <x v="414"/>
    <x v="18"/>
    <b v="0"/>
    <x v="4"/>
    <n v="0.2576"/>
    <n v="2011"/>
    <x v="0"/>
    <x v="7"/>
    <x v="1"/>
    <s v="Spring"/>
    <x v="1"/>
    <n v="0.92"/>
    <n v="0.1045"/>
    <x v="0"/>
    <n v="1"/>
    <n v="89"/>
    <n v="90"/>
    <s v="High"/>
    <s v="Normal"/>
    <s v="Normal"/>
    <s v="Normal"/>
  </r>
  <r>
    <x v="415"/>
    <x v="18"/>
    <b v="0"/>
    <x v="4"/>
    <n v="0.2576"/>
    <n v="2011"/>
    <x v="0"/>
    <x v="8"/>
    <x v="1"/>
    <s v="Spring"/>
    <x v="1"/>
    <n v="0.93"/>
    <n v="0.1045"/>
    <x v="0"/>
    <n v="1"/>
    <n v="196"/>
    <n v="197"/>
    <s v="High"/>
    <s v="Outlier"/>
    <s v="Normal"/>
    <s v="Normal"/>
  </r>
  <r>
    <x v="416"/>
    <x v="18"/>
    <b v="0"/>
    <x v="4"/>
    <n v="0.2576"/>
    <n v="2011"/>
    <x v="0"/>
    <x v="9"/>
    <x v="1"/>
    <s v="Spring"/>
    <x v="1"/>
    <n v="0.93"/>
    <n v="0.1045"/>
    <x v="0"/>
    <n v="2"/>
    <n v="107"/>
    <n v="109"/>
    <s v="High"/>
    <s v="Normal"/>
    <s v="Normal"/>
    <s v="Normal"/>
  </r>
  <r>
    <x v="417"/>
    <x v="18"/>
    <b v="0"/>
    <x v="4"/>
    <n v="0.2727"/>
    <n v="2011"/>
    <x v="0"/>
    <x v="10"/>
    <x v="1"/>
    <s v="Spring"/>
    <x v="1"/>
    <n v="0.93"/>
    <n v="0.1343"/>
    <x v="12"/>
    <n v="1"/>
    <n v="46"/>
    <n v="47"/>
    <s v="High"/>
    <s v="Normal"/>
    <s v="Normal"/>
    <s v="Normal"/>
  </r>
  <r>
    <x v="418"/>
    <x v="18"/>
    <b v="0"/>
    <x v="4"/>
    <n v="0.30299999999999999"/>
    <n v="2011"/>
    <x v="0"/>
    <x v="11"/>
    <x v="1"/>
    <s v="Spring"/>
    <x v="1"/>
    <n v="0.87"/>
    <n v="8.9599999999999999E-2"/>
    <x v="17"/>
    <n v="5"/>
    <n v="47"/>
    <n v="52"/>
    <s v="High"/>
    <s v="Normal"/>
    <s v="Normal"/>
    <s v="Normal"/>
  </r>
  <r>
    <x v="419"/>
    <x v="18"/>
    <b v="0"/>
    <x v="4"/>
    <n v="0.31819999999999998"/>
    <n v="2011"/>
    <x v="0"/>
    <x v="12"/>
    <x v="1"/>
    <s v="Spring"/>
    <x v="1"/>
    <n v="0.81"/>
    <n v="8.9599999999999999E-2"/>
    <x v="11"/>
    <n v="5"/>
    <n v="65"/>
    <n v="70"/>
    <s v="High"/>
    <s v="Normal"/>
    <s v="Normal"/>
    <s v="Normal"/>
  </r>
  <r>
    <x v="420"/>
    <x v="18"/>
    <b v="0"/>
    <x v="4"/>
    <n v="0.40910000000000002"/>
    <n v="2011"/>
    <x v="0"/>
    <x v="13"/>
    <x v="1"/>
    <s v="Spring"/>
    <x v="0"/>
    <n v="0.62"/>
    <n v="0.28360000000000002"/>
    <x v="9"/>
    <n v="11"/>
    <n v="67"/>
    <n v="78"/>
    <s v="High"/>
    <s v="Normal"/>
    <s v="Normal"/>
    <s v="Normal"/>
  </r>
  <r>
    <x v="421"/>
    <x v="18"/>
    <b v="0"/>
    <x v="4"/>
    <n v="0.40910000000000002"/>
    <n v="2011"/>
    <x v="0"/>
    <x v="14"/>
    <x v="1"/>
    <s v="Spring"/>
    <x v="0"/>
    <n v="0.57999999999999996"/>
    <n v="0.25369999999999998"/>
    <x v="9"/>
    <n v="7"/>
    <n v="68"/>
    <n v="75"/>
    <s v="High"/>
    <s v="Normal"/>
    <s v="Normal"/>
    <s v="Normal"/>
  </r>
  <r>
    <x v="422"/>
    <x v="18"/>
    <b v="0"/>
    <x v="4"/>
    <n v="0.40910000000000002"/>
    <n v="2011"/>
    <x v="0"/>
    <x v="15"/>
    <x v="1"/>
    <s v="Spring"/>
    <x v="0"/>
    <n v="0.54"/>
    <n v="0.28360000000000002"/>
    <x v="9"/>
    <n v="4"/>
    <n v="78"/>
    <n v="82"/>
    <s v="High"/>
    <s v="Normal"/>
    <s v="Normal"/>
    <s v="Normal"/>
  </r>
  <r>
    <x v="423"/>
    <x v="18"/>
    <b v="0"/>
    <x v="4"/>
    <n v="0.39389999999999997"/>
    <n v="2011"/>
    <x v="0"/>
    <x v="16"/>
    <x v="1"/>
    <s v="Spring"/>
    <x v="0"/>
    <n v="0.57999999999999996"/>
    <n v="0.3881"/>
    <x v="4"/>
    <n v="10"/>
    <n v="94"/>
    <n v="104"/>
    <s v="High"/>
    <s v="Normal"/>
    <s v="Normal"/>
    <s v="Normal"/>
  </r>
  <r>
    <x v="424"/>
    <x v="18"/>
    <b v="0"/>
    <x v="4"/>
    <n v="0.33329999999999999"/>
    <n v="2011"/>
    <x v="0"/>
    <x v="17"/>
    <x v="1"/>
    <s v="Spring"/>
    <x v="0"/>
    <n v="0.56999999999999995"/>
    <n v="0.32840000000000003"/>
    <x v="5"/>
    <n v="7"/>
    <n v="190"/>
    <n v="197"/>
    <s v="High"/>
    <s v="Outlier"/>
    <s v="Normal"/>
    <s v="Normal"/>
  </r>
  <r>
    <x v="425"/>
    <x v="18"/>
    <b v="0"/>
    <x v="4"/>
    <n v="0.31819999999999998"/>
    <n v="2011"/>
    <x v="0"/>
    <x v="18"/>
    <x v="1"/>
    <s v="Spring"/>
    <x v="0"/>
    <n v="0.61"/>
    <n v="0.28360000000000002"/>
    <x v="10"/>
    <n v="5"/>
    <n v="156"/>
    <n v="161"/>
    <s v="High"/>
    <s v="Normal"/>
    <s v="Normal"/>
    <s v="Normal"/>
  </r>
  <r>
    <x v="426"/>
    <x v="18"/>
    <b v="0"/>
    <x v="4"/>
    <n v="0.28789999999999999"/>
    <n v="2011"/>
    <x v="0"/>
    <x v="19"/>
    <x v="1"/>
    <s v="Spring"/>
    <x v="0"/>
    <n v="0.56999999999999995"/>
    <n v="0.41789999999999999"/>
    <x v="3"/>
    <n v="4"/>
    <n v="108"/>
    <n v="112"/>
    <s v="High"/>
    <s v="Normal"/>
    <s v="Normal"/>
    <s v="Normal"/>
  </r>
  <r>
    <x v="427"/>
    <x v="18"/>
    <b v="0"/>
    <x v="4"/>
    <n v="0.30299999999999999"/>
    <n v="2011"/>
    <x v="0"/>
    <x v="20"/>
    <x v="1"/>
    <s v="Spring"/>
    <x v="0"/>
    <n v="0.49"/>
    <n v="0.29849999999999999"/>
    <x v="3"/>
    <n v="2"/>
    <n v="74"/>
    <n v="76"/>
    <s v="High"/>
    <s v="Normal"/>
    <s v="Normal"/>
    <s v="Normal"/>
  </r>
  <r>
    <x v="428"/>
    <x v="18"/>
    <b v="0"/>
    <x v="4"/>
    <n v="0.28789999999999999"/>
    <n v="2011"/>
    <x v="0"/>
    <x v="21"/>
    <x v="1"/>
    <s v="Spring"/>
    <x v="0"/>
    <n v="0.49"/>
    <n v="0.41789999999999999"/>
    <x v="3"/>
    <n v="4"/>
    <n v="55"/>
    <n v="59"/>
    <s v="High"/>
    <s v="Normal"/>
    <s v="Normal"/>
    <s v="Normal"/>
  </r>
  <r>
    <x v="429"/>
    <x v="18"/>
    <b v="0"/>
    <x v="4"/>
    <n v="0.30299999999999999"/>
    <n v="2011"/>
    <x v="0"/>
    <x v="22"/>
    <x v="1"/>
    <s v="Spring"/>
    <x v="0"/>
    <n v="0.52"/>
    <n v="0.16420000000000001"/>
    <x v="11"/>
    <n v="6"/>
    <n v="53"/>
    <n v="59"/>
    <s v="High"/>
    <s v="Normal"/>
    <s v="Normal"/>
    <s v="Normal"/>
  </r>
  <r>
    <x v="430"/>
    <x v="18"/>
    <b v="0"/>
    <x v="4"/>
    <n v="0.2727"/>
    <n v="2011"/>
    <x v="0"/>
    <x v="23"/>
    <x v="1"/>
    <s v="Spring"/>
    <x v="0"/>
    <n v="0.52"/>
    <n v="0.4627"/>
    <x v="11"/>
    <n v="1"/>
    <n v="27"/>
    <n v="28"/>
    <s v="High"/>
    <s v="Normal"/>
    <s v="Normal"/>
    <s v="Normal"/>
  </r>
  <r>
    <x v="431"/>
    <x v="19"/>
    <b v="0"/>
    <x v="5"/>
    <n v="0.2273"/>
    <n v="2011"/>
    <x v="0"/>
    <x v="0"/>
    <x v="1"/>
    <s v="Spring"/>
    <x v="0"/>
    <n v="0.56000000000000005"/>
    <n v="0.3881"/>
    <x v="12"/>
    <n v="5"/>
    <n v="8"/>
    <n v="13"/>
    <s v="High"/>
    <s v="Normal"/>
    <s v="Normal"/>
    <s v="Normal"/>
  </r>
  <r>
    <x v="432"/>
    <x v="19"/>
    <b v="0"/>
    <x v="5"/>
    <n v="0.2727"/>
    <n v="2011"/>
    <x v="0"/>
    <x v="1"/>
    <x v="1"/>
    <s v="Spring"/>
    <x v="0"/>
    <n v="0.56000000000000005"/>
    <n v="0.23"/>
    <x v="12"/>
    <n v="2"/>
    <n v="3"/>
    <n v="5"/>
    <s v="High"/>
    <s v="Normal"/>
    <s v="Normal"/>
    <s v="Normal"/>
  </r>
  <r>
    <x v="433"/>
    <x v="19"/>
    <b v="0"/>
    <x v="5"/>
    <n v="0.2727"/>
    <n v="2011"/>
    <x v="0"/>
    <x v="2"/>
    <x v="1"/>
    <s v="Spring"/>
    <x v="0"/>
    <n v="0.56000000000000005"/>
    <n v="0.23"/>
    <x v="12"/>
    <n v="0"/>
    <n v="2"/>
    <n v="2"/>
    <s v="High"/>
    <s v="Normal"/>
    <s v="Normal"/>
    <s v="Normal"/>
  </r>
  <r>
    <x v="434"/>
    <x v="19"/>
    <b v="0"/>
    <x v="5"/>
    <n v="0.2576"/>
    <n v="2011"/>
    <x v="0"/>
    <x v="3"/>
    <x v="1"/>
    <s v="Spring"/>
    <x v="0"/>
    <n v="0.56000000000000005"/>
    <n v="0.16420000000000001"/>
    <x v="12"/>
    <n v="0"/>
    <n v="1"/>
    <n v="1"/>
    <s v="High"/>
    <s v="Normal"/>
    <s v="Normal"/>
    <s v="Normal"/>
  </r>
  <r>
    <x v="435"/>
    <x v="19"/>
    <b v="0"/>
    <x v="5"/>
    <n v="0.2576"/>
    <n v="2011"/>
    <x v="0"/>
    <x v="4"/>
    <x v="1"/>
    <s v="Spring"/>
    <x v="0"/>
    <n v="0.56000000000000005"/>
    <n v="0.16420000000000001"/>
    <x v="12"/>
    <n v="0"/>
    <n v="1"/>
    <n v="1"/>
    <s v="High"/>
    <s v="Normal"/>
    <s v="Normal"/>
    <s v="Normal"/>
  </r>
  <r>
    <x v="436"/>
    <x v="19"/>
    <b v="0"/>
    <x v="5"/>
    <n v="0.2273"/>
    <n v="2011"/>
    <x v="0"/>
    <x v="5"/>
    <x v="1"/>
    <s v="Spring"/>
    <x v="0"/>
    <n v="0.6"/>
    <n v="0.22389999999999999"/>
    <x v="0"/>
    <n v="0"/>
    <n v="6"/>
    <n v="6"/>
    <s v="High"/>
    <s v="Normal"/>
    <s v="Normal"/>
    <s v="Normal"/>
  </r>
  <r>
    <x v="437"/>
    <x v="19"/>
    <b v="0"/>
    <x v="5"/>
    <n v="0.21210000000000001"/>
    <n v="2011"/>
    <x v="0"/>
    <x v="6"/>
    <x v="1"/>
    <s v="Spring"/>
    <x v="0"/>
    <n v="0.6"/>
    <n v="0.22389999999999999"/>
    <x v="1"/>
    <n v="0"/>
    <n v="35"/>
    <n v="35"/>
    <s v="High"/>
    <s v="Normal"/>
    <s v="Normal"/>
    <s v="Normal"/>
  </r>
  <r>
    <x v="438"/>
    <x v="19"/>
    <b v="0"/>
    <x v="5"/>
    <n v="0.21210000000000001"/>
    <n v="2011"/>
    <x v="0"/>
    <x v="7"/>
    <x v="1"/>
    <s v="Spring"/>
    <x v="0"/>
    <n v="0.55000000000000004"/>
    <n v="0.22389999999999999"/>
    <x v="1"/>
    <n v="1"/>
    <n v="100"/>
    <n v="101"/>
    <s v="High"/>
    <s v="Normal"/>
    <s v="Normal"/>
    <s v="Normal"/>
  </r>
  <r>
    <x v="439"/>
    <x v="19"/>
    <b v="0"/>
    <x v="5"/>
    <n v="0.21210000000000001"/>
    <n v="2011"/>
    <x v="0"/>
    <x v="8"/>
    <x v="1"/>
    <s v="Spring"/>
    <x v="0"/>
    <n v="0.55000000000000004"/>
    <n v="0.28360000000000002"/>
    <x v="1"/>
    <n v="2"/>
    <n v="247"/>
    <n v="249"/>
    <s v="High"/>
    <s v="Outlier"/>
    <s v="Normal"/>
    <s v="Normal"/>
  </r>
  <r>
    <x v="440"/>
    <x v="19"/>
    <b v="0"/>
    <x v="5"/>
    <n v="0.2273"/>
    <n v="2011"/>
    <x v="0"/>
    <x v="9"/>
    <x v="1"/>
    <s v="Spring"/>
    <x v="1"/>
    <n v="0.52"/>
    <n v="0.22389999999999999"/>
    <x v="0"/>
    <n v="3"/>
    <n v="140"/>
    <n v="143"/>
    <s v="High"/>
    <s v="Normal"/>
    <s v="Normal"/>
    <s v="Normal"/>
  </r>
  <r>
    <x v="441"/>
    <x v="19"/>
    <b v="0"/>
    <x v="5"/>
    <n v="0.2273"/>
    <n v="2011"/>
    <x v="0"/>
    <x v="10"/>
    <x v="1"/>
    <s v="Spring"/>
    <x v="0"/>
    <n v="0.48"/>
    <n v="0.29849999999999999"/>
    <x v="12"/>
    <n v="1"/>
    <n v="56"/>
    <n v="57"/>
    <s v="High"/>
    <s v="Normal"/>
    <s v="Normal"/>
    <s v="Normal"/>
  </r>
  <r>
    <x v="442"/>
    <x v="19"/>
    <b v="0"/>
    <x v="5"/>
    <n v="0.2727"/>
    <n v="2011"/>
    <x v="0"/>
    <x v="11"/>
    <x v="1"/>
    <s v="Spring"/>
    <x v="1"/>
    <n v="0.45"/>
    <n v="0.16420000000000001"/>
    <x v="17"/>
    <n v="5"/>
    <n v="63"/>
    <n v="68"/>
    <s v="High"/>
    <s v="Normal"/>
    <s v="Normal"/>
    <s v="Normal"/>
  </r>
  <r>
    <x v="443"/>
    <x v="19"/>
    <b v="0"/>
    <x v="5"/>
    <n v="0.33329999999999999"/>
    <n v="2011"/>
    <x v="0"/>
    <x v="12"/>
    <x v="1"/>
    <s v="Spring"/>
    <x v="1"/>
    <n v="0.42"/>
    <n v="0.23"/>
    <x v="11"/>
    <n v="7"/>
    <n v="77"/>
    <n v="84"/>
    <s v="High"/>
    <s v="Normal"/>
    <s v="Normal"/>
    <s v="Normal"/>
  </r>
  <r>
    <x v="444"/>
    <x v="19"/>
    <b v="0"/>
    <x v="5"/>
    <n v="0.28789999999999999"/>
    <n v="2011"/>
    <x v="0"/>
    <x v="13"/>
    <x v="1"/>
    <s v="Spring"/>
    <x v="1"/>
    <n v="0.45"/>
    <n v="0.1045"/>
    <x v="17"/>
    <n v="12"/>
    <n v="86"/>
    <n v="98"/>
    <s v="High"/>
    <s v="Normal"/>
    <s v="Normal"/>
    <s v="Normal"/>
  </r>
  <r>
    <x v="445"/>
    <x v="19"/>
    <b v="0"/>
    <x v="5"/>
    <n v="0.30299999999999999"/>
    <n v="2011"/>
    <x v="0"/>
    <x v="14"/>
    <x v="1"/>
    <s v="Spring"/>
    <x v="1"/>
    <n v="0.45"/>
    <n v="0.1343"/>
    <x v="11"/>
    <n v="6"/>
    <n v="75"/>
    <n v="81"/>
    <s v="High"/>
    <s v="Normal"/>
    <s v="Normal"/>
    <s v="Normal"/>
  </r>
  <r>
    <x v="446"/>
    <x v="19"/>
    <b v="0"/>
    <x v="5"/>
    <n v="0.31819999999999998"/>
    <n v="2011"/>
    <x v="0"/>
    <x v="15"/>
    <x v="1"/>
    <s v="Spring"/>
    <x v="1"/>
    <n v="0.45"/>
    <n v="0.19400000000000001"/>
    <x v="3"/>
    <n v="8"/>
    <n v="62"/>
    <n v="70"/>
    <s v="High"/>
    <s v="Normal"/>
    <s v="Normal"/>
    <s v="Normal"/>
  </r>
  <r>
    <x v="447"/>
    <x v="19"/>
    <b v="0"/>
    <x v="5"/>
    <n v="0.30299999999999999"/>
    <n v="2011"/>
    <x v="0"/>
    <x v="16"/>
    <x v="1"/>
    <s v="Spring"/>
    <x v="1"/>
    <n v="0.49"/>
    <n v="0.1343"/>
    <x v="11"/>
    <n v="8"/>
    <n v="83"/>
    <n v="91"/>
    <s v="High"/>
    <s v="Normal"/>
    <s v="Normal"/>
    <s v="Normal"/>
  </r>
  <r>
    <x v="448"/>
    <x v="19"/>
    <b v="0"/>
    <x v="5"/>
    <n v="0.31819999999999998"/>
    <n v="2011"/>
    <x v="0"/>
    <x v="17"/>
    <x v="1"/>
    <s v="Spring"/>
    <x v="1"/>
    <n v="0.49"/>
    <n v="0.1045"/>
    <x v="11"/>
    <n v="8"/>
    <n v="207"/>
    <n v="215"/>
    <s v="High"/>
    <s v="Outlier"/>
    <s v="Normal"/>
    <s v="Normal"/>
  </r>
  <r>
    <x v="449"/>
    <x v="19"/>
    <b v="0"/>
    <x v="5"/>
    <n v="0.2576"/>
    <n v="2011"/>
    <x v="0"/>
    <x v="18"/>
    <x v="1"/>
    <s v="Spring"/>
    <x v="1"/>
    <n v="0.56000000000000005"/>
    <n v="0.19400000000000001"/>
    <x v="12"/>
    <n v="1"/>
    <n v="184"/>
    <n v="185"/>
    <s v="High"/>
    <s v="Outlier"/>
    <s v="Normal"/>
    <s v="Normal"/>
  </r>
  <r>
    <x v="450"/>
    <x v="19"/>
    <b v="0"/>
    <x v="5"/>
    <n v="0.2273"/>
    <n v="2011"/>
    <x v="0"/>
    <x v="19"/>
    <x v="1"/>
    <s v="Spring"/>
    <x v="0"/>
    <n v="0.56000000000000005"/>
    <n v="0.32840000000000003"/>
    <x v="12"/>
    <n v="6"/>
    <n v="146"/>
    <n v="152"/>
    <s v="High"/>
    <s v="Normal"/>
    <s v="Normal"/>
    <s v="Normal"/>
  </r>
  <r>
    <x v="451"/>
    <x v="19"/>
    <b v="0"/>
    <x v="5"/>
    <n v="0.2424"/>
    <n v="2011"/>
    <x v="0"/>
    <x v="20"/>
    <x v="1"/>
    <s v="Spring"/>
    <x v="1"/>
    <n v="0.6"/>
    <n v="0.28360000000000002"/>
    <x v="12"/>
    <n v="2"/>
    <n v="124"/>
    <n v="126"/>
    <s v="High"/>
    <s v="Normal"/>
    <s v="Normal"/>
    <s v="Normal"/>
  </r>
  <r>
    <x v="452"/>
    <x v="19"/>
    <b v="0"/>
    <x v="5"/>
    <n v="0.2273"/>
    <n v="2011"/>
    <x v="0"/>
    <x v="21"/>
    <x v="1"/>
    <s v="Spring"/>
    <x v="1"/>
    <n v="0.6"/>
    <n v="0.25369999999999998"/>
    <x v="0"/>
    <n v="3"/>
    <n v="54"/>
    <n v="57"/>
    <s v="High"/>
    <s v="Normal"/>
    <s v="Normal"/>
    <s v="Normal"/>
  </r>
  <r>
    <x v="453"/>
    <x v="19"/>
    <b v="0"/>
    <x v="5"/>
    <n v="0.21210000000000001"/>
    <n v="2011"/>
    <x v="0"/>
    <x v="22"/>
    <x v="1"/>
    <s v="Spring"/>
    <x v="1"/>
    <n v="0.65"/>
    <n v="0.28360000000000002"/>
    <x v="0"/>
    <n v="0"/>
    <n v="56"/>
    <n v="56"/>
    <s v="High"/>
    <s v="Normal"/>
    <s v="Normal"/>
    <s v="Normal"/>
  </r>
  <r>
    <x v="454"/>
    <x v="19"/>
    <b v="0"/>
    <x v="5"/>
    <n v="0.21210000000000001"/>
    <n v="2011"/>
    <x v="0"/>
    <x v="23"/>
    <x v="1"/>
    <s v="Spring"/>
    <x v="1"/>
    <n v="0.65"/>
    <n v="0.32840000000000003"/>
    <x v="0"/>
    <n v="3"/>
    <n v="28"/>
    <n v="31"/>
    <s v="High"/>
    <s v="Normal"/>
    <s v="Normal"/>
    <s v="Normal"/>
  </r>
  <r>
    <x v="455"/>
    <x v="20"/>
    <b v="0"/>
    <x v="6"/>
    <n v="0.2273"/>
    <n v="2011"/>
    <x v="0"/>
    <x v="0"/>
    <x v="1"/>
    <s v="Spring"/>
    <x v="1"/>
    <n v="0.7"/>
    <n v="0.25369999999999998"/>
    <x v="0"/>
    <n v="1"/>
    <n v="20"/>
    <n v="21"/>
    <s v="High"/>
    <s v="Normal"/>
    <s v="Normal"/>
    <s v="Normal"/>
  </r>
  <r>
    <x v="456"/>
    <x v="20"/>
    <b v="0"/>
    <x v="6"/>
    <n v="0.2273"/>
    <n v="2011"/>
    <x v="0"/>
    <x v="1"/>
    <x v="1"/>
    <s v="Spring"/>
    <x v="1"/>
    <n v="0.7"/>
    <n v="0.25369999999999998"/>
    <x v="0"/>
    <n v="0"/>
    <n v="6"/>
    <n v="6"/>
    <s v="High"/>
    <s v="Normal"/>
    <s v="Normal"/>
    <s v="Normal"/>
  </r>
  <r>
    <x v="457"/>
    <x v="20"/>
    <b v="0"/>
    <x v="6"/>
    <n v="0.2424"/>
    <n v="2011"/>
    <x v="0"/>
    <x v="2"/>
    <x v="1"/>
    <s v="Spring"/>
    <x v="2"/>
    <n v="0.75"/>
    <n v="0.16420000000000001"/>
    <x v="0"/>
    <n v="0"/>
    <n v="2"/>
    <n v="2"/>
    <s v="High"/>
    <s v="Normal"/>
    <s v="Normal"/>
    <s v="Normal"/>
  </r>
  <r>
    <x v="458"/>
    <x v="20"/>
    <b v="0"/>
    <x v="6"/>
    <n v="0.21210000000000001"/>
    <n v="2011"/>
    <x v="0"/>
    <x v="3"/>
    <x v="1"/>
    <s v="Spring"/>
    <x v="2"/>
    <n v="0.8"/>
    <n v="0.29849999999999999"/>
    <x v="1"/>
    <n v="0"/>
    <n v="1"/>
    <n v="1"/>
    <s v="High"/>
    <s v="Normal"/>
    <s v="Normal"/>
    <s v="Normal"/>
  </r>
  <r>
    <x v="459"/>
    <x v="20"/>
    <b v="0"/>
    <x v="6"/>
    <n v="0.2576"/>
    <n v="2011"/>
    <x v="0"/>
    <x v="4"/>
    <x v="1"/>
    <s v="Spring"/>
    <x v="1"/>
    <n v="0.87"/>
    <n v="8.9599999999999999E-2"/>
    <x v="1"/>
    <n v="0"/>
    <n v="1"/>
    <n v="1"/>
    <s v="High"/>
    <s v="Normal"/>
    <s v="Normal"/>
    <s v="Normal"/>
  </r>
  <r>
    <x v="460"/>
    <x v="20"/>
    <b v="0"/>
    <x v="6"/>
    <n v="0.19700000000000001"/>
    <n v="2011"/>
    <x v="0"/>
    <x v="5"/>
    <x v="1"/>
    <s v="Spring"/>
    <x v="0"/>
    <n v="0.6"/>
    <n v="0.41789999999999999"/>
    <x v="0"/>
    <n v="1"/>
    <n v="4"/>
    <n v="5"/>
    <s v="High"/>
    <s v="Normal"/>
    <s v="Normal"/>
    <s v="Normal"/>
  </r>
  <r>
    <x v="461"/>
    <x v="20"/>
    <b v="0"/>
    <x v="6"/>
    <n v="0.21210000000000001"/>
    <n v="2011"/>
    <x v="0"/>
    <x v="6"/>
    <x v="1"/>
    <s v="Spring"/>
    <x v="0"/>
    <n v="0.55000000000000004"/>
    <n v="0.25369999999999998"/>
    <x v="1"/>
    <n v="0"/>
    <n v="27"/>
    <n v="27"/>
    <s v="High"/>
    <s v="Normal"/>
    <s v="Normal"/>
    <s v="Normal"/>
  </r>
  <r>
    <x v="462"/>
    <x v="20"/>
    <b v="0"/>
    <x v="6"/>
    <n v="0.18179999999999999"/>
    <n v="2011"/>
    <x v="0"/>
    <x v="7"/>
    <x v="1"/>
    <s v="Spring"/>
    <x v="0"/>
    <n v="0.51"/>
    <n v="0.28360000000000002"/>
    <x v="2"/>
    <n v="2"/>
    <n v="66"/>
    <n v="68"/>
    <s v="High"/>
    <s v="Normal"/>
    <s v="Normal"/>
    <s v="Normal"/>
  </r>
  <r>
    <x v="463"/>
    <x v="20"/>
    <b v="0"/>
    <x v="6"/>
    <n v="0.18179999999999999"/>
    <n v="2011"/>
    <x v="0"/>
    <x v="8"/>
    <x v="1"/>
    <s v="Spring"/>
    <x v="0"/>
    <n v="0.47"/>
    <n v="0.32840000000000003"/>
    <x v="2"/>
    <n v="7"/>
    <n v="210"/>
    <n v="217"/>
    <s v="High"/>
    <s v="Outlier"/>
    <s v="Normal"/>
    <s v="Normal"/>
  </r>
  <r>
    <x v="464"/>
    <x v="20"/>
    <b v="0"/>
    <x v="6"/>
    <n v="0.18179999999999999"/>
    <n v="2011"/>
    <x v="0"/>
    <x v="9"/>
    <x v="1"/>
    <s v="Spring"/>
    <x v="0"/>
    <n v="0.51"/>
    <n v="0.35820000000000002"/>
    <x v="2"/>
    <n v="7"/>
    <n v="159"/>
    <n v="166"/>
    <s v="High"/>
    <s v="Normal"/>
    <s v="Normal"/>
    <s v="Normal"/>
  </r>
  <r>
    <x v="465"/>
    <x v="20"/>
    <b v="0"/>
    <x v="6"/>
    <n v="0.16669999999999999"/>
    <n v="2011"/>
    <x v="0"/>
    <x v="10"/>
    <x v="1"/>
    <s v="Spring"/>
    <x v="0"/>
    <n v="0.47"/>
    <n v="0.4627"/>
    <x v="2"/>
    <n v="6"/>
    <n v="57"/>
    <n v="63"/>
    <s v="High"/>
    <s v="Normal"/>
    <s v="Normal"/>
    <s v="Normal"/>
  </r>
  <r>
    <x v="466"/>
    <x v="20"/>
    <b v="0"/>
    <x v="6"/>
    <n v="0.18179999999999999"/>
    <n v="2011"/>
    <x v="0"/>
    <x v="11"/>
    <x v="1"/>
    <s v="Spring"/>
    <x v="0"/>
    <n v="0.41"/>
    <n v="0.4627"/>
    <x v="1"/>
    <n v="6"/>
    <n v="53"/>
    <n v="59"/>
    <s v="High"/>
    <s v="Normal"/>
    <s v="Normal"/>
    <s v="Normal"/>
  </r>
  <r>
    <x v="467"/>
    <x v="20"/>
    <b v="0"/>
    <x v="6"/>
    <n v="0.18179999999999999"/>
    <n v="2011"/>
    <x v="0"/>
    <x v="12"/>
    <x v="1"/>
    <s v="Spring"/>
    <x v="0"/>
    <n v="0.27"/>
    <n v="0.58209999999999995"/>
    <x v="1"/>
    <n v="11"/>
    <n v="67"/>
    <n v="78"/>
    <s v="High"/>
    <s v="Normal"/>
    <s v="Normal"/>
    <s v="Outlier"/>
  </r>
  <r>
    <x v="468"/>
    <x v="20"/>
    <b v="0"/>
    <x v="6"/>
    <n v="0.1515"/>
    <n v="2011"/>
    <x v="0"/>
    <x v="13"/>
    <x v="1"/>
    <s v="Spring"/>
    <x v="0"/>
    <n v="0.21"/>
    <n v="0.58209999999999995"/>
    <x v="2"/>
    <n v="8"/>
    <n v="65"/>
    <n v="73"/>
    <s v="High"/>
    <s v="Normal"/>
    <s v="Normal"/>
    <s v="Outlier"/>
  </r>
  <r>
    <x v="469"/>
    <x v="20"/>
    <b v="0"/>
    <x v="6"/>
    <n v="0.1515"/>
    <n v="2011"/>
    <x v="0"/>
    <x v="14"/>
    <x v="1"/>
    <s v="Spring"/>
    <x v="0"/>
    <n v="0.25"/>
    <n v="0.52239999999999998"/>
    <x v="2"/>
    <n v="6"/>
    <n v="56"/>
    <n v="62"/>
    <s v="High"/>
    <s v="Normal"/>
    <s v="Normal"/>
    <s v="Outlier"/>
  </r>
  <r>
    <x v="470"/>
    <x v="20"/>
    <b v="0"/>
    <x v="6"/>
    <n v="0.1212"/>
    <n v="2011"/>
    <x v="0"/>
    <x v="15"/>
    <x v="1"/>
    <s v="Spring"/>
    <x v="0"/>
    <n v="0.26"/>
    <n v="0.44779999999999998"/>
    <x v="13"/>
    <n v="4"/>
    <n v="61"/>
    <n v="65"/>
    <s v="High"/>
    <s v="Normal"/>
    <s v="Normal"/>
    <s v="Normal"/>
  </r>
  <r>
    <x v="471"/>
    <x v="20"/>
    <b v="0"/>
    <x v="6"/>
    <n v="0.13639999999999999"/>
    <n v="2011"/>
    <x v="0"/>
    <x v="16"/>
    <x v="1"/>
    <s v="Spring"/>
    <x v="0"/>
    <n v="0.26"/>
    <n v="0.35820000000000002"/>
    <x v="13"/>
    <n v="0"/>
    <n v="97"/>
    <n v="97"/>
    <s v="High"/>
    <s v="Normal"/>
    <s v="Normal"/>
    <s v="Normal"/>
  </r>
  <r>
    <x v="472"/>
    <x v="20"/>
    <b v="0"/>
    <x v="6"/>
    <n v="0.1212"/>
    <n v="2011"/>
    <x v="0"/>
    <x v="17"/>
    <x v="1"/>
    <s v="Spring"/>
    <x v="0"/>
    <n v="0.28000000000000003"/>
    <n v="0.35820000000000002"/>
    <x v="14"/>
    <n v="10"/>
    <n v="151"/>
    <n v="161"/>
    <s v="High"/>
    <s v="Normal"/>
    <s v="Normal"/>
    <s v="Normal"/>
  </r>
  <r>
    <x v="473"/>
    <x v="20"/>
    <b v="0"/>
    <x v="6"/>
    <n v="0.1212"/>
    <n v="2011"/>
    <x v="0"/>
    <x v="18"/>
    <x v="1"/>
    <s v="Spring"/>
    <x v="0"/>
    <n v="0.3"/>
    <n v="0.25369999999999998"/>
    <x v="16"/>
    <n v="1"/>
    <n v="119"/>
    <n v="120"/>
    <s v="High"/>
    <s v="Normal"/>
    <s v="Normal"/>
    <s v="Normal"/>
  </r>
  <r>
    <x v="474"/>
    <x v="20"/>
    <b v="0"/>
    <x v="6"/>
    <n v="0.1061"/>
    <n v="2011"/>
    <x v="0"/>
    <x v="19"/>
    <x v="1"/>
    <s v="Spring"/>
    <x v="0"/>
    <n v="0.3"/>
    <n v="0.32840000000000003"/>
    <x v="16"/>
    <n v="3"/>
    <n v="93"/>
    <n v="96"/>
    <s v="High"/>
    <s v="Normal"/>
    <s v="Normal"/>
    <s v="Normal"/>
  </r>
  <r>
    <x v="475"/>
    <x v="20"/>
    <b v="0"/>
    <x v="6"/>
    <n v="7.5800000000000006E-2"/>
    <n v="2011"/>
    <x v="0"/>
    <x v="20"/>
    <x v="1"/>
    <s v="Spring"/>
    <x v="0"/>
    <n v="0.33"/>
    <n v="0.41789999999999999"/>
    <x v="18"/>
    <n v="1"/>
    <n v="52"/>
    <n v="53"/>
    <s v="High"/>
    <s v="Normal"/>
    <s v="Normal"/>
    <s v="Normal"/>
  </r>
  <r>
    <x v="476"/>
    <x v="20"/>
    <b v="0"/>
    <x v="6"/>
    <n v="7.5800000000000006E-2"/>
    <n v="2011"/>
    <x v="0"/>
    <x v="21"/>
    <x v="1"/>
    <s v="Spring"/>
    <x v="0"/>
    <n v="0.38"/>
    <n v="0.28360000000000002"/>
    <x v="19"/>
    <n v="0"/>
    <n v="41"/>
    <n v="41"/>
    <s v="High"/>
    <s v="Normal"/>
    <s v="Normal"/>
    <s v="Normal"/>
  </r>
  <r>
    <x v="477"/>
    <x v="20"/>
    <b v="0"/>
    <x v="6"/>
    <n v="3.0300000000000001E-2"/>
    <n v="2011"/>
    <x v="0"/>
    <x v="22"/>
    <x v="1"/>
    <s v="Spring"/>
    <x v="0"/>
    <n v="0.41"/>
    <n v="0.3881"/>
    <x v="20"/>
    <n v="1"/>
    <n v="33"/>
    <n v="34"/>
    <s v="High"/>
    <s v="Normal"/>
    <s v="Normal"/>
    <s v="Normal"/>
  </r>
  <r>
    <x v="478"/>
    <x v="20"/>
    <b v="0"/>
    <x v="6"/>
    <n v="4.5499999999999999E-2"/>
    <n v="2011"/>
    <x v="0"/>
    <x v="23"/>
    <x v="1"/>
    <s v="Spring"/>
    <x v="0"/>
    <n v="0.38"/>
    <n v="0.32840000000000003"/>
    <x v="20"/>
    <n v="0"/>
    <n v="27"/>
    <n v="27"/>
    <s v="High"/>
    <s v="Normal"/>
    <s v="Normal"/>
    <s v="Normal"/>
  </r>
  <r>
    <x v="479"/>
    <x v="21"/>
    <b v="0"/>
    <x v="0"/>
    <n v="3.0300000000000001E-2"/>
    <n v="2011"/>
    <x v="0"/>
    <x v="0"/>
    <x v="0"/>
    <s v="Spring"/>
    <x v="0"/>
    <n v="0.45"/>
    <n v="0.25369999999999998"/>
    <x v="21"/>
    <n v="0"/>
    <n v="13"/>
    <n v="13"/>
    <s v="High"/>
    <s v="Normal"/>
    <s v="Normal"/>
    <s v="Normal"/>
  </r>
  <r>
    <x v="480"/>
    <x v="21"/>
    <b v="0"/>
    <x v="0"/>
    <n v="0.21"/>
    <n v="2011"/>
    <x v="0"/>
    <x v="1"/>
    <x v="0"/>
    <s v="Spring"/>
    <x v="1"/>
    <n v="0.41"/>
    <n v="0.3881"/>
    <x v="21"/>
    <n v="3"/>
    <n v="9"/>
    <n v="12"/>
    <s v="High"/>
    <s v="Normal"/>
    <s v="Normal"/>
    <s v="Normal"/>
  </r>
  <r>
    <x v="481"/>
    <x v="21"/>
    <b v="0"/>
    <x v="0"/>
    <n v="3.0300000000000001E-2"/>
    <n v="2011"/>
    <x v="0"/>
    <x v="2"/>
    <x v="0"/>
    <s v="Spring"/>
    <x v="1"/>
    <n v="0.41"/>
    <n v="0.25369999999999998"/>
    <x v="21"/>
    <n v="0"/>
    <n v="11"/>
    <n v="11"/>
    <s v="High"/>
    <s v="Normal"/>
    <s v="Normal"/>
    <s v="Normal"/>
  </r>
  <r>
    <x v="482"/>
    <x v="21"/>
    <b v="0"/>
    <x v="0"/>
    <n v="3.0300000000000001E-2"/>
    <n v="2011"/>
    <x v="0"/>
    <x v="3"/>
    <x v="0"/>
    <s v="Spring"/>
    <x v="1"/>
    <n v="0.41"/>
    <n v="0.28360000000000002"/>
    <x v="21"/>
    <n v="1"/>
    <n v="6"/>
    <n v="7"/>
    <s v="High"/>
    <s v="Normal"/>
    <s v="Normal"/>
    <s v="Normal"/>
  </r>
  <r>
    <x v="483"/>
    <x v="21"/>
    <b v="0"/>
    <x v="0"/>
    <n v="1.52E-2"/>
    <n v="2011"/>
    <x v="0"/>
    <x v="4"/>
    <x v="0"/>
    <s v="Spring"/>
    <x v="1"/>
    <n v="0.48"/>
    <n v="0.29849999999999999"/>
    <x v="22"/>
    <n v="0"/>
    <n v="3"/>
    <n v="3"/>
    <s v="High"/>
    <s v="Normal"/>
    <s v="Normal"/>
    <s v="Normal"/>
  </r>
  <r>
    <x v="484"/>
    <x v="21"/>
    <b v="0"/>
    <x v="0"/>
    <n v="3.0300000000000001E-2"/>
    <n v="2011"/>
    <x v="0"/>
    <x v="6"/>
    <x v="0"/>
    <s v="Spring"/>
    <x v="1"/>
    <n v="0.44"/>
    <n v="0.22389999999999999"/>
    <x v="22"/>
    <n v="0"/>
    <n v="2"/>
    <n v="2"/>
    <s v="High"/>
    <s v="Normal"/>
    <s v="Normal"/>
    <s v="Normal"/>
  </r>
  <r>
    <x v="485"/>
    <x v="21"/>
    <b v="0"/>
    <x v="0"/>
    <n v="1.52E-2"/>
    <n v="2011"/>
    <x v="0"/>
    <x v="7"/>
    <x v="0"/>
    <s v="Spring"/>
    <x v="0"/>
    <n v="0.44"/>
    <n v="0.28360000000000002"/>
    <x v="22"/>
    <n v="0"/>
    <n v="8"/>
    <n v="8"/>
    <s v="High"/>
    <s v="Normal"/>
    <s v="Normal"/>
    <s v="Normal"/>
  </r>
  <r>
    <x v="486"/>
    <x v="21"/>
    <b v="0"/>
    <x v="0"/>
    <n v="0.21"/>
    <n v="2011"/>
    <x v="0"/>
    <x v="8"/>
    <x v="0"/>
    <s v="Spring"/>
    <x v="0"/>
    <n v="0.44"/>
    <n v="0.32840000000000003"/>
    <x v="22"/>
    <n v="1"/>
    <n v="26"/>
    <n v="27"/>
    <s v="High"/>
    <s v="Normal"/>
    <s v="Normal"/>
    <s v="Normal"/>
  </r>
  <r>
    <x v="487"/>
    <x v="21"/>
    <b v="0"/>
    <x v="0"/>
    <n v="3.0300000000000001E-2"/>
    <n v="2011"/>
    <x v="0"/>
    <x v="9"/>
    <x v="0"/>
    <s v="Spring"/>
    <x v="0"/>
    <n v="0.41"/>
    <n v="0.25369999999999998"/>
    <x v="21"/>
    <n v="3"/>
    <n v="37"/>
    <n v="40"/>
    <s v="High"/>
    <s v="Normal"/>
    <s v="Normal"/>
    <s v="Normal"/>
  </r>
  <r>
    <x v="488"/>
    <x v="21"/>
    <b v="0"/>
    <x v="0"/>
    <n v="6.0600000000000001E-2"/>
    <n v="2011"/>
    <x v="0"/>
    <x v="10"/>
    <x v="0"/>
    <s v="Spring"/>
    <x v="1"/>
    <n v="0.41"/>
    <n v="0.16420000000000001"/>
    <x v="21"/>
    <n v="3"/>
    <n v="50"/>
    <n v="53"/>
    <s v="High"/>
    <s v="Normal"/>
    <s v="Normal"/>
    <s v="Normal"/>
  </r>
  <r>
    <x v="489"/>
    <x v="21"/>
    <b v="0"/>
    <x v="0"/>
    <n v="7.5800000000000006E-2"/>
    <n v="2011"/>
    <x v="0"/>
    <x v="11"/>
    <x v="0"/>
    <s v="Spring"/>
    <x v="1"/>
    <n v="0.38"/>
    <n v="0.1343"/>
    <x v="20"/>
    <n v="4"/>
    <n v="59"/>
    <n v="63"/>
    <s v="High"/>
    <s v="Normal"/>
    <s v="Normal"/>
    <s v="Normal"/>
  </r>
  <r>
    <x v="490"/>
    <x v="21"/>
    <b v="0"/>
    <x v="0"/>
    <n v="0.1061"/>
    <n v="2011"/>
    <x v="0"/>
    <x v="12"/>
    <x v="0"/>
    <s v="Spring"/>
    <x v="1"/>
    <n v="0.38"/>
    <n v="0.1045"/>
    <x v="20"/>
    <n v="10"/>
    <n v="60"/>
    <n v="70"/>
    <s v="High"/>
    <s v="Normal"/>
    <s v="Normal"/>
    <s v="Normal"/>
  </r>
  <r>
    <x v="491"/>
    <x v="21"/>
    <b v="0"/>
    <x v="0"/>
    <n v="0.16669999999999999"/>
    <n v="2011"/>
    <x v="0"/>
    <x v="13"/>
    <x v="0"/>
    <s v="Spring"/>
    <x v="0"/>
    <n v="0.35"/>
    <n v="0.23"/>
    <x v="19"/>
    <n v="12"/>
    <n v="72"/>
    <n v="84"/>
    <s v="High"/>
    <s v="Normal"/>
    <s v="Normal"/>
    <s v="Normal"/>
  </r>
  <r>
    <x v="492"/>
    <x v="21"/>
    <b v="0"/>
    <x v="0"/>
    <n v="0.13639999999999999"/>
    <n v="2011"/>
    <x v="0"/>
    <x v="14"/>
    <x v="0"/>
    <s v="Spring"/>
    <x v="0"/>
    <n v="0.33"/>
    <n v="0.1045"/>
    <x v="18"/>
    <n v="11"/>
    <n v="64"/>
    <n v="75"/>
    <s v="High"/>
    <s v="Normal"/>
    <s v="Normal"/>
    <s v="Normal"/>
  </r>
  <r>
    <x v="493"/>
    <x v="21"/>
    <b v="0"/>
    <x v="0"/>
    <n v="0.1515"/>
    <n v="2011"/>
    <x v="0"/>
    <x v="15"/>
    <x v="0"/>
    <s v="Spring"/>
    <x v="0"/>
    <n v="0.28000000000000003"/>
    <n v="0.23"/>
    <x v="16"/>
    <n v="10"/>
    <n v="93"/>
    <n v="103"/>
    <s v="High"/>
    <s v="Normal"/>
    <s v="Normal"/>
    <s v="Normal"/>
  </r>
  <r>
    <x v="494"/>
    <x v="21"/>
    <b v="0"/>
    <x v="0"/>
    <n v="0.13639999999999999"/>
    <n v="2011"/>
    <x v="0"/>
    <x v="16"/>
    <x v="0"/>
    <s v="Spring"/>
    <x v="0"/>
    <n v="0.28000000000000003"/>
    <n v="0.19400000000000001"/>
    <x v="16"/>
    <n v="11"/>
    <n v="72"/>
    <n v="83"/>
    <s v="High"/>
    <s v="Normal"/>
    <s v="Normal"/>
    <s v="Normal"/>
  </r>
  <r>
    <x v="495"/>
    <x v="21"/>
    <b v="0"/>
    <x v="0"/>
    <n v="0.19700000000000001"/>
    <n v="2011"/>
    <x v="0"/>
    <x v="17"/>
    <x v="0"/>
    <s v="Spring"/>
    <x v="0"/>
    <n v="0.28000000000000003"/>
    <n v="0.23"/>
    <x v="16"/>
    <n v="8"/>
    <n v="59"/>
    <n v="67"/>
    <s v="High"/>
    <s v="Normal"/>
    <s v="Normal"/>
    <s v="Normal"/>
  </r>
  <r>
    <x v="496"/>
    <x v="21"/>
    <b v="0"/>
    <x v="0"/>
    <n v="9.0899999999999995E-2"/>
    <n v="2011"/>
    <x v="0"/>
    <x v="18"/>
    <x v="0"/>
    <s v="Spring"/>
    <x v="0"/>
    <n v="0.35"/>
    <n v="0.19400000000000001"/>
    <x v="19"/>
    <n v="0"/>
    <n v="54"/>
    <n v="54"/>
    <s v="High"/>
    <s v="Normal"/>
    <s v="Normal"/>
    <s v="Normal"/>
  </r>
  <r>
    <x v="497"/>
    <x v="21"/>
    <b v="0"/>
    <x v="0"/>
    <n v="0.1061"/>
    <n v="2011"/>
    <x v="0"/>
    <x v="19"/>
    <x v="0"/>
    <s v="Spring"/>
    <x v="0"/>
    <n v="0.35"/>
    <n v="0.1343"/>
    <x v="19"/>
    <n v="6"/>
    <n v="53"/>
    <n v="59"/>
    <s v="High"/>
    <s v="Normal"/>
    <s v="Normal"/>
    <s v="Normal"/>
  </r>
  <r>
    <x v="498"/>
    <x v="21"/>
    <b v="0"/>
    <x v="0"/>
    <n v="7.5800000000000006E-2"/>
    <n v="2011"/>
    <x v="0"/>
    <x v="20"/>
    <x v="0"/>
    <s v="Spring"/>
    <x v="0"/>
    <n v="0.45"/>
    <n v="0.16420000000000001"/>
    <x v="20"/>
    <n v="1"/>
    <n v="44"/>
    <n v="45"/>
    <s v="High"/>
    <s v="Normal"/>
    <s v="Normal"/>
    <s v="Normal"/>
  </r>
  <r>
    <x v="499"/>
    <x v="21"/>
    <b v="0"/>
    <x v="0"/>
    <n v="0.1061"/>
    <n v="2011"/>
    <x v="0"/>
    <x v="21"/>
    <x v="0"/>
    <s v="Spring"/>
    <x v="0"/>
    <n v="0.41"/>
    <n v="8.9599999999999999E-2"/>
    <x v="20"/>
    <n v="0"/>
    <n v="39"/>
    <n v="39"/>
    <s v="High"/>
    <s v="Normal"/>
    <s v="Normal"/>
    <s v="Normal"/>
  </r>
  <r>
    <x v="500"/>
    <x v="21"/>
    <b v="0"/>
    <x v="0"/>
    <n v="0.1515"/>
    <n v="2011"/>
    <x v="0"/>
    <x v="22"/>
    <x v="0"/>
    <s v="Spring"/>
    <x v="0"/>
    <n v="0.49"/>
    <n v="0.23"/>
    <x v="20"/>
    <n v="7"/>
    <n v="23"/>
    <n v="30"/>
    <s v="High"/>
    <s v="Normal"/>
    <s v="Normal"/>
    <s v="Normal"/>
  </r>
  <r>
    <x v="501"/>
    <x v="21"/>
    <b v="0"/>
    <x v="0"/>
    <n v="7.5800000000000006E-2"/>
    <n v="2011"/>
    <x v="0"/>
    <x v="23"/>
    <x v="0"/>
    <s v="Spring"/>
    <x v="0"/>
    <n v="0.56999999999999995"/>
    <n v="0.1045"/>
    <x v="21"/>
    <n v="2"/>
    <n v="31"/>
    <n v="33"/>
    <s v="High"/>
    <s v="Normal"/>
    <s v="Normal"/>
    <s v="Normal"/>
  </r>
  <r>
    <x v="502"/>
    <x v="22"/>
    <b v="0"/>
    <x v="1"/>
    <n v="7.5800000000000006E-2"/>
    <n v="2011"/>
    <x v="0"/>
    <x v="0"/>
    <x v="0"/>
    <s v="Spring"/>
    <x v="0"/>
    <n v="0.56999999999999995"/>
    <n v="0.1045"/>
    <x v="21"/>
    <n v="2"/>
    <n v="20"/>
    <n v="22"/>
    <s v="High"/>
    <s v="Normal"/>
    <s v="Normal"/>
    <s v="Normal"/>
  </r>
  <r>
    <x v="503"/>
    <x v="22"/>
    <b v="0"/>
    <x v="1"/>
    <n v="7.5800000000000006E-2"/>
    <n v="2011"/>
    <x v="0"/>
    <x v="1"/>
    <x v="0"/>
    <s v="Spring"/>
    <x v="0"/>
    <n v="0.56999999999999995"/>
    <n v="0.1045"/>
    <x v="21"/>
    <n v="1"/>
    <n v="12"/>
    <n v="13"/>
    <s v="High"/>
    <s v="Normal"/>
    <s v="Normal"/>
    <s v="Normal"/>
  </r>
  <r>
    <x v="504"/>
    <x v="22"/>
    <b v="0"/>
    <x v="1"/>
    <n v="6.0600000000000001E-2"/>
    <n v="2011"/>
    <x v="0"/>
    <x v="2"/>
    <x v="0"/>
    <s v="Spring"/>
    <x v="0"/>
    <n v="0.62"/>
    <n v="0.1343"/>
    <x v="22"/>
    <n v="3"/>
    <n v="15"/>
    <n v="18"/>
    <s v="High"/>
    <s v="Normal"/>
    <s v="Normal"/>
    <s v="Normal"/>
  </r>
  <r>
    <x v="505"/>
    <x v="22"/>
    <b v="0"/>
    <x v="1"/>
    <n v="6.0600000000000001E-2"/>
    <n v="2011"/>
    <x v="0"/>
    <x v="3"/>
    <x v="0"/>
    <s v="Spring"/>
    <x v="0"/>
    <n v="0.62"/>
    <n v="0.1343"/>
    <x v="22"/>
    <n v="1"/>
    <n v="4"/>
    <n v="5"/>
    <s v="High"/>
    <s v="Normal"/>
    <s v="Normal"/>
    <s v="Normal"/>
  </r>
  <r>
    <x v="506"/>
    <x v="22"/>
    <b v="0"/>
    <x v="1"/>
    <n v="7.5800000000000006E-2"/>
    <n v="2011"/>
    <x v="0"/>
    <x v="5"/>
    <x v="0"/>
    <s v="Spring"/>
    <x v="1"/>
    <n v="0.56999999999999995"/>
    <n v="0.1045"/>
    <x v="21"/>
    <n v="0"/>
    <n v="3"/>
    <n v="3"/>
    <s v="High"/>
    <s v="Normal"/>
    <s v="Normal"/>
    <s v="Normal"/>
  </r>
  <r>
    <x v="507"/>
    <x v="22"/>
    <b v="0"/>
    <x v="1"/>
    <n v="7.5800000000000006E-2"/>
    <n v="2011"/>
    <x v="0"/>
    <x v="6"/>
    <x v="0"/>
    <s v="Spring"/>
    <x v="1"/>
    <n v="0.56999999999999995"/>
    <n v="0.1045"/>
    <x v="21"/>
    <n v="0"/>
    <n v="1"/>
    <n v="1"/>
    <s v="High"/>
    <s v="Normal"/>
    <s v="Normal"/>
    <s v="Normal"/>
  </r>
  <r>
    <x v="508"/>
    <x v="22"/>
    <b v="0"/>
    <x v="1"/>
    <n v="0.1061"/>
    <n v="2011"/>
    <x v="0"/>
    <x v="7"/>
    <x v="0"/>
    <s v="Spring"/>
    <x v="0"/>
    <n v="0.57999999999999996"/>
    <n v="0.16420000000000001"/>
    <x v="19"/>
    <n v="1"/>
    <n v="1"/>
    <n v="2"/>
    <s v="High"/>
    <s v="Normal"/>
    <s v="Normal"/>
    <s v="Normal"/>
  </r>
  <r>
    <x v="509"/>
    <x v="22"/>
    <b v="0"/>
    <x v="1"/>
    <n v="7.5800000000000006E-2"/>
    <n v="2011"/>
    <x v="0"/>
    <x v="8"/>
    <x v="0"/>
    <s v="Spring"/>
    <x v="0"/>
    <n v="0.62"/>
    <n v="0.16420000000000001"/>
    <x v="20"/>
    <n v="2"/>
    <n v="17"/>
    <n v="19"/>
    <s v="High"/>
    <s v="Normal"/>
    <s v="Normal"/>
    <s v="Normal"/>
  </r>
  <r>
    <x v="510"/>
    <x v="22"/>
    <b v="0"/>
    <x v="1"/>
    <n v="7.5800000000000006E-2"/>
    <n v="2011"/>
    <x v="0"/>
    <x v="9"/>
    <x v="0"/>
    <s v="Spring"/>
    <x v="0"/>
    <n v="0.54"/>
    <n v="0.35820000000000002"/>
    <x v="18"/>
    <n v="3"/>
    <n v="25"/>
    <n v="28"/>
    <s v="High"/>
    <s v="Normal"/>
    <s v="Normal"/>
    <s v="Normal"/>
  </r>
  <r>
    <x v="511"/>
    <x v="22"/>
    <b v="0"/>
    <x v="1"/>
    <n v="0.1061"/>
    <n v="2011"/>
    <x v="0"/>
    <x v="10"/>
    <x v="0"/>
    <s v="Spring"/>
    <x v="0"/>
    <n v="0.46"/>
    <n v="0.3881"/>
    <x v="14"/>
    <n v="7"/>
    <n v="51"/>
    <n v="58"/>
    <s v="High"/>
    <s v="Normal"/>
    <s v="Normal"/>
    <s v="Normal"/>
  </r>
  <r>
    <x v="512"/>
    <x v="22"/>
    <b v="0"/>
    <x v="1"/>
    <n v="0.13639999999999999"/>
    <n v="2011"/>
    <x v="0"/>
    <x v="11"/>
    <x v="0"/>
    <s v="Spring"/>
    <x v="0"/>
    <n v="0.43"/>
    <n v="0.22389999999999999"/>
    <x v="14"/>
    <n v="22"/>
    <n v="77"/>
    <n v="99"/>
    <s v="High"/>
    <s v="Normal"/>
    <s v="Normal"/>
    <s v="Normal"/>
  </r>
  <r>
    <x v="513"/>
    <x v="22"/>
    <b v="0"/>
    <x v="1"/>
    <n v="0.1212"/>
    <n v="2011"/>
    <x v="0"/>
    <x v="12"/>
    <x v="0"/>
    <s v="Spring"/>
    <x v="0"/>
    <n v="0.37"/>
    <n v="0.4627"/>
    <x v="13"/>
    <n v="24"/>
    <n v="92"/>
    <n v="116"/>
    <s v="High"/>
    <s v="Normal"/>
    <s v="Normal"/>
    <s v="Normal"/>
  </r>
  <r>
    <x v="514"/>
    <x v="22"/>
    <b v="0"/>
    <x v="1"/>
    <n v="0.1061"/>
    <n v="2011"/>
    <x v="0"/>
    <x v="13"/>
    <x v="0"/>
    <s v="Spring"/>
    <x v="0"/>
    <n v="0.33"/>
    <n v="0.3881"/>
    <x v="14"/>
    <n v="12"/>
    <n v="75"/>
    <n v="87"/>
    <s v="High"/>
    <s v="Normal"/>
    <s v="Normal"/>
    <s v="Normal"/>
  </r>
  <r>
    <x v="515"/>
    <x v="22"/>
    <b v="0"/>
    <x v="1"/>
    <n v="0.13639999999999999"/>
    <n v="2011"/>
    <x v="0"/>
    <x v="14"/>
    <x v="0"/>
    <s v="Spring"/>
    <x v="0"/>
    <n v="0.28000000000000003"/>
    <n v="0.35820000000000002"/>
    <x v="13"/>
    <n v="17"/>
    <n v="93"/>
    <n v="110"/>
    <s v="High"/>
    <s v="Normal"/>
    <s v="Normal"/>
    <s v="Normal"/>
  </r>
  <r>
    <x v="516"/>
    <x v="22"/>
    <b v="0"/>
    <x v="1"/>
    <n v="0.13639999999999999"/>
    <n v="2011"/>
    <x v="0"/>
    <x v="15"/>
    <x v="0"/>
    <s v="Spring"/>
    <x v="0"/>
    <n v="0.28000000000000003"/>
    <n v="0.35820000000000002"/>
    <x v="13"/>
    <n v="13"/>
    <n v="64"/>
    <n v="77"/>
    <s v="High"/>
    <s v="Normal"/>
    <s v="Normal"/>
    <s v="Normal"/>
  </r>
  <r>
    <x v="517"/>
    <x v="22"/>
    <b v="0"/>
    <x v="1"/>
    <n v="0.13639999999999999"/>
    <n v="2011"/>
    <x v="0"/>
    <x v="16"/>
    <x v="0"/>
    <s v="Spring"/>
    <x v="0"/>
    <n v="0.26"/>
    <n v="0.32840000000000003"/>
    <x v="13"/>
    <n v="9"/>
    <n v="56"/>
    <n v="65"/>
    <s v="High"/>
    <s v="Normal"/>
    <s v="Normal"/>
    <s v="Normal"/>
  </r>
  <r>
    <x v="518"/>
    <x v="22"/>
    <b v="0"/>
    <x v="1"/>
    <n v="0.1061"/>
    <n v="2011"/>
    <x v="0"/>
    <x v="17"/>
    <x v="0"/>
    <s v="Spring"/>
    <x v="0"/>
    <n v="0.26"/>
    <n v="0.3881"/>
    <x v="14"/>
    <n v="5"/>
    <n v="50"/>
    <n v="55"/>
    <s v="High"/>
    <s v="Normal"/>
    <s v="Normal"/>
    <s v="Normal"/>
  </r>
  <r>
    <x v="519"/>
    <x v="22"/>
    <b v="0"/>
    <x v="1"/>
    <n v="0.1212"/>
    <n v="2011"/>
    <x v="0"/>
    <x v="18"/>
    <x v="0"/>
    <s v="Spring"/>
    <x v="0"/>
    <n v="0.3"/>
    <n v="0.25369999999999998"/>
    <x v="16"/>
    <n v="5"/>
    <n v="44"/>
    <n v="49"/>
    <s v="High"/>
    <s v="Normal"/>
    <s v="Normal"/>
    <s v="Normal"/>
  </r>
  <r>
    <x v="520"/>
    <x v="22"/>
    <b v="0"/>
    <x v="1"/>
    <n v="0.1212"/>
    <n v="2011"/>
    <x v="0"/>
    <x v="19"/>
    <x v="0"/>
    <s v="Spring"/>
    <x v="0"/>
    <n v="0.3"/>
    <n v="0.28360000000000002"/>
    <x v="16"/>
    <n v="5"/>
    <n v="45"/>
    <n v="50"/>
    <s v="High"/>
    <s v="Normal"/>
    <s v="Normal"/>
    <s v="Normal"/>
  </r>
  <r>
    <x v="521"/>
    <x v="22"/>
    <b v="0"/>
    <x v="1"/>
    <n v="0.1061"/>
    <n v="2011"/>
    <x v="0"/>
    <x v="20"/>
    <x v="0"/>
    <s v="Spring"/>
    <x v="0"/>
    <n v="0.36"/>
    <n v="0.25369999999999998"/>
    <x v="18"/>
    <n v="4"/>
    <n v="31"/>
    <n v="35"/>
    <s v="High"/>
    <s v="Normal"/>
    <s v="Normal"/>
    <s v="Normal"/>
  </r>
  <r>
    <x v="522"/>
    <x v="22"/>
    <b v="0"/>
    <x v="1"/>
    <n v="0.1061"/>
    <n v="2011"/>
    <x v="0"/>
    <x v="21"/>
    <x v="0"/>
    <s v="Spring"/>
    <x v="0"/>
    <n v="0.36"/>
    <n v="0.19400000000000001"/>
    <x v="18"/>
    <n v="5"/>
    <n v="20"/>
    <n v="25"/>
    <s v="High"/>
    <s v="Normal"/>
    <s v="Normal"/>
    <s v="Normal"/>
  </r>
  <r>
    <x v="523"/>
    <x v="22"/>
    <b v="0"/>
    <x v="1"/>
    <n v="9.0899999999999995E-2"/>
    <n v="2011"/>
    <x v="0"/>
    <x v="22"/>
    <x v="0"/>
    <s v="Spring"/>
    <x v="0"/>
    <n v="0.38"/>
    <n v="0.19400000000000001"/>
    <x v="19"/>
    <n v="5"/>
    <n v="23"/>
    <n v="28"/>
    <s v="High"/>
    <s v="Normal"/>
    <s v="Normal"/>
    <s v="Normal"/>
  </r>
  <r>
    <x v="524"/>
    <x v="22"/>
    <b v="0"/>
    <x v="1"/>
    <n v="6.0600000000000001E-2"/>
    <n v="2011"/>
    <x v="0"/>
    <x v="23"/>
    <x v="0"/>
    <s v="Spring"/>
    <x v="0"/>
    <n v="0.41"/>
    <n v="0.22389999999999999"/>
    <x v="20"/>
    <n v="4"/>
    <n v="17"/>
    <n v="21"/>
    <s v="High"/>
    <s v="Normal"/>
    <s v="Normal"/>
    <s v="Normal"/>
  </r>
  <r>
    <x v="525"/>
    <x v="23"/>
    <b v="0"/>
    <x v="2"/>
    <n v="6.0600000000000001E-2"/>
    <n v="2011"/>
    <x v="0"/>
    <x v="0"/>
    <x v="1"/>
    <s v="Spring"/>
    <x v="0"/>
    <n v="0.41"/>
    <n v="0.19400000000000001"/>
    <x v="20"/>
    <n v="0"/>
    <n v="7"/>
    <n v="7"/>
    <s v="High"/>
    <s v="Normal"/>
    <s v="Normal"/>
    <s v="Normal"/>
  </r>
  <r>
    <x v="526"/>
    <x v="23"/>
    <b v="0"/>
    <x v="2"/>
    <n v="4.5499999999999999E-2"/>
    <n v="2011"/>
    <x v="0"/>
    <x v="1"/>
    <x v="1"/>
    <s v="Spring"/>
    <x v="0"/>
    <n v="0.45"/>
    <n v="0.19400000000000001"/>
    <x v="21"/>
    <n v="0"/>
    <n v="1"/>
    <n v="1"/>
    <s v="High"/>
    <s v="Normal"/>
    <s v="Normal"/>
    <s v="Normal"/>
  </r>
  <r>
    <x v="527"/>
    <x v="23"/>
    <b v="0"/>
    <x v="2"/>
    <n v="3.0300000000000001E-2"/>
    <n v="2011"/>
    <x v="0"/>
    <x v="3"/>
    <x v="1"/>
    <s v="Spring"/>
    <x v="0"/>
    <n v="0.45"/>
    <n v="0.25369999999999998"/>
    <x v="21"/>
    <n v="0"/>
    <n v="1"/>
    <n v="1"/>
    <s v="High"/>
    <s v="Normal"/>
    <s v="Normal"/>
    <s v="Normal"/>
  </r>
  <r>
    <x v="528"/>
    <x v="23"/>
    <b v="0"/>
    <x v="2"/>
    <n v="6.0600000000000001E-2"/>
    <n v="2011"/>
    <x v="0"/>
    <x v="4"/>
    <x v="1"/>
    <s v="Spring"/>
    <x v="0"/>
    <n v="0.48"/>
    <n v="0.1343"/>
    <x v="22"/>
    <n v="0"/>
    <n v="1"/>
    <n v="1"/>
    <s v="High"/>
    <s v="Normal"/>
    <s v="Normal"/>
    <s v="Normal"/>
  </r>
  <r>
    <x v="529"/>
    <x v="23"/>
    <b v="0"/>
    <x v="2"/>
    <n v="6.0600000000000001E-2"/>
    <n v="2011"/>
    <x v="0"/>
    <x v="5"/>
    <x v="1"/>
    <s v="Spring"/>
    <x v="0"/>
    <n v="0.48"/>
    <n v="0.1343"/>
    <x v="22"/>
    <n v="0"/>
    <n v="5"/>
    <n v="5"/>
    <s v="High"/>
    <s v="Normal"/>
    <s v="Normal"/>
    <s v="Normal"/>
  </r>
  <r>
    <x v="530"/>
    <x v="23"/>
    <b v="0"/>
    <x v="2"/>
    <n v="7.5800000000000006E-2"/>
    <n v="2011"/>
    <x v="0"/>
    <x v="6"/>
    <x v="1"/>
    <s v="Spring"/>
    <x v="0"/>
    <n v="0.48"/>
    <n v="8.9599999999999999E-2"/>
    <x v="22"/>
    <n v="0"/>
    <n v="15"/>
    <n v="15"/>
    <s v="High"/>
    <s v="Normal"/>
    <s v="Normal"/>
    <s v="Normal"/>
  </r>
  <r>
    <x v="531"/>
    <x v="23"/>
    <b v="0"/>
    <x v="2"/>
    <n v="0.1212"/>
    <n v="2011"/>
    <x v="0"/>
    <x v="7"/>
    <x v="1"/>
    <s v="Spring"/>
    <x v="0"/>
    <n v="0.48"/>
    <n v="0.23"/>
    <x v="22"/>
    <n v="5"/>
    <n v="79"/>
    <n v="84"/>
    <s v="High"/>
    <s v="Normal"/>
    <s v="Normal"/>
    <s v="Normal"/>
  </r>
  <r>
    <x v="532"/>
    <x v="23"/>
    <b v="0"/>
    <x v="2"/>
    <n v="0.13639999999999999"/>
    <n v="2011"/>
    <x v="0"/>
    <x v="8"/>
    <x v="1"/>
    <s v="Spring"/>
    <x v="0"/>
    <n v="0.49"/>
    <n v="0.23"/>
    <x v="21"/>
    <n v="6"/>
    <n v="171"/>
    <n v="177"/>
    <s v="High"/>
    <s v="Normal"/>
    <s v="Normal"/>
    <s v="Normal"/>
  </r>
  <r>
    <x v="533"/>
    <x v="23"/>
    <b v="0"/>
    <x v="2"/>
    <n v="0.1515"/>
    <n v="2011"/>
    <x v="0"/>
    <x v="9"/>
    <x v="1"/>
    <s v="Spring"/>
    <x v="0"/>
    <n v="0.41"/>
    <n v="0.23"/>
    <x v="20"/>
    <n v="4"/>
    <n v="98"/>
    <n v="102"/>
    <s v="High"/>
    <s v="Normal"/>
    <s v="Normal"/>
    <s v="Normal"/>
  </r>
  <r>
    <x v="534"/>
    <x v="23"/>
    <b v="0"/>
    <x v="2"/>
    <n v="0.13639999999999999"/>
    <n v="2011"/>
    <x v="0"/>
    <x v="10"/>
    <x v="1"/>
    <s v="Spring"/>
    <x v="0"/>
    <n v="0.42"/>
    <n v="0.23"/>
    <x v="18"/>
    <n v="6"/>
    <n v="34"/>
    <n v="40"/>
    <s v="High"/>
    <s v="Normal"/>
    <s v="Normal"/>
    <s v="Normal"/>
  </r>
  <r>
    <x v="535"/>
    <x v="23"/>
    <b v="0"/>
    <x v="2"/>
    <n v="0.1212"/>
    <n v="2011"/>
    <x v="0"/>
    <x v="11"/>
    <x v="1"/>
    <s v="Spring"/>
    <x v="0"/>
    <n v="0.46"/>
    <n v="0.1343"/>
    <x v="18"/>
    <n v="3"/>
    <n v="43"/>
    <n v="46"/>
    <s v="High"/>
    <s v="Normal"/>
    <s v="Normal"/>
    <s v="Normal"/>
  </r>
  <r>
    <x v="536"/>
    <x v="23"/>
    <b v="0"/>
    <x v="2"/>
    <n v="0.13639999999999999"/>
    <n v="2011"/>
    <x v="0"/>
    <x v="12"/>
    <x v="1"/>
    <s v="Spring"/>
    <x v="1"/>
    <n v="0.42"/>
    <n v="0.19400000000000001"/>
    <x v="16"/>
    <n v="11"/>
    <n v="52"/>
    <n v="63"/>
    <s v="High"/>
    <s v="Normal"/>
    <s v="Normal"/>
    <s v="Normal"/>
  </r>
  <r>
    <x v="537"/>
    <x v="23"/>
    <b v="0"/>
    <x v="2"/>
    <n v="0.13639999999999999"/>
    <n v="2011"/>
    <x v="0"/>
    <x v="13"/>
    <x v="1"/>
    <s v="Spring"/>
    <x v="1"/>
    <n v="0.43"/>
    <n v="0.22389999999999999"/>
    <x v="14"/>
    <n v="6"/>
    <n v="54"/>
    <n v="60"/>
    <s v="High"/>
    <s v="Normal"/>
    <s v="Normal"/>
    <s v="Normal"/>
  </r>
  <r>
    <x v="538"/>
    <x v="23"/>
    <b v="0"/>
    <x v="2"/>
    <n v="0.13639999999999999"/>
    <n v="2011"/>
    <x v="0"/>
    <x v="14"/>
    <x v="1"/>
    <s v="Spring"/>
    <x v="1"/>
    <n v="0.46"/>
    <n v="0.22389999999999999"/>
    <x v="14"/>
    <n v="2"/>
    <n v="43"/>
    <n v="45"/>
    <s v="High"/>
    <s v="Normal"/>
    <s v="Normal"/>
    <s v="Normal"/>
  </r>
  <r>
    <x v="539"/>
    <x v="23"/>
    <b v="0"/>
    <x v="2"/>
    <n v="0.16669999999999999"/>
    <n v="2011"/>
    <x v="0"/>
    <x v="15"/>
    <x v="1"/>
    <s v="Spring"/>
    <x v="0"/>
    <n v="0.4"/>
    <n v="0.16420000000000001"/>
    <x v="13"/>
    <n v="7"/>
    <n v="50"/>
    <n v="57"/>
    <s v="High"/>
    <s v="Normal"/>
    <s v="Normal"/>
    <s v="Normal"/>
  </r>
  <r>
    <x v="540"/>
    <x v="23"/>
    <b v="0"/>
    <x v="2"/>
    <n v="0.1515"/>
    <n v="2011"/>
    <x v="0"/>
    <x v="16"/>
    <x v="1"/>
    <s v="Spring"/>
    <x v="0"/>
    <n v="0.47"/>
    <n v="0.25369999999999998"/>
    <x v="13"/>
    <n v="4"/>
    <n v="66"/>
    <n v="70"/>
    <s v="High"/>
    <s v="Normal"/>
    <s v="Normal"/>
    <s v="Normal"/>
  </r>
  <r>
    <x v="541"/>
    <x v="23"/>
    <b v="0"/>
    <x v="2"/>
    <n v="0.1212"/>
    <n v="2011"/>
    <x v="0"/>
    <x v="17"/>
    <x v="1"/>
    <s v="Spring"/>
    <x v="0"/>
    <n v="0.5"/>
    <n v="0.25369999999999998"/>
    <x v="14"/>
    <n v="6"/>
    <n v="178"/>
    <n v="184"/>
    <s v="High"/>
    <s v="Outlier"/>
    <s v="Normal"/>
    <s v="Normal"/>
  </r>
  <r>
    <x v="542"/>
    <x v="23"/>
    <b v="0"/>
    <x v="2"/>
    <n v="0.13639999999999999"/>
    <n v="2011"/>
    <x v="0"/>
    <x v="18"/>
    <x v="1"/>
    <s v="Spring"/>
    <x v="0"/>
    <n v="0.59"/>
    <n v="0.19400000000000001"/>
    <x v="14"/>
    <n v="8"/>
    <n v="145"/>
    <n v="153"/>
    <s v="High"/>
    <s v="Normal"/>
    <s v="Normal"/>
    <s v="Normal"/>
  </r>
  <r>
    <x v="543"/>
    <x v="23"/>
    <b v="0"/>
    <x v="2"/>
    <n v="0.1515"/>
    <n v="2011"/>
    <x v="0"/>
    <x v="19"/>
    <x v="1"/>
    <s v="Spring"/>
    <x v="0"/>
    <n v="0.54"/>
    <n v="0.16420000000000001"/>
    <x v="14"/>
    <n v="5"/>
    <n v="101"/>
    <n v="106"/>
    <s v="High"/>
    <s v="Normal"/>
    <s v="Normal"/>
    <s v="Normal"/>
  </r>
  <r>
    <x v="544"/>
    <x v="23"/>
    <b v="0"/>
    <x v="2"/>
    <n v="0.13639999999999999"/>
    <n v="2011"/>
    <x v="0"/>
    <x v="20"/>
    <x v="1"/>
    <s v="Spring"/>
    <x v="0"/>
    <n v="0.59"/>
    <n v="0.19400000000000001"/>
    <x v="14"/>
    <n v="1"/>
    <n v="80"/>
    <n v="81"/>
    <s v="High"/>
    <s v="Normal"/>
    <s v="Normal"/>
    <s v="Normal"/>
  </r>
  <r>
    <x v="545"/>
    <x v="23"/>
    <b v="0"/>
    <x v="2"/>
    <n v="0.1515"/>
    <n v="2011"/>
    <x v="0"/>
    <x v="21"/>
    <x v="1"/>
    <s v="Spring"/>
    <x v="0"/>
    <n v="0.63"/>
    <n v="0.16420000000000001"/>
    <x v="14"/>
    <n v="6"/>
    <n v="53"/>
    <n v="59"/>
    <s v="High"/>
    <s v="Normal"/>
    <s v="Normal"/>
    <s v="Normal"/>
  </r>
  <r>
    <x v="546"/>
    <x v="23"/>
    <b v="0"/>
    <x v="2"/>
    <n v="0.13639999999999999"/>
    <n v="2011"/>
    <x v="0"/>
    <x v="22"/>
    <x v="1"/>
    <s v="Spring"/>
    <x v="1"/>
    <n v="0.63"/>
    <n v="0.22389999999999999"/>
    <x v="14"/>
    <n v="3"/>
    <n v="32"/>
    <n v="35"/>
    <s v="High"/>
    <s v="Normal"/>
    <s v="Normal"/>
    <s v="Normal"/>
  </r>
  <r>
    <x v="547"/>
    <x v="23"/>
    <b v="0"/>
    <x v="2"/>
    <n v="0.1515"/>
    <n v="2011"/>
    <x v="0"/>
    <x v="23"/>
    <x v="1"/>
    <s v="Spring"/>
    <x v="1"/>
    <n v="0.64"/>
    <n v="0.25369999999999998"/>
    <x v="13"/>
    <n v="3"/>
    <n v="21"/>
    <n v="24"/>
    <s v="High"/>
    <s v="Normal"/>
    <s v="Normal"/>
    <s v="Normal"/>
  </r>
  <r>
    <x v="548"/>
    <x v="24"/>
    <b v="0"/>
    <x v="3"/>
    <n v="0.13639999999999999"/>
    <n v="2011"/>
    <x v="0"/>
    <x v="0"/>
    <x v="1"/>
    <s v="Spring"/>
    <x v="1"/>
    <n v="0.69"/>
    <n v="0.28360000000000002"/>
    <x v="13"/>
    <n v="3"/>
    <n v="6"/>
    <n v="9"/>
    <s v="High"/>
    <s v="Normal"/>
    <s v="Normal"/>
    <s v="Normal"/>
  </r>
  <r>
    <x v="549"/>
    <x v="24"/>
    <b v="0"/>
    <x v="3"/>
    <n v="0.16669999999999999"/>
    <n v="2011"/>
    <x v="0"/>
    <x v="1"/>
    <x v="1"/>
    <s v="Spring"/>
    <x v="1"/>
    <n v="0.69"/>
    <n v="0.16420000000000001"/>
    <x v="13"/>
    <n v="0"/>
    <n v="5"/>
    <n v="5"/>
    <s v="High"/>
    <s v="Normal"/>
    <s v="Normal"/>
    <s v="Normal"/>
  </r>
  <r>
    <x v="550"/>
    <x v="24"/>
    <b v="0"/>
    <x v="3"/>
    <n v="0.1515"/>
    <n v="2011"/>
    <x v="0"/>
    <x v="2"/>
    <x v="1"/>
    <s v="Spring"/>
    <x v="0"/>
    <n v="0.69"/>
    <n v="0.22389999999999999"/>
    <x v="13"/>
    <n v="0"/>
    <n v="2"/>
    <n v="2"/>
    <s v="High"/>
    <s v="Normal"/>
    <s v="Normal"/>
    <s v="Normal"/>
  </r>
  <r>
    <x v="551"/>
    <x v="24"/>
    <b v="0"/>
    <x v="3"/>
    <n v="0.16669999999999999"/>
    <n v="2011"/>
    <x v="0"/>
    <x v="4"/>
    <x v="1"/>
    <s v="Spring"/>
    <x v="0"/>
    <n v="0.74"/>
    <n v="0.1045"/>
    <x v="14"/>
    <n v="0"/>
    <n v="1"/>
    <n v="1"/>
    <s v="High"/>
    <s v="Normal"/>
    <s v="Normal"/>
    <s v="Normal"/>
  </r>
  <r>
    <x v="552"/>
    <x v="24"/>
    <b v="0"/>
    <x v="3"/>
    <n v="0.13639999999999999"/>
    <n v="2011"/>
    <x v="0"/>
    <x v="5"/>
    <x v="1"/>
    <s v="Spring"/>
    <x v="0"/>
    <n v="0.74"/>
    <n v="0.22389999999999999"/>
    <x v="14"/>
    <n v="0"/>
    <n v="9"/>
    <n v="9"/>
    <s v="High"/>
    <s v="Normal"/>
    <s v="Normal"/>
    <s v="Normal"/>
  </r>
  <r>
    <x v="553"/>
    <x v="24"/>
    <b v="0"/>
    <x v="3"/>
    <n v="0.18179999999999999"/>
    <n v="2011"/>
    <x v="0"/>
    <x v="6"/>
    <x v="1"/>
    <s v="Spring"/>
    <x v="0"/>
    <n v="0.74"/>
    <n v="0.1045"/>
    <x v="13"/>
    <n v="1"/>
    <n v="35"/>
    <n v="36"/>
    <s v="High"/>
    <s v="Normal"/>
    <s v="Normal"/>
    <s v="Normal"/>
  </r>
  <r>
    <x v="554"/>
    <x v="24"/>
    <b v="0"/>
    <x v="3"/>
    <n v="0.1515"/>
    <n v="2011"/>
    <x v="0"/>
    <x v="7"/>
    <x v="1"/>
    <s v="Spring"/>
    <x v="0"/>
    <n v="0.74"/>
    <n v="0.22389999999999999"/>
    <x v="13"/>
    <n v="5"/>
    <n v="103"/>
    <n v="108"/>
    <s v="High"/>
    <s v="Normal"/>
    <s v="Normal"/>
    <s v="Normal"/>
  </r>
  <r>
    <x v="555"/>
    <x v="24"/>
    <b v="0"/>
    <x v="3"/>
    <n v="0.18179999999999999"/>
    <n v="2011"/>
    <x v="0"/>
    <x v="8"/>
    <x v="1"/>
    <s v="Spring"/>
    <x v="1"/>
    <n v="0.74"/>
    <n v="0.1343"/>
    <x v="13"/>
    <n v="5"/>
    <n v="233"/>
    <n v="238"/>
    <s v="High"/>
    <s v="Outlier"/>
    <s v="Normal"/>
    <s v="Normal"/>
  </r>
  <r>
    <x v="556"/>
    <x v="24"/>
    <b v="0"/>
    <x v="3"/>
    <n v="0.2273"/>
    <n v="2011"/>
    <x v="0"/>
    <x v="9"/>
    <x v="1"/>
    <s v="Spring"/>
    <x v="1"/>
    <n v="0.64"/>
    <n v="8.9599999999999999E-2"/>
    <x v="2"/>
    <n v="10"/>
    <n v="134"/>
    <n v="144"/>
    <s v="High"/>
    <s v="Normal"/>
    <s v="Normal"/>
    <s v="Normal"/>
  </r>
  <r>
    <x v="557"/>
    <x v="24"/>
    <b v="0"/>
    <x v="3"/>
    <n v="0.2424"/>
    <n v="2011"/>
    <x v="0"/>
    <x v="10"/>
    <x v="1"/>
    <s v="Spring"/>
    <x v="1"/>
    <n v="0.6"/>
    <n v="0.1045"/>
    <x v="1"/>
    <n v="6"/>
    <n v="49"/>
    <n v="55"/>
    <s v="High"/>
    <s v="Normal"/>
    <s v="Normal"/>
    <s v="Normal"/>
  </r>
  <r>
    <x v="558"/>
    <x v="24"/>
    <b v="0"/>
    <x v="3"/>
    <n v="0.2424"/>
    <n v="2011"/>
    <x v="0"/>
    <x v="11"/>
    <x v="1"/>
    <s v="Spring"/>
    <x v="1"/>
    <n v="0.6"/>
    <n v="0.1343"/>
    <x v="0"/>
    <n v="6"/>
    <n v="55"/>
    <n v="61"/>
    <s v="High"/>
    <s v="Normal"/>
    <s v="Normal"/>
    <s v="Normal"/>
  </r>
  <r>
    <x v="559"/>
    <x v="24"/>
    <b v="0"/>
    <x v="3"/>
    <n v="0.28789999999999999"/>
    <n v="2011"/>
    <x v="0"/>
    <x v="12"/>
    <x v="1"/>
    <s v="Spring"/>
    <x v="1"/>
    <n v="0.56000000000000005"/>
    <n v="8.9599999999999999E-2"/>
    <x v="12"/>
    <n v="21"/>
    <n v="85"/>
    <n v="106"/>
    <s v="High"/>
    <s v="Normal"/>
    <s v="Normal"/>
    <s v="Normal"/>
  </r>
  <r>
    <x v="560"/>
    <x v="24"/>
    <b v="0"/>
    <x v="3"/>
    <n v="0.2727"/>
    <n v="2011"/>
    <x v="0"/>
    <x v="13"/>
    <x v="1"/>
    <s v="Spring"/>
    <x v="1"/>
    <n v="0.56000000000000005"/>
    <n v="0.1343"/>
    <x v="12"/>
    <n v="21"/>
    <n v="72"/>
    <n v="93"/>
    <s v="High"/>
    <s v="Normal"/>
    <s v="Normal"/>
    <s v="Normal"/>
  </r>
  <r>
    <x v="561"/>
    <x v="24"/>
    <b v="0"/>
    <x v="3"/>
    <n v="0.33329999999999999"/>
    <n v="2011"/>
    <x v="0"/>
    <x v="14"/>
    <x v="1"/>
    <s v="Spring"/>
    <x v="1"/>
    <n v="0.45"/>
    <n v="0.23"/>
    <x v="11"/>
    <n v="11"/>
    <n v="57"/>
    <n v="68"/>
    <s v="High"/>
    <s v="Normal"/>
    <s v="Normal"/>
    <s v="Normal"/>
  </r>
  <r>
    <x v="562"/>
    <x v="24"/>
    <b v="0"/>
    <x v="3"/>
    <n v="0.34849999999999998"/>
    <n v="2011"/>
    <x v="0"/>
    <x v="15"/>
    <x v="1"/>
    <s v="Spring"/>
    <x v="1"/>
    <n v="0.42"/>
    <n v="0.23"/>
    <x v="3"/>
    <n v="21"/>
    <n v="63"/>
    <n v="84"/>
    <s v="High"/>
    <s v="Normal"/>
    <s v="Normal"/>
    <s v="Normal"/>
  </r>
  <r>
    <x v="563"/>
    <x v="24"/>
    <b v="0"/>
    <x v="3"/>
    <n v="0.34849999999999998"/>
    <n v="2011"/>
    <x v="0"/>
    <x v="16"/>
    <x v="1"/>
    <s v="Spring"/>
    <x v="1"/>
    <n v="0.42"/>
    <n v="0.23"/>
    <x v="3"/>
    <n v="14"/>
    <n v="102"/>
    <n v="116"/>
    <s v="High"/>
    <s v="Normal"/>
    <s v="Normal"/>
    <s v="Normal"/>
  </r>
  <r>
    <x v="564"/>
    <x v="24"/>
    <b v="0"/>
    <x v="3"/>
    <n v="0.33329999999999999"/>
    <n v="2011"/>
    <x v="0"/>
    <x v="17"/>
    <x v="1"/>
    <s v="Spring"/>
    <x v="0"/>
    <n v="0.45"/>
    <n v="0.23"/>
    <x v="11"/>
    <n v="14"/>
    <n v="208"/>
    <n v="222"/>
    <s v="High"/>
    <s v="Outlier"/>
    <s v="Normal"/>
    <s v="Normal"/>
  </r>
  <r>
    <x v="565"/>
    <x v="24"/>
    <b v="0"/>
    <x v="3"/>
    <n v="0.31819999999999998"/>
    <n v="2011"/>
    <x v="0"/>
    <x v="18"/>
    <x v="1"/>
    <s v="Spring"/>
    <x v="1"/>
    <n v="0.49"/>
    <n v="8.9599999999999999E-2"/>
    <x v="11"/>
    <n v="7"/>
    <n v="218"/>
    <n v="225"/>
    <s v="High"/>
    <s v="Outlier"/>
    <s v="Normal"/>
    <s v="Normal"/>
  </r>
  <r>
    <x v="566"/>
    <x v="24"/>
    <b v="0"/>
    <x v="3"/>
    <n v="0.2576"/>
    <n v="2011"/>
    <x v="0"/>
    <x v="19"/>
    <x v="1"/>
    <s v="Spring"/>
    <x v="1"/>
    <n v="0.65"/>
    <n v="0.16420000000000001"/>
    <x v="12"/>
    <n v="13"/>
    <n v="133"/>
    <n v="146"/>
    <s v="High"/>
    <s v="Normal"/>
    <s v="Normal"/>
    <s v="Normal"/>
  </r>
  <r>
    <x v="567"/>
    <x v="24"/>
    <b v="0"/>
    <x v="3"/>
    <n v="0.2273"/>
    <n v="2011"/>
    <x v="0"/>
    <x v="20"/>
    <x v="1"/>
    <s v="Spring"/>
    <x v="0"/>
    <n v="0.65"/>
    <n v="0.19400000000000001"/>
    <x v="0"/>
    <n v="16"/>
    <n v="103"/>
    <n v="119"/>
    <s v="High"/>
    <s v="Normal"/>
    <s v="Normal"/>
    <s v="Normal"/>
  </r>
  <r>
    <x v="568"/>
    <x v="24"/>
    <b v="0"/>
    <x v="3"/>
    <n v="0.2273"/>
    <n v="2011"/>
    <x v="0"/>
    <x v="21"/>
    <x v="1"/>
    <s v="Spring"/>
    <x v="0"/>
    <n v="0.65"/>
    <n v="0.19400000000000001"/>
    <x v="0"/>
    <n v="5"/>
    <n v="40"/>
    <n v="45"/>
    <s v="High"/>
    <s v="Normal"/>
    <s v="Normal"/>
    <s v="Normal"/>
  </r>
  <r>
    <x v="569"/>
    <x v="24"/>
    <b v="0"/>
    <x v="3"/>
    <n v="0.2273"/>
    <n v="2011"/>
    <x v="0"/>
    <x v="22"/>
    <x v="1"/>
    <s v="Spring"/>
    <x v="0"/>
    <n v="0.64"/>
    <n v="0.16420000000000001"/>
    <x v="1"/>
    <n v="4"/>
    <n v="49"/>
    <n v="53"/>
    <s v="High"/>
    <s v="Normal"/>
    <s v="Normal"/>
    <s v="Normal"/>
  </r>
  <r>
    <x v="570"/>
    <x v="24"/>
    <b v="0"/>
    <x v="3"/>
    <n v="0.2273"/>
    <n v="2011"/>
    <x v="0"/>
    <x v="23"/>
    <x v="1"/>
    <s v="Spring"/>
    <x v="1"/>
    <n v="0.64"/>
    <n v="0.16420000000000001"/>
    <x v="1"/>
    <n v="3"/>
    <n v="37"/>
    <n v="40"/>
    <s v="High"/>
    <s v="Normal"/>
    <s v="Normal"/>
    <s v="Normal"/>
  </r>
  <r>
    <x v="571"/>
    <x v="25"/>
    <b v="0"/>
    <x v="4"/>
    <n v="0.2273"/>
    <n v="2011"/>
    <x v="0"/>
    <x v="0"/>
    <x v="1"/>
    <s v="Spring"/>
    <x v="1"/>
    <n v="0.69"/>
    <n v="0.1343"/>
    <x v="1"/>
    <n v="3"/>
    <n v="14"/>
    <n v="17"/>
    <s v="High"/>
    <s v="Normal"/>
    <s v="Normal"/>
    <s v="Normal"/>
  </r>
  <r>
    <x v="572"/>
    <x v="25"/>
    <b v="0"/>
    <x v="4"/>
    <n v="0.2424"/>
    <n v="2011"/>
    <x v="0"/>
    <x v="1"/>
    <x v="1"/>
    <s v="Spring"/>
    <x v="1"/>
    <n v="0.65"/>
    <n v="0.1343"/>
    <x v="0"/>
    <n v="0"/>
    <n v="5"/>
    <n v="5"/>
    <s v="High"/>
    <s v="Normal"/>
    <s v="Normal"/>
    <s v="Normal"/>
  </r>
  <r>
    <x v="573"/>
    <x v="25"/>
    <b v="0"/>
    <x v="4"/>
    <n v="0.2273"/>
    <n v="2011"/>
    <x v="0"/>
    <x v="2"/>
    <x v="1"/>
    <s v="Spring"/>
    <x v="2"/>
    <n v="0.69"/>
    <n v="0.19400000000000001"/>
    <x v="1"/>
    <n v="3"/>
    <n v="7"/>
    <n v="10"/>
    <s v="High"/>
    <s v="Normal"/>
    <s v="Normal"/>
    <s v="Normal"/>
  </r>
  <r>
    <x v="574"/>
    <x v="25"/>
    <b v="0"/>
    <x v="4"/>
    <n v="0.18179999999999999"/>
    <n v="2011"/>
    <x v="0"/>
    <x v="5"/>
    <x v="1"/>
    <s v="Spring"/>
    <x v="2"/>
    <n v="0.86"/>
    <n v="0.28360000000000002"/>
    <x v="2"/>
    <n v="0"/>
    <n v="1"/>
    <n v="1"/>
    <s v="High"/>
    <s v="Normal"/>
    <s v="Normal"/>
    <s v="Normal"/>
  </r>
  <r>
    <x v="575"/>
    <x v="25"/>
    <b v="0"/>
    <x v="4"/>
    <n v="0.18179999999999999"/>
    <n v="2011"/>
    <x v="0"/>
    <x v="6"/>
    <x v="1"/>
    <s v="Spring"/>
    <x v="2"/>
    <n v="0.86"/>
    <n v="0.28360000000000002"/>
    <x v="2"/>
    <n v="0"/>
    <n v="8"/>
    <n v="8"/>
    <s v="High"/>
    <s v="Normal"/>
    <s v="Normal"/>
    <s v="Normal"/>
  </r>
  <r>
    <x v="576"/>
    <x v="25"/>
    <b v="0"/>
    <x v="4"/>
    <n v="0.21210000000000001"/>
    <n v="2011"/>
    <x v="0"/>
    <x v="7"/>
    <x v="1"/>
    <s v="Spring"/>
    <x v="2"/>
    <n v="0.87"/>
    <n v="0.29849999999999999"/>
    <x v="1"/>
    <n v="1"/>
    <n v="29"/>
    <n v="30"/>
    <s v="High"/>
    <s v="Normal"/>
    <s v="Normal"/>
    <s v="Normal"/>
  </r>
  <r>
    <x v="577"/>
    <x v="25"/>
    <b v="0"/>
    <x v="4"/>
    <n v="0.21210000000000001"/>
    <n v="2011"/>
    <x v="0"/>
    <x v="8"/>
    <x v="1"/>
    <s v="Spring"/>
    <x v="2"/>
    <n v="0.87"/>
    <n v="0.29849999999999999"/>
    <x v="1"/>
    <n v="3"/>
    <n v="69"/>
    <n v="72"/>
    <s v="High"/>
    <s v="Normal"/>
    <s v="Normal"/>
    <s v="Normal"/>
  </r>
  <r>
    <x v="578"/>
    <x v="25"/>
    <b v="0"/>
    <x v="4"/>
    <n v="0.21210000000000001"/>
    <n v="2011"/>
    <x v="0"/>
    <x v="9"/>
    <x v="1"/>
    <s v="Spring"/>
    <x v="2"/>
    <n v="0.87"/>
    <n v="0.29849999999999999"/>
    <x v="1"/>
    <n v="3"/>
    <n v="55"/>
    <n v="58"/>
    <s v="High"/>
    <s v="Normal"/>
    <s v="Normal"/>
    <s v="Normal"/>
  </r>
  <r>
    <x v="579"/>
    <x v="25"/>
    <b v="0"/>
    <x v="4"/>
    <n v="0.21210000000000001"/>
    <n v="2011"/>
    <x v="0"/>
    <x v="10"/>
    <x v="1"/>
    <s v="Spring"/>
    <x v="2"/>
    <n v="0.93"/>
    <n v="0.28360000000000002"/>
    <x v="1"/>
    <n v="2"/>
    <n v="26"/>
    <n v="28"/>
    <s v="High"/>
    <s v="Normal"/>
    <s v="Normal"/>
    <s v="Normal"/>
  </r>
  <r>
    <x v="580"/>
    <x v="25"/>
    <b v="0"/>
    <x v="4"/>
    <n v="0.19700000000000001"/>
    <n v="2011"/>
    <x v="0"/>
    <x v="11"/>
    <x v="1"/>
    <s v="Spring"/>
    <x v="2"/>
    <n v="0.93"/>
    <n v="0.32840000000000003"/>
    <x v="1"/>
    <n v="6"/>
    <n v="35"/>
    <n v="41"/>
    <s v="High"/>
    <s v="Normal"/>
    <s v="Normal"/>
    <s v="Normal"/>
  </r>
  <r>
    <x v="581"/>
    <x v="25"/>
    <b v="0"/>
    <x v="4"/>
    <n v="0.19700000000000001"/>
    <n v="2011"/>
    <x v="0"/>
    <x v="12"/>
    <x v="1"/>
    <s v="Spring"/>
    <x v="2"/>
    <n v="0.93"/>
    <n v="0.32840000000000003"/>
    <x v="1"/>
    <n v="7"/>
    <n v="41"/>
    <n v="48"/>
    <s v="High"/>
    <s v="Normal"/>
    <s v="Normal"/>
    <s v="Normal"/>
  </r>
  <r>
    <x v="582"/>
    <x v="25"/>
    <b v="0"/>
    <x v="4"/>
    <n v="0.19700000000000001"/>
    <n v="2011"/>
    <x v="0"/>
    <x v="13"/>
    <x v="1"/>
    <s v="Spring"/>
    <x v="2"/>
    <n v="0.93"/>
    <n v="0.32840000000000003"/>
    <x v="1"/>
    <n v="4"/>
    <n v="43"/>
    <n v="47"/>
    <s v="High"/>
    <s v="Normal"/>
    <s v="Normal"/>
    <s v="Normal"/>
  </r>
  <r>
    <x v="583"/>
    <x v="25"/>
    <b v="0"/>
    <x v="4"/>
    <n v="0.19700000000000001"/>
    <n v="2011"/>
    <x v="0"/>
    <x v="14"/>
    <x v="1"/>
    <s v="Spring"/>
    <x v="2"/>
    <n v="0.93"/>
    <n v="0.35820000000000002"/>
    <x v="1"/>
    <n v="0"/>
    <n v="36"/>
    <n v="36"/>
    <s v="High"/>
    <s v="Normal"/>
    <s v="Normal"/>
    <s v="Normal"/>
  </r>
  <r>
    <x v="584"/>
    <x v="25"/>
    <b v="0"/>
    <x v="4"/>
    <n v="0.18179999999999999"/>
    <n v="2011"/>
    <x v="0"/>
    <x v="15"/>
    <x v="1"/>
    <s v="Spring"/>
    <x v="2"/>
    <n v="0.93"/>
    <n v="0.4627"/>
    <x v="1"/>
    <n v="1"/>
    <n v="42"/>
    <n v="43"/>
    <s v="High"/>
    <s v="Normal"/>
    <s v="Normal"/>
    <s v="Normal"/>
  </r>
  <r>
    <x v="585"/>
    <x v="25"/>
    <b v="0"/>
    <x v="4"/>
    <n v="0.19700000000000001"/>
    <n v="2011"/>
    <x v="0"/>
    <x v="16"/>
    <x v="1"/>
    <s v="Spring"/>
    <x v="3"/>
    <n v="0.93"/>
    <n v="0.32840000000000003"/>
    <x v="1"/>
    <n v="1"/>
    <n v="35"/>
    <n v="36"/>
    <s v="High"/>
    <s v="Normal"/>
    <s v="Normal"/>
    <s v="Normal"/>
  </r>
  <r>
    <x v="586"/>
    <x v="25"/>
    <b v="0"/>
    <x v="4"/>
    <n v="0.18179999999999999"/>
    <n v="2011"/>
    <x v="0"/>
    <x v="17"/>
    <x v="1"/>
    <s v="Spring"/>
    <x v="2"/>
    <n v="0.93"/>
    <n v="0.35820000000000002"/>
    <x v="2"/>
    <n v="0"/>
    <n v="26"/>
    <n v="26"/>
    <s v="High"/>
    <s v="Normal"/>
    <s v="Normal"/>
    <s v="Normal"/>
  </r>
  <r>
    <x v="587"/>
    <x v="26"/>
    <b v="0"/>
    <x v="5"/>
    <n v="0.2273"/>
    <n v="2011"/>
    <x v="0"/>
    <x v="16"/>
    <x v="1"/>
    <s v="Spring"/>
    <x v="0"/>
    <n v="0.55000000000000004"/>
    <n v="0.19400000000000001"/>
    <x v="1"/>
    <n v="1"/>
    <n v="23"/>
    <n v="24"/>
    <s v="High"/>
    <s v="Normal"/>
    <s v="Normal"/>
    <s v="Normal"/>
  </r>
  <r>
    <x v="588"/>
    <x v="26"/>
    <b v="0"/>
    <x v="5"/>
    <n v="0.2424"/>
    <n v="2011"/>
    <x v="0"/>
    <x v="17"/>
    <x v="1"/>
    <s v="Spring"/>
    <x v="0"/>
    <n v="0.55000000000000004"/>
    <n v="0.1045"/>
    <x v="1"/>
    <n v="2"/>
    <n v="82"/>
    <n v="84"/>
    <s v="High"/>
    <s v="Normal"/>
    <s v="Normal"/>
    <s v="Normal"/>
  </r>
  <r>
    <x v="589"/>
    <x v="26"/>
    <b v="0"/>
    <x v="5"/>
    <n v="0.2273"/>
    <n v="2011"/>
    <x v="0"/>
    <x v="18"/>
    <x v="1"/>
    <s v="Spring"/>
    <x v="0"/>
    <n v="0.69"/>
    <n v="8.9599999999999999E-2"/>
    <x v="2"/>
    <n v="3"/>
    <n v="101"/>
    <n v="104"/>
    <s v="High"/>
    <s v="Normal"/>
    <s v="Normal"/>
    <s v="Normal"/>
  </r>
  <r>
    <x v="590"/>
    <x v="26"/>
    <b v="0"/>
    <x v="5"/>
    <n v="0.2273"/>
    <n v="2011"/>
    <x v="0"/>
    <x v="19"/>
    <x v="1"/>
    <s v="Spring"/>
    <x v="0"/>
    <n v="0.69"/>
    <n v="8.9599999999999999E-2"/>
    <x v="2"/>
    <n v="3"/>
    <n v="76"/>
    <n v="79"/>
    <s v="High"/>
    <s v="Normal"/>
    <s v="Normal"/>
    <s v="Normal"/>
  </r>
  <r>
    <x v="591"/>
    <x v="26"/>
    <b v="0"/>
    <x v="5"/>
    <n v="0.21210000000000001"/>
    <n v="2011"/>
    <x v="0"/>
    <x v="20"/>
    <x v="1"/>
    <s v="Spring"/>
    <x v="0"/>
    <n v="0.74"/>
    <n v="8.9599999999999999E-2"/>
    <x v="15"/>
    <n v="4"/>
    <n v="55"/>
    <n v="59"/>
    <s v="High"/>
    <s v="Normal"/>
    <s v="Normal"/>
    <s v="Normal"/>
  </r>
  <r>
    <x v="592"/>
    <x v="26"/>
    <b v="0"/>
    <x v="5"/>
    <n v="0.21210000000000001"/>
    <n v="2011"/>
    <x v="0"/>
    <x v="21"/>
    <x v="1"/>
    <s v="Spring"/>
    <x v="0"/>
    <n v="0.74"/>
    <n v="8.9599999999999999E-2"/>
    <x v="15"/>
    <n v="2"/>
    <n v="36"/>
    <n v="38"/>
    <s v="High"/>
    <s v="Normal"/>
    <s v="Normal"/>
    <s v="Normal"/>
  </r>
  <r>
    <x v="593"/>
    <x v="26"/>
    <b v="0"/>
    <x v="5"/>
    <n v="0.21210000000000001"/>
    <n v="2011"/>
    <x v="0"/>
    <x v="22"/>
    <x v="1"/>
    <s v="Spring"/>
    <x v="0"/>
    <n v="0.74"/>
    <n v="8.9599999999999999E-2"/>
    <x v="15"/>
    <n v="0"/>
    <n v="27"/>
    <n v="27"/>
    <s v="High"/>
    <s v="Normal"/>
    <s v="Normal"/>
    <s v="Normal"/>
  </r>
  <r>
    <x v="594"/>
    <x v="26"/>
    <b v="0"/>
    <x v="5"/>
    <n v="0.19700000000000001"/>
    <n v="2011"/>
    <x v="0"/>
    <x v="23"/>
    <x v="1"/>
    <s v="Spring"/>
    <x v="0"/>
    <n v="0.8"/>
    <n v="0.16420000000000001"/>
    <x v="15"/>
    <n v="0"/>
    <n v="16"/>
    <n v="16"/>
    <s v="High"/>
    <s v="Normal"/>
    <s v="Normal"/>
    <s v="Normal"/>
  </r>
  <r>
    <x v="595"/>
    <x v="27"/>
    <b v="0"/>
    <x v="6"/>
    <n v="0.21210000000000001"/>
    <n v="2011"/>
    <x v="0"/>
    <x v="0"/>
    <x v="1"/>
    <s v="Spring"/>
    <x v="1"/>
    <n v="0.75"/>
    <n v="0.1343"/>
    <x v="2"/>
    <n v="0"/>
    <n v="9"/>
    <n v="9"/>
    <s v="High"/>
    <s v="Normal"/>
    <s v="Normal"/>
    <s v="Normal"/>
  </r>
  <r>
    <x v="596"/>
    <x v="27"/>
    <b v="0"/>
    <x v="6"/>
    <n v="0.21210000000000001"/>
    <n v="2011"/>
    <x v="0"/>
    <x v="1"/>
    <x v="1"/>
    <s v="Spring"/>
    <x v="1"/>
    <n v="0.75"/>
    <n v="0.1343"/>
    <x v="2"/>
    <n v="1"/>
    <n v="2"/>
    <n v="3"/>
    <s v="High"/>
    <s v="Normal"/>
    <s v="Normal"/>
    <s v="Normal"/>
  </r>
  <r>
    <x v="597"/>
    <x v="27"/>
    <b v="0"/>
    <x v="6"/>
    <n v="0.21210000000000001"/>
    <n v="2011"/>
    <x v="0"/>
    <x v="2"/>
    <x v="1"/>
    <s v="Spring"/>
    <x v="1"/>
    <n v="0.75"/>
    <n v="0.16420000000000001"/>
    <x v="2"/>
    <n v="0"/>
    <n v="2"/>
    <n v="2"/>
    <s v="High"/>
    <s v="Normal"/>
    <s v="Normal"/>
    <s v="Normal"/>
  </r>
  <r>
    <x v="598"/>
    <x v="27"/>
    <b v="0"/>
    <x v="6"/>
    <n v="0.2273"/>
    <n v="2011"/>
    <x v="0"/>
    <x v="3"/>
    <x v="1"/>
    <s v="Spring"/>
    <x v="1"/>
    <n v="0.75"/>
    <n v="0.1045"/>
    <x v="2"/>
    <n v="1"/>
    <n v="0"/>
    <n v="1"/>
    <s v="High"/>
    <s v="Normal"/>
    <s v="Normal"/>
    <s v="Normal"/>
  </r>
  <r>
    <x v="599"/>
    <x v="27"/>
    <b v="0"/>
    <x v="6"/>
    <n v="0.21210000000000001"/>
    <n v="2011"/>
    <x v="0"/>
    <x v="5"/>
    <x v="1"/>
    <s v="Spring"/>
    <x v="1"/>
    <n v="0.8"/>
    <n v="0.1045"/>
    <x v="15"/>
    <n v="0"/>
    <n v="4"/>
    <n v="4"/>
    <s v="High"/>
    <s v="Normal"/>
    <s v="Normal"/>
    <s v="Normal"/>
  </r>
  <r>
    <x v="600"/>
    <x v="27"/>
    <b v="0"/>
    <x v="6"/>
    <n v="0.19700000000000001"/>
    <n v="2011"/>
    <x v="0"/>
    <x v="6"/>
    <x v="1"/>
    <s v="Spring"/>
    <x v="1"/>
    <n v="0.8"/>
    <n v="0.1343"/>
    <x v="15"/>
    <n v="0"/>
    <n v="16"/>
    <n v="16"/>
    <s v="High"/>
    <s v="Normal"/>
    <s v="Normal"/>
    <s v="Normal"/>
  </r>
  <r>
    <x v="601"/>
    <x v="27"/>
    <b v="0"/>
    <x v="6"/>
    <n v="0.19700000000000001"/>
    <n v="2011"/>
    <x v="0"/>
    <x v="7"/>
    <x v="1"/>
    <s v="Spring"/>
    <x v="1"/>
    <n v="0.86"/>
    <n v="8.9599999999999999E-2"/>
    <x v="13"/>
    <n v="2"/>
    <n v="58"/>
    <n v="60"/>
    <s v="High"/>
    <s v="Normal"/>
    <s v="Normal"/>
    <s v="Normal"/>
  </r>
  <r>
    <x v="602"/>
    <x v="27"/>
    <b v="0"/>
    <x v="6"/>
    <n v="0.19700000000000001"/>
    <n v="2011"/>
    <x v="0"/>
    <x v="8"/>
    <x v="1"/>
    <s v="Spring"/>
    <x v="1"/>
    <n v="0.86"/>
    <n v="8.9599999999999999E-2"/>
    <x v="13"/>
    <n v="2"/>
    <n v="155"/>
    <n v="157"/>
    <s v="High"/>
    <s v="Normal"/>
    <s v="Normal"/>
    <s v="Normal"/>
  </r>
  <r>
    <x v="603"/>
    <x v="27"/>
    <b v="0"/>
    <x v="6"/>
    <n v="0.21210000000000001"/>
    <n v="2011"/>
    <x v="0"/>
    <x v="9"/>
    <x v="1"/>
    <s v="Spring"/>
    <x v="2"/>
    <n v="0.86"/>
    <n v="8.9599999999999999E-2"/>
    <x v="15"/>
    <n v="6"/>
    <n v="95"/>
    <n v="101"/>
    <s v="High"/>
    <s v="Normal"/>
    <s v="Normal"/>
    <s v="Normal"/>
  </r>
  <r>
    <x v="604"/>
    <x v="27"/>
    <b v="0"/>
    <x v="6"/>
    <n v="0.21210000000000001"/>
    <n v="2011"/>
    <x v="0"/>
    <x v="10"/>
    <x v="1"/>
    <s v="Spring"/>
    <x v="2"/>
    <n v="0.86"/>
    <n v="0.1045"/>
    <x v="15"/>
    <n v="0"/>
    <n v="49"/>
    <n v="49"/>
    <s v="High"/>
    <s v="Normal"/>
    <s v="Normal"/>
    <s v="Normal"/>
  </r>
  <r>
    <x v="605"/>
    <x v="27"/>
    <b v="0"/>
    <x v="6"/>
    <n v="0.21210000000000001"/>
    <n v="2011"/>
    <x v="0"/>
    <x v="11"/>
    <x v="1"/>
    <s v="Spring"/>
    <x v="2"/>
    <n v="0.93"/>
    <n v="0.1045"/>
    <x v="15"/>
    <n v="0"/>
    <n v="30"/>
    <n v="30"/>
    <s v="High"/>
    <s v="Normal"/>
    <s v="Normal"/>
    <s v="Normal"/>
  </r>
  <r>
    <x v="606"/>
    <x v="27"/>
    <b v="0"/>
    <x v="6"/>
    <n v="0.21210000000000001"/>
    <n v="2011"/>
    <x v="0"/>
    <x v="12"/>
    <x v="1"/>
    <s v="Spring"/>
    <x v="2"/>
    <n v="0.93"/>
    <n v="0.1045"/>
    <x v="15"/>
    <n v="1"/>
    <n v="28"/>
    <n v="29"/>
    <s v="High"/>
    <s v="Normal"/>
    <s v="Normal"/>
    <s v="Normal"/>
  </r>
  <r>
    <x v="607"/>
    <x v="27"/>
    <b v="0"/>
    <x v="6"/>
    <n v="0.21210000000000001"/>
    <n v="2011"/>
    <x v="0"/>
    <x v="13"/>
    <x v="1"/>
    <s v="Spring"/>
    <x v="2"/>
    <n v="0.93"/>
    <n v="0.1045"/>
    <x v="15"/>
    <n v="0"/>
    <n v="31"/>
    <n v="31"/>
    <s v="High"/>
    <s v="Normal"/>
    <s v="Normal"/>
    <s v="Normal"/>
  </r>
  <r>
    <x v="608"/>
    <x v="27"/>
    <b v="0"/>
    <x v="6"/>
    <n v="0.2727"/>
    <n v="2011"/>
    <x v="0"/>
    <x v="14"/>
    <x v="1"/>
    <s v="Spring"/>
    <x v="2"/>
    <n v="0.8"/>
    <n v="0.23"/>
    <x v="1"/>
    <n v="2"/>
    <n v="36"/>
    <n v="38"/>
    <s v="High"/>
    <s v="Normal"/>
    <s v="Normal"/>
    <s v="Normal"/>
  </r>
  <r>
    <x v="609"/>
    <x v="27"/>
    <b v="0"/>
    <x v="6"/>
    <n v="0.2576"/>
    <n v="2011"/>
    <x v="0"/>
    <x v="15"/>
    <x v="1"/>
    <s v="Spring"/>
    <x v="1"/>
    <n v="0.86"/>
    <n v="0.23"/>
    <x v="2"/>
    <n v="1"/>
    <n v="40"/>
    <n v="41"/>
    <s v="High"/>
    <s v="Normal"/>
    <s v="Normal"/>
    <s v="Normal"/>
  </r>
  <r>
    <x v="610"/>
    <x v="27"/>
    <b v="0"/>
    <x v="6"/>
    <n v="0.2727"/>
    <n v="2011"/>
    <x v="0"/>
    <x v="16"/>
    <x v="1"/>
    <s v="Spring"/>
    <x v="0"/>
    <n v="0.8"/>
    <n v="0.23"/>
    <x v="1"/>
    <n v="10"/>
    <n v="70"/>
    <n v="80"/>
    <s v="High"/>
    <s v="Normal"/>
    <s v="Normal"/>
    <s v="Normal"/>
  </r>
  <r>
    <x v="611"/>
    <x v="27"/>
    <b v="0"/>
    <x v="6"/>
    <n v="0.2424"/>
    <n v="2011"/>
    <x v="0"/>
    <x v="17"/>
    <x v="1"/>
    <s v="Spring"/>
    <x v="0"/>
    <n v="0.75"/>
    <n v="0.1343"/>
    <x v="0"/>
    <n v="2"/>
    <n v="147"/>
    <n v="149"/>
    <s v="High"/>
    <s v="Normal"/>
    <s v="Normal"/>
    <s v="Normal"/>
  </r>
  <r>
    <x v="612"/>
    <x v="27"/>
    <b v="0"/>
    <x v="6"/>
    <n v="0.2273"/>
    <n v="2011"/>
    <x v="0"/>
    <x v="18"/>
    <x v="1"/>
    <s v="Spring"/>
    <x v="0"/>
    <n v="0.75"/>
    <n v="0.19400000000000001"/>
    <x v="0"/>
    <n v="2"/>
    <n v="107"/>
    <n v="109"/>
    <s v="High"/>
    <s v="Normal"/>
    <s v="Normal"/>
    <s v="Normal"/>
  </r>
  <r>
    <x v="613"/>
    <x v="27"/>
    <b v="0"/>
    <x v="6"/>
    <n v="0.2424"/>
    <n v="2011"/>
    <x v="0"/>
    <x v="19"/>
    <x v="1"/>
    <s v="Spring"/>
    <x v="1"/>
    <n v="0.75"/>
    <n v="0.1343"/>
    <x v="0"/>
    <n v="5"/>
    <n v="84"/>
    <n v="89"/>
    <s v="High"/>
    <s v="Normal"/>
    <s v="Normal"/>
    <s v="Normal"/>
  </r>
  <r>
    <x v="614"/>
    <x v="27"/>
    <b v="0"/>
    <x v="6"/>
    <n v="0.2273"/>
    <n v="2011"/>
    <x v="0"/>
    <x v="20"/>
    <x v="1"/>
    <s v="Spring"/>
    <x v="1"/>
    <n v="0.7"/>
    <n v="0.19400000000000001"/>
    <x v="0"/>
    <n v="1"/>
    <n v="61"/>
    <n v="62"/>
    <s v="High"/>
    <s v="Normal"/>
    <s v="Normal"/>
    <s v="Normal"/>
  </r>
  <r>
    <x v="615"/>
    <x v="27"/>
    <b v="0"/>
    <x v="6"/>
    <n v="0.2273"/>
    <n v="2011"/>
    <x v="0"/>
    <x v="21"/>
    <x v="1"/>
    <s v="Spring"/>
    <x v="1"/>
    <n v="0.75"/>
    <n v="0.1343"/>
    <x v="1"/>
    <n v="1"/>
    <n v="57"/>
    <n v="58"/>
    <s v="High"/>
    <s v="Normal"/>
    <s v="Normal"/>
    <s v="Normal"/>
  </r>
  <r>
    <x v="616"/>
    <x v="27"/>
    <b v="0"/>
    <x v="6"/>
    <n v="0.21210000000000001"/>
    <n v="2011"/>
    <x v="0"/>
    <x v="22"/>
    <x v="1"/>
    <s v="Spring"/>
    <x v="0"/>
    <n v="0.65"/>
    <n v="0.35820000000000002"/>
    <x v="0"/>
    <n v="0"/>
    <n v="26"/>
    <n v="26"/>
    <s v="High"/>
    <s v="Normal"/>
    <s v="Normal"/>
    <s v="Normal"/>
  </r>
  <r>
    <x v="617"/>
    <x v="27"/>
    <b v="0"/>
    <x v="6"/>
    <n v="0.2273"/>
    <n v="2011"/>
    <x v="0"/>
    <x v="23"/>
    <x v="1"/>
    <s v="Spring"/>
    <x v="0"/>
    <n v="0.6"/>
    <n v="0.22389999999999999"/>
    <x v="0"/>
    <n v="1"/>
    <n v="22"/>
    <n v="23"/>
    <s v="High"/>
    <s v="Normal"/>
    <s v="Normal"/>
    <s v="Normal"/>
  </r>
  <r>
    <x v="618"/>
    <x v="28"/>
    <b v="0"/>
    <x v="0"/>
    <n v="0.19700000000000001"/>
    <n v="2011"/>
    <x v="0"/>
    <x v="0"/>
    <x v="0"/>
    <s v="Spring"/>
    <x v="0"/>
    <n v="0.64"/>
    <n v="0.35820000000000002"/>
    <x v="1"/>
    <n v="2"/>
    <n v="26"/>
    <n v="28"/>
    <s v="High"/>
    <s v="Normal"/>
    <s v="Normal"/>
    <s v="Normal"/>
  </r>
  <r>
    <x v="619"/>
    <x v="28"/>
    <b v="0"/>
    <x v="0"/>
    <n v="0.2273"/>
    <n v="2011"/>
    <x v="0"/>
    <x v="1"/>
    <x v="0"/>
    <s v="Spring"/>
    <x v="0"/>
    <n v="0.64"/>
    <n v="0.19400000000000001"/>
    <x v="1"/>
    <n v="0"/>
    <n v="20"/>
    <n v="20"/>
    <s v="High"/>
    <s v="Normal"/>
    <s v="Normal"/>
    <s v="Normal"/>
  </r>
  <r>
    <x v="620"/>
    <x v="28"/>
    <b v="0"/>
    <x v="0"/>
    <n v="0.2273"/>
    <n v="2011"/>
    <x v="0"/>
    <x v="2"/>
    <x v="0"/>
    <s v="Spring"/>
    <x v="0"/>
    <n v="0.64"/>
    <n v="0.16420000000000001"/>
    <x v="1"/>
    <n v="0"/>
    <n v="15"/>
    <n v="15"/>
    <s v="High"/>
    <s v="Normal"/>
    <s v="Normal"/>
    <s v="Normal"/>
  </r>
  <r>
    <x v="621"/>
    <x v="28"/>
    <b v="0"/>
    <x v="0"/>
    <n v="0.21210000000000001"/>
    <n v="2011"/>
    <x v="0"/>
    <x v="3"/>
    <x v="0"/>
    <s v="Spring"/>
    <x v="0"/>
    <n v="0.64"/>
    <n v="0.1343"/>
    <x v="2"/>
    <n v="3"/>
    <n v="5"/>
    <n v="8"/>
    <s v="High"/>
    <s v="Normal"/>
    <s v="Normal"/>
    <s v="Normal"/>
  </r>
  <r>
    <x v="622"/>
    <x v="28"/>
    <b v="0"/>
    <x v="0"/>
    <n v="0.18179999999999999"/>
    <n v="2011"/>
    <x v="0"/>
    <x v="4"/>
    <x v="0"/>
    <s v="Spring"/>
    <x v="0"/>
    <n v="0.69"/>
    <n v="0.1045"/>
    <x v="13"/>
    <n v="1"/>
    <n v="2"/>
    <n v="3"/>
    <s v="High"/>
    <s v="Normal"/>
    <s v="Normal"/>
    <s v="Normal"/>
  </r>
  <r>
    <x v="623"/>
    <x v="28"/>
    <b v="0"/>
    <x v="0"/>
    <n v="0.18179999999999999"/>
    <n v="2011"/>
    <x v="0"/>
    <x v="6"/>
    <x v="0"/>
    <s v="Spring"/>
    <x v="0"/>
    <n v="0.64"/>
    <n v="0.1343"/>
    <x v="13"/>
    <n v="0"/>
    <n v="2"/>
    <n v="2"/>
    <s v="High"/>
    <s v="Normal"/>
    <s v="Normal"/>
    <s v="Normal"/>
  </r>
  <r>
    <x v="624"/>
    <x v="28"/>
    <b v="0"/>
    <x v="0"/>
    <n v="0.18179999999999999"/>
    <n v="2011"/>
    <x v="0"/>
    <x v="7"/>
    <x v="0"/>
    <s v="Spring"/>
    <x v="0"/>
    <n v="0.59"/>
    <n v="0.1045"/>
    <x v="13"/>
    <n v="1"/>
    <n v="4"/>
    <n v="5"/>
    <s v="High"/>
    <s v="Normal"/>
    <s v="Normal"/>
    <s v="Normal"/>
  </r>
  <r>
    <x v="625"/>
    <x v="28"/>
    <b v="0"/>
    <x v="0"/>
    <n v="0.19700000000000001"/>
    <n v="2011"/>
    <x v="0"/>
    <x v="8"/>
    <x v="0"/>
    <s v="Spring"/>
    <x v="0"/>
    <n v="0.55000000000000004"/>
    <n v="0.16420000000000001"/>
    <x v="15"/>
    <n v="3"/>
    <n v="31"/>
    <n v="34"/>
    <s v="High"/>
    <s v="Normal"/>
    <s v="Normal"/>
    <s v="Normal"/>
  </r>
  <r>
    <x v="626"/>
    <x v="28"/>
    <b v="0"/>
    <x v="0"/>
    <n v="0.21210000000000001"/>
    <n v="2011"/>
    <x v="0"/>
    <x v="9"/>
    <x v="0"/>
    <s v="Spring"/>
    <x v="0"/>
    <n v="0.59"/>
    <n v="8.9599999999999999E-2"/>
    <x v="15"/>
    <n v="0"/>
    <n v="34"/>
    <n v="34"/>
    <s v="High"/>
    <s v="Normal"/>
    <s v="Normal"/>
    <s v="Normal"/>
  </r>
  <r>
    <x v="627"/>
    <x v="28"/>
    <b v="0"/>
    <x v="0"/>
    <n v="0.21210000000000001"/>
    <n v="2011"/>
    <x v="0"/>
    <x v="10"/>
    <x v="0"/>
    <s v="Spring"/>
    <x v="1"/>
    <n v="0.64"/>
    <n v="0.1045"/>
    <x v="15"/>
    <n v="4"/>
    <n v="51"/>
    <n v="55"/>
    <s v="High"/>
    <s v="Normal"/>
    <s v="Normal"/>
    <s v="Normal"/>
  </r>
  <r>
    <x v="628"/>
    <x v="28"/>
    <b v="0"/>
    <x v="0"/>
    <n v="0.19700000000000001"/>
    <n v="2011"/>
    <x v="0"/>
    <x v="11"/>
    <x v="0"/>
    <s v="Spring"/>
    <x v="1"/>
    <n v="0.64"/>
    <n v="0.1343"/>
    <x v="15"/>
    <n v="4"/>
    <n v="60"/>
    <n v="64"/>
    <s v="High"/>
    <s v="Normal"/>
    <s v="Normal"/>
    <s v="Normal"/>
  </r>
  <r>
    <x v="629"/>
    <x v="28"/>
    <b v="0"/>
    <x v="0"/>
    <n v="0.19700000000000001"/>
    <n v="2011"/>
    <x v="0"/>
    <x v="12"/>
    <x v="0"/>
    <s v="Spring"/>
    <x v="1"/>
    <n v="0.59"/>
    <n v="0.19400000000000001"/>
    <x v="2"/>
    <n v="12"/>
    <n v="66"/>
    <n v="78"/>
    <s v="High"/>
    <s v="Normal"/>
    <s v="Normal"/>
    <s v="Normal"/>
  </r>
  <r>
    <x v="630"/>
    <x v="28"/>
    <b v="0"/>
    <x v="0"/>
    <n v="0.2273"/>
    <n v="2011"/>
    <x v="0"/>
    <x v="13"/>
    <x v="0"/>
    <s v="Spring"/>
    <x v="1"/>
    <n v="0.55000000000000004"/>
    <n v="0.16420000000000001"/>
    <x v="1"/>
    <n v="9"/>
    <n v="56"/>
    <n v="65"/>
    <s v="High"/>
    <s v="Normal"/>
    <s v="Normal"/>
    <s v="Normal"/>
  </r>
  <r>
    <x v="631"/>
    <x v="28"/>
    <b v="0"/>
    <x v="0"/>
    <n v="0.2273"/>
    <n v="2011"/>
    <x v="0"/>
    <x v="14"/>
    <x v="0"/>
    <s v="Spring"/>
    <x v="1"/>
    <n v="0.6"/>
    <n v="0.1343"/>
    <x v="1"/>
    <n v="10"/>
    <n v="89"/>
    <n v="99"/>
    <s v="High"/>
    <s v="Normal"/>
    <s v="Normal"/>
    <s v="Normal"/>
  </r>
  <r>
    <x v="632"/>
    <x v="28"/>
    <b v="0"/>
    <x v="0"/>
    <n v="0.21210000000000001"/>
    <n v="2011"/>
    <x v="0"/>
    <x v="15"/>
    <x v="0"/>
    <s v="Spring"/>
    <x v="0"/>
    <n v="0.69"/>
    <n v="0.25369999999999998"/>
    <x v="1"/>
    <n v="22"/>
    <n v="98"/>
    <n v="120"/>
    <s v="High"/>
    <s v="Normal"/>
    <s v="Normal"/>
    <s v="Normal"/>
  </r>
  <r>
    <x v="633"/>
    <x v="28"/>
    <b v="0"/>
    <x v="0"/>
    <n v="0.2424"/>
    <n v="2011"/>
    <x v="0"/>
    <x v="16"/>
    <x v="0"/>
    <s v="Spring"/>
    <x v="0"/>
    <n v="0.6"/>
    <n v="0.16420000000000001"/>
    <x v="0"/>
    <n v="19"/>
    <n v="88"/>
    <n v="107"/>
    <s v="High"/>
    <s v="Normal"/>
    <s v="Normal"/>
    <s v="Normal"/>
  </r>
  <r>
    <x v="634"/>
    <x v="28"/>
    <b v="0"/>
    <x v="0"/>
    <n v="0.28789999999999999"/>
    <n v="2011"/>
    <x v="0"/>
    <x v="17"/>
    <x v="0"/>
    <s v="Spring"/>
    <x v="0"/>
    <n v="0.6"/>
    <n v="0.23"/>
    <x v="0"/>
    <n v="9"/>
    <n v="82"/>
    <n v="91"/>
    <s v="High"/>
    <s v="Normal"/>
    <s v="Normal"/>
    <s v="Normal"/>
  </r>
  <r>
    <x v="635"/>
    <x v="28"/>
    <b v="0"/>
    <x v="0"/>
    <n v="0.2273"/>
    <n v="2011"/>
    <x v="0"/>
    <x v="18"/>
    <x v="0"/>
    <s v="Spring"/>
    <x v="0"/>
    <n v="0.69"/>
    <n v="0.1343"/>
    <x v="1"/>
    <n v="9"/>
    <n v="59"/>
    <n v="68"/>
    <s v="High"/>
    <s v="Normal"/>
    <s v="Normal"/>
    <s v="Normal"/>
  </r>
  <r>
    <x v="636"/>
    <x v="28"/>
    <b v="0"/>
    <x v="0"/>
    <n v="0.21210000000000001"/>
    <n v="2011"/>
    <x v="0"/>
    <x v="19"/>
    <x v="0"/>
    <s v="Spring"/>
    <x v="1"/>
    <n v="0.69"/>
    <n v="0.25369999999999998"/>
    <x v="1"/>
    <n v="6"/>
    <n v="52"/>
    <n v="58"/>
    <s v="High"/>
    <s v="Normal"/>
    <s v="Normal"/>
    <s v="Normal"/>
  </r>
  <r>
    <x v="637"/>
    <x v="28"/>
    <b v="0"/>
    <x v="0"/>
    <n v="0.21210000000000001"/>
    <n v="2011"/>
    <x v="0"/>
    <x v="20"/>
    <x v="0"/>
    <s v="Spring"/>
    <x v="0"/>
    <n v="0.74"/>
    <n v="8.9599999999999999E-2"/>
    <x v="15"/>
    <n v="1"/>
    <n v="42"/>
    <n v="43"/>
    <s v="High"/>
    <s v="Normal"/>
    <s v="Normal"/>
    <s v="Normal"/>
  </r>
  <r>
    <x v="638"/>
    <x v="28"/>
    <b v="0"/>
    <x v="0"/>
    <n v="0.21210000000000001"/>
    <n v="2011"/>
    <x v="0"/>
    <x v="21"/>
    <x v="0"/>
    <s v="Spring"/>
    <x v="0"/>
    <n v="0.74"/>
    <n v="8.9599999999999999E-2"/>
    <x v="15"/>
    <n v="1"/>
    <n v="35"/>
    <n v="36"/>
    <s v="High"/>
    <s v="Normal"/>
    <s v="Normal"/>
    <s v="Normal"/>
  </r>
  <r>
    <x v="639"/>
    <x v="28"/>
    <b v="0"/>
    <x v="0"/>
    <n v="0.19700000000000001"/>
    <n v="2011"/>
    <x v="0"/>
    <x v="22"/>
    <x v="0"/>
    <s v="Spring"/>
    <x v="0"/>
    <n v="0.8"/>
    <n v="8.9599999999999999E-2"/>
    <x v="13"/>
    <n v="4"/>
    <n v="28"/>
    <n v="32"/>
    <s v="High"/>
    <s v="Normal"/>
    <s v="Normal"/>
    <s v="Normal"/>
  </r>
  <r>
    <x v="640"/>
    <x v="28"/>
    <b v="0"/>
    <x v="0"/>
    <n v="0.19700000000000001"/>
    <n v="2011"/>
    <x v="0"/>
    <x v="23"/>
    <x v="0"/>
    <s v="Spring"/>
    <x v="0"/>
    <n v="0.8"/>
    <n v="8.9599999999999999E-2"/>
    <x v="13"/>
    <n v="3"/>
    <n v="30"/>
    <n v="33"/>
    <s v="High"/>
    <s v="Normal"/>
    <s v="Normal"/>
    <s v="Normal"/>
  </r>
  <r>
    <x v="641"/>
    <x v="29"/>
    <b v="0"/>
    <x v="1"/>
    <n v="0.18179999999999999"/>
    <n v="2011"/>
    <x v="0"/>
    <x v="0"/>
    <x v="0"/>
    <s v="Spring"/>
    <x v="0"/>
    <n v="0.8"/>
    <n v="0.1045"/>
    <x v="13"/>
    <n v="0"/>
    <n v="33"/>
    <n v="33"/>
    <s v="High"/>
    <s v="Normal"/>
    <s v="Normal"/>
    <s v="Normal"/>
  </r>
  <r>
    <x v="642"/>
    <x v="29"/>
    <b v="0"/>
    <x v="1"/>
    <n v="0.21210000000000001"/>
    <n v="2011"/>
    <x v="0"/>
    <x v="1"/>
    <x v="0"/>
    <s v="Spring"/>
    <x v="0"/>
    <n v="0.8"/>
    <n v="0.23"/>
    <x v="14"/>
    <n v="7"/>
    <n v="22"/>
    <n v="29"/>
    <s v="High"/>
    <s v="Normal"/>
    <s v="Normal"/>
    <s v="Normal"/>
  </r>
  <r>
    <x v="643"/>
    <x v="29"/>
    <b v="0"/>
    <x v="1"/>
    <n v="0.2273"/>
    <n v="2011"/>
    <x v="0"/>
    <x v="2"/>
    <x v="0"/>
    <s v="Spring"/>
    <x v="0"/>
    <n v="0.8"/>
    <n v="0.23"/>
    <x v="13"/>
    <n v="1"/>
    <n v="10"/>
    <n v="11"/>
    <s v="High"/>
    <s v="Normal"/>
    <s v="Normal"/>
    <s v="Normal"/>
  </r>
  <r>
    <x v="644"/>
    <x v="29"/>
    <b v="0"/>
    <x v="1"/>
    <n v="0.21210000000000001"/>
    <n v="2011"/>
    <x v="0"/>
    <x v="3"/>
    <x v="0"/>
    <s v="Spring"/>
    <x v="0"/>
    <n v="0.93"/>
    <n v="0.23"/>
    <x v="14"/>
    <n v="1"/>
    <n v="7"/>
    <n v="8"/>
    <s v="High"/>
    <s v="Normal"/>
    <s v="Normal"/>
    <s v="Normal"/>
  </r>
  <r>
    <x v="645"/>
    <x v="29"/>
    <b v="0"/>
    <x v="1"/>
    <n v="0.21210000000000001"/>
    <n v="2011"/>
    <x v="0"/>
    <x v="4"/>
    <x v="0"/>
    <s v="Spring"/>
    <x v="0"/>
    <n v="0.93"/>
    <n v="0.23"/>
    <x v="14"/>
    <n v="0"/>
    <n v="1"/>
    <n v="1"/>
    <s v="High"/>
    <s v="Normal"/>
    <s v="Normal"/>
    <s v="Normal"/>
  </r>
  <r>
    <x v="646"/>
    <x v="29"/>
    <b v="0"/>
    <x v="1"/>
    <n v="0.21210000000000001"/>
    <n v="2011"/>
    <x v="0"/>
    <x v="5"/>
    <x v="0"/>
    <s v="Spring"/>
    <x v="0"/>
    <n v="0.86"/>
    <n v="0.23"/>
    <x v="14"/>
    <n v="0"/>
    <n v="3"/>
    <n v="3"/>
    <s v="High"/>
    <s v="Normal"/>
    <s v="Normal"/>
    <s v="Normal"/>
  </r>
  <r>
    <x v="647"/>
    <x v="29"/>
    <b v="0"/>
    <x v="1"/>
    <n v="0.21210000000000001"/>
    <n v="2011"/>
    <x v="0"/>
    <x v="7"/>
    <x v="0"/>
    <s v="Spring"/>
    <x v="0"/>
    <n v="0.86"/>
    <n v="0.23"/>
    <x v="14"/>
    <n v="0"/>
    <n v="3"/>
    <n v="3"/>
    <s v="High"/>
    <s v="Normal"/>
    <s v="Normal"/>
    <s v="Normal"/>
  </r>
  <r>
    <x v="648"/>
    <x v="29"/>
    <b v="0"/>
    <x v="1"/>
    <n v="0.21210000000000001"/>
    <n v="2011"/>
    <x v="0"/>
    <x v="8"/>
    <x v="0"/>
    <s v="Spring"/>
    <x v="1"/>
    <n v="0.86"/>
    <n v="0.23"/>
    <x v="14"/>
    <n v="1"/>
    <n v="11"/>
    <n v="12"/>
    <s v="High"/>
    <s v="Normal"/>
    <s v="Normal"/>
    <s v="Normal"/>
  </r>
  <r>
    <x v="649"/>
    <x v="29"/>
    <b v="0"/>
    <x v="1"/>
    <n v="0.2273"/>
    <n v="2011"/>
    <x v="0"/>
    <x v="9"/>
    <x v="0"/>
    <s v="Spring"/>
    <x v="1"/>
    <n v="0.8"/>
    <n v="0.23"/>
    <x v="13"/>
    <n v="4"/>
    <n v="34"/>
    <n v="38"/>
    <s v="High"/>
    <s v="Normal"/>
    <s v="Normal"/>
    <s v="Normal"/>
  </r>
  <r>
    <x v="650"/>
    <x v="29"/>
    <b v="0"/>
    <x v="1"/>
    <n v="0.2424"/>
    <n v="2011"/>
    <x v="0"/>
    <x v="10"/>
    <x v="0"/>
    <s v="Spring"/>
    <x v="1"/>
    <n v="0.8"/>
    <n v="0.23"/>
    <x v="15"/>
    <n v="7"/>
    <n v="57"/>
    <n v="64"/>
    <s v="High"/>
    <s v="Normal"/>
    <s v="Normal"/>
    <s v="Normal"/>
  </r>
  <r>
    <x v="651"/>
    <x v="29"/>
    <b v="0"/>
    <x v="1"/>
    <n v="0.2727"/>
    <n v="2011"/>
    <x v="0"/>
    <x v="11"/>
    <x v="0"/>
    <s v="Spring"/>
    <x v="0"/>
    <n v="0.75"/>
    <n v="0.23"/>
    <x v="1"/>
    <n v="9"/>
    <n v="50"/>
    <n v="59"/>
    <s v="High"/>
    <s v="Normal"/>
    <s v="Normal"/>
    <s v="Normal"/>
  </r>
  <r>
    <x v="652"/>
    <x v="29"/>
    <b v="0"/>
    <x v="1"/>
    <n v="0.31819999999999998"/>
    <n v="2011"/>
    <x v="0"/>
    <x v="12"/>
    <x v="0"/>
    <s v="Spring"/>
    <x v="0"/>
    <n v="0.52"/>
    <n v="0.1045"/>
    <x v="11"/>
    <n v="10"/>
    <n v="87"/>
    <n v="97"/>
    <s v="High"/>
    <s v="Normal"/>
    <s v="Normal"/>
    <s v="Normal"/>
  </r>
  <r>
    <x v="653"/>
    <x v="29"/>
    <b v="0"/>
    <x v="1"/>
    <n v="0.28789999999999999"/>
    <n v="2011"/>
    <x v="0"/>
    <x v="13"/>
    <x v="0"/>
    <s v="Spring"/>
    <x v="0"/>
    <n v="0.61"/>
    <n v="0.1045"/>
    <x v="17"/>
    <n v="13"/>
    <n v="71"/>
    <n v="84"/>
    <s v="High"/>
    <s v="Normal"/>
    <s v="Normal"/>
    <s v="Normal"/>
  </r>
  <r>
    <x v="654"/>
    <x v="29"/>
    <b v="0"/>
    <x v="1"/>
    <n v="0.30299999999999999"/>
    <n v="2011"/>
    <x v="0"/>
    <x v="14"/>
    <x v="0"/>
    <s v="Spring"/>
    <x v="0"/>
    <n v="0.61"/>
    <n v="8.9599999999999999E-2"/>
    <x v="17"/>
    <n v="18"/>
    <n v="104"/>
    <n v="122"/>
    <s v="High"/>
    <s v="Normal"/>
    <s v="Normal"/>
    <s v="Normal"/>
  </r>
  <r>
    <x v="655"/>
    <x v="29"/>
    <b v="0"/>
    <x v="1"/>
    <n v="0.33329999999999999"/>
    <n v="2011"/>
    <x v="0"/>
    <x v="15"/>
    <x v="0"/>
    <s v="Spring"/>
    <x v="0"/>
    <n v="0.56000000000000005"/>
    <n v="0.23"/>
    <x v="11"/>
    <n v="14"/>
    <n v="95"/>
    <n v="109"/>
    <s v="High"/>
    <s v="Normal"/>
    <s v="Normal"/>
    <s v="Normal"/>
  </r>
  <r>
    <x v="656"/>
    <x v="29"/>
    <b v="0"/>
    <x v="1"/>
    <n v="0.33329999999999999"/>
    <n v="2011"/>
    <x v="0"/>
    <x v="16"/>
    <x v="0"/>
    <s v="Spring"/>
    <x v="0"/>
    <n v="0.56000000000000005"/>
    <n v="0.23"/>
    <x v="11"/>
    <n v="19"/>
    <n v="104"/>
    <n v="123"/>
    <s v="High"/>
    <s v="Normal"/>
    <s v="Normal"/>
    <s v="Normal"/>
  </r>
  <r>
    <x v="657"/>
    <x v="29"/>
    <b v="0"/>
    <x v="1"/>
    <n v="0.28789999999999999"/>
    <n v="2011"/>
    <x v="0"/>
    <x v="17"/>
    <x v="0"/>
    <s v="Spring"/>
    <x v="0"/>
    <n v="0.56000000000000005"/>
    <n v="0.19400000000000001"/>
    <x v="11"/>
    <n v="6"/>
    <n v="71"/>
    <n v="77"/>
    <s v="High"/>
    <s v="Normal"/>
    <s v="Normal"/>
    <s v="Normal"/>
  </r>
  <r>
    <x v="658"/>
    <x v="29"/>
    <b v="0"/>
    <x v="1"/>
    <n v="0.2576"/>
    <n v="2011"/>
    <x v="0"/>
    <x v="18"/>
    <x v="0"/>
    <s v="Spring"/>
    <x v="0"/>
    <n v="0.65"/>
    <n v="0.16420000000000001"/>
    <x v="12"/>
    <n v="8"/>
    <n v="57"/>
    <n v="65"/>
    <s v="High"/>
    <s v="Normal"/>
    <s v="Normal"/>
    <s v="Normal"/>
  </r>
  <r>
    <x v="659"/>
    <x v="29"/>
    <b v="0"/>
    <x v="1"/>
    <n v="0.2576"/>
    <n v="2011"/>
    <x v="0"/>
    <x v="19"/>
    <x v="0"/>
    <s v="Spring"/>
    <x v="0"/>
    <n v="0.65"/>
    <n v="0.19400000000000001"/>
    <x v="12"/>
    <n v="9"/>
    <n v="46"/>
    <n v="55"/>
    <s v="High"/>
    <s v="Normal"/>
    <s v="Normal"/>
    <s v="Normal"/>
  </r>
  <r>
    <x v="660"/>
    <x v="29"/>
    <b v="0"/>
    <x v="1"/>
    <n v="0.2727"/>
    <n v="2011"/>
    <x v="0"/>
    <x v="20"/>
    <x v="0"/>
    <s v="Spring"/>
    <x v="1"/>
    <n v="0.65"/>
    <n v="0.1045"/>
    <x v="12"/>
    <n v="3"/>
    <n v="30"/>
    <n v="33"/>
    <s v="High"/>
    <s v="Normal"/>
    <s v="Normal"/>
    <s v="Normal"/>
  </r>
  <r>
    <x v="661"/>
    <x v="29"/>
    <b v="0"/>
    <x v="1"/>
    <n v="0.2424"/>
    <n v="2011"/>
    <x v="0"/>
    <x v="21"/>
    <x v="0"/>
    <s v="Spring"/>
    <x v="1"/>
    <n v="0.7"/>
    <n v="0.16420000000000001"/>
    <x v="0"/>
    <n v="3"/>
    <n v="25"/>
    <n v="28"/>
    <s v="High"/>
    <s v="Normal"/>
    <s v="Normal"/>
    <s v="Normal"/>
  </r>
  <r>
    <x v="662"/>
    <x v="29"/>
    <b v="0"/>
    <x v="1"/>
    <n v="0.2273"/>
    <n v="2011"/>
    <x v="0"/>
    <x v="22"/>
    <x v="0"/>
    <s v="Spring"/>
    <x v="1"/>
    <n v="0.7"/>
    <n v="0.19400000000000001"/>
    <x v="0"/>
    <n v="2"/>
    <n v="19"/>
    <n v="21"/>
    <s v="High"/>
    <s v="Normal"/>
    <s v="Normal"/>
    <s v="Normal"/>
  </r>
  <r>
    <x v="663"/>
    <x v="29"/>
    <b v="0"/>
    <x v="1"/>
    <n v="0.21210000000000001"/>
    <n v="2011"/>
    <x v="0"/>
    <x v="23"/>
    <x v="0"/>
    <s v="Spring"/>
    <x v="1"/>
    <n v="0.65"/>
    <n v="0.28360000000000002"/>
    <x v="0"/>
    <n v="5"/>
    <n v="16"/>
    <n v="21"/>
    <s v="High"/>
    <s v="Normal"/>
    <s v="Normal"/>
    <s v="Normal"/>
  </r>
  <r>
    <x v="664"/>
    <x v="30"/>
    <b v="0"/>
    <x v="2"/>
    <n v="0.2273"/>
    <n v="2011"/>
    <x v="0"/>
    <x v="0"/>
    <x v="1"/>
    <s v="Spring"/>
    <x v="1"/>
    <n v="0.65"/>
    <n v="0.22389999999999999"/>
    <x v="0"/>
    <n v="1"/>
    <n v="6"/>
    <n v="7"/>
    <s v="High"/>
    <s v="Normal"/>
    <s v="Normal"/>
    <s v="Normal"/>
  </r>
  <r>
    <x v="665"/>
    <x v="30"/>
    <b v="0"/>
    <x v="2"/>
    <n v="0.21210000000000001"/>
    <n v="2011"/>
    <x v="0"/>
    <x v="1"/>
    <x v="1"/>
    <s v="Spring"/>
    <x v="0"/>
    <n v="0.64"/>
    <n v="0.25369999999999998"/>
    <x v="1"/>
    <n v="2"/>
    <n v="5"/>
    <n v="7"/>
    <s v="High"/>
    <s v="Normal"/>
    <s v="Normal"/>
    <s v="Normal"/>
  </r>
  <r>
    <x v="666"/>
    <x v="30"/>
    <b v="0"/>
    <x v="2"/>
    <n v="0.2273"/>
    <n v="2011"/>
    <x v="0"/>
    <x v="2"/>
    <x v="1"/>
    <s v="Spring"/>
    <x v="0"/>
    <n v="0.64"/>
    <n v="0.19400000000000001"/>
    <x v="1"/>
    <n v="0"/>
    <n v="1"/>
    <n v="1"/>
    <s v="High"/>
    <s v="Normal"/>
    <s v="Normal"/>
    <s v="Normal"/>
  </r>
  <r>
    <x v="667"/>
    <x v="30"/>
    <b v="0"/>
    <x v="2"/>
    <n v="0.2273"/>
    <n v="2011"/>
    <x v="0"/>
    <x v="3"/>
    <x v="1"/>
    <s v="Spring"/>
    <x v="0"/>
    <n v="0.64"/>
    <n v="0.19400000000000001"/>
    <x v="1"/>
    <n v="0"/>
    <n v="2"/>
    <n v="2"/>
    <s v="High"/>
    <s v="Normal"/>
    <s v="Normal"/>
    <s v="Normal"/>
  </r>
  <r>
    <x v="668"/>
    <x v="30"/>
    <b v="0"/>
    <x v="2"/>
    <n v="0.19700000000000001"/>
    <n v="2011"/>
    <x v="0"/>
    <x v="4"/>
    <x v="1"/>
    <s v="Spring"/>
    <x v="0"/>
    <n v="0.59"/>
    <n v="0.22389999999999999"/>
    <x v="2"/>
    <n v="0"/>
    <n v="2"/>
    <n v="2"/>
    <s v="High"/>
    <s v="Normal"/>
    <s v="Normal"/>
    <s v="Normal"/>
  </r>
  <r>
    <x v="669"/>
    <x v="30"/>
    <b v="0"/>
    <x v="2"/>
    <n v="0.16669999999999999"/>
    <n v="2011"/>
    <x v="0"/>
    <x v="5"/>
    <x v="1"/>
    <s v="Spring"/>
    <x v="0"/>
    <n v="0.64"/>
    <n v="0.28360000000000002"/>
    <x v="15"/>
    <n v="0"/>
    <n v="8"/>
    <n v="8"/>
    <s v="High"/>
    <s v="Normal"/>
    <s v="Normal"/>
    <s v="Normal"/>
  </r>
  <r>
    <x v="670"/>
    <x v="30"/>
    <b v="0"/>
    <x v="2"/>
    <n v="0.13639999999999999"/>
    <n v="2011"/>
    <x v="0"/>
    <x v="6"/>
    <x v="1"/>
    <s v="Spring"/>
    <x v="0"/>
    <n v="0.69"/>
    <n v="0.32840000000000003"/>
    <x v="13"/>
    <n v="0"/>
    <n v="37"/>
    <n v="37"/>
    <s v="High"/>
    <s v="Normal"/>
    <s v="Normal"/>
    <s v="Normal"/>
  </r>
  <r>
    <x v="671"/>
    <x v="30"/>
    <b v="0"/>
    <x v="2"/>
    <n v="0.13639999999999999"/>
    <n v="2011"/>
    <x v="0"/>
    <x v="7"/>
    <x v="1"/>
    <s v="Spring"/>
    <x v="1"/>
    <n v="0.64"/>
    <n v="0.28360000000000002"/>
    <x v="13"/>
    <n v="1"/>
    <n v="71"/>
    <n v="72"/>
    <s v="High"/>
    <s v="Normal"/>
    <s v="Normal"/>
    <s v="Normal"/>
  </r>
  <r>
    <x v="672"/>
    <x v="30"/>
    <b v="0"/>
    <x v="2"/>
    <n v="0.13639999999999999"/>
    <n v="2011"/>
    <x v="0"/>
    <x v="8"/>
    <x v="1"/>
    <s v="Spring"/>
    <x v="1"/>
    <n v="0.59"/>
    <n v="0.28360000000000002"/>
    <x v="13"/>
    <n v="3"/>
    <n v="182"/>
    <n v="185"/>
    <s v="High"/>
    <s v="Outlier"/>
    <s v="Normal"/>
    <s v="Normal"/>
  </r>
  <r>
    <x v="673"/>
    <x v="30"/>
    <b v="0"/>
    <x v="2"/>
    <n v="0.13639999999999999"/>
    <n v="2011"/>
    <x v="0"/>
    <x v="9"/>
    <x v="1"/>
    <s v="Spring"/>
    <x v="1"/>
    <n v="0.59"/>
    <n v="0.29849999999999999"/>
    <x v="13"/>
    <n v="0"/>
    <n v="112"/>
    <n v="112"/>
    <s v="High"/>
    <s v="Normal"/>
    <s v="Normal"/>
    <s v="Normal"/>
  </r>
  <r>
    <x v="674"/>
    <x v="30"/>
    <b v="0"/>
    <x v="2"/>
    <n v="0.1515"/>
    <n v="2011"/>
    <x v="0"/>
    <x v="10"/>
    <x v="1"/>
    <s v="Spring"/>
    <x v="1"/>
    <n v="0.59"/>
    <n v="0.19400000000000001"/>
    <x v="13"/>
    <n v="1"/>
    <n v="68"/>
    <n v="69"/>
    <s v="High"/>
    <s v="Normal"/>
    <s v="Normal"/>
    <s v="Normal"/>
  </r>
  <r>
    <x v="675"/>
    <x v="30"/>
    <b v="0"/>
    <x v="2"/>
    <n v="0.1515"/>
    <n v="2011"/>
    <x v="0"/>
    <x v="11"/>
    <x v="1"/>
    <s v="Spring"/>
    <x v="1"/>
    <n v="0.59"/>
    <n v="0.19400000000000001"/>
    <x v="13"/>
    <n v="2"/>
    <n v="46"/>
    <n v="48"/>
    <s v="High"/>
    <s v="Normal"/>
    <s v="Normal"/>
    <s v="Normal"/>
  </r>
  <r>
    <x v="676"/>
    <x v="30"/>
    <b v="0"/>
    <x v="2"/>
    <n v="0.21210000000000001"/>
    <n v="2011"/>
    <x v="0"/>
    <x v="12"/>
    <x v="1"/>
    <s v="Spring"/>
    <x v="1"/>
    <n v="0.55000000000000004"/>
    <n v="0.1045"/>
    <x v="15"/>
    <n v="6"/>
    <n v="62"/>
    <n v="68"/>
    <s v="High"/>
    <s v="Normal"/>
    <s v="Normal"/>
    <s v="Normal"/>
  </r>
  <r>
    <x v="677"/>
    <x v="30"/>
    <b v="0"/>
    <x v="2"/>
    <n v="0.2273"/>
    <n v="2011"/>
    <x v="0"/>
    <x v="13"/>
    <x v="1"/>
    <s v="Spring"/>
    <x v="1"/>
    <n v="0.59"/>
    <n v="0.23"/>
    <x v="13"/>
    <n v="2"/>
    <n v="52"/>
    <n v="54"/>
    <s v="High"/>
    <s v="Normal"/>
    <s v="Normal"/>
    <s v="Normal"/>
  </r>
  <r>
    <x v="678"/>
    <x v="30"/>
    <b v="0"/>
    <x v="2"/>
    <n v="0.19700000000000001"/>
    <n v="2011"/>
    <x v="0"/>
    <x v="14"/>
    <x v="1"/>
    <s v="Spring"/>
    <x v="1"/>
    <n v="0.55000000000000004"/>
    <n v="0.1343"/>
    <x v="15"/>
    <n v="1"/>
    <n v="85"/>
    <n v="86"/>
    <s v="High"/>
    <s v="Normal"/>
    <s v="Normal"/>
    <s v="Normal"/>
  </r>
  <r>
    <x v="679"/>
    <x v="30"/>
    <b v="0"/>
    <x v="2"/>
    <n v="0.18179999999999999"/>
    <n v="2011"/>
    <x v="0"/>
    <x v="15"/>
    <x v="1"/>
    <s v="Spring"/>
    <x v="1"/>
    <n v="0.59"/>
    <n v="0.1343"/>
    <x v="13"/>
    <n v="3"/>
    <n v="41"/>
    <n v="44"/>
    <s v="High"/>
    <s v="Normal"/>
    <s v="Normal"/>
    <s v="Normal"/>
  </r>
  <r>
    <x v="680"/>
    <x v="30"/>
    <b v="0"/>
    <x v="2"/>
    <n v="0.18179999999999999"/>
    <n v="2011"/>
    <x v="0"/>
    <x v="16"/>
    <x v="1"/>
    <s v="Spring"/>
    <x v="1"/>
    <n v="0.56000000000000005"/>
    <n v="0.19400000000000001"/>
    <x v="13"/>
    <n v="3"/>
    <n v="83"/>
    <n v="86"/>
    <s v="High"/>
    <s v="Normal"/>
    <s v="Normal"/>
    <s v="Normal"/>
  </r>
  <r>
    <x v="681"/>
    <x v="30"/>
    <b v="0"/>
    <x v="2"/>
    <n v="0.1515"/>
    <n v="2011"/>
    <x v="0"/>
    <x v="17"/>
    <x v="1"/>
    <s v="Spring"/>
    <x v="1"/>
    <n v="0.59"/>
    <n v="0.19400000000000001"/>
    <x v="13"/>
    <n v="6"/>
    <n v="155"/>
    <n v="161"/>
    <s v="High"/>
    <s v="Normal"/>
    <s v="Normal"/>
    <s v="Normal"/>
  </r>
  <r>
    <x v="682"/>
    <x v="30"/>
    <b v="0"/>
    <x v="2"/>
    <n v="0.1515"/>
    <n v="2011"/>
    <x v="0"/>
    <x v="18"/>
    <x v="1"/>
    <s v="Spring"/>
    <x v="1"/>
    <n v="0.55000000000000004"/>
    <n v="0.22389999999999999"/>
    <x v="13"/>
    <n v="3"/>
    <n v="153"/>
    <n v="156"/>
    <s v="High"/>
    <s v="Normal"/>
    <s v="Normal"/>
    <s v="Normal"/>
  </r>
  <r>
    <x v="683"/>
    <x v="30"/>
    <b v="0"/>
    <x v="2"/>
    <n v="0.31819999999999998"/>
    <n v="2011"/>
    <x v="0"/>
    <x v="19"/>
    <x v="1"/>
    <s v="Spring"/>
    <x v="0"/>
    <n v="0.61"/>
    <n v="0.1045"/>
    <x v="11"/>
    <n v="3"/>
    <n v="108"/>
    <n v="111"/>
    <s v="High"/>
    <s v="Normal"/>
    <s v="Normal"/>
    <s v="Normal"/>
  </r>
  <r>
    <x v="684"/>
    <x v="30"/>
    <b v="0"/>
    <x v="2"/>
    <n v="0.16669999999999999"/>
    <n v="2011"/>
    <x v="0"/>
    <x v="20"/>
    <x v="1"/>
    <s v="Spring"/>
    <x v="2"/>
    <n v="0.59"/>
    <n v="0.16420000000000001"/>
    <x v="13"/>
    <n v="0"/>
    <n v="78"/>
    <n v="78"/>
    <s v="High"/>
    <s v="Normal"/>
    <s v="Normal"/>
    <s v="Normal"/>
  </r>
  <r>
    <x v="685"/>
    <x v="30"/>
    <b v="0"/>
    <x v="2"/>
    <n v="0.19700000000000001"/>
    <n v="2011"/>
    <x v="0"/>
    <x v="21"/>
    <x v="1"/>
    <s v="Spring"/>
    <x v="2"/>
    <n v="0.59"/>
    <n v="8.9599999999999999E-2"/>
    <x v="13"/>
    <n v="3"/>
    <n v="53"/>
    <n v="56"/>
    <s v="High"/>
    <s v="Normal"/>
    <s v="Normal"/>
    <s v="Normal"/>
  </r>
  <r>
    <x v="686"/>
    <x v="30"/>
    <b v="0"/>
    <x v="2"/>
    <n v="0.18179999999999999"/>
    <n v="2011"/>
    <x v="0"/>
    <x v="22"/>
    <x v="1"/>
    <s v="Spring"/>
    <x v="1"/>
    <n v="0.59"/>
    <n v="0.1045"/>
    <x v="13"/>
    <n v="0"/>
    <n v="34"/>
    <n v="34"/>
    <s v="High"/>
    <s v="Normal"/>
    <s v="Normal"/>
    <s v="Normal"/>
  </r>
  <r>
    <x v="687"/>
    <x v="30"/>
    <b v="0"/>
    <x v="2"/>
    <n v="0.19700000000000001"/>
    <n v="2011"/>
    <x v="0"/>
    <x v="23"/>
    <x v="1"/>
    <s v="Spring"/>
    <x v="1"/>
    <n v="0.64"/>
    <n v="8.9599999999999999E-2"/>
    <x v="13"/>
    <n v="2"/>
    <n v="15"/>
    <n v="17"/>
    <s v="High"/>
    <s v="Normal"/>
    <s v="Normal"/>
    <s v="Normal"/>
  </r>
  <r>
    <x v="688"/>
    <x v="31"/>
    <b v="0"/>
    <x v="3"/>
    <n v="0.18179999999999999"/>
    <n v="2011"/>
    <x v="1"/>
    <x v="0"/>
    <x v="1"/>
    <s v="Spring"/>
    <x v="1"/>
    <n v="0.64"/>
    <n v="0.1045"/>
    <x v="13"/>
    <n v="2"/>
    <n v="6"/>
    <n v="8"/>
    <s v="High"/>
    <s v="Normal"/>
    <s v="Normal"/>
    <s v="Normal"/>
  </r>
  <r>
    <x v="689"/>
    <x v="31"/>
    <b v="0"/>
    <x v="3"/>
    <n v="0.18179999999999999"/>
    <n v="2011"/>
    <x v="1"/>
    <x v="1"/>
    <x v="1"/>
    <s v="Spring"/>
    <x v="1"/>
    <n v="0.69"/>
    <n v="0.1045"/>
    <x v="13"/>
    <n v="0"/>
    <n v="3"/>
    <n v="3"/>
    <s v="High"/>
    <s v="Normal"/>
    <s v="Normal"/>
    <s v="Normal"/>
  </r>
  <r>
    <x v="690"/>
    <x v="31"/>
    <b v="0"/>
    <x v="3"/>
    <n v="0.2273"/>
    <n v="2011"/>
    <x v="1"/>
    <x v="2"/>
    <x v="1"/>
    <s v="Spring"/>
    <x v="1"/>
    <n v="0.69"/>
    <n v="0.23"/>
    <x v="13"/>
    <n v="0"/>
    <n v="2"/>
    <n v="2"/>
    <s v="High"/>
    <s v="Normal"/>
    <s v="Normal"/>
    <s v="Normal"/>
  </r>
  <r>
    <x v="691"/>
    <x v="31"/>
    <b v="0"/>
    <x v="3"/>
    <n v="0.2273"/>
    <n v="2011"/>
    <x v="1"/>
    <x v="3"/>
    <x v="1"/>
    <s v="Spring"/>
    <x v="1"/>
    <n v="0.69"/>
    <n v="0.23"/>
    <x v="13"/>
    <n v="0"/>
    <n v="2"/>
    <n v="2"/>
    <s v="High"/>
    <s v="Normal"/>
    <s v="Normal"/>
    <s v="Normal"/>
  </r>
  <r>
    <x v="692"/>
    <x v="31"/>
    <b v="0"/>
    <x v="3"/>
    <n v="0.21210000000000001"/>
    <n v="2011"/>
    <x v="1"/>
    <x v="5"/>
    <x v="1"/>
    <s v="Spring"/>
    <x v="2"/>
    <n v="0.93"/>
    <n v="0.23"/>
    <x v="14"/>
    <n v="0"/>
    <n v="3"/>
    <n v="3"/>
    <s v="High"/>
    <s v="Normal"/>
    <s v="Normal"/>
    <s v="Normal"/>
  </r>
  <r>
    <x v="693"/>
    <x v="31"/>
    <b v="0"/>
    <x v="3"/>
    <n v="0.21210000000000001"/>
    <n v="2011"/>
    <x v="1"/>
    <x v="6"/>
    <x v="1"/>
    <s v="Spring"/>
    <x v="2"/>
    <n v="0.93"/>
    <n v="0.23"/>
    <x v="14"/>
    <n v="0"/>
    <n v="22"/>
    <n v="22"/>
    <s v="High"/>
    <s v="Normal"/>
    <s v="Normal"/>
    <s v="Normal"/>
  </r>
  <r>
    <x v="694"/>
    <x v="31"/>
    <b v="0"/>
    <x v="3"/>
    <n v="0.2273"/>
    <n v="2011"/>
    <x v="1"/>
    <x v="7"/>
    <x v="1"/>
    <s v="Spring"/>
    <x v="2"/>
    <n v="0.93"/>
    <n v="0.23"/>
    <x v="13"/>
    <n v="0"/>
    <n v="52"/>
    <n v="52"/>
    <s v="High"/>
    <s v="Normal"/>
    <s v="Normal"/>
    <s v="Normal"/>
  </r>
  <r>
    <x v="695"/>
    <x v="31"/>
    <b v="0"/>
    <x v="3"/>
    <n v="0.2273"/>
    <n v="2011"/>
    <x v="1"/>
    <x v="8"/>
    <x v="1"/>
    <s v="Spring"/>
    <x v="2"/>
    <n v="0.93"/>
    <n v="0.23"/>
    <x v="13"/>
    <n v="3"/>
    <n v="132"/>
    <n v="135"/>
    <s v="High"/>
    <s v="Normal"/>
    <s v="Normal"/>
    <s v="Normal"/>
  </r>
  <r>
    <x v="696"/>
    <x v="31"/>
    <b v="0"/>
    <x v="3"/>
    <n v="0.2273"/>
    <n v="2011"/>
    <x v="1"/>
    <x v="9"/>
    <x v="1"/>
    <s v="Spring"/>
    <x v="1"/>
    <n v="0.93"/>
    <n v="0.23"/>
    <x v="13"/>
    <n v="2"/>
    <n v="114"/>
    <n v="116"/>
    <s v="High"/>
    <s v="Normal"/>
    <s v="Normal"/>
    <s v="Normal"/>
  </r>
  <r>
    <x v="697"/>
    <x v="31"/>
    <b v="0"/>
    <x v="3"/>
    <n v="0.2273"/>
    <n v="2011"/>
    <x v="1"/>
    <x v="10"/>
    <x v="1"/>
    <s v="Spring"/>
    <x v="1"/>
    <n v="0.93"/>
    <n v="0.23"/>
    <x v="13"/>
    <n v="0"/>
    <n v="47"/>
    <n v="47"/>
    <s v="High"/>
    <s v="Normal"/>
    <s v="Normal"/>
    <s v="Normal"/>
  </r>
  <r>
    <x v="698"/>
    <x v="31"/>
    <b v="0"/>
    <x v="3"/>
    <n v="0.2424"/>
    <n v="2011"/>
    <x v="1"/>
    <x v="11"/>
    <x v="1"/>
    <s v="Spring"/>
    <x v="1"/>
    <n v="0.86"/>
    <n v="0.23"/>
    <x v="15"/>
    <n v="2"/>
    <n v="49"/>
    <n v="51"/>
    <s v="High"/>
    <s v="Normal"/>
    <s v="Normal"/>
    <s v="Normal"/>
  </r>
  <r>
    <x v="699"/>
    <x v="31"/>
    <b v="0"/>
    <x v="3"/>
    <n v="0.2576"/>
    <n v="2011"/>
    <x v="1"/>
    <x v="12"/>
    <x v="1"/>
    <s v="Spring"/>
    <x v="1"/>
    <n v="0.86"/>
    <n v="0.23"/>
    <x v="2"/>
    <n v="2"/>
    <n v="53"/>
    <n v="55"/>
    <s v="High"/>
    <s v="Normal"/>
    <s v="Normal"/>
    <s v="Normal"/>
  </r>
  <r>
    <x v="700"/>
    <x v="31"/>
    <b v="0"/>
    <x v="3"/>
    <n v="0.2576"/>
    <n v="2011"/>
    <x v="1"/>
    <x v="13"/>
    <x v="1"/>
    <s v="Spring"/>
    <x v="1"/>
    <n v="0.86"/>
    <n v="0.23"/>
    <x v="2"/>
    <n v="3"/>
    <n v="49"/>
    <n v="52"/>
    <s v="High"/>
    <s v="Normal"/>
    <s v="Normal"/>
    <s v="Normal"/>
  </r>
  <r>
    <x v="701"/>
    <x v="31"/>
    <b v="0"/>
    <x v="3"/>
    <n v="0.2576"/>
    <n v="2011"/>
    <x v="1"/>
    <x v="14"/>
    <x v="1"/>
    <s v="Spring"/>
    <x v="1"/>
    <n v="0.8"/>
    <n v="8.9599999999999999E-2"/>
    <x v="1"/>
    <n v="5"/>
    <n v="49"/>
    <n v="54"/>
    <s v="High"/>
    <s v="Normal"/>
    <s v="Normal"/>
    <s v="Normal"/>
  </r>
  <r>
    <x v="702"/>
    <x v="31"/>
    <b v="0"/>
    <x v="3"/>
    <n v="0.28789999999999999"/>
    <n v="2011"/>
    <x v="1"/>
    <x v="15"/>
    <x v="1"/>
    <s v="Spring"/>
    <x v="1"/>
    <n v="0.75"/>
    <n v="0.23"/>
    <x v="0"/>
    <n v="7"/>
    <n v="45"/>
    <n v="52"/>
    <s v="High"/>
    <s v="Normal"/>
    <s v="Normal"/>
    <s v="Normal"/>
  </r>
  <r>
    <x v="703"/>
    <x v="31"/>
    <b v="0"/>
    <x v="3"/>
    <n v="0.2424"/>
    <n v="2011"/>
    <x v="1"/>
    <x v="16"/>
    <x v="1"/>
    <s v="Spring"/>
    <x v="1"/>
    <n v="0.75"/>
    <n v="0.1343"/>
    <x v="0"/>
    <n v="3"/>
    <n v="61"/>
    <n v="64"/>
    <s v="High"/>
    <s v="Normal"/>
    <s v="Normal"/>
    <s v="Normal"/>
  </r>
  <r>
    <x v="704"/>
    <x v="31"/>
    <b v="0"/>
    <x v="3"/>
    <n v="0.28789999999999999"/>
    <n v="2011"/>
    <x v="1"/>
    <x v="17"/>
    <x v="1"/>
    <s v="Spring"/>
    <x v="1"/>
    <n v="0.75"/>
    <n v="0.23"/>
    <x v="0"/>
    <n v="4"/>
    <n v="172"/>
    <n v="176"/>
    <s v="High"/>
    <s v="Normal"/>
    <s v="Normal"/>
    <s v="Normal"/>
  </r>
  <r>
    <x v="705"/>
    <x v="31"/>
    <b v="0"/>
    <x v="3"/>
    <n v="0.2576"/>
    <n v="2011"/>
    <x v="1"/>
    <x v="18"/>
    <x v="1"/>
    <s v="Spring"/>
    <x v="1"/>
    <n v="0.81"/>
    <n v="0.1045"/>
    <x v="0"/>
    <n v="3"/>
    <n v="165"/>
    <n v="168"/>
    <s v="High"/>
    <s v="Normal"/>
    <s v="Normal"/>
    <s v="Normal"/>
  </r>
  <r>
    <x v="706"/>
    <x v="31"/>
    <b v="0"/>
    <x v="3"/>
    <n v="0.2424"/>
    <n v="2011"/>
    <x v="1"/>
    <x v="19"/>
    <x v="1"/>
    <s v="Spring"/>
    <x v="1"/>
    <n v="0.81"/>
    <n v="0.1343"/>
    <x v="0"/>
    <n v="3"/>
    <n v="105"/>
    <n v="108"/>
    <s v="High"/>
    <s v="Normal"/>
    <s v="Normal"/>
    <s v="Normal"/>
  </r>
  <r>
    <x v="707"/>
    <x v="31"/>
    <b v="0"/>
    <x v="3"/>
    <n v="0.2273"/>
    <n v="2011"/>
    <x v="1"/>
    <x v="20"/>
    <x v="1"/>
    <s v="Spring"/>
    <x v="1"/>
    <n v="0.87"/>
    <n v="0.1343"/>
    <x v="1"/>
    <n v="5"/>
    <n v="69"/>
    <n v="74"/>
    <s v="High"/>
    <s v="Normal"/>
    <s v="Normal"/>
    <s v="Normal"/>
  </r>
  <r>
    <x v="708"/>
    <x v="31"/>
    <b v="0"/>
    <x v="3"/>
    <n v="0.2273"/>
    <n v="2011"/>
    <x v="1"/>
    <x v="21"/>
    <x v="1"/>
    <s v="Spring"/>
    <x v="1"/>
    <n v="0.87"/>
    <n v="0.1343"/>
    <x v="1"/>
    <n v="0"/>
    <n v="64"/>
    <n v="64"/>
    <s v="High"/>
    <s v="Normal"/>
    <s v="Normal"/>
    <s v="Normal"/>
  </r>
  <r>
    <x v="709"/>
    <x v="31"/>
    <b v="0"/>
    <x v="3"/>
    <n v="0.2576"/>
    <n v="2011"/>
    <x v="1"/>
    <x v="22"/>
    <x v="1"/>
    <s v="Spring"/>
    <x v="1"/>
    <n v="0.87"/>
    <n v="8.9599999999999999E-2"/>
    <x v="1"/>
    <n v="2"/>
    <n v="34"/>
    <n v="36"/>
    <s v="High"/>
    <s v="Normal"/>
    <s v="Normal"/>
    <s v="Normal"/>
  </r>
  <r>
    <x v="710"/>
    <x v="31"/>
    <b v="0"/>
    <x v="3"/>
    <n v="0.19700000000000001"/>
    <n v="2011"/>
    <x v="1"/>
    <x v="23"/>
    <x v="1"/>
    <s v="Spring"/>
    <x v="2"/>
    <n v="0.93"/>
    <n v="0.19400000000000001"/>
    <x v="2"/>
    <n v="1"/>
    <n v="15"/>
    <n v="16"/>
    <s v="High"/>
    <s v="Normal"/>
    <s v="Normal"/>
    <s v="Normal"/>
  </r>
  <r>
    <x v="711"/>
    <x v="32"/>
    <b v="0"/>
    <x v="4"/>
    <n v="0.2424"/>
    <n v="2011"/>
    <x v="1"/>
    <x v="0"/>
    <x v="1"/>
    <s v="Spring"/>
    <x v="2"/>
    <n v="0.93"/>
    <n v="0.1045"/>
    <x v="1"/>
    <n v="0"/>
    <n v="2"/>
    <n v="2"/>
    <s v="High"/>
    <s v="Normal"/>
    <s v="Normal"/>
    <s v="Normal"/>
  </r>
  <r>
    <x v="712"/>
    <x v="32"/>
    <b v="0"/>
    <x v="4"/>
    <n v="0.2273"/>
    <n v="2011"/>
    <x v="1"/>
    <x v="1"/>
    <x v="1"/>
    <s v="Spring"/>
    <x v="2"/>
    <n v="0.93"/>
    <n v="0.19400000000000001"/>
    <x v="1"/>
    <n v="0"/>
    <n v="3"/>
    <n v="3"/>
    <s v="High"/>
    <s v="Normal"/>
    <s v="Normal"/>
    <s v="Normal"/>
  </r>
  <r>
    <x v="713"/>
    <x v="32"/>
    <b v="0"/>
    <x v="4"/>
    <n v="0.2273"/>
    <n v="2011"/>
    <x v="1"/>
    <x v="2"/>
    <x v="1"/>
    <s v="Spring"/>
    <x v="2"/>
    <n v="0.93"/>
    <n v="0.1343"/>
    <x v="1"/>
    <n v="4"/>
    <n v="0"/>
    <n v="4"/>
    <s v="High"/>
    <s v="Normal"/>
    <s v="Normal"/>
    <s v="Normal"/>
  </r>
  <r>
    <x v="714"/>
    <x v="32"/>
    <b v="0"/>
    <x v="4"/>
    <n v="0.2273"/>
    <n v="2011"/>
    <x v="1"/>
    <x v="3"/>
    <x v="1"/>
    <s v="Spring"/>
    <x v="2"/>
    <n v="0.93"/>
    <n v="0.1343"/>
    <x v="1"/>
    <n v="0"/>
    <n v="1"/>
    <n v="1"/>
    <s v="High"/>
    <s v="Normal"/>
    <s v="Normal"/>
    <s v="Normal"/>
  </r>
  <r>
    <x v="715"/>
    <x v="32"/>
    <b v="0"/>
    <x v="4"/>
    <n v="0.21210000000000001"/>
    <n v="2011"/>
    <x v="1"/>
    <x v="4"/>
    <x v="1"/>
    <s v="Spring"/>
    <x v="2"/>
    <n v="0.93"/>
    <n v="0.28360000000000002"/>
    <x v="1"/>
    <n v="0"/>
    <n v="1"/>
    <n v="1"/>
    <s v="High"/>
    <s v="Normal"/>
    <s v="Normal"/>
    <s v="Normal"/>
  </r>
  <r>
    <x v="716"/>
    <x v="32"/>
    <b v="0"/>
    <x v="4"/>
    <n v="0.2424"/>
    <n v="2011"/>
    <x v="1"/>
    <x v="5"/>
    <x v="1"/>
    <s v="Spring"/>
    <x v="2"/>
    <n v="0.93"/>
    <n v="0.1045"/>
    <x v="1"/>
    <n v="0"/>
    <n v="3"/>
    <n v="3"/>
    <s v="High"/>
    <s v="Normal"/>
    <s v="Normal"/>
    <s v="Normal"/>
  </r>
  <r>
    <x v="717"/>
    <x v="32"/>
    <b v="0"/>
    <x v="4"/>
    <n v="0.2424"/>
    <n v="2011"/>
    <x v="1"/>
    <x v="6"/>
    <x v="1"/>
    <s v="Spring"/>
    <x v="2"/>
    <n v="0.93"/>
    <n v="0.1045"/>
    <x v="1"/>
    <n v="1"/>
    <n v="17"/>
    <n v="18"/>
    <s v="High"/>
    <s v="Normal"/>
    <s v="Normal"/>
    <s v="Normal"/>
  </r>
  <r>
    <x v="718"/>
    <x v="32"/>
    <b v="0"/>
    <x v="4"/>
    <n v="0.21210000000000001"/>
    <n v="2011"/>
    <x v="1"/>
    <x v="7"/>
    <x v="1"/>
    <s v="Spring"/>
    <x v="2"/>
    <n v="0.93"/>
    <n v="0.22389999999999999"/>
    <x v="1"/>
    <n v="1"/>
    <n v="48"/>
    <n v="49"/>
    <s v="High"/>
    <s v="Normal"/>
    <s v="Normal"/>
    <s v="Normal"/>
  </r>
  <r>
    <x v="719"/>
    <x v="32"/>
    <b v="0"/>
    <x v="4"/>
    <n v="0.21210000000000001"/>
    <n v="2011"/>
    <x v="1"/>
    <x v="8"/>
    <x v="1"/>
    <s v="Spring"/>
    <x v="2"/>
    <n v="0.93"/>
    <n v="0.22389999999999999"/>
    <x v="1"/>
    <n v="1"/>
    <n v="154"/>
    <n v="155"/>
    <s v="High"/>
    <s v="Normal"/>
    <s v="Normal"/>
    <s v="Normal"/>
  </r>
  <r>
    <x v="720"/>
    <x v="32"/>
    <b v="0"/>
    <x v="4"/>
    <n v="0.2576"/>
    <n v="2011"/>
    <x v="1"/>
    <x v="9"/>
    <x v="1"/>
    <s v="Spring"/>
    <x v="1"/>
    <n v="0.93"/>
    <n v="8.9599999999999999E-2"/>
    <x v="0"/>
    <n v="4"/>
    <n v="119"/>
    <n v="123"/>
    <s v="High"/>
    <s v="Normal"/>
    <s v="Normal"/>
    <s v="Normal"/>
  </r>
  <r>
    <x v="721"/>
    <x v="32"/>
    <b v="0"/>
    <x v="4"/>
    <n v="0.2727"/>
    <n v="2011"/>
    <x v="1"/>
    <x v="10"/>
    <x v="1"/>
    <s v="Spring"/>
    <x v="1"/>
    <n v="1"/>
    <n v="0.23"/>
    <x v="1"/>
    <n v="2"/>
    <n v="59"/>
    <n v="61"/>
    <s v="High"/>
    <s v="Normal"/>
    <s v="Normal"/>
    <s v="Normal"/>
  </r>
  <r>
    <x v="722"/>
    <x v="32"/>
    <b v="0"/>
    <x v="4"/>
    <n v="0.2273"/>
    <n v="2011"/>
    <x v="1"/>
    <x v="11"/>
    <x v="1"/>
    <s v="Spring"/>
    <x v="1"/>
    <n v="0.93"/>
    <n v="0.19400000000000001"/>
    <x v="0"/>
    <n v="5"/>
    <n v="47"/>
    <n v="52"/>
    <s v="High"/>
    <s v="Normal"/>
    <s v="Normal"/>
    <s v="Normal"/>
  </r>
  <r>
    <x v="723"/>
    <x v="32"/>
    <b v="0"/>
    <x v="4"/>
    <n v="0.2273"/>
    <n v="2011"/>
    <x v="1"/>
    <x v="12"/>
    <x v="1"/>
    <s v="Spring"/>
    <x v="1"/>
    <n v="0.93"/>
    <n v="0.22389999999999999"/>
    <x v="0"/>
    <n v="3"/>
    <n v="61"/>
    <n v="64"/>
    <s v="High"/>
    <s v="Normal"/>
    <s v="Normal"/>
    <s v="Normal"/>
  </r>
  <r>
    <x v="724"/>
    <x v="32"/>
    <b v="0"/>
    <x v="4"/>
    <n v="0.33329999999999999"/>
    <n v="2011"/>
    <x v="1"/>
    <x v="13"/>
    <x v="1"/>
    <s v="Spring"/>
    <x v="0"/>
    <n v="0.93"/>
    <n v="0.16420000000000001"/>
    <x v="10"/>
    <n v="1"/>
    <n v="74"/>
    <n v="75"/>
    <s v="High"/>
    <s v="Normal"/>
    <s v="Normal"/>
    <s v="Normal"/>
  </r>
  <r>
    <x v="725"/>
    <x v="32"/>
    <b v="0"/>
    <x v="4"/>
    <n v="0.39389999999999997"/>
    <n v="2011"/>
    <x v="1"/>
    <x v="14"/>
    <x v="1"/>
    <s v="Spring"/>
    <x v="0"/>
    <n v="0.82"/>
    <n v="0.3881"/>
    <x v="4"/>
    <n v="2"/>
    <n v="61"/>
    <n v="63"/>
    <s v="High"/>
    <s v="Normal"/>
    <s v="Normal"/>
    <s v="Normal"/>
  </r>
  <r>
    <x v="726"/>
    <x v="32"/>
    <b v="0"/>
    <x v="4"/>
    <n v="0.39389999999999997"/>
    <n v="2011"/>
    <x v="1"/>
    <x v="15"/>
    <x v="1"/>
    <s v="Spring"/>
    <x v="0"/>
    <n v="0.76"/>
    <n v="0.32840000000000003"/>
    <x v="4"/>
    <n v="10"/>
    <n v="66"/>
    <n v="76"/>
    <s v="High"/>
    <s v="Normal"/>
    <s v="Normal"/>
    <s v="Normal"/>
  </r>
  <r>
    <x v="727"/>
    <x v="32"/>
    <b v="0"/>
    <x v="4"/>
    <n v="0.33329999999999999"/>
    <n v="2011"/>
    <x v="1"/>
    <x v="16"/>
    <x v="1"/>
    <s v="Spring"/>
    <x v="0"/>
    <n v="0.71"/>
    <n v="0.29849999999999999"/>
    <x v="5"/>
    <n v="8"/>
    <n v="95"/>
    <n v="103"/>
    <s v="High"/>
    <s v="Normal"/>
    <s v="Normal"/>
    <s v="Normal"/>
  </r>
  <r>
    <x v="728"/>
    <x v="32"/>
    <b v="0"/>
    <x v="4"/>
    <n v="0.31819999999999998"/>
    <n v="2011"/>
    <x v="1"/>
    <x v="17"/>
    <x v="1"/>
    <s v="Spring"/>
    <x v="0"/>
    <n v="0.53"/>
    <n v="0.52239999999999998"/>
    <x v="5"/>
    <n v="7"/>
    <n v="183"/>
    <n v="190"/>
    <s v="High"/>
    <s v="Outlier"/>
    <s v="Normal"/>
    <s v="Outlier"/>
  </r>
  <r>
    <x v="729"/>
    <x v="32"/>
    <b v="0"/>
    <x v="4"/>
    <n v="0.28789999999999999"/>
    <n v="2011"/>
    <x v="1"/>
    <x v="18"/>
    <x v="1"/>
    <s v="Spring"/>
    <x v="0"/>
    <n v="0.42"/>
    <n v="0.55220000000000002"/>
    <x v="10"/>
    <n v="7"/>
    <n v="175"/>
    <n v="182"/>
    <s v="High"/>
    <s v="Normal"/>
    <s v="Normal"/>
    <s v="Outlier"/>
  </r>
  <r>
    <x v="730"/>
    <x v="32"/>
    <b v="0"/>
    <x v="4"/>
    <n v="0.2424"/>
    <n v="2011"/>
    <x v="1"/>
    <x v="19"/>
    <x v="1"/>
    <s v="Spring"/>
    <x v="0"/>
    <n v="0.45"/>
    <n v="0.49249999999999999"/>
    <x v="17"/>
    <n v="3"/>
    <n v="88"/>
    <n v="91"/>
    <s v="High"/>
    <s v="Normal"/>
    <s v="Normal"/>
    <s v="Normal"/>
  </r>
  <r>
    <x v="731"/>
    <x v="32"/>
    <b v="0"/>
    <x v="4"/>
    <n v="0.19700000000000001"/>
    <n v="2011"/>
    <x v="1"/>
    <x v="20"/>
    <x v="1"/>
    <s v="Spring"/>
    <x v="0"/>
    <n v="0.48"/>
    <n v="0.55220000000000002"/>
    <x v="0"/>
    <n v="4"/>
    <n v="71"/>
    <n v="75"/>
    <s v="High"/>
    <s v="Normal"/>
    <s v="Normal"/>
    <s v="Outlier"/>
  </r>
  <r>
    <x v="732"/>
    <x v="32"/>
    <b v="0"/>
    <x v="4"/>
    <n v="0.19700000000000001"/>
    <n v="2011"/>
    <x v="1"/>
    <x v="21"/>
    <x v="1"/>
    <s v="Spring"/>
    <x v="0"/>
    <n v="0.47"/>
    <n v="0.32840000000000003"/>
    <x v="1"/>
    <n v="1"/>
    <n v="62"/>
    <n v="63"/>
    <s v="High"/>
    <s v="Normal"/>
    <s v="Normal"/>
    <s v="Normal"/>
  </r>
  <r>
    <x v="733"/>
    <x v="32"/>
    <b v="0"/>
    <x v="4"/>
    <n v="0.21210000000000001"/>
    <n v="2011"/>
    <x v="1"/>
    <x v="22"/>
    <x v="1"/>
    <s v="Spring"/>
    <x v="0"/>
    <n v="0.44"/>
    <n v="0.25369999999999998"/>
    <x v="1"/>
    <n v="5"/>
    <n v="35"/>
    <n v="40"/>
    <s v="High"/>
    <s v="Normal"/>
    <s v="Normal"/>
    <s v="Normal"/>
  </r>
  <r>
    <x v="734"/>
    <x v="32"/>
    <b v="0"/>
    <x v="4"/>
    <n v="0.16669999999999999"/>
    <n v="2011"/>
    <x v="1"/>
    <x v="23"/>
    <x v="1"/>
    <s v="Spring"/>
    <x v="0"/>
    <n v="0.44"/>
    <n v="0.44779999999999998"/>
    <x v="2"/>
    <n v="3"/>
    <n v="29"/>
    <n v="32"/>
    <s v="High"/>
    <s v="Normal"/>
    <s v="Normal"/>
    <s v="Normal"/>
  </r>
  <r>
    <x v="735"/>
    <x v="33"/>
    <b v="0"/>
    <x v="5"/>
    <n v="0.16669999999999999"/>
    <n v="2011"/>
    <x v="1"/>
    <x v="0"/>
    <x v="1"/>
    <s v="Spring"/>
    <x v="0"/>
    <n v="0.4"/>
    <n v="0.44779999999999998"/>
    <x v="2"/>
    <n v="1"/>
    <n v="11"/>
    <n v="12"/>
    <s v="High"/>
    <s v="Normal"/>
    <s v="Normal"/>
    <s v="Normal"/>
  </r>
  <r>
    <x v="736"/>
    <x v="33"/>
    <b v="0"/>
    <x v="5"/>
    <n v="0.1515"/>
    <n v="2011"/>
    <x v="1"/>
    <x v="1"/>
    <x v="1"/>
    <s v="Spring"/>
    <x v="0"/>
    <n v="0.44"/>
    <n v="0.52239999999999998"/>
    <x v="2"/>
    <n v="0"/>
    <n v="5"/>
    <n v="5"/>
    <s v="High"/>
    <s v="Normal"/>
    <s v="Normal"/>
    <s v="Outlier"/>
  </r>
  <r>
    <x v="737"/>
    <x v="33"/>
    <b v="0"/>
    <x v="5"/>
    <n v="0.16669999999999999"/>
    <n v="2011"/>
    <x v="1"/>
    <x v="2"/>
    <x v="1"/>
    <s v="Spring"/>
    <x v="0"/>
    <n v="0.43"/>
    <n v="0.25369999999999998"/>
    <x v="15"/>
    <n v="0"/>
    <n v="2"/>
    <n v="2"/>
    <s v="High"/>
    <s v="Normal"/>
    <s v="Normal"/>
    <s v="Normal"/>
  </r>
  <r>
    <x v="738"/>
    <x v="33"/>
    <b v="0"/>
    <x v="5"/>
    <n v="0.16669999999999999"/>
    <n v="2011"/>
    <x v="1"/>
    <x v="3"/>
    <x v="1"/>
    <s v="Spring"/>
    <x v="0"/>
    <n v="0.43"/>
    <n v="0.25369999999999998"/>
    <x v="15"/>
    <n v="0"/>
    <n v="1"/>
    <n v="1"/>
    <s v="High"/>
    <s v="Normal"/>
    <s v="Normal"/>
    <s v="Normal"/>
  </r>
  <r>
    <x v="739"/>
    <x v="33"/>
    <b v="0"/>
    <x v="5"/>
    <n v="0.13639999999999999"/>
    <n v="2011"/>
    <x v="1"/>
    <x v="5"/>
    <x v="1"/>
    <s v="Spring"/>
    <x v="0"/>
    <n v="0.5"/>
    <n v="0.29849999999999999"/>
    <x v="13"/>
    <n v="0"/>
    <n v="2"/>
    <n v="2"/>
    <s v="High"/>
    <s v="Normal"/>
    <s v="Normal"/>
    <s v="Normal"/>
  </r>
  <r>
    <x v="740"/>
    <x v="33"/>
    <b v="0"/>
    <x v="5"/>
    <n v="0.13639999999999999"/>
    <n v="2011"/>
    <x v="1"/>
    <x v="6"/>
    <x v="1"/>
    <s v="Spring"/>
    <x v="0"/>
    <n v="0.43"/>
    <n v="0.35820000000000002"/>
    <x v="13"/>
    <n v="0"/>
    <n v="39"/>
    <n v="39"/>
    <s v="High"/>
    <s v="Normal"/>
    <s v="Normal"/>
    <s v="Normal"/>
  </r>
  <r>
    <x v="741"/>
    <x v="33"/>
    <b v="0"/>
    <x v="5"/>
    <n v="0.1212"/>
    <n v="2011"/>
    <x v="1"/>
    <x v="7"/>
    <x v="1"/>
    <s v="Spring"/>
    <x v="0"/>
    <n v="0.5"/>
    <n v="0.32840000000000003"/>
    <x v="14"/>
    <n v="1"/>
    <n v="86"/>
    <n v="87"/>
    <s v="High"/>
    <s v="Normal"/>
    <s v="Normal"/>
    <s v="Normal"/>
  </r>
  <r>
    <x v="742"/>
    <x v="33"/>
    <b v="0"/>
    <x v="5"/>
    <n v="0.1212"/>
    <n v="2011"/>
    <x v="1"/>
    <x v="8"/>
    <x v="1"/>
    <s v="Spring"/>
    <x v="0"/>
    <n v="0.5"/>
    <n v="0.35820000000000002"/>
    <x v="14"/>
    <n v="4"/>
    <n v="184"/>
    <n v="188"/>
    <s v="High"/>
    <s v="Outlier"/>
    <s v="Normal"/>
    <s v="Normal"/>
  </r>
  <r>
    <x v="743"/>
    <x v="33"/>
    <b v="0"/>
    <x v="5"/>
    <n v="0.13639999999999999"/>
    <n v="2011"/>
    <x v="1"/>
    <x v="9"/>
    <x v="1"/>
    <s v="Spring"/>
    <x v="0"/>
    <n v="0.47"/>
    <n v="0.29849999999999999"/>
    <x v="13"/>
    <n v="6"/>
    <n v="127"/>
    <n v="133"/>
    <s v="High"/>
    <s v="Normal"/>
    <s v="Normal"/>
    <s v="Normal"/>
  </r>
  <r>
    <x v="744"/>
    <x v="33"/>
    <b v="0"/>
    <x v="5"/>
    <n v="0.1515"/>
    <n v="2011"/>
    <x v="1"/>
    <x v="10"/>
    <x v="1"/>
    <s v="Spring"/>
    <x v="0"/>
    <n v="0.43"/>
    <n v="0.32840000000000003"/>
    <x v="15"/>
    <n v="2"/>
    <n v="50"/>
    <n v="52"/>
    <s v="High"/>
    <s v="Normal"/>
    <s v="Normal"/>
    <s v="Normal"/>
  </r>
  <r>
    <x v="745"/>
    <x v="33"/>
    <b v="0"/>
    <x v="5"/>
    <n v="0.13639999999999999"/>
    <n v="2011"/>
    <x v="1"/>
    <x v="11"/>
    <x v="1"/>
    <s v="Spring"/>
    <x v="0"/>
    <n v="0.43"/>
    <n v="0.44779999999999998"/>
    <x v="15"/>
    <n v="9"/>
    <n v="55"/>
    <n v="64"/>
    <s v="High"/>
    <s v="Normal"/>
    <s v="Normal"/>
    <s v="Normal"/>
  </r>
  <r>
    <x v="746"/>
    <x v="33"/>
    <b v="0"/>
    <x v="5"/>
    <n v="0.18179999999999999"/>
    <n v="2011"/>
    <x v="1"/>
    <x v="12"/>
    <x v="1"/>
    <s v="Spring"/>
    <x v="0"/>
    <n v="0.4"/>
    <n v="0.35820000000000002"/>
    <x v="2"/>
    <n v="2"/>
    <n v="67"/>
    <n v="69"/>
    <s v="High"/>
    <s v="Normal"/>
    <s v="Normal"/>
    <s v="Normal"/>
  </r>
  <r>
    <x v="747"/>
    <x v="33"/>
    <b v="0"/>
    <x v="5"/>
    <n v="0.16669999999999999"/>
    <n v="2011"/>
    <x v="1"/>
    <x v="13"/>
    <x v="1"/>
    <s v="Spring"/>
    <x v="0"/>
    <n v="0.4"/>
    <n v="0.41789999999999999"/>
    <x v="2"/>
    <n v="4"/>
    <n v="47"/>
    <n v="51"/>
    <s v="High"/>
    <s v="Normal"/>
    <s v="Normal"/>
    <s v="Normal"/>
  </r>
  <r>
    <x v="748"/>
    <x v="33"/>
    <b v="0"/>
    <x v="5"/>
    <n v="0.19700000000000001"/>
    <n v="2011"/>
    <x v="1"/>
    <x v="14"/>
    <x v="1"/>
    <s v="Spring"/>
    <x v="0"/>
    <n v="0.37"/>
    <n v="0.3881"/>
    <x v="1"/>
    <n v="4"/>
    <n v="43"/>
    <n v="47"/>
    <s v="High"/>
    <s v="Normal"/>
    <s v="Normal"/>
    <s v="Normal"/>
  </r>
  <r>
    <x v="749"/>
    <x v="33"/>
    <b v="0"/>
    <x v="5"/>
    <n v="0.19700000000000001"/>
    <n v="2011"/>
    <x v="1"/>
    <x v="15"/>
    <x v="1"/>
    <s v="Spring"/>
    <x v="0"/>
    <n v="0.37"/>
    <n v="0.32840000000000003"/>
    <x v="1"/>
    <n v="4"/>
    <n v="56"/>
    <n v="60"/>
    <s v="High"/>
    <s v="Normal"/>
    <s v="Normal"/>
    <s v="Normal"/>
  </r>
  <r>
    <x v="750"/>
    <x v="33"/>
    <b v="0"/>
    <x v="5"/>
    <n v="0.21210000000000001"/>
    <n v="2011"/>
    <x v="1"/>
    <x v="16"/>
    <x v="1"/>
    <s v="Spring"/>
    <x v="0"/>
    <n v="0.37"/>
    <n v="0.25369999999999998"/>
    <x v="1"/>
    <n v="5"/>
    <n v="73"/>
    <n v="78"/>
    <s v="High"/>
    <s v="Normal"/>
    <s v="Normal"/>
    <s v="Normal"/>
  </r>
  <r>
    <x v="751"/>
    <x v="33"/>
    <b v="0"/>
    <x v="5"/>
    <n v="0.19700000000000001"/>
    <n v="2011"/>
    <x v="1"/>
    <x v="17"/>
    <x v="1"/>
    <s v="Spring"/>
    <x v="0"/>
    <n v="0.4"/>
    <n v="0.19400000000000001"/>
    <x v="2"/>
    <n v="5"/>
    <n v="170"/>
    <n v="175"/>
    <s v="High"/>
    <s v="Normal"/>
    <s v="Normal"/>
    <s v="Normal"/>
  </r>
  <r>
    <x v="752"/>
    <x v="33"/>
    <b v="0"/>
    <x v="5"/>
    <n v="0.21210000000000001"/>
    <n v="2011"/>
    <x v="1"/>
    <x v="18"/>
    <x v="1"/>
    <s v="Spring"/>
    <x v="0"/>
    <n v="0.4"/>
    <n v="0.16420000000000001"/>
    <x v="2"/>
    <n v="2"/>
    <n v="145"/>
    <n v="147"/>
    <s v="High"/>
    <s v="Normal"/>
    <s v="Normal"/>
    <s v="Normal"/>
  </r>
  <r>
    <x v="753"/>
    <x v="33"/>
    <b v="0"/>
    <x v="5"/>
    <n v="0.2576"/>
    <n v="2011"/>
    <x v="1"/>
    <x v="19"/>
    <x v="1"/>
    <s v="Spring"/>
    <x v="0"/>
    <n v="0.4"/>
    <n v="0.23"/>
    <x v="2"/>
    <n v="4"/>
    <n v="92"/>
    <n v="96"/>
    <s v="High"/>
    <s v="Normal"/>
    <s v="Normal"/>
    <s v="Normal"/>
  </r>
  <r>
    <x v="754"/>
    <x v="33"/>
    <b v="0"/>
    <x v="5"/>
    <n v="0.2273"/>
    <n v="2011"/>
    <x v="1"/>
    <x v="20"/>
    <x v="1"/>
    <s v="Spring"/>
    <x v="0"/>
    <n v="0.47"/>
    <n v="8.9599999999999999E-2"/>
    <x v="2"/>
    <n v="1"/>
    <n v="108"/>
    <n v="109"/>
    <s v="High"/>
    <s v="Normal"/>
    <s v="Normal"/>
    <s v="Normal"/>
  </r>
  <r>
    <x v="755"/>
    <x v="33"/>
    <b v="0"/>
    <x v="5"/>
    <n v="0.21210000000000001"/>
    <n v="2011"/>
    <x v="1"/>
    <x v="21"/>
    <x v="1"/>
    <s v="Spring"/>
    <x v="0"/>
    <n v="0.55000000000000004"/>
    <n v="0.1045"/>
    <x v="15"/>
    <n v="1"/>
    <n v="53"/>
    <n v="54"/>
    <s v="High"/>
    <s v="Normal"/>
    <s v="Normal"/>
    <s v="Normal"/>
  </r>
  <r>
    <x v="756"/>
    <x v="33"/>
    <b v="0"/>
    <x v="5"/>
    <n v="0.21210000000000001"/>
    <n v="2011"/>
    <x v="1"/>
    <x v="22"/>
    <x v="1"/>
    <s v="Spring"/>
    <x v="0"/>
    <n v="0.51"/>
    <n v="8.9599999999999999E-2"/>
    <x v="15"/>
    <n v="2"/>
    <n v="39"/>
    <n v="41"/>
    <s v="High"/>
    <s v="Normal"/>
    <s v="Normal"/>
    <s v="Normal"/>
  </r>
  <r>
    <x v="757"/>
    <x v="33"/>
    <b v="0"/>
    <x v="5"/>
    <n v="0.2273"/>
    <n v="2011"/>
    <x v="1"/>
    <x v="23"/>
    <x v="1"/>
    <s v="Spring"/>
    <x v="0"/>
    <n v="0.47"/>
    <n v="0.1045"/>
    <x v="2"/>
    <n v="4"/>
    <n v="34"/>
    <n v="38"/>
    <s v="High"/>
    <s v="Normal"/>
    <s v="Normal"/>
    <s v="Normal"/>
  </r>
  <r>
    <x v="758"/>
    <x v="34"/>
    <b v="0"/>
    <x v="6"/>
    <n v="0.2576"/>
    <n v="2011"/>
    <x v="1"/>
    <x v="0"/>
    <x v="1"/>
    <s v="Spring"/>
    <x v="1"/>
    <n v="0.44"/>
    <n v="0.23"/>
    <x v="2"/>
    <n v="3"/>
    <n v="10"/>
    <n v="13"/>
    <s v="High"/>
    <s v="Normal"/>
    <s v="Normal"/>
    <s v="Normal"/>
  </r>
  <r>
    <x v="759"/>
    <x v="34"/>
    <b v="0"/>
    <x v="6"/>
    <n v="0.2273"/>
    <n v="2011"/>
    <x v="1"/>
    <x v="1"/>
    <x v="1"/>
    <s v="Spring"/>
    <x v="1"/>
    <n v="0.59"/>
    <n v="0.23"/>
    <x v="13"/>
    <n v="0"/>
    <n v="7"/>
    <n v="7"/>
    <s v="High"/>
    <s v="Normal"/>
    <s v="Normal"/>
    <s v="Normal"/>
  </r>
  <r>
    <x v="760"/>
    <x v="34"/>
    <b v="0"/>
    <x v="6"/>
    <n v="0.16669999999999999"/>
    <n v="2011"/>
    <x v="1"/>
    <x v="2"/>
    <x v="1"/>
    <s v="Spring"/>
    <x v="1"/>
    <n v="0.63"/>
    <n v="0.1045"/>
    <x v="14"/>
    <n v="0"/>
    <n v="1"/>
    <n v="1"/>
    <s v="High"/>
    <s v="Normal"/>
    <s v="Normal"/>
    <s v="Normal"/>
  </r>
  <r>
    <x v="761"/>
    <x v="34"/>
    <b v="0"/>
    <x v="6"/>
    <n v="0.16669999999999999"/>
    <n v="2011"/>
    <x v="1"/>
    <x v="3"/>
    <x v="1"/>
    <s v="Spring"/>
    <x v="1"/>
    <n v="0.63"/>
    <n v="0.1045"/>
    <x v="14"/>
    <n v="0"/>
    <n v="1"/>
    <n v="1"/>
    <s v="High"/>
    <s v="Normal"/>
    <s v="Normal"/>
    <s v="Normal"/>
  </r>
  <r>
    <x v="762"/>
    <x v="34"/>
    <b v="0"/>
    <x v="6"/>
    <n v="0.1515"/>
    <n v="2011"/>
    <x v="1"/>
    <x v="5"/>
    <x v="1"/>
    <s v="Spring"/>
    <x v="1"/>
    <n v="0.63"/>
    <n v="0.1343"/>
    <x v="14"/>
    <n v="0"/>
    <n v="7"/>
    <n v="7"/>
    <s v="High"/>
    <s v="Normal"/>
    <s v="Normal"/>
    <s v="Normal"/>
  </r>
  <r>
    <x v="763"/>
    <x v="34"/>
    <b v="0"/>
    <x v="6"/>
    <n v="0.2273"/>
    <n v="2011"/>
    <x v="1"/>
    <x v="6"/>
    <x v="1"/>
    <s v="Spring"/>
    <x v="1"/>
    <n v="0.55000000000000004"/>
    <n v="0.23"/>
    <x v="13"/>
    <n v="2"/>
    <n v="26"/>
    <n v="28"/>
    <s v="High"/>
    <s v="Normal"/>
    <s v="Normal"/>
    <s v="Normal"/>
  </r>
  <r>
    <x v="764"/>
    <x v="34"/>
    <b v="0"/>
    <x v="6"/>
    <n v="0.21210000000000001"/>
    <n v="2011"/>
    <x v="1"/>
    <x v="7"/>
    <x v="1"/>
    <s v="Spring"/>
    <x v="0"/>
    <n v="0.59"/>
    <n v="0.23"/>
    <x v="14"/>
    <n v="0"/>
    <n v="87"/>
    <n v="87"/>
    <s v="High"/>
    <s v="Normal"/>
    <s v="Normal"/>
    <s v="Normal"/>
  </r>
  <r>
    <x v="765"/>
    <x v="34"/>
    <b v="0"/>
    <x v="6"/>
    <n v="0.1515"/>
    <n v="2011"/>
    <x v="1"/>
    <x v="8"/>
    <x v="1"/>
    <s v="Spring"/>
    <x v="0"/>
    <n v="0.74"/>
    <n v="0.1343"/>
    <x v="14"/>
    <n v="3"/>
    <n v="217"/>
    <n v="220"/>
    <s v="High"/>
    <s v="Outlier"/>
    <s v="Normal"/>
    <s v="Normal"/>
  </r>
  <r>
    <x v="766"/>
    <x v="34"/>
    <b v="0"/>
    <x v="6"/>
    <n v="0.18179999999999999"/>
    <n v="2011"/>
    <x v="1"/>
    <x v="9"/>
    <x v="1"/>
    <s v="Spring"/>
    <x v="1"/>
    <n v="0.8"/>
    <n v="0.1343"/>
    <x v="13"/>
    <n v="3"/>
    <n v="124"/>
    <n v="127"/>
    <s v="High"/>
    <s v="Normal"/>
    <s v="Normal"/>
    <s v="Normal"/>
  </r>
  <r>
    <x v="767"/>
    <x v="34"/>
    <b v="0"/>
    <x v="6"/>
    <n v="0.21210000000000001"/>
    <n v="2011"/>
    <x v="1"/>
    <x v="10"/>
    <x v="1"/>
    <s v="Spring"/>
    <x v="1"/>
    <n v="0.51"/>
    <n v="0.1343"/>
    <x v="2"/>
    <n v="5"/>
    <n v="46"/>
    <n v="51"/>
    <s v="High"/>
    <s v="Normal"/>
    <s v="Normal"/>
    <s v="Normal"/>
  </r>
  <r>
    <x v="768"/>
    <x v="34"/>
    <b v="0"/>
    <x v="6"/>
    <n v="0.2273"/>
    <n v="2011"/>
    <x v="1"/>
    <x v="11"/>
    <x v="1"/>
    <s v="Spring"/>
    <x v="0"/>
    <n v="0.51"/>
    <n v="0.16420000000000001"/>
    <x v="1"/>
    <n v="3"/>
    <n v="61"/>
    <n v="64"/>
    <s v="High"/>
    <s v="Normal"/>
    <s v="Normal"/>
    <s v="Normal"/>
  </r>
  <r>
    <x v="769"/>
    <x v="34"/>
    <b v="0"/>
    <x v="6"/>
    <n v="0.2424"/>
    <n v="2011"/>
    <x v="1"/>
    <x v="12"/>
    <x v="1"/>
    <s v="Spring"/>
    <x v="1"/>
    <n v="0.48"/>
    <n v="0.16420000000000001"/>
    <x v="0"/>
    <n v="8"/>
    <n v="78"/>
    <n v="86"/>
    <s v="High"/>
    <s v="Normal"/>
    <s v="Normal"/>
    <s v="Normal"/>
  </r>
  <r>
    <x v="770"/>
    <x v="34"/>
    <b v="0"/>
    <x v="6"/>
    <n v="0.2576"/>
    <n v="2011"/>
    <x v="1"/>
    <x v="13"/>
    <x v="1"/>
    <s v="Spring"/>
    <x v="1"/>
    <n v="0.5"/>
    <n v="0.22389999999999999"/>
    <x v="12"/>
    <n v="9"/>
    <n v="73"/>
    <n v="82"/>
    <s v="High"/>
    <s v="Normal"/>
    <s v="Normal"/>
    <s v="Normal"/>
  </r>
  <r>
    <x v="771"/>
    <x v="34"/>
    <b v="0"/>
    <x v="6"/>
    <n v="0.2727"/>
    <n v="2011"/>
    <x v="1"/>
    <x v="14"/>
    <x v="1"/>
    <s v="Spring"/>
    <x v="1"/>
    <n v="0.45"/>
    <n v="0.16420000000000001"/>
    <x v="17"/>
    <n v="15"/>
    <n v="76"/>
    <n v="91"/>
    <s v="High"/>
    <s v="Normal"/>
    <s v="Normal"/>
    <s v="Normal"/>
  </r>
  <r>
    <x v="772"/>
    <x v="34"/>
    <b v="0"/>
    <x v="6"/>
    <n v="0.2727"/>
    <n v="2011"/>
    <x v="1"/>
    <x v="15"/>
    <x v="1"/>
    <s v="Spring"/>
    <x v="1"/>
    <n v="0.48"/>
    <n v="0.25369999999999998"/>
    <x v="17"/>
    <n v="9"/>
    <n v="81"/>
    <n v="90"/>
    <s v="High"/>
    <s v="Normal"/>
    <s v="Normal"/>
    <s v="Normal"/>
  </r>
  <r>
    <x v="773"/>
    <x v="34"/>
    <b v="0"/>
    <x v="6"/>
    <n v="0.28789999999999999"/>
    <n v="2011"/>
    <x v="1"/>
    <x v="16"/>
    <x v="1"/>
    <s v="Spring"/>
    <x v="1"/>
    <n v="0.42"/>
    <n v="0.22389999999999999"/>
    <x v="11"/>
    <n v="8"/>
    <n v="91"/>
    <n v="99"/>
    <s v="High"/>
    <s v="Normal"/>
    <s v="Normal"/>
    <s v="Normal"/>
  </r>
  <r>
    <x v="774"/>
    <x v="34"/>
    <b v="0"/>
    <x v="6"/>
    <n v="0.2727"/>
    <n v="2011"/>
    <x v="1"/>
    <x v="17"/>
    <x v="1"/>
    <s v="Spring"/>
    <x v="1"/>
    <n v="0.56000000000000005"/>
    <n v="0.1343"/>
    <x v="12"/>
    <n v="10"/>
    <n v="195"/>
    <n v="205"/>
    <s v="High"/>
    <s v="Outlier"/>
    <s v="Normal"/>
    <s v="Normal"/>
  </r>
  <r>
    <x v="775"/>
    <x v="34"/>
    <b v="0"/>
    <x v="6"/>
    <n v="0.2576"/>
    <n v="2011"/>
    <x v="1"/>
    <x v="18"/>
    <x v="1"/>
    <s v="Spring"/>
    <x v="1"/>
    <n v="0.6"/>
    <n v="0.1045"/>
    <x v="0"/>
    <n v="3"/>
    <n v="152"/>
    <n v="155"/>
    <s v="High"/>
    <s v="Normal"/>
    <s v="Normal"/>
    <s v="Normal"/>
  </r>
  <r>
    <x v="776"/>
    <x v="34"/>
    <b v="0"/>
    <x v="6"/>
    <n v="0.2424"/>
    <n v="2011"/>
    <x v="1"/>
    <x v="19"/>
    <x v="1"/>
    <s v="Spring"/>
    <x v="1"/>
    <n v="0.65"/>
    <n v="0.1343"/>
    <x v="0"/>
    <n v="1"/>
    <n v="102"/>
    <n v="103"/>
    <s v="High"/>
    <s v="Normal"/>
    <s v="Normal"/>
    <s v="Normal"/>
  </r>
  <r>
    <x v="777"/>
    <x v="34"/>
    <b v="0"/>
    <x v="6"/>
    <n v="0.2424"/>
    <n v="2011"/>
    <x v="1"/>
    <x v="20"/>
    <x v="1"/>
    <s v="Spring"/>
    <x v="1"/>
    <n v="0.65"/>
    <n v="0.16420000000000001"/>
    <x v="0"/>
    <n v="2"/>
    <n v="69"/>
    <n v="71"/>
    <s v="High"/>
    <s v="Normal"/>
    <s v="Normal"/>
    <s v="Normal"/>
  </r>
  <r>
    <x v="778"/>
    <x v="34"/>
    <b v="0"/>
    <x v="6"/>
    <n v="0.2424"/>
    <n v="2011"/>
    <x v="1"/>
    <x v="21"/>
    <x v="1"/>
    <s v="Spring"/>
    <x v="1"/>
    <n v="0.7"/>
    <n v="0.16420000000000001"/>
    <x v="0"/>
    <n v="2"/>
    <n v="41"/>
    <n v="43"/>
    <s v="High"/>
    <s v="Normal"/>
    <s v="Normal"/>
    <s v="Normal"/>
  </r>
  <r>
    <x v="779"/>
    <x v="34"/>
    <b v="0"/>
    <x v="6"/>
    <n v="0.2424"/>
    <n v="2011"/>
    <x v="1"/>
    <x v="22"/>
    <x v="1"/>
    <s v="Spring"/>
    <x v="1"/>
    <n v="0.65"/>
    <n v="0.16420000000000001"/>
    <x v="0"/>
    <n v="1"/>
    <n v="45"/>
    <n v="46"/>
    <s v="High"/>
    <s v="Normal"/>
    <s v="Normal"/>
    <s v="Normal"/>
  </r>
  <r>
    <x v="780"/>
    <x v="34"/>
    <b v="0"/>
    <x v="6"/>
    <n v="0.2424"/>
    <n v="2011"/>
    <x v="1"/>
    <x v="23"/>
    <x v="1"/>
    <s v="Spring"/>
    <x v="1"/>
    <n v="0.7"/>
    <n v="0.1343"/>
    <x v="0"/>
    <n v="1"/>
    <n v="30"/>
    <n v="31"/>
    <s v="High"/>
    <s v="Normal"/>
    <s v="Normal"/>
    <s v="Normal"/>
  </r>
  <r>
    <x v="781"/>
    <x v="35"/>
    <b v="0"/>
    <x v="0"/>
    <n v="0.2424"/>
    <n v="2011"/>
    <x v="1"/>
    <x v="0"/>
    <x v="0"/>
    <s v="Spring"/>
    <x v="1"/>
    <n v="0.7"/>
    <n v="0.16420000000000001"/>
    <x v="0"/>
    <n v="3"/>
    <n v="36"/>
    <n v="39"/>
    <s v="High"/>
    <s v="Normal"/>
    <s v="Normal"/>
    <s v="Normal"/>
  </r>
  <r>
    <x v="782"/>
    <x v="35"/>
    <b v="0"/>
    <x v="0"/>
    <n v="0.2424"/>
    <n v="2011"/>
    <x v="1"/>
    <x v="1"/>
    <x v="0"/>
    <s v="Spring"/>
    <x v="1"/>
    <n v="0.65"/>
    <n v="0.16420000000000001"/>
    <x v="0"/>
    <n v="1"/>
    <n v="17"/>
    <n v="18"/>
    <s v="High"/>
    <s v="Normal"/>
    <s v="Normal"/>
    <s v="Normal"/>
  </r>
  <r>
    <x v="783"/>
    <x v="35"/>
    <b v="0"/>
    <x v="0"/>
    <n v="0.2424"/>
    <n v="2011"/>
    <x v="1"/>
    <x v="2"/>
    <x v="0"/>
    <s v="Spring"/>
    <x v="1"/>
    <n v="0.75"/>
    <n v="0.16420000000000001"/>
    <x v="0"/>
    <n v="5"/>
    <n v="12"/>
    <n v="17"/>
    <s v="High"/>
    <s v="Normal"/>
    <s v="Normal"/>
    <s v="Normal"/>
  </r>
  <r>
    <x v="784"/>
    <x v="35"/>
    <b v="0"/>
    <x v="0"/>
    <n v="0.2424"/>
    <n v="2011"/>
    <x v="1"/>
    <x v="3"/>
    <x v="0"/>
    <s v="Spring"/>
    <x v="1"/>
    <n v="0.75"/>
    <n v="0.16420000000000001"/>
    <x v="0"/>
    <n v="1"/>
    <n v="10"/>
    <n v="11"/>
    <s v="High"/>
    <s v="Normal"/>
    <s v="Normal"/>
    <s v="Normal"/>
  </r>
  <r>
    <x v="785"/>
    <x v="35"/>
    <b v="0"/>
    <x v="0"/>
    <n v="0.2273"/>
    <n v="2011"/>
    <x v="1"/>
    <x v="4"/>
    <x v="0"/>
    <s v="Spring"/>
    <x v="2"/>
    <n v="0.93"/>
    <n v="0.1343"/>
    <x v="1"/>
    <n v="0"/>
    <n v="8"/>
    <n v="8"/>
    <s v="High"/>
    <s v="Normal"/>
    <s v="Normal"/>
    <s v="Normal"/>
  </r>
  <r>
    <x v="786"/>
    <x v="35"/>
    <b v="0"/>
    <x v="0"/>
    <n v="0.2273"/>
    <n v="2011"/>
    <x v="1"/>
    <x v="5"/>
    <x v="0"/>
    <s v="Spring"/>
    <x v="2"/>
    <n v="1"/>
    <n v="8.9599999999999999E-2"/>
    <x v="2"/>
    <n v="0"/>
    <n v="9"/>
    <n v="9"/>
    <s v="High"/>
    <s v="Normal"/>
    <s v="Normal"/>
    <s v="Normal"/>
  </r>
  <r>
    <x v="787"/>
    <x v="35"/>
    <b v="0"/>
    <x v="0"/>
    <n v="0.2576"/>
    <n v="2011"/>
    <x v="1"/>
    <x v="6"/>
    <x v="0"/>
    <s v="Spring"/>
    <x v="2"/>
    <n v="1"/>
    <n v="0.23"/>
    <x v="2"/>
    <n v="0"/>
    <n v="4"/>
    <n v="4"/>
    <s v="High"/>
    <s v="Normal"/>
    <s v="Normal"/>
    <s v="Normal"/>
  </r>
  <r>
    <x v="788"/>
    <x v="35"/>
    <b v="0"/>
    <x v="0"/>
    <n v="0.2576"/>
    <n v="2011"/>
    <x v="1"/>
    <x v="7"/>
    <x v="0"/>
    <s v="Spring"/>
    <x v="2"/>
    <n v="0.93"/>
    <n v="8.9599999999999999E-2"/>
    <x v="1"/>
    <n v="0"/>
    <n v="4"/>
    <n v="4"/>
    <s v="High"/>
    <s v="Normal"/>
    <s v="Normal"/>
    <s v="Normal"/>
  </r>
  <r>
    <x v="789"/>
    <x v="35"/>
    <b v="0"/>
    <x v="0"/>
    <n v="0.2273"/>
    <n v="2011"/>
    <x v="1"/>
    <x v="8"/>
    <x v="0"/>
    <s v="Spring"/>
    <x v="2"/>
    <n v="1"/>
    <n v="8.9599999999999999E-2"/>
    <x v="2"/>
    <n v="0"/>
    <n v="10"/>
    <n v="10"/>
    <s v="High"/>
    <s v="Normal"/>
    <s v="Normal"/>
    <s v="Normal"/>
  </r>
  <r>
    <x v="790"/>
    <x v="35"/>
    <b v="0"/>
    <x v="0"/>
    <n v="0.2273"/>
    <n v="2011"/>
    <x v="1"/>
    <x v="9"/>
    <x v="0"/>
    <s v="Spring"/>
    <x v="2"/>
    <n v="1"/>
    <n v="8.9599999999999999E-2"/>
    <x v="2"/>
    <n v="3"/>
    <n v="17"/>
    <n v="20"/>
    <s v="High"/>
    <s v="Normal"/>
    <s v="Normal"/>
    <s v="Normal"/>
  </r>
  <r>
    <x v="791"/>
    <x v="35"/>
    <b v="0"/>
    <x v="0"/>
    <n v="0.21210000000000001"/>
    <n v="2011"/>
    <x v="1"/>
    <x v="10"/>
    <x v="0"/>
    <s v="Spring"/>
    <x v="2"/>
    <n v="1"/>
    <n v="0.1343"/>
    <x v="2"/>
    <n v="3"/>
    <n v="31"/>
    <n v="34"/>
    <s v="High"/>
    <s v="Normal"/>
    <s v="Normal"/>
    <s v="Normal"/>
  </r>
  <r>
    <x v="792"/>
    <x v="35"/>
    <b v="0"/>
    <x v="0"/>
    <n v="0.2273"/>
    <n v="2011"/>
    <x v="1"/>
    <x v="11"/>
    <x v="0"/>
    <s v="Spring"/>
    <x v="2"/>
    <n v="1"/>
    <n v="0.1343"/>
    <x v="1"/>
    <n v="1"/>
    <n v="46"/>
    <n v="47"/>
    <s v="High"/>
    <s v="Normal"/>
    <s v="Normal"/>
    <s v="Normal"/>
  </r>
  <r>
    <x v="793"/>
    <x v="35"/>
    <b v="0"/>
    <x v="0"/>
    <n v="0.2273"/>
    <n v="2011"/>
    <x v="1"/>
    <x v="12"/>
    <x v="0"/>
    <s v="Spring"/>
    <x v="2"/>
    <n v="1"/>
    <n v="0.16420000000000001"/>
    <x v="1"/>
    <n v="10"/>
    <n v="42"/>
    <n v="52"/>
    <s v="High"/>
    <s v="Normal"/>
    <s v="Normal"/>
    <s v="Normal"/>
  </r>
  <r>
    <x v="794"/>
    <x v="35"/>
    <b v="0"/>
    <x v="0"/>
    <n v="0.2273"/>
    <n v="2011"/>
    <x v="1"/>
    <x v="13"/>
    <x v="0"/>
    <s v="Spring"/>
    <x v="2"/>
    <n v="1"/>
    <n v="0.16420000000000001"/>
    <x v="1"/>
    <n v="10"/>
    <n v="62"/>
    <n v="72"/>
    <s v="High"/>
    <s v="Normal"/>
    <s v="Normal"/>
    <s v="Normal"/>
  </r>
  <r>
    <x v="795"/>
    <x v="35"/>
    <b v="0"/>
    <x v="0"/>
    <n v="0.2727"/>
    <n v="2011"/>
    <x v="1"/>
    <x v="14"/>
    <x v="0"/>
    <s v="Spring"/>
    <x v="2"/>
    <n v="1"/>
    <n v="0.23"/>
    <x v="1"/>
    <n v="5"/>
    <n v="50"/>
    <n v="55"/>
    <s v="High"/>
    <s v="Normal"/>
    <s v="Normal"/>
    <s v="Normal"/>
  </r>
  <r>
    <x v="796"/>
    <x v="35"/>
    <b v="0"/>
    <x v="0"/>
    <n v="0.2727"/>
    <n v="2011"/>
    <x v="1"/>
    <x v="15"/>
    <x v="0"/>
    <s v="Spring"/>
    <x v="2"/>
    <n v="1"/>
    <n v="0.23"/>
    <x v="1"/>
    <n v="11"/>
    <n v="49"/>
    <n v="60"/>
    <s v="High"/>
    <s v="Normal"/>
    <s v="Normal"/>
    <s v="Normal"/>
  </r>
  <r>
    <x v="797"/>
    <x v="35"/>
    <b v="0"/>
    <x v="0"/>
    <n v="0.2273"/>
    <n v="2011"/>
    <x v="1"/>
    <x v="16"/>
    <x v="0"/>
    <s v="Spring"/>
    <x v="2"/>
    <n v="1"/>
    <n v="0.1343"/>
    <x v="1"/>
    <n v="8"/>
    <n v="63"/>
    <n v="71"/>
    <s v="High"/>
    <s v="Normal"/>
    <s v="Normal"/>
    <s v="Normal"/>
  </r>
  <r>
    <x v="798"/>
    <x v="35"/>
    <b v="0"/>
    <x v="0"/>
    <n v="0.21210000000000001"/>
    <n v="2011"/>
    <x v="1"/>
    <x v="17"/>
    <x v="0"/>
    <s v="Spring"/>
    <x v="1"/>
    <n v="1"/>
    <n v="0.28360000000000002"/>
    <x v="0"/>
    <n v="14"/>
    <n v="64"/>
    <n v="78"/>
    <s v="High"/>
    <s v="Normal"/>
    <s v="Normal"/>
    <s v="Normal"/>
  </r>
  <r>
    <x v="799"/>
    <x v="35"/>
    <b v="0"/>
    <x v="0"/>
    <n v="0.2424"/>
    <n v="2011"/>
    <x v="1"/>
    <x v="18"/>
    <x v="0"/>
    <s v="Spring"/>
    <x v="1"/>
    <n v="0.93"/>
    <n v="0.44779999999999998"/>
    <x v="17"/>
    <n v="2"/>
    <n v="81"/>
    <n v="83"/>
    <s v="High"/>
    <s v="Normal"/>
    <s v="Normal"/>
    <s v="Normal"/>
  </r>
  <r>
    <x v="800"/>
    <x v="35"/>
    <b v="0"/>
    <x v="0"/>
    <n v="0.2424"/>
    <n v="2011"/>
    <x v="1"/>
    <x v="19"/>
    <x v="0"/>
    <s v="Spring"/>
    <x v="1"/>
    <n v="0.93"/>
    <n v="0.44779999999999998"/>
    <x v="17"/>
    <n v="6"/>
    <n v="78"/>
    <n v="84"/>
    <s v="High"/>
    <s v="Normal"/>
    <s v="Normal"/>
    <s v="Normal"/>
  </r>
  <r>
    <x v="801"/>
    <x v="35"/>
    <b v="0"/>
    <x v="0"/>
    <n v="0.28789999999999999"/>
    <n v="2011"/>
    <x v="1"/>
    <x v="20"/>
    <x v="0"/>
    <s v="Spring"/>
    <x v="0"/>
    <n v="0.87"/>
    <n v="0.25369999999999998"/>
    <x v="11"/>
    <n v="5"/>
    <n v="64"/>
    <n v="69"/>
    <s v="High"/>
    <s v="Normal"/>
    <s v="Normal"/>
    <s v="Normal"/>
  </r>
  <r>
    <x v="802"/>
    <x v="35"/>
    <b v="0"/>
    <x v="0"/>
    <n v="0.2576"/>
    <n v="2011"/>
    <x v="1"/>
    <x v="21"/>
    <x v="0"/>
    <s v="Spring"/>
    <x v="0"/>
    <n v="1"/>
    <n v="0.19400000000000001"/>
    <x v="12"/>
    <n v="3"/>
    <n v="53"/>
    <n v="56"/>
    <s v="High"/>
    <s v="Normal"/>
    <s v="Normal"/>
    <s v="Normal"/>
  </r>
  <r>
    <x v="803"/>
    <x v="35"/>
    <b v="0"/>
    <x v="0"/>
    <n v="0.2727"/>
    <n v="2011"/>
    <x v="1"/>
    <x v="22"/>
    <x v="0"/>
    <s v="Spring"/>
    <x v="0"/>
    <n v="0.93"/>
    <n v="0.1343"/>
    <x v="12"/>
    <n v="2"/>
    <n v="43"/>
    <n v="45"/>
    <s v="High"/>
    <s v="Normal"/>
    <s v="Normal"/>
    <s v="Normal"/>
  </r>
  <r>
    <x v="804"/>
    <x v="35"/>
    <b v="0"/>
    <x v="0"/>
    <n v="0.2576"/>
    <n v="2011"/>
    <x v="1"/>
    <x v="23"/>
    <x v="0"/>
    <s v="Spring"/>
    <x v="0"/>
    <n v="0.93"/>
    <n v="0.22389999999999999"/>
    <x v="12"/>
    <n v="7"/>
    <n v="52"/>
    <n v="59"/>
    <s v="High"/>
    <s v="Normal"/>
    <s v="Normal"/>
    <s v="Normal"/>
  </r>
  <r>
    <x v="805"/>
    <x v="36"/>
    <b v="0"/>
    <x v="1"/>
    <n v="0.2576"/>
    <n v="2011"/>
    <x v="1"/>
    <x v="0"/>
    <x v="0"/>
    <s v="Spring"/>
    <x v="0"/>
    <n v="0.7"/>
    <n v="0.19400000000000001"/>
    <x v="12"/>
    <n v="2"/>
    <n v="37"/>
    <n v="39"/>
    <s v="High"/>
    <s v="Normal"/>
    <s v="Normal"/>
    <s v="Normal"/>
  </r>
  <r>
    <x v="806"/>
    <x v="36"/>
    <b v="0"/>
    <x v="1"/>
    <n v="0.2273"/>
    <n v="2011"/>
    <x v="1"/>
    <x v="1"/>
    <x v="0"/>
    <s v="Spring"/>
    <x v="0"/>
    <n v="0.65"/>
    <n v="0.41789999999999999"/>
    <x v="12"/>
    <n v="4"/>
    <n v="40"/>
    <n v="44"/>
    <s v="High"/>
    <s v="Normal"/>
    <s v="Normal"/>
    <s v="Normal"/>
  </r>
  <r>
    <x v="807"/>
    <x v="36"/>
    <b v="0"/>
    <x v="1"/>
    <n v="0.2273"/>
    <n v="2011"/>
    <x v="1"/>
    <x v="2"/>
    <x v="0"/>
    <s v="Spring"/>
    <x v="0"/>
    <n v="0.6"/>
    <n v="0.32840000000000003"/>
    <x v="12"/>
    <n v="0"/>
    <n v="20"/>
    <n v="20"/>
    <s v="High"/>
    <s v="Normal"/>
    <s v="Normal"/>
    <s v="Normal"/>
  </r>
  <r>
    <x v="808"/>
    <x v="36"/>
    <b v="0"/>
    <x v="1"/>
    <n v="0.28789999999999999"/>
    <n v="2011"/>
    <x v="1"/>
    <x v="3"/>
    <x v="0"/>
    <s v="Spring"/>
    <x v="0"/>
    <n v="0.6"/>
    <n v="8.9599999999999999E-2"/>
    <x v="12"/>
    <n v="3"/>
    <n v="10"/>
    <n v="13"/>
    <s v="High"/>
    <s v="Normal"/>
    <s v="Normal"/>
    <s v="Normal"/>
  </r>
  <r>
    <x v="809"/>
    <x v="36"/>
    <b v="0"/>
    <x v="1"/>
    <n v="0.2273"/>
    <n v="2011"/>
    <x v="1"/>
    <x v="4"/>
    <x v="0"/>
    <s v="Spring"/>
    <x v="0"/>
    <n v="0.6"/>
    <n v="0.35820000000000002"/>
    <x v="12"/>
    <n v="0"/>
    <n v="2"/>
    <n v="2"/>
    <s v="High"/>
    <s v="Normal"/>
    <s v="Normal"/>
    <s v="Normal"/>
  </r>
  <r>
    <x v="810"/>
    <x v="36"/>
    <b v="0"/>
    <x v="1"/>
    <n v="0.2576"/>
    <n v="2011"/>
    <x v="1"/>
    <x v="5"/>
    <x v="0"/>
    <s v="Spring"/>
    <x v="0"/>
    <n v="0.6"/>
    <n v="0.22389999999999999"/>
    <x v="12"/>
    <n v="0"/>
    <n v="1"/>
    <n v="1"/>
    <s v="High"/>
    <s v="Normal"/>
    <s v="Normal"/>
    <s v="Normal"/>
  </r>
  <r>
    <x v="811"/>
    <x v="36"/>
    <b v="0"/>
    <x v="1"/>
    <n v="0.2576"/>
    <n v="2011"/>
    <x v="1"/>
    <x v="6"/>
    <x v="0"/>
    <s v="Spring"/>
    <x v="0"/>
    <n v="0.6"/>
    <n v="0.22389999999999999"/>
    <x v="12"/>
    <n v="0"/>
    <n v="1"/>
    <n v="1"/>
    <s v="High"/>
    <s v="Normal"/>
    <s v="Normal"/>
    <s v="Normal"/>
  </r>
  <r>
    <x v="812"/>
    <x v="36"/>
    <b v="0"/>
    <x v="1"/>
    <n v="0.2424"/>
    <n v="2011"/>
    <x v="1"/>
    <x v="7"/>
    <x v="0"/>
    <s v="Spring"/>
    <x v="0"/>
    <n v="0.65"/>
    <n v="0.16420000000000001"/>
    <x v="0"/>
    <n v="0"/>
    <n v="8"/>
    <n v="8"/>
    <s v="High"/>
    <s v="Normal"/>
    <s v="Normal"/>
    <s v="Normal"/>
  </r>
  <r>
    <x v="813"/>
    <x v="36"/>
    <b v="0"/>
    <x v="1"/>
    <n v="0.2576"/>
    <n v="2011"/>
    <x v="1"/>
    <x v="8"/>
    <x v="0"/>
    <s v="Spring"/>
    <x v="0"/>
    <n v="0.65"/>
    <n v="0.1045"/>
    <x v="0"/>
    <n v="2"/>
    <n v="21"/>
    <n v="23"/>
    <s v="High"/>
    <s v="Normal"/>
    <s v="Normal"/>
    <s v="Normal"/>
  </r>
  <r>
    <x v="814"/>
    <x v="36"/>
    <b v="0"/>
    <x v="1"/>
    <n v="0.28789999999999999"/>
    <n v="2011"/>
    <x v="1"/>
    <x v="9"/>
    <x v="0"/>
    <s v="Spring"/>
    <x v="0"/>
    <n v="0.56000000000000005"/>
    <n v="0.1045"/>
    <x v="17"/>
    <n v="7"/>
    <n v="38"/>
    <n v="45"/>
    <s v="High"/>
    <s v="Normal"/>
    <s v="Normal"/>
    <s v="Normal"/>
  </r>
  <r>
    <x v="815"/>
    <x v="36"/>
    <b v="0"/>
    <x v="1"/>
    <n v="0.28789999999999999"/>
    <n v="2011"/>
    <x v="1"/>
    <x v="10"/>
    <x v="0"/>
    <s v="Spring"/>
    <x v="0"/>
    <n v="0.52"/>
    <n v="0.25369999999999998"/>
    <x v="11"/>
    <n v="15"/>
    <n v="74"/>
    <n v="89"/>
    <s v="High"/>
    <s v="Normal"/>
    <s v="Normal"/>
    <s v="Normal"/>
  </r>
  <r>
    <x v="816"/>
    <x v="36"/>
    <b v="0"/>
    <x v="1"/>
    <n v="0.30299999999999999"/>
    <n v="2011"/>
    <x v="1"/>
    <x v="11"/>
    <x v="0"/>
    <s v="Spring"/>
    <x v="0"/>
    <n v="0.49"/>
    <n v="0.25369999999999998"/>
    <x v="3"/>
    <n v="28"/>
    <n v="89"/>
    <n v="117"/>
    <s v="High"/>
    <s v="Normal"/>
    <s v="Normal"/>
    <s v="Normal"/>
  </r>
  <r>
    <x v="817"/>
    <x v="36"/>
    <b v="0"/>
    <x v="1"/>
    <n v="0.33329999999999999"/>
    <n v="2011"/>
    <x v="1"/>
    <x v="12"/>
    <x v="0"/>
    <s v="Spring"/>
    <x v="0"/>
    <n v="0.46"/>
    <n v="0.23"/>
    <x v="10"/>
    <n v="48"/>
    <n v="126"/>
    <n v="174"/>
    <s v="High"/>
    <s v="Normal"/>
    <s v="Normal"/>
    <s v="Normal"/>
  </r>
  <r>
    <x v="818"/>
    <x v="36"/>
    <b v="0"/>
    <x v="1"/>
    <n v="0.36359999999999998"/>
    <n v="2011"/>
    <x v="1"/>
    <x v="13"/>
    <x v="0"/>
    <s v="Spring"/>
    <x v="0"/>
    <n v="0.46"/>
    <n v="0.23"/>
    <x v="10"/>
    <n v="47"/>
    <n v="135"/>
    <n v="182"/>
    <s v="High"/>
    <s v="Normal"/>
    <s v="Normal"/>
    <s v="Normal"/>
  </r>
  <r>
    <x v="819"/>
    <x v="36"/>
    <b v="0"/>
    <x v="1"/>
    <n v="0.34849999999999998"/>
    <n v="2011"/>
    <x v="1"/>
    <x v="14"/>
    <x v="0"/>
    <s v="Spring"/>
    <x v="0"/>
    <n v="0.46"/>
    <n v="8.9599999999999999E-2"/>
    <x v="10"/>
    <n v="47"/>
    <n v="114"/>
    <n v="161"/>
    <s v="High"/>
    <s v="Normal"/>
    <s v="Normal"/>
    <s v="Normal"/>
  </r>
  <r>
    <x v="820"/>
    <x v="36"/>
    <b v="0"/>
    <x v="1"/>
    <n v="0.34849999999999998"/>
    <n v="2011"/>
    <x v="1"/>
    <x v="15"/>
    <x v="0"/>
    <s v="Spring"/>
    <x v="0"/>
    <n v="0.46"/>
    <n v="8.9599999999999999E-2"/>
    <x v="10"/>
    <n v="52"/>
    <n v="130"/>
    <n v="182"/>
    <s v="High"/>
    <s v="Normal"/>
    <s v="Normal"/>
    <s v="Normal"/>
  </r>
  <r>
    <x v="821"/>
    <x v="36"/>
    <b v="0"/>
    <x v="1"/>
    <n v="0.34849999999999998"/>
    <n v="2011"/>
    <x v="1"/>
    <x v="16"/>
    <x v="0"/>
    <s v="Spring"/>
    <x v="0"/>
    <n v="0.49"/>
    <n v="0.1045"/>
    <x v="10"/>
    <n v="42"/>
    <n v="115"/>
    <n v="157"/>
    <s v="High"/>
    <s v="Normal"/>
    <s v="Normal"/>
    <s v="Normal"/>
  </r>
  <r>
    <x v="822"/>
    <x v="36"/>
    <b v="0"/>
    <x v="1"/>
    <n v="0.36359999999999998"/>
    <n v="2011"/>
    <x v="1"/>
    <x v="17"/>
    <x v="0"/>
    <s v="Spring"/>
    <x v="0"/>
    <n v="0.46"/>
    <n v="0.23"/>
    <x v="10"/>
    <n v="24"/>
    <n v="97"/>
    <n v="121"/>
    <s v="High"/>
    <s v="Normal"/>
    <s v="Normal"/>
    <s v="Normal"/>
  </r>
  <r>
    <x v="823"/>
    <x v="36"/>
    <b v="0"/>
    <x v="1"/>
    <n v="0.30299999999999999"/>
    <n v="2011"/>
    <x v="1"/>
    <x v="18"/>
    <x v="0"/>
    <s v="Spring"/>
    <x v="0"/>
    <n v="0.56000000000000005"/>
    <n v="0.16420000000000001"/>
    <x v="11"/>
    <n v="13"/>
    <n v="65"/>
    <n v="78"/>
    <s v="High"/>
    <s v="Normal"/>
    <s v="Normal"/>
    <s v="Normal"/>
  </r>
  <r>
    <x v="824"/>
    <x v="36"/>
    <b v="0"/>
    <x v="1"/>
    <n v="0.28789999999999999"/>
    <n v="2011"/>
    <x v="1"/>
    <x v="19"/>
    <x v="0"/>
    <s v="Spring"/>
    <x v="0"/>
    <n v="0.61"/>
    <n v="0.1343"/>
    <x v="17"/>
    <n v="1"/>
    <n v="20"/>
    <n v="21"/>
    <s v="High"/>
    <s v="Normal"/>
    <s v="Normal"/>
    <s v="Normal"/>
  </r>
  <r>
    <x v="825"/>
    <x v="36"/>
    <b v="0"/>
    <x v="1"/>
    <n v="0.28789999999999999"/>
    <n v="2011"/>
    <x v="1"/>
    <x v="20"/>
    <x v="0"/>
    <s v="Spring"/>
    <x v="0"/>
    <n v="0.61"/>
    <n v="0.1045"/>
    <x v="17"/>
    <n v="5"/>
    <n v="21"/>
    <n v="26"/>
    <s v="High"/>
    <s v="Normal"/>
    <s v="Normal"/>
    <s v="Normal"/>
  </r>
  <r>
    <x v="826"/>
    <x v="36"/>
    <b v="0"/>
    <x v="1"/>
    <n v="0.30299999999999999"/>
    <n v="2011"/>
    <x v="1"/>
    <x v="21"/>
    <x v="0"/>
    <s v="Spring"/>
    <x v="0"/>
    <n v="0.6"/>
    <n v="0.23"/>
    <x v="12"/>
    <n v="5"/>
    <n v="22"/>
    <n v="27"/>
    <s v="High"/>
    <s v="Normal"/>
    <s v="Normal"/>
    <s v="Normal"/>
  </r>
  <r>
    <x v="827"/>
    <x v="36"/>
    <b v="0"/>
    <x v="1"/>
    <n v="0.30299999999999999"/>
    <n v="2011"/>
    <x v="1"/>
    <x v="22"/>
    <x v="0"/>
    <s v="Spring"/>
    <x v="0"/>
    <n v="0.6"/>
    <n v="0.23"/>
    <x v="12"/>
    <n v="5"/>
    <n v="57"/>
    <n v="62"/>
    <s v="High"/>
    <s v="Normal"/>
    <s v="Normal"/>
    <s v="Normal"/>
  </r>
  <r>
    <x v="828"/>
    <x v="36"/>
    <b v="0"/>
    <x v="1"/>
    <n v="0.28789999999999999"/>
    <n v="2011"/>
    <x v="1"/>
    <x v="23"/>
    <x v="0"/>
    <s v="Spring"/>
    <x v="0"/>
    <n v="0.65"/>
    <n v="0.23"/>
    <x v="0"/>
    <n v="4"/>
    <n v="26"/>
    <n v="30"/>
    <s v="High"/>
    <s v="Normal"/>
    <s v="Normal"/>
    <s v="Normal"/>
  </r>
  <r>
    <x v="829"/>
    <x v="37"/>
    <b v="0"/>
    <x v="2"/>
    <n v="0.28789999999999999"/>
    <n v="2011"/>
    <x v="1"/>
    <x v="0"/>
    <x v="1"/>
    <s v="Spring"/>
    <x v="0"/>
    <n v="0.65"/>
    <n v="0.23"/>
    <x v="0"/>
    <n v="1"/>
    <n v="14"/>
    <n v="15"/>
    <s v="High"/>
    <s v="Normal"/>
    <s v="Normal"/>
    <s v="Normal"/>
  </r>
  <r>
    <x v="830"/>
    <x v="37"/>
    <b v="0"/>
    <x v="2"/>
    <n v="0.2727"/>
    <n v="2011"/>
    <x v="1"/>
    <x v="1"/>
    <x v="1"/>
    <s v="Spring"/>
    <x v="0"/>
    <n v="0.75"/>
    <n v="0.23"/>
    <x v="1"/>
    <n v="1"/>
    <n v="4"/>
    <n v="5"/>
    <s v="High"/>
    <s v="Normal"/>
    <s v="Normal"/>
    <s v="Normal"/>
  </r>
  <r>
    <x v="831"/>
    <x v="37"/>
    <b v="0"/>
    <x v="2"/>
    <n v="0.2576"/>
    <n v="2011"/>
    <x v="1"/>
    <x v="2"/>
    <x v="1"/>
    <s v="Spring"/>
    <x v="0"/>
    <n v="0.8"/>
    <n v="0.23"/>
    <x v="2"/>
    <n v="0"/>
    <n v="3"/>
    <n v="3"/>
    <s v="High"/>
    <s v="Normal"/>
    <s v="Normal"/>
    <s v="Normal"/>
  </r>
  <r>
    <x v="832"/>
    <x v="37"/>
    <b v="0"/>
    <x v="2"/>
    <n v="0.2576"/>
    <n v="2011"/>
    <x v="1"/>
    <x v="3"/>
    <x v="1"/>
    <s v="Spring"/>
    <x v="0"/>
    <n v="0.86"/>
    <n v="0.23"/>
    <x v="2"/>
    <n v="0"/>
    <n v="1"/>
    <n v="1"/>
    <s v="High"/>
    <s v="Normal"/>
    <s v="Normal"/>
    <s v="Normal"/>
  </r>
  <r>
    <x v="833"/>
    <x v="37"/>
    <b v="0"/>
    <x v="2"/>
    <n v="0.2576"/>
    <n v="2011"/>
    <x v="1"/>
    <x v="4"/>
    <x v="1"/>
    <s v="Spring"/>
    <x v="0"/>
    <n v="0.86"/>
    <n v="0.23"/>
    <x v="2"/>
    <n v="1"/>
    <n v="1"/>
    <n v="2"/>
    <s v="High"/>
    <s v="Normal"/>
    <s v="Normal"/>
    <s v="Normal"/>
  </r>
  <r>
    <x v="834"/>
    <x v="37"/>
    <b v="0"/>
    <x v="2"/>
    <n v="0.2576"/>
    <n v="2011"/>
    <x v="1"/>
    <x v="5"/>
    <x v="1"/>
    <s v="Spring"/>
    <x v="0"/>
    <n v="0.86"/>
    <n v="0.23"/>
    <x v="2"/>
    <n v="1"/>
    <n v="9"/>
    <n v="10"/>
    <s v="High"/>
    <s v="Normal"/>
    <s v="Normal"/>
    <s v="Normal"/>
  </r>
  <r>
    <x v="835"/>
    <x v="37"/>
    <b v="0"/>
    <x v="2"/>
    <n v="0.2424"/>
    <n v="2011"/>
    <x v="1"/>
    <x v="6"/>
    <x v="1"/>
    <s v="Spring"/>
    <x v="0"/>
    <n v="0.93"/>
    <n v="0.23"/>
    <x v="15"/>
    <n v="1"/>
    <n v="29"/>
    <n v="30"/>
    <s v="High"/>
    <s v="Normal"/>
    <s v="Normal"/>
    <s v="Normal"/>
  </r>
  <r>
    <x v="836"/>
    <x v="37"/>
    <b v="0"/>
    <x v="2"/>
    <n v="0.2424"/>
    <n v="2011"/>
    <x v="1"/>
    <x v="7"/>
    <x v="1"/>
    <s v="Spring"/>
    <x v="0"/>
    <n v="0.86"/>
    <n v="0.23"/>
    <x v="15"/>
    <n v="6"/>
    <n v="89"/>
    <n v="95"/>
    <s v="High"/>
    <s v="Normal"/>
    <s v="Normal"/>
    <s v="Normal"/>
  </r>
  <r>
    <x v="837"/>
    <x v="37"/>
    <b v="0"/>
    <x v="2"/>
    <n v="0.2273"/>
    <n v="2011"/>
    <x v="1"/>
    <x v="8"/>
    <x v="1"/>
    <s v="Spring"/>
    <x v="1"/>
    <n v="1"/>
    <n v="0.23"/>
    <x v="13"/>
    <n v="7"/>
    <n v="223"/>
    <n v="230"/>
    <s v="High"/>
    <s v="Outlier"/>
    <s v="Normal"/>
    <s v="Normal"/>
  </r>
  <r>
    <x v="838"/>
    <x v="37"/>
    <b v="0"/>
    <x v="2"/>
    <n v="0.2727"/>
    <n v="2011"/>
    <x v="1"/>
    <x v="9"/>
    <x v="1"/>
    <s v="Spring"/>
    <x v="0"/>
    <n v="0.8"/>
    <n v="0.23"/>
    <x v="1"/>
    <n v="3"/>
    <n v="115"/>
    <n v="118"/>
    <s v="High"/>
    <s v="Normal"/>
    <s v="Normal"/>
    <s v="Normal"/>
  </r>
  <r>
    <x v="839"/>
    <x v="37"/>
    <b v="0"/>
    <x v="2"/>
    <n v="0.2576"/>
    <n v="2011"/>
    <x v="1"/>
    <x v="10"/>
    <x v="1"/>
    <s v="Spring"/>
    <x v="0"/>
    <n v="0.75"/>
    <n v="0.1045"/>
    <x v="0"/>
    <n v="6"/>
    <n v="49"/>
    <n v="55"/>
    <s v="High"/>
    <s v="Normal"/>
    <s v="Normal"/>
    <s v="Normal"/>
  </r>
  <r>
    <x v="840"/>
    <x v="37"/>
    <b v="0"/>
    <x v="2"/>
    <n v="0.31819999999999998"/>
    <n v="2011"/>
    <x v="1"/>
    <x v="11"/>
    <x v="1"/>
    <s v="Spring"/>
    <x v="0"/>
    <n v="0.65"/>
    <n v="8.9599999999999999E-2"/>
    <x v="11"/>
    <n v="11"/>
    <n v="36"/>
    <n v="47"/>
    <s v="High"/>
    <s v="Normal"/>
    <s v="Normal"/>
    <s v="Normal"/>
  </r>
  <r>
    <x v="841"/>
    <x v="37"/>
    <b v="0"/>
    <x v="2"/>
    <n v="0.34849999999999998"/>
    <n v="2011"/>
    <x v="1"/>
    <x v="12"/>
    <x v="1"/>
    <s v="Spring"/>
    <x v="1"/>
    <n v="0.62"/>
    <n v="0.23"/>
    <x v="3"/>
    <n v="7"/>
    <n v="59"/>
    <n v="66"/>
    <s v="High"/>
    <s v="Normal"/>
    <s v="Normal"/>
    <s v="Normal"/>
  </r>
  <r>
    <x v="842"/>
    <x v="37"/>
    <b v="0"/>
    <x v="2"/>
    <n v="0.36359999999999998"/>
    <n v="2011"/>
    <x v="1"/>
    <x v="13"/>
    <x v="1"/>
    <s v="Spring"/>
    <x v="1"/>
    <n v="0.56999999999999995"/>
    <n v="8.9599999999999999E-2"/>
    <x v="5"/>
    <n v="10"/>
    <n v="54"/>
    <n v="64"/>
    <s v="High"/>
    <s v="Normal"/>
    <s v="Normal"/>
    <s v="Normal"/>
  </r>
  <r>
    <x v="843"/>
    <x v="37"/>
    <b v="0"/>
    <x v="2"/>
    <n v="0.36359999999999998"/>
    <n v="2011"/>
    <x v="1"/>
    <x v="14"/>
    <x v="1"/>
    <s v="Spring"/>
    <x v="1"/>
    <n v="0.56999999999999995"/>
    <n v="8.9599999999999999E-2"/>
    <x v="5"/>
    <n v="8"/>
    <n v="52"/>
    <n v="60"/>
    <s v="High"/>
    <s v="Normal"/>
    <s v="Normal"/>
    <s v="Normal"/>
  </r>
  <r>
    <x v="844"/>
    <x v="37"/>
    <b v="0"/>
    <x v="2"/>
    <n v="0.39389999999999997"/>
    <n v="2011"/>
    <x v="1"/>
    <x v="15"/>
    <x v="1"/>
    <s v="Spring"/>
    <x v="1"/>
    <n v="0.54"/>
    <n v="8.9599999999999999E-2"/>
    <x v="4"/>
    <n v="4"/>
    <n v="46"/>
    <n v="50"/>
    <s v="High"/>
    <s v="Normal"/>
    <s v="Normal"/>
    <s v="Normal"/>
  </r>
  <r>
    <x v="845"/>
    <x v="37"/>
    <b v="0"/>
    <x v="2"/>
    <n v="0.34849999999999998"/>
    <n v="2011"/>
    <x v="1"/>
    <x v="16"/>
    <x v="1"/>
    <s v="Spring"/>
    <x v="1"/>
    <n v="0.56999999999999995"/>
    <n v="0.1343"/>
    <x v="5"/>
    <n v="16"/>
    <n v="98"/>
    <n v="114"/>
    <s v="High"/>
    <s v="Normal"/>
    <s v="Normal"/>
    <s v="Normal"/>
  </r>
  <r>
    <x v="846"/>
    <x v="37"/>
    <b v="0"/>
    <x v="2"/>
    <n v="0.31819999999999998"/>
    <n v="2011"/>
    <x v="1"/>
    <x v="17"/>
    <x v="1"/>
    <s v="Spring"/>
    <x v="1"/>
    <n v="0.7"/>
    <n v="0.16420000000000001"/>
    <x v="3"/>
    <n v="9"/>
    <n v="207"/>
    <n v="216"/>
    <s v="High"/>
    <s v="Outlier"/>
    <s v="Normal"/>
    <s v="Normal"/>
  </r>
  <r>
    <x v="847"/>
    <x v="37"/>
    <b v="0"/>
    <x v="2"/>
    <n v="0.33329999999999999"/>
    <n v="2011"/>
    <x v="1"/>
    <x v="18"/>
    <x v="1"/>
    <s v="Spring"/>
    <x v="1"/>
    <n v="0.66"/>
    <n v="0.1343"/>
    <x v="10"/>
    <n v="5"/>
    <n v="170"/>
    <n v="175"/>
    <s v="High"/>
    <s v="Normal"/>
    <s v="Normal"/>
    <s v="Normal"/>
  </r>
  <r>
    <x v="848"/>
    <x v="37"/>
    <b v="0"/>
    <x v="2"/>
    <n v="0.34849999999999998"/>
    <n v="2011"/>
    <x v="1"/>
    <x v="19"/>
    <x v="1"/>
    <s v="Spring"/>
    <x v="1"/>
    <n v="0.7"/>
    <n v="0.23"/>
    <x v="3"/>
    <n v="5"/>
    <n v="123"/>
    <n v="128"/>
    <s v="High"/>
    <s v="Normal"/>
    <s v="Normal"/>
    <s v="Normal"/>
  </r>
  <r>
    <x v="849"/>
    <x v="37"/>
    <b v="0"/>
    <x v="2"/>
    <n v="0.33329999999999999"/>
    <n v="2011"/>
    <x v="1"/>
    <x v="20"/>
    <x v="1"/>
    <s v="Spring"/>
    <x v="1"/>
    <n v="0.7"/>
    <n v="0.1045"/>
    <x v="3"/>
    <n v="6"/>
    <n v="82"/>
    <n v="88"/>
    <s v="High"/>
    <s v="Normal"/>
    <s v="Normal"/>
    <s v="Normal"/>
  </r>
  <r>
    <x v="850"/>
    <x v="37"/>
    <b v="0"/>
    <x v="2"/>
    <n v="0.34849999999999998"/>
    <n v="2011"/>
    <x v="1"/>
    <x v="21"/>
    <x v="1"/>
    <s v="Spring"/>
    <x v="0"/>
    <n v="0.7"/>
    <n v="0.23"/>
    <x v="3"/>
    <n v="3"/>
    <n v="75"/>
    <n v="78"/>
    <s v="High"/>
    <s v="Normal"/>
    <s v="Normal"/>
    <s v="Normal"/>
  </r>
  <r>
    <x v="851"/>
    <x v="37"/>
    <b v="0"/>
    <x v="2"/>
    <n v="0.30299999999999999"/>
    <n v="2011"/>
    <x v="1"/>
    <x v="22"/>
    <x v="1"/>
    <s v="Spring"/>
    <x v="0"/>
    <n v="0.81"/>
    <n v="8.9599999999999999E-2"/>
    <x v="17"/>
    <n v="3"/>
    <n v="34"/>
    <n v="37"/>
    <s v="High"/>
    <s v="Normal"/>
    <s v="Normal"/>
    <s v="Normal"/>
  </r>
  <r>
    <x v="852"/>
    <x v="37"/>
    <b v="0"/>
    <x v="2"/>
    <n v="0.33329999999999999"/>
    <n v="2011"/>
    <x v="1"/>
    <x v="23"/>
    <x v="1"/>
    <s v="Spring"/>
    <x v="1"/>
    <n v="0.81"/>
    <n v="0.23"/>
    <x v="11"/>
    <n v="6"/>
    <n v="19"/>
    <n v="25"/>
    <s v="High"/>
    <s v="Normal"/>
    <s v="Normal"/>
    <s v="Normal"/>
  </r>
  <r>
    <x v="853"/>
    <x v="38"/>
    <b v="0"/>
    <x v="3"/>
    <n v="0.31819999999999998"/>
    <n v="2011"/>
    <x v="1"/>
    <x v="0"/>
    <x v="1"/>
    <s v="Spring"/>
    <x v="1"/>
    <n v="0.87"/>
    <n v="0.23"/>
    <x v="17"/>
    <n v="4"/>
    <n v="6"/>
    <n v="10"/>
    <s v="High"/>
    <s v="Normal"/>
    <s v="Normal"/>
    <s v="Normal"/>
  </r>
  <r>
    <x v="854"/>
    <x v="38"/>
    <b v="0"/>
    <x v="3"/>
    <n v="0.31819999999999998"/>
    <n v="2011"/>
    <x v="1"/>
    <x v="1"/>
    <x v="1"/>
    <s v="Spring"/>
    <x v="1"/>
    <n v="0.87"/>
    <n v="0.23"/>
    <x v="17"/>
    <n v="0"/>
    <n v="4"/>
    <n v="4"/>
    <s v="High"/>
    <s v="Normal"/>
    <s v="Normal"/>
    <s v="Normal"/>
  </r>
  <r>
    <x v="855"/>
    <x v="38"/>
    <b v="0"/>
    <x v="3"/>
    <n v="0.2727"/>
    <n v="2011"/>
    <x v="1"/>
    <x v="2"/>
    <x v="1"/>
    <s v="Spring"/>
    <x v="1"/>
    <n v="0.93"/>
    <n v="0.1045"/>
    <x v="12"/>
    <n v="1"/>
    <n v="1"/>
    <n v="2"/>
    <s v="High"/>
    <s v="Normal"/>
    <s v="Normal"/>
    <s v="Normal"/>
  </r>
  <r>
    <x v="856"/>
    <x v="38"/>
    <b v="0"/>
    <x v="3"/>
    <n v="0.2727"/>
    <n v="2011"/>
    <x v="1"/>
    <x v="3"/>
    <x v="1"/>
    <s v="Spring"/>
    <x v="2"/>
    <n v="0.93"/>
    <n v="0.16420000000000001"/>
    <x v="17"/>
    <n v="0"/>
    <n v="1"/>
    <n v="1"/>
    <s v="High"/>
    <s v="Normal"/>
    <s v="Normal"/>
    <s v="Normal"/>
  </r>
  <r>
    <x v="857"/>
    <x v="38"/>
    <b v="0"/>
    <x v="3"/>
    <n v="0.2576"/>
    <n v="2011"/>
    <x v="1"/>
    <x v="4"/>
    <x v="1"/>
    <s v="Spring"/>
    <x v="0"/>
    <n v="0.93"/>
    <n v="0.16420000000000001"/>
    <x v="12"/>
    <n v="0"/>
    <n v="3"/>
    <n v="3"/>
    <s v="High"/>
    <s v="Normal"/>
    <s v="Normal"/>
    <s v="Normal"/>
  </r>
  <r>
    <x v="858"/>
    <x v="38"/>
    <b v="0"/>
    <x v="3"/>
    <n v="0.2273"/>
    <n v="2011"/>
    <x v="1"/>
    <x v="5"/>
    <x v="1"/>
    <s v="Spring"/>
    <x v="0"/>
    <n v="0.81"/>
    <n v="0.32840000000000003"/>
    <x v="12"/>
    <n v="0"/>
    <n v="2"/>
    <n v="2"/>
    <s v="High"/>
    <s v="Normal"/>
    <s v="Normal"/>
    <s v="Normal"/>
  </r>
  <r>
    <x v="859"/>
    <x v="38"/>
    <b v="0"/>
    <x v="3"/>
    <n v="0.2273"/>
    <n v="2011"/>
    <x v="1"/>
    <x v="6"/>
    <x v="1"/>
    <s v="Spring"/>
    <x v="0"/>
    <n v="0.7"/>
    <n v="0.32840000000000003"/>
    <x v="12"/>
    <n v="0"/>
    <n v="39"/>
    <n v="39"/>
    <s v="High"/>
    <s v="Normal"/>
    <s v="Normal"/>
    <s v="Normal"/>
  </r>
  <r>
    <x v="860"/>
    <x v="38"/>
    <b v="0"/>
    <x v="3"/>
    <n v="0.19700000000000001"/>
    <n v="2011"/>
    <x v="1"/>
    <x v="7"/>
    <x v="1"/>
    <s v="Spring"/>
    <x v="0"/>
    <n v="0.65"/>
    <n v="0.41789999999999999"/>
    <x v="0"/>
    <n v="3"/>
    <n v="97"/>
    <n v="100"/>
    <s v="High"/>
    <s v="Normal"/>
    <s v="Normal"/>
    <s v="Normal"/>
  </r>
  <r>
    <x v="861"/>
    <x v="38"/>
    <b v="0"/>
    <x v="3"/>
    <n v="0.19700000000000001"/>
    <n v="2011"/>
    <x v="1"/>
    <x v="8"/>
    <x v="1"/>
    <s v="Spring"/>
    <x v="0"/>
    <n v="0.56000000000000005"/>
    <n v="0.49249999999999999"/>
    <x v="0"/>
    <n v="7"/>
    <n v="236"/>
    <n v="243"/>
    <s v="High"/>
    <s v="Outlier"/>
    <s v="Normal"/>
    <s v="Normal"/>
  </r>
  <r>
    <x v="862"/>
    <x v="38"/>
    <b v="0"/>
    <x v="3"/>
    <n v="0.19700000000000001"/>
    <n v="2011"/>
    <x v="1"/>
    <x v="9"/>
    <x v="1"/>
    <s v="Spring"/>
    <x v="0"/>
    <n v="0.52"/>
    <n v="0.49249999999999999"/>
    <x v="0"/>
    <n v="7"/>
    <n v="128"/>
    <n v="135"/>
    <s v="High"/>
    <s v="Normal"/>
    <s v="Normal"/>
    <s v="Normal"/>
  </r>
  <r>
    <x v="863"/>
    <x v="38"/>
    <b v="0"/>
    <x v="3"/>
    <n v="0.18179999999999999"/>
    <n v="2011"/>
    <x v="1"/>
    <x v="10"/>
    <x v="1"/>
    <s v="Spring"/>
    <x v="0"/>
    <n v="0.47"/>
    <n v="0.55220000000000002"/>
    <x v="1"/>
    <n v="4"/>
    <n v="44"/>
    <n v="48"/>
    <s v="High"/>
    <s v="Normal"/>
    <s v="Normal"/>
    <s v="Outlier"/>
  </r>
  <r>
    <x v="864"/>
    <x v="38"/>
    <b v="0"/>
    <x v="3"/>
    <n v="0.18179999999999999"/>
    <n v="2011"/>
    <x v="1"/>
    <x v="11"/>
    <x v="1"/>
    <s v="Spring"/>
    <x v="0"/>
    <n v="0.47"/>
    <n v="0.4627"/>
    <x v="1"/>
    <n v="1"/>
    <n v="49"/>
    <n v="50"/>
    <s v="High"/>
    <s v="Normal"/>
    <s v="Normal"/>
    <s v="Normal"/>
  </r>
  <r>
    <x v="865"/>
    <x v="38"/>
    <b v="0"/>
    <x v="3"/>
    <n v="0.19700000000000001"/>
    <n v="2011"/>
    <x v="1"/>
    <x v="12"/>
    <x v="1"/>
    <s v="Spring"/>
    <x v="0"/>
    <n v="0.38"/>
    <n v="0.49249999999999999"/>
    <x v="0"/>
    <n v="2"/>
    <n v="63"/>
    <n v="65"/>
    <s v="High"/>
    <s v="Normal"/>
    <s v="Normal"/>
    <s v="Normal"/>
  </r>
  <r>
    <x v="866"/>
    <x v="38"/>
    <b v="0"/>
    <x v="3"/>
    <n v="0.19700000000000001"/>
    <n v="2011"/>
    <x v="1"/>
    <x v="13"/>
    <x v="1"/>
    <s v="Spring"/>
    <x v="1"/>
    <n v="0.32"/>
    <n v="0.44779999999999998"/>
    <x v="0"/>
    <n v="2"/>
    <n v="48"/>
    <n v="50"/>
    <s v="High"/>
    <s v="Normal"/>
    <s v="Normal"/>
    <s v="Normal"/>
  </r>
  <r>
    <x v="867"/>
    <x v="38"/>
    <b v="0"/>
    <x v="3"/>
    <n v="0.19700000000000001"/>
    <n v="2011"/>
    <x v="1"/>
    <x v="14"/>
    <x v="1"/>
    <s v="Spring"/>
    <x v="0"/>
    <n v="0.37"/>
    <n v="0.41789999999999999"/>
    <x v="1"/>
    <n v="3"/>
    <n v="61"/>
    <n v="64"/>
    <s v="High"/>
    <s v="Normal"/>
    <s v="Normal"/>
    <s v="Normal"/>
  </r>
  <r>
    <x v="868"/>
    <x v="38"/>
    <b v="0"/>
    <x v="3"/>
    <n v="0.19700000000000001"/>
    <n v="2011"/>
    <x v="1"/>
    <x v="15"/>
    <x v="1"/>
    <s v="Spring"/>
    <x v="0"/>
    <n v="0.35"/>
    <n v="0.3881"/>
    <x v="1"/>
    <n v="6"/>
    <n v="45"/>
    <n v="51"/>
    <s v="High"/>
    <s v="Normal"/>
    <s v="Normal"/>
    <s v="Normal"/>
  </r>
  <r>
    <x v="869"/>
    <x v="38"/>
    <b v="0"/>
    <x v="3"/>
    <n v="0.18179999999999999"/>
    <n v="2011"/>
    <x v="1"/>
    <x v="16"/>
    <x v="1"/>
    <s v="Spring"/>
    <x v="0"/>
    <n v="0.35"/>
    <n v="0.52239999999999998"/>
    <x v="1"/>
    <n v="4"/>
    <n v="79"/>
    <n v="83"/>
    <s v="High"/>
    <s v="Normal"/>
    <s v="Normal"/>
    <s v="Outlier"/>
  </r>
  <r>
    <x v="870"/>
    <x v="38"/>
    <b v="0"/>
    <x v="3"/>
    <n v="0.18179999999999999"/>
    <n v="2011"/>
    <x v="1"/>
    <x v="17"/>
    <x v="1"/>
    <s v="Spring"/>
    <x v="0"/>
    <n v="0.32"/>
    <n v="0.58209999999999995"/>
    <x v="1"/>
    <n v="4"/>
    <n v="172"/>
    <n v="176"/>
    <s v="High"/>
    <s v="Normal"/>
    <s v="Normal"/>
    <s v="Outlier"/>
  </r>
  <r>
    <x v="871"/>
    <x v="38"/>
    <b v="0"/>
    <x v="3"/>
    <n v="0.18179999999999999"/>
    <n v="2011"/>
    <x v="1"/>
    <x v="18"/>
    <x v="1"/>
    <s v="Spring"/>
    <x v="0"/>
    <n v="0.32"/>
    <n v="0.3881"/>
    <x v="2"/>
    <n v="1"/>
    <n v="151"/>
    <n v="152"/>
    <s v="High"/>
    <s v="Normal"/>
    <s v="Normal"/>
    <s v="Normal"/>
  </r>
  <r>
    <x v="872"/>
    <x v="38"/>
    <b v="0"/>
    <x v="3"/>
    <n v="0.1212"/>
    <n v="2011"/>
    <x v="1"/>
    <x v="19"/>
    <x v="1"/>
    <s v="Spring"/>
    <x v="0"/>
    <n v="0.4"/>
    <n v="0.4627"/>
    <x v="13"/>
    <n v="1"/>
    <n v="100"/>
    <n v="101"/>
    <s v="High"/>
    <s v="Normal"/>
    <s v="Normal"/>
    <s v="Normal"/>
  </r>
  <r>
    <x v="873"/>
    <x v="38"/>
    <b v="0"/>
    <x v="3"/>
    <n v="0.13639999999999999"/>
    <n v="2011"/>
    <x v="1"/>
    <x v="20"/>
    <x v="1"/>
    <s v="Spring"/>
    <x v="0"/>
    <n v="0.4"/>
    <n v="0.32840000000000003"/>
    <x v="13"/>
    <n v="3"/>
    <n v="53"/>
    <n v="56"/>
    <s v="High"/>
    <s v="Normal"/>
    <s v="Normal"/>
    <s v="Normal"/>
  </r>
  <r>
    <x v="874"/>
    <x v="38"/>
    <b v="0"/>
    <x v="3"/>
    <n v="0.1061"/>
    <n v="2011"/>
    <x v="1"/>
    <x v="21"/>
    <x v="1"/>
    <s v="Spring"/>
    <x v="0"/>
    <n v="0.33"/>
    <n v="0.4627"/>
    <x v="14"/>
    <n v="8"/>
    <n v="46"/>
    <n v="54"/>
    <s v="High"/>
    <s v="Normal"/>
    <s v="Normal"/>
    <s v="Normal"/>
  </r>
  <r>
    <x v="875"/>
    <x v="38"/>
    <b v="0"/>
    <x v="3"/>
    <n v="0.1061"/>
    <n v="2011"/>
    <x v="1"/>
    <x v="22"/>
    <x v="1"/>
    <s v="Spring"/>
    <x v="0"/>
    <n v="0.33"/>
    <n v="0.35820000000000002"/>
    <x v="16"/>
    <n v="0"/>
    <n v="29"/>
    <n v="29"/>
    <s v="High"/>
    <s v="Normal"/>
    <s v="Normal"/>
    <s v="Normal"/>
  </r>
  <r>
    <x v="876"/>
    <x v="38"/>
    <b v="0"/>
    <x v="3"/>
    <n v="0.1061"/>
    <n v="2011"/>
    <x v="1"/>
    <x v="23"/>
    <x v="1"/>
    <s v="Spring"/>
    <x v="0"/>
    <n v="0.33"/>
    <n v="0.32840000000000003"/>
    <x v="16"/>
    <n v="3"/>
    <n v="9"/>
    <n v="12"/>
    <s v="High"/>
    <s v="Normal"/>
    <s v="Normal"/>
    <s v="Normal"/>
  </r>
  <r>
    <x v="877"/>
    <x v="39"/>
    <b v="0"/>
    <x v="4"/>
    <n v="7.5800000000000006E-2"/>
    <n v="2011"/>
    <x v="1"/>
    <x v="0"/>
    <x v="1"/>
    <s v="Spring"/>
    <x v="0"/>
    <n v="0.36"/>
    <n v="0.35820000000000002"/>
    <x v="18"/>
    <n v="0"/>
    <n v="17"/>
    <n v="17"/>
    <s v="High"/>
    <s v="Normal"/>
    <s v="Normal"/>
    <s v="Normal"/>
  </r>
  <r>
    <x v="878"/>
    <x v="39"/>
    <b v="0"/>
    <x v="4"/>
    <n v="0.1061"/>
    <n v="2011"/>
    <x v="1"/>
    <x v="1"/>
    <x v="1"/>
    <s v="Spring"/>
    <x v="0"/>
    <n v="0.36"/>
    <n v="0.22389999999999999"/>
    <x v="18"/>
    <n v="0"/>
    <n v="7"/>
    <n v="7"/>
    <s v="High"/>
    <s v="Normal"/>
    <s v="Normal"/>
    <s v="Normal"/>
  </r>
  <r>
    <x v="879"/>
    <x v="39"/>
    <b v="0"/>
    <x v="4"/>
    <n v="7.5800000000000006E-2"/>
    <n v="2011"/>
    <x v="1"/>
    <x v="2"/>
    <x v="1"/>
    <s v="Spring"/>
    <x v="0"/>
    <n v="0.38"/>
    <n v="0.28360000000000002"/>
    <x v="19"/>
    <n v="1"/>
    <n v="2"/>
    <n v="3"/>
    <s v="High"/>
    <s v="Normal"/>
    <s v="Normal"/>
    <s v="Normal"/>
  </r>
  <r>
    <x v="880"/>
    <x v="39"/>
    <b v="0"/>
    <x v="4"/>
    <n v="7.5800000000000006E-2"/>
    <n v="2011"/>
    <x v="1"/>
    <x v="3"/>
    <x v="1"/>
    <s v="Spring"/>
    <x v="0"/>
    <n v="0.45"/>
    <n v="0.1343"/>
    <x v="20"/>
    <n v="0"/>
    <n v="2"/>
    <n v="2"/>
    <s v="High"/>
    <s v="Normal"/>
    <s v="Normal"/>
    <s v="Normal"/>
  </r>
  <r>
    <x v="881"/>
    <x v="39"/>
    <b v="0"/>
    <x v="4"/>
    <n v="0.1061"/>
    <n v="2011"/>
    <x v="1"/>
    <x v="5"/>
    <x v="1"/>
    <s v="Spring"/>
    <x v="0"/>
    <n v="0.45"/>
    <n v="0.1045"/>
    <x v="20"/>
    <n v="0"/>
    <n v="7"/>
    <n v="7"/>
    <s v="High"/>
    <s v="Normal"/>
    <s v="Normal"/>
    <s v="Normal"/>
  </r>
  <r>
    <x v="882"/>
    <x v="39"/>
    <b v="0"/>
    <x v="4"/>
    <n v="0.1515"/>
    <n v="2011"/>
    <x v="1"/>
    <x v="6"/>
    <x v="1"/>
    <s v="Spring"/>
    <x v="0"/>
    <n v="0.45"/>
    <n v="0.23"/>
    <x v="20"/>
    <n v="0"/>
    <n v="43"/>
    <n v="43"/>
    <s v="High"/>
    <s v="Normal"/>
    <s v="Normal"/>
    <s v="Normal"/>
  </r>
  <r>
    <x v="883"/>
    <x v="39"/>
    <b v="0"/>
    <x v="4"/>
    <n v="0.1061"/>
    <n v="2011"/>
    <x v="1"/>
    <x v="7"/>
    <x v="1"/>
    <s v="Spring"/>
    <x v="0"/>
    <n v="0.49"/>
    <n v="0.1045"/>
    <x v="20"/>
    <n v="4"/>
    <n v="95"/>
    <n v="99"/>
    <s v="High"/>
    <s v="Normal"/>
    <s v="Normal"/>
    <s v="Normal"/>
  </r>
  <r>
    <x v="884"/>
    <x v="39"/>
    <b v="0"/>
    <x v="4"/>
    <n v="0.13639999999999999"/>
    <n v="2011"/>
    <x v="1"/>
    <x v="8"/>
    <x v="1"/>
    <s v="Spring"/>
    <x v="0"/>
    <n v="0.42"/>
    <n v="0.23"/>
    <x v="18"/>
    <n v="1"/>
    <n v="198"/>
    <n v="199"/>
    <s v="High"/>
    <s v="Outlier"/>
    <s v="Normal"/>
    <s v="Normal"/>
  </r>
  <r>
    <x v="885"/>
    <x v="39"/>
    <b v="0"/>
    <x v="4"/>
    <n v="0.13639999999999999"/>
    <n v="2011"/>
    <x v="1"/>
    <x v="9"/>
    <x v="1"/>
    <s v="Spring"/>
    <x v="0"/>
    <n v="0.39"/>
    <n v="0.16420000000000001"/>
    <x v="16"/>
    <n v="4"/>
    <n v="119"/>
    <n v="123"/>
    <s v="High"/>
    <s v="Normal"/>
    <s v="Normal"/>
    <s v="Normal"/>
  </r>
  <r>
    <x v="886"/>
    <x v="39"/>
    <b v="0"/>
    <x v="4"/>
    <n v="0.18179999999999999"/>
    <n v="2011"/>
    <x v="1"/>
    <x v="10"/>
    <x v="1"/>
    <s v="Spring"/>
    <x v="0"/>
    <n v="0.36"/>
    <n v="0.23"/>
    <x v="14"/>
    <n v="8"/>
    <n v="51"/>
    <n v="59"/>
    <s v="High"/>
    <s v="Normal"/>
    <s v="Normal"/>
    <s v="Normal"/>
  </r>
  <r>
    <x v="887"/>
    <x v="39"/>
    <b v="0"/>
    <x v="4"/>
    <n v="0.1515"/>
    <n v="2011"/>
    <x v="1"/>
    <x v="11"/>
    <x v="1"/>
    <s v="Spring"/>
    <x v="1"/>
    <n v="0.43"/>
    <n v="0.16420000000000001"/>
    <x v="14"/>
    <n v="1"/>
    <n v="40"/>
    <n v="41"/>
    <s v="High"/>
    <s v="Normal"/>
    <s v="Normal"/>
    <s v="Normal"/>
  </r>
  <r>
    <x v="888"/>
    <x v="39"/>
    <b v="0"/>
    <x v="4"/>
    <n v="0.18179999999999999"/>
    <n v="2011"/>
    <x v="1"/>
    <x v="12"/>
    <x v="1"/>
    <s v="Spring"/>
    <x v="1"/>
    <n v="0.4"/>
    <n v="0.22389999999999999"/>
    <x v="15"/>
    <n v="4"/>
    <n v="57"/>
    <n v="61"/>
    <s v="High"/>
    <s v="Normal"/>
    <s v="Normal"/>
    <s v="Normal"/>
  </r>
  <r>
    <x v="889"/>
    <x v="39"/>
    <b v="0"/>
    <x v="4"/>
    <n v="0.16669999999999999"/>
    <n v="2011"/>
    <x v="1"/>
    <x v="13"/>
    <x v="1"/>
    <s v="Spring"/>
    <x v="0"/>
    <n v="0.4"/>
    <n v="0.25369999999999998"/>
    <x v="15"/>
    <n v="2"/>
    <n v="67"/>
    <n v="69"/>
    <s v="High"/>
    <s v="Normal"/>
    <s v="Normal"/>
    <s v="Normal"/>
  </r>
  <r>
    <x v="890"/>
    <x v="39"/>
    <b v="0"/>
    <x v="4"/>
    <n v="0.18179999999999999"/>
    <n v="2011"/>
    <x v="1"/>
    <x v="14"/>
    <x v="1"/>
    <s v="Spring"/>
    <x v="0"/>
    <n v="0.34"/>
    <n v="0.29849999999999999"/>
    <x v="2"/>
    <n v="2"/>
    <n v="56"/>
    <n v="58"/>
    <s v="High"/>
    <s v="Normal"/>
    <s v="Normal"/>
    <s v="Normal"/>
  </r>
  <r>
    <x v="891"/>
    <x v="39"/>
    <b v="0"/>
    <x v="4"/>
    <n v="0.18179999999999999"/>
    <n v="2011"/>
    <x v="1"/>
    <x v="15"/>
    <x v="1"/>
    <s v="Spring"/>
    <x v="1"/>
    <n v="0.34"/>
    <n v="0.28360000000000002"/>
    <x v="2"/>
    <n v="3"/>
    <n v="61"/>
    <n v="64"/>
    <s v="High"/>
    <s v="Normal"/>
    <s v="Normal"/>
    <s v="Normal"/>
  </r>
  <r>
    <x v="892"/>
    <x v="39"/>
    <b v="0"/>
    <x v="4"/>
    <n v="0.19700000000000001"/>
    <n v="2011"/>
    <x v="1"/>
    <x v="16"/>
    <x v="1"/>
    <s v="Spring"/>
    <x v="1"/>
    <n v="0.37"/>
    <n v="0.25369999999999998"/>
    <x v="2"/>
    <n v="7"/>
    <n v="72"/>
    <n v="79"/>
    <s v="High"/>
    <s v="Normal"/>
    <s v="Normal"/>
    <s v="Normal"/>
  </r>
  <r>
    <x v="893"/>
    <x v="39"/>
    <b v="0"/>
    <x v="4"/>
    <n v="0.19700000000000001"/>
    <n v="2011"/>
    <x v="1"/>
    <x v="17"/>
    <x v="1"/>
    <s v="Spring"/>
    <x v="1"/>
    <n v="0.34"/>
    <n v="0.25369999999999998"/>
    <x v="2"/>
    <n v="9"/>
    <n v="157"/>
    <n v="166"/>
    <s v="High"/>
    <s v="Normal"/>
    <s v="Normal"/>
    <s v="Normal"/>
  </r>
  <r>
    <x v="894"/>
    <x v="39"/>
    <b v="0"/>
    <x v="4"/>
    <n v="0.16669999999999999"/>
    <n v="2011"/>
    <x v="1"/>
    <x v="18"/>
    <x v="1"/>
    <s v="Spring"/>
    <x v="1"/>
    <n v="0.47"/>
    <n v="0.29849999999999999"/>
    <x v="15"/>
    <n v="2"/>
    <n v="168"/>
    <n v="170"/>
    <s v="High"/>
    <s v="Normal"/>
    <s v="Normal"/>
    <s v="Normal"/>
  </r>
  <r>
    <x v="895"/>
    <x v="39"/>
    <b v="0"/>
    <x v="4"/>
    <n v="0.1212"/>
    <n v="2011"/>
    <x v="1"/>
    <x v="19"/>
    <x v="1"/>
    <s v="Spring"/>
    <x v="2"/>
    <n v="0.86"/>
    <n v="0.25369999999999998"/>
    <x v="14"/>
    <n v="1"/>
    <n v="87"/>
    <n v="88"/>
    <s v="High"/>
    <s v="Normal"/>
    <s v="Normal"/>
    <s v="Normal"/>
  </r>
  <r>
    <x v="896"/>
    <x v="39"/>
    <b v="0"/>
    <x v="4"/>
    <n v="0.1515"/>
    <n v="2011"/>
    <x v="1"/>
    <x v="20"/>
    <x v="1"/>
    <s v="Spring"/>
    <x v="2"/>
    <n v="0.86"/>
    <n v="0.16420000000000001"/>
    <x v="14"/>
    <n v="0"/>
    <n v="84"/>
    <n v="84"/>
    <s v="High"/>
    <s v="Normal"/>
    <s v="Normal"/>
    <s v="Normal"/>
  </r>
  <r>
    <x v="897"/>
    <x v="39"/>
    <b v="0"/>
    <x v="4"/>
    <n v="0.1515"/>
    <n v="2011"/>
    <x v="1"/>
    <x v="21"/>
    <x v="1"/>
    <s v="Spring"/>
    <x v="1"/>
    <n v="0.86"/>
    <n v="0.16420000000000001"/>
    <x v="14"/>
    <n v="0"/>
    <n v="83"/>
    <n v="83"/>
    <s v="High"/>
    <s v="Normal"/>
    <s v="Normal"/>
    <s v="Normal"/>
  </r>
  <r>
    <x v="898"/>
    <x v="39"/>
    <b v="0"/>
    <x v="4"/>
    <n v="0.16669999999999999"/>
    <n v="2011"/>
    <x v="1"/>
    <x v="22"/>
    <x v="1"/>
    <s v="Spring"/>
    <x v="2"/>
    <n v="0.8"/>
    <n v="0.16420000000000001"/>
    <x v="13"/>
    <n v="4"/>
    <n v="42"/>
    <n v="46"/>
    <s v="High"/>
    <s v="Normal"/>
    <s v="Normal"/>
    <s v="Normal"/>
  </r>
  <r>
    <x v="899"/>
    <x v="39"/>
    <b v="0"/>
    <x v="4"/>
    <n v="0.1515"/>
    <n v="2011"/>
    <x v="1"/>
    <x v="23"/>
    <x v="1"/>
    <s v="Spring"/>
    <x v="2"/>
    <n v="0.8"/>
    <n v="0.19400000000000001"/>
    <x v="13"/>
    <n v="0"/>
    <n v="37"/>
    <n v="37"/>
    <s v="High"/>
    <s v="Normal"/>
    <s v="Normal"/>
    <s v="Normal"/>
  </r>
  <r>
    <x v="900"/>
    <x v="40"/>
    <b v="0"/>
    <x v="5"/>
    <n v="0.13639999999999999"/>
    <n v="2011"/>
    <x v="1"/>
    <x v="0"/>
    <x v="1"/>
    <s v="Spring"/>
    <x v="2"/>
    <n v="0.86"/>
    <n v="0.19400000000000001"/>
    <x v="14"/>
    <n v="0"/>
    <n v="16"/>
    <n v="16"/>
    <s v="High"/>
    <s v="Normal"/>
    <s v="Normal"/>
    <s v="Normal"/>
  </r>
  <r>
    <x v="901"/>
    <x v="40"/>
    <b v="0"/>
    <x v="5"/>
    <n v="0.1515"/>
    <n v="2011"/>
    <x v="1"/>
    <x v="1"/>
    <x v="1"/>
    <s v="Spring"/>
    <x v="2"/>
    <n v="0.8"/>
    <n v="0.1343"/>
    <x v="14"/>
    <n v="0"/>
    <n v="7"/>
    <n v="7"/>
    <s v="High"/>
    <s v="Normal"/>
    <s v="Normal"/>
    <s v="Normal"/>
  </r>
  <r>
    <x v="902"/>
    <x v="40"/>
    <b v="0"/>
    <x v="5"/>
    <n v="0.1515"/>
    <n v="2011"/>
    <x v="1"/>
    <x v="2"/>
    <x v="1"/>
    <s v="Spring"/>
    <x v="2"/>
    <n v="0.8"/>
    <n v="0.1343"/>
    <x v="14"/>
    <n v="0"/>
    <n v="3"/>
    <n v="3"/>
    <s v="High"/>
    <s v="Normal"/>
    <s v="Normal"/>
    <s v="Normal"/>
  </r>
  <r>
    <x v="903"/>
    <x v="40"/>
    <b v="0"/>
    <x v="5"/>
    <n v="0.13639999999999999"/>
    <n v="2011"/>
    <x v="1"/>
    <x v="4"/>
    <x v="1"/>
    <s v="Spring"/>
    <x v="1"/>
    <n v="0.59"/>
    <n v="0.22389999999999999"/>
    <x v="14"/>
    <n v="0"/>
    <n v="1"/>
    <n v="1"/>
    <s v="High"/>
    <s v="Normal"/>
    <s v="Normal"/>
    <s v="Normal"/>
  </r>
  <r>
    <x v="904"/>
    <x v="40"/>
    <b v="0"/>
    <x v="5"/>
    <n v="0.1212"/>
    <n v="2011"/>
    <x v="1"/>
    <x v="5"/>
    <x v="1"/>
    <s v="Spring"/>
    <x v="1"/>
    <n v="0.5"/>
    <n v="0.22389999999999999"/>
    <x v="16"/>
    <n v="0"/>
    <n v="6"/>
    <n v="6"/>
    <s v="High"/>
    <s v="Normal"/>
    <s v="Normal"/>
    <s v="Normal"/>
  </r>
  <r>
    <x v="905"/>
    <x v="40"/>
    <b v="0"/>
    <x v="5"/>
    <n v="0.1212"/>
    <n v="2011"/>
    <x v="1"/>
    <x v="6"/>
    <x v="1"/>
    <s v="Spring"/>
    <x v="1"/>
    <n v="0.54"/>
    <n v="0.28360000000000002"/>
    <x v="16"/>
    <n v="0"/>
    <n v="26"/>
    <n v="26"/>
    <s v="High"/>
    <s v="Normal"/>
    <s v="Normal"/>
    <s v="Normal"/>
  </r>
  <r>
    <x v="906"/>
    <x v="40"/>
    <b v="0"/>
    <x v="5"/>
    <n v="7.5800000000000006E-2"/>
    <n v="2011"/>
    <x v="1"/>
    <x v="7"/>
    <x v="1"/>
    <s v="Spring"/>
    <x v="0"/>
    <n v="0.5"/>
    <n v="0.41789999999999999"/>
    <x v="18"/>
    <n v="0"/>
    <n v="99"/>
    <n v="99"/>
    <s v="High"/>
    <s v="Normal"/>
    <s v="Normal"/>
    <s v="Normal"/>
  </r>
  <r>
    <x v="907"/>
    <x v="40"/>
    <b v="0"/>
    <x v="5"/>
    <n v="7.5800000000000006E-2"/>
    <n v="2011"/>
    <x v="1"/>
    <x v="8"/>
    <x v="1"/>
    <s v="Spring"/>
    <x v="0"/>
    <n v="0.49"/>
    <n v="0.32840000000000003"/>
    <x v="18"/>
    <n v="5"/>
    <n v="173"/>
    <n v="178"/>
    <s v="High"/>
    <s v="Normal"/>
    <s v="Normal"/>
    <s v="Normal"/>
  </r>
  <r>
    <x v="908"/>
    <x v="40"/>
    <b v="0"/>
    <x v="5"/>
    <n v="0.1061"/>
    <n v="2011"/>
    <x v="1"/>
    <x v="9"/>
    <x v="1"/>
    <s v="Spring"/>
    <x v="0"/>
    <n v="0.42"/>
    <n v="0.35820000000000002"/>
    <x v="16"/>
    <n v="1"/>
    <n v="121"/>
    <n v="122"/>
    <s v="High"/>
    <s v="Normal"/>
    <s v="Normal"/>
    <s v="Normal"/>
  </r>
  <r>
    <x v="909"/>
    <x v="40"/>
    <b v="0"/>
    <x v="5"/>
    <n v="0.1061"/>
    <n v="2011"/>
    <x v="1"/>
    <x v="10"/>
    <x v="1"/>
    <s v="Spring"/>
    <x v="0"/>
    <n v="0.42"/>
    <n v="0.29849999999999999"/>
    <x v="16"/>
    <n v="1"/>
    <n v="34"/>
    <n v="35"/>
    <s v="High"/>
    <s v="Normal"/>
    <s v="Normal"/>
    <s v="Normal"/>
  </r>
  <r>
    <x v="910"/>
    <x v="40"/>
    <b v="0"/>
    <x v="5"/>
    <n v="0.1212"/>
    <n v="2011"/>
    <x v="1"/>
    <x v="11"/>
    <x v="1"/>
    <s v="Spring"/>
    <x v="0"/>
    <n v="0.39"/>
    <n v="0.35820000000000002"/>
    <x v="14"/>
    <n v="1"/>
    <n v="44"/>
    <n v="45"/>
    <s v="High"/>
    <s v="Normal"/>
    <s v="Normal"/>
    <s v="Normal"/>
  </r>
  <r>
    <x v="911"/>
    <x v="40"/>
    <b v="0"/>
    <x v="5"/>
    <n v="0.13639999999999999"/>
    <n v="2011"/>
    <x v="1"/>
    <x v="12"/>
    <x v="1"/>
    <s v="Spring"/>
    <x v="0"/>
    <n v="0.34"/>
    <n v="0.3881"/>
    <x v="13"/>
    <n v="4"/>
    <n v="65"/>
    <n v="69"/>
    <s v="High"/>
    <s v="Normal"/>
    <s v="Normal"/>
    <s v="Normal"/>
  </r>
  <r>
    <x v="912"/>
    <x v="40"/>
    <b v="0"/>
    <x v="5"/>
    <n v="0.16669999999999999"/>
    <n v="2011"/>
    <x v="1"/>
    <x v="13"/>
    <x v="1"/>
    <s v="Spring"/>
    <x v="0"/>
    <n v="0.28999999999999998"/>
    <n v="0.29849999999999999"/>
    <x v="15"/>
    <n v="3"/>
    <n v="59"/>
    <n v="62"/>
    <s v="High"/>
    <s v="Normal"/>
    <s v="Normal"/>
    <s v="Normal"/>
  </r>
  <r>
    <x v="913"/>
    <x v="40"/>
    <b v="0"/>
    <x v="5"/>
    <n v="0.18179999999999999"/>
    <n v="2011"/>
    <x v="1"/>
    <x v="14"/>
    <x v="1"/>
    <s v="Spring"/>
    <x v="0"/>
    <n v="0.27"/>
    <n v="0.28360000000000002"/>
    <x v="2"/>
    <n v="6"/>
    <n v="42"/>
    <n v="48"/>
    <s v="High"/>
    <s v="Normal"/>
    <s v="Normal"/>
    <s v="Normal"/>
  </r>
  <r>
    <x v="914"/>
    <x v="40"/>
    <b v="0"/>
    <x v="5"/>
    <n v="0.19700000000000001"/>
    <n v="2011"/>
    <x v="1"/>
    <x v="15"/>
    <x v="1"/>
    <s v="Spring"/>
    <x v="0"/>
    <n v="0.25"/>
    <n v="0.25369999999999998"/>
    <x v="2"/>
    <n v="0"/>
    <n v="50"/>
    <n v="50"/>
    <s v="High"/>
    <s v="Normal"/>
    <s v="Normal"/>
    <s v="Normal"/>
  </r>
  <r>
    <x v="915"/>
    <x v="40"/>
    <b v="0"/>
    <x v="5"/>
    <n v="0.18179999999999999"/>
    <n v="2011"/>
    <x v="1"/>
    <x v="16"/>
    <x v="1"/>
    <s v="Spring"/>
    <x v="0"/>
    <n v="0.27"/>
    <n v="0.29849999999999999"/>
    <x v="2"/>
    <n v="4"/>
    <n v="76"/>
    <n v="80"/>
    <s v="High"/>
    <s v="Normal"/>
    <s v="Normal"/>
    <s v="Normal"/>
  </r>
  <r>
    <x v="916"/>
    <x v="40"/>
    <b v="0"/>
    <x v="5"/>
    <n v="0.18179999999999999"/>
    <n v="2011"/>
    <x v="1"/>
    <x v="17"/>
    <x v="1"/>
    <s v="Spring"/>
    <x v="0"/>
    <n v="0.26"/>
    <n v="0.19400000000000001"/>
    <x v="15"/>
    <n v="6"/>
    <n v="159"/>
    <n v="165"/>
    <s v="High"/>
    <s v="Normal"/>
    <s v="Normal"/>
    <s v="Normal"/>
  </r>
  <r>
    <x v="917"/>
    <x v="40"/>
    <b v="0"/>
    <x v="5"/>
    <n v="0.18179999999999999"/>
    <n v="2011"/>
    <x v="1"/>
    <x v="18"/>
    <x v="1"/>
    <s v="Spring"/>
    <x v="0"/>
    <n v="0.28000000000000003"/>
    <n v="0.1343"/>
    <x v="13"/>
    <n v="3"/>
    <n v="157"/>
    <n v="160"/>
    <s v="High"/>
    <s v="Normal"/>
    <s v="Normal"/>
    <s v="Normal"/>
  </r>
  <r>
    <x v="918"/>
    <x v="40"/>
    <b v="0"/>
    <x v="5"/>
    <n v="0.16669999999999999"/>
    <n v="2011"/>
    <x v="1"/>
    <x v="19"/>
    <x v="1"/>
    <s v="Spring"/>
    <x v="0"/>
    <n v="0.28000000000000003"/>
    <n v="0.1045"/>
    <x v="14"/>
    <n v="2"/>
    <n v="110"/>
    <n v="112"/>
    <s v="High"/>
    <s v="Normal"/>
    <s v="Normal"/>
    <s v="Normal"/>
  </r>
  <r>
    <x v="919"/>
    <x v="40"/>
    <b v="0"/>
    <x v="5"/>
    <n v="0.18179999999999999"/>
    <n v="2011"/>
    <x v="1"/>
    <x v="20"/>
    <x v="1"/>
    <s v="Spring"/>
    <x v="0"/>
    <n v="0.31"/>
    <n v="8.9599999999999999E-2"/>
    <x v="14"/>
    <n v="4"/>
    <n v="93"/>
    <n v="97"/>
    <s v="High"/>
    <s v="Normal"/>
    <s v="Normal"/>
    <s v="Normal"/>
  </r>
  <r>
    <x v="920"/>
    <x v="40"/>
    <b v="0"/>
    <x v="5"/>
    <n v="0.21210000000000001"/>
    <n v="2011"/>
    <x v="1"/>
    <x v="21"/>
    <x v="1"/>
    <s v="Spring"/>
    <x v="0"/>
    <n v="0.39"/>
    <n v="0.23"/>
    <x v="14"/>
    <n v="2"/>
    <n v="70"/>
    <n v="72"/>
    <s v="High"/>
    <s v="Normal"/>
    <s v="Normal"/>
    <s v="Normal"/>
  </r>
  <r>
    <x v="921"/>
    <x v="40"/>
    <b v="0"/>
    <x v="5"/>
    <n v="0.19700000000000001"/>
    <n v="2011"/>
    <x v="1"/>
    <x v="22"/>
    <x v="1"/>
    <s v="Spring"/>
    <x v="0"/>
    <n v="0.39"/>
    <n v="0.23"/>
    <x v="16"/>
    <n v="4"/>
    <n v="47"/>
    <n v="51"/>
    <s v="High"/>
    <s v="Normal"/>
    <s v="Normal"/>
    <s v="Normal"/>
  </r>
  <r>
    <x v="922"/>
    <x v="40"/>
    <b v="0"/>
    <x v="5"/>
    <n v="0.1515"/>
    <n v="2011"/>
    <x v="1"/>
    <x v="23"/>
    <x v="1"/>
    <s v="Spring"/>
    <x v="0"/>
    <n v="0.42"/>
    <n v="0.1045"/>
    <x v="16"/>
    <n v="1"/>
    <n v="33"/>
    <n v="34"/>
    <s v="High"/>
    <s v="Normal"/>
    <s v="Normal"/>
    <s v="Normal"/>
  </r>
  <r>
    <x v="923"/>
    <x v="41"/>
    <b v="0"/>
    <x v="6"/>
    <n v="0.13639999999999999"/>
    <n v="2011"/>
    <x v="1"/>
    <x v="0"/>
    <x v="1"/>
    <s v="Spring"/>
    <x v="0"/>
    <n v="0.49"/>
    <n v="0.1045"/>
    <x v="18"/>
    <n v="2"/>
    <n v="12"/>
    <n v="14"/>
    <s v="High"/>
    <s v="Normal"/>
    <s v="Normal"/>
    <s v="Normal"/>
  </r>
  <r>
    <x v="924"/>
    <x v="41"/>
    <b v="0"/>
    <x v="6"/>
    <n v="0.13639999999999999"/>
    <n v="2011"/>
    <x v="1"/>
    <x v="1"/>
    <x v="1"/>
    <s v="Spring"/>
    <x v="0"/>
    <n v="0.54"/>
    <n v="8.9599999999999999E-2"/>
    <x v="18"/>
    <n v="1"/>
    <n v="6"/>
    <n v="7"/>
    <s v="High"/>
    <s v="Normal"/>
    <s v="Normal"/>
    <s v="Normal"/>
  </r>
  <r>
    <x v="925"/>
    <x v="41"/>
    <b v="0"/>
    <x v="6"/>
    <n v="0.13639999999999999"/>
    <n v="2011"/>
    <x v="1"/>
    <x v="2"/>
    <x v="1"/>
    <s v="Spring"/>
    <x v="0"/>
    <n v="0.54"/>
    <n v="8.9599999999999999E-2"/>
    <x v="18"/>
    <n v="0"/>
    <n v="3"/>
    <n v="3"/>
    <s v="High"/>
    <s v="Normal"/>
    <s v="Normal"/>
    <s v="Normal"/>
  </r>
  <r>
    <x v="926"/>
    <x v="41"/>
    <b v="0"/>
    <x v="6"/>
    <n v="0.1212"/>
    <n v="2011"/>
    <x v="1"/>
    <x v="5"/>
    <x v="1"/>
    <s v="Spring"/>
    <x v="0"/>
    <n v="0.63"/>
    <n v="8.9599999999999999E-2"/>
    <x v="19"/>
    <n v="0"/>
    <n v="4"/>
    <n v="4"/>
    <s v="High"/>
    <s v="Normal"/>
    <s v="Normal"/>
    <s v="Normal"/>
  </r>
  <r>
    <x v="927"/>
    <x v="41"/>
    <b v="0"/>
    <x v="6"/>
    <n v="0.18179999999999999"/>
    <n v="2011"/>
    <x v="1"/>
    <x v="6"/>
    <x v="1"/>
    <s v="Spring"/>
    <x v="0"/>
    <n v="0.68"/>
    <n v="0.23"/>
    <x v="18"/>
    <n v="1"/>
    <n v="23"/>
    <n v="24"/>
    <s v="High"/>
    <s v="Normal"/>
    <s v="Normal"/>
    <s v="Normal"/>
  </r>
  <r>
    <x v="928"/>
    <x v="41"/>
    <b v="0"/>
    <x v="6"/>
    <n v="0.16669999999999999"/>
    <n v="2011"/>
    <x v="1"/>
    <x v="7"/>
    <x v="1"/>
    <s v="Spring"/>
    <x v="0"/>
    <n v="0.73"/>
    <n v="0.23"/>
    <x v="19"/>
    <n v="1"/>
    <n v="73"/>
    <n v="74"/>
    <s v="High"/>
    <s v="Normal"/>
    <s v="Normal"/>
    <s v="Normal"/>
  </r>
  <r>
    <x v="929"/>
    <x v="41"/>
    <b v="0"/>
    <x v="6"/>
    <n v="0.1212"/>
    <n v="2011"/>
    <x v="1"/>
    <x v="8"/>
    <x v="1"/>
    <s v="Spring"/>
    <x v="0"/>
    <n v="0.74"/>
    <n v="0.16420000000000001"/>
    <x v="18"/>
    <n v="4"/>
    <n v="212"/>
    <n v="216"/>
    <s v="High"/>
    <s v="Outlier"/>
    <s v="Normal"/>
    <s v="Normal"/>
  </r>
  <r>
    <x v="930"/>
    <x v="41"/>
    <b v="0"/>
    <x v="6"/>
    <n v="0.1212"/>
    <n v="2011"/>
    <x v="1"/>
    <x v="9"/>
    <x v="1"/>
    <s v="Spring"/>
    <x v="0"/>
    <n v="0.74"/>
    <n v="0.22389999999999999"/>
    <x v="16"/>
    <n v="8"/>
    <n v="132"/>
    <n v="140"/>
    <s v="High"/>
    <s v="Normal"/>
    <s v="Normal"/>
    <s v="Normal"/>
  </r>
  <r>
    <x v="931"/>
    <x v="41"/>
    <b v="0"/>
    <x v="6"/>
    <n v="0.13639999999999999"/>
    <n v="2011"/>
    <x v="1"/>
    <x v="10"/>
    <x v="1"/>
    <s v="Spring"/>
    <x v="0"/>
    <n v="0.69"/>
    <n v="0.19400000000000001"/>
    <x v="14"/>
    <n v="5"/>
    <n v="39"/>
    <n v="44"/>
    <s v="High"/>
    <s v="Normal"/>
    <s v="Normal"/>
    <s v="Normal"/>
  </r>
  <r>
    <x v="932"/>
    <x v="41"/>
    <b v="0"/>
    <x v="6"/>
    <n v="0.2273"/>
    <n v="2011"/>
    <x v="1"/>
    <x v="11"/>
    <x v="1"/>
    <s v="Spring"/>
    <x v="0"/>
    <n v="0.47"/>
    <n v="0.1343"/>
    <x v="1"/>
    <n v="12"/>
    <n v="52"/>
    <n v="64"/>
    <s v="High"/>
    <s v="Normal"/>
    <s v="Normal"/>
    <s v="Normal"/>
  </r>
  <r>
    <x v="933"/>
    <x v="41"/>
    <b v="0"/>
    <x v="6"/>
    <n v="0.2273"/>
    <n v="2011"/>
    <x v="1"/>
    <x v="12"/>
    <x v="1"/>
    <s v="Spring"/>
    <x v="0"/>
    <n v="0.47"/>
    <n v="0.1343"/>
    <x v="1"/>
    <n v="7"/>
    <n v="64"/>
    <n v="71"/>
    <s v="High"/>
    <s v="Normal"/>
    <s v="Normal"/>
    <s v="Normal"/>
  </r>
  <r>
    <x v="934"/>
    <x v="41"/>
    <b v="0"/>
    <x v="6"/>
    <n v="0.2273"/>
    <n v="2011"/>
    <x v="1"/>
    <x v="13"/>
    <x v="1"/>
    <s v="Spring"/>
    <x v="0"/>
    <n v="0.35"/>
    <n v="0.19400000000000001"/>
    <x v="0"/>
    <n v="21"/>
    <n v="89"/>
    <n v="110"/>
    <s v="High"/>
    <s v="Normal"/>
    <s v="Normal"/>
    <s v="Normal"/>
  </r>
  <r>
    <x v="935"/>
    <x v="41"/>
    <b v="0"/>
    <x v="6"/>
    <n v="0.28789999999999999"/>
    <n v="2011"/>
    <x v="1"/>
    <x v="14"/>
    <x v="1"/>
    <s v="Spring"/>
    <x v="0"/>
    <n v="0.26"/>
    <n v="0.25369999999999998"/>
    <x v="11"/>
    <n v="17"/>
    <n v="67"/>
    <n v="84"/>
    <s v="High"/>
    <s v="Normal"/>
    <s v="Normal"/>
    <s v="Normal"/>
  </r>
  <r>
    <x v="936"/>
    <x v="41"/>
    <b v="0"/>
    <x v="6"/>
    <n v="0.31819999999999998"/>
    <n v="2011"/>
    <x v="1"/>
    <x v="15"/>
    <x v="1"/>
    <s v="Spring"/>
    <x v="0"/>
    <n v="0.21"/>
    <n v="0.16420000000000001"/>
    <x v="3"/>
    <n v="12"/>
    <n v="62"/>
    <n v="74"/>
    <s v="High"/>
    <s v="Normal"/>
    <s v="Normal"/>
    <s v="Normal"/>
  </r>
  <r>
    <x v="937"/>
    <x v="41"/>
    <b v="0"/>
    <x v="6"/>
    <n v="0.28789999999999999"/>
    <n v="2011"/>
    <x v="1"/>
    <x v="16"/>
    <x v="1"/>
    <s v="Spring"/>
    <x v="0"/>
    <n v="0.28000000000000003"/>
    <n v="0.19400000000000001"/>
    <x v="11"/>
    <n v="14"/>
    <n v="111"/>
    <n v="125"/>
    <s v="High"/>
    <s v="Normal"/>
    <s v="Normal"/>
    <s v="Normal"/>
  </r>
  <r>
    <x v="938"/>
    <x v="41"/>
    <b v="0"/>
    <x v="6"/>
    <n v="0.33329999999999999"/>
    <n v="2011"/>
    <x v="1"/>
    <x v="17"/>
    <x v="1"/>
    <s v="Spring"/>
    <x v="0"/>
    <n v="0.24"/>
    <n v="0.23"/>
    <x v="11"/>
    <n v="18"/>
    <n v="193"/>
    <n v="211"/>
    <s v="High"/>
    <s v="Outlier"/>
    <s v="Normal"/>
    <s v="Normal"/>
  </r>
  <r>
    <x v="939"/>
    <x v="41"/>
    <b v="0"/>
    <x v="6"/>
    <n v="0.31819999999999998"/>
    <n v="2011"/>
    <x v="1"/>
    <x v="18"/>
    <x v="1"/>
    <s v="Spring"/>
    <x v="0"/>
    <n v="0.28000000000000003"/>
    <n v="0.23"/>
    <x v="17"/>
    <n v="9"/>
    <n v="165"/>
    <n v="174"/>
    <s v="High"/>
    <s v="Normal"/>
    <s v="Normal"/>
    <s v="Normal"/>
  </r>
  <r>
    <x v="940"/>
    <x v="41"/>
    <b v="0"/>
    <x v="6"/>
    <n v="0.30299999999999999"/>
    <n v="2011"/>
    <x v="1"/>
    <x v="19"/>
    <x v="1"/>
    <s v="Spring"/>
    <x v="0"/>
    <n v="0.33"/>
    <n v="0.23"/>
    <x v="12"/>
    <n v="7"/>
    <n v="94"/>
    <n v="101"/>
    <s v="High"/>
    <s v="Normal"/>
    <s v="Normal"/>
    <s v="Normal"/>
  </r>
  <r>
    <x v="941"/>
    <x v="41"/>
    <b v="0"/>
    <x v="6"/>
    <n v="0.2273"/>
    <n v="2011"/>
    <x v="1"/>
    <x v="20"/>
    <x v="1"/>
    <s v="Spring"/>
    <x v="0"/>
    <n v="0.55000000000000004"/>
    <n v="0.1343"/>
    <x v="1"/>
    <n v="2"/>
    <n v="61"/>
    <n v="63"/>
    <s v="High"/>
    <s v="Normal"/>
    <s v="Normal"/>
    <s v="Normal"/>
  </r>
  <r>
    <x v="942"/>
    <x v="41"/>
    <b v="0"/>
    <x v="6"/>
    <n v="0.21210000000000001"/>
    <n v="2011"/>
    <x v="1"/>
    <x v="21"/>
    <x v="1"/>
    <s v="Spring"/>
    <x v="0"/>
    <n v="0.59"/>
    <n v="0.1343"/>
    <x v="2"/>
    <n v="1"/>
    <n v="46"/>
    <n v="47"/>
    <s v="High"/>
    <s v="Normal"/>
    <s v="Normal"/>
    <s v="Normal"/>
  </r>
  <r>
    <x v="943"/>
    <x v="41"/>
    <b v="0"/>
    <x v="6"/>
    <n v="0.2273"/>
    <n v="2011"/>
    <x v="1"/>
    <x v="22"/>
    <x v="1"/>
    <s v="Spring"/>
    <x v="0"/>
    <n v="0.64"/>
    <n v="8.9599999999999999E-2"/>
    <x v="2"/>
    <n v="2"/>
    <n v="41"/>
    <n v="43"/>
    <s v="High"/>
    <s v="Normal"/>
    <s v="Normal"/>
    <s v="Normal"/>
  </r>
  <r>
    <x v="944"/>
    <x v="41"/>
    <b v="0"/>
    <x v="6"/>
    <n v="0.2424"/>
    <n v="2011"/>
    <x v="1"/>
    <x v="23"/>
    <x v="1"/>
    <s v="Spring"/>
    <x v="0"/>
    <n v="0.69"/>
    <n v="0.23"/>
    <x v="15"/>
    <n v="5"/>
    <n v="48"/>
    <n v="53"/>
    <s v="High"/>
    <s v="Normal"/>
    <s v="Normal"/>
    <s v="Normal"/>
  </r>
  <r>
    <x v="945"/>
    <x v="42"/>
    <b v="0"/>
    <x v="0"/>
    <n v="0.19700000000000001"/>
    <n v="2011"/>
    <x v="1"/>
    <x v="0"/>
    <x v="0"/>
    <s v="Spring"/>
    <x v="0"/>
    <n v="0.69"/>
    <n v="8.9599999999999999E-2"/>
    <x v="13"/>
    <n v="3"/>
    <n v="27"/>
    <n v="30"/>
    <s v="High"/>
    <s v="Normal"/>
    <s v="Normal"/>
    <s v="Normal"/>
  </r>
  <r>
    <x v="946"/>
    <x v="42"/>
    <b v="0"/>
    <x v="0"/>
    <n v="0.21210000000000001"/>
    <n v="2011"/>
    <x v="1"/>
    <x v="1"/>
    <x v="0"/>
    <s v="Spring"/>
    <x v="0"/>
    <n v="0.86"/>
    <n v="0.23"/>
    <x v="14"/>
    <n v="2"/>
    <n v="22"/>
    <n v="24"/>
    <s v="High"/>
    <s v="Normal"/>
    <s v="Normal"/>
    <s v="Normal"/>
  </r>
  <r>
    <x v="947"/>
    <x v="42"/>
    <b v="0"/>
    <x v="0"/>
    <n v="0.21210000000000001"/>
    <n v="2011"/>
    <x v="1"/>
    <x v="2"/>
    <x v="0"/>
    <s v="Spring"/>
    <x v="0"/>
    <n v="0.8"/>
    <n v="0.23"/>
    <x v="14"/>
    <n v="2"/>
    <n v="13"/>
    <n v="15"/>
    <s v="High"/>
    <s v="Normal"/>
    <s v="Normal"/>
    <s v="Normal"/>
  </r>
  <r>
    <x v="948"/>
    <x v="42"/>
    <b v="0"/>
    <x v="0"/>
    <n v="0.19700000000000001"/>
    <n v="2011"/>
    <x v="1"/>
    <x v="3"/>
    <x v="0"/>
    <s v="Spring"/>
    <x v="0"/>
    <n v="0.8"/>
    <n v="0.23"/>
    <x v="16"/>
    <n v="3"/>
    <n v="7"/>
    <n v="10"/>
    <s v="High"/>
    <s v="Normal"/>
    <s v="Normal"/>
    <s v="Normal"/>
  </r>
  <r>
    <x v="949"/>
    <x v="42"/>
    <b v="0"/>
    <x v="0"/>
    <n v="0.16669999999999999"/>
    <n v="2011"/>
    <x v="1"/>
    <x v="4"/>
    <x v="0"/>
    <s v="Spring"/>
    <x v="0"/>
    <n v="0.74"/>
    <n v="8.9599999999999999E-2"/>
    <x v="16"/>
    <n v="0"/>
    <n v="4"/>
    <n v="4"/>
    <s v="High"/>
    <s v="Normal"/>
    <s v="Normal"/>
    <s v="Normal"/>
  </r>
  <r>
    <x v="950"/>
    <x v="42"/>
    <b v="0"/>
    <x v="0"/>
    <n v="0.16669999999999999"/>
    <n v="2011"/>
    <x v="1"/>
    <x v="5"/>
    <x v="0"/>
    <s v="Spring"/>
    <x v="0"/>
    <n v="0.74"/>
    <n v="8.9599999999999999E-2"/>
    <x v="16"/>
    <n v="0"/>
    <n v="1"/>
    <n v="1"/>
    <s v="High"/>
    <s v="Normal"/>
    <s v="Normal"/>
    <s v="Normal"/>
  </r>
  <r>
    <x v="951"/>
    <x v="42"/>
    <b v="0"/>
    <x v="0"/>
    <n v="0.13639999999999999"/>
    <n v="2011"/>
    <x v="1"/>
    <x v="6"/>
    <x v="0"/>
    <s v="Spring"/>
    <x v="0"/>
    <n v="0.93"/>
    <n v="0.19400000000000001"/>
    <x v="16"/>
    <n v="1"/>
    <n v="1"/>
    <n v="2"/>
    <s v="High"/>
    <s v="Normal"/>
    <s v="Normal"/>
    <s v="Normal"/>
  </r>
  <r>
    <x v="952"/>
    <x v="42"/>
    <b v="0"/>
    <x v="0"/>
    <n v="0.1515"/>
    <n v="2011"/>
    <x v="1"/>
    <x v="7"/>
    <x v="0"/>
    <s v="Spring"/>
    <x v="0"/>
    <n v="0.8"/>
    <n v="0.1045"/>
    <x v="16"/>
    <n v="2"/>
    <n v="9"/>
    <n v="11"/>
    <s v="High"/>
    <s v="Normal"/>
    <s v="Normal"/>
    <s v="Normal"/>
  </r>
  <r>
    <x v="953"/>
    <x v="42"/>
    <b v="0"/>
    <x v="0"/>
    <n v="0.1515"/>
    <n v="2011"/>
    <x v="1"/>
    <x v="8"/>
    <x v="0"/>
    <s v="Spring"/>
    <x v="0"/>
    <n v="0.86"/>
    <n v="0.1343"/>
    <x v="14"/>
    <n v="2"/>
    <n v="28"/>
    <n v="30"/>
    <s v="High"/>
    <s v="Normal"/>
    <s v="Normal"/>
    <s v="Normal"/>
  </r>
  <r>
    <x v="954"/>
    <x v="42"/>
    <b v="0"/>
    <x v="0"/>
    <n v="0.18179999999999999"/>
    <n v="2011"/>
    <x v="1"/>
    <x v="9"/>
    <x v="0"/>
    <s v="Spring"/>
    <x v="0"/>
    <n v="0.64"/>
    <n v="0.1343"/>
    <x v="13"/>
    <n v="5"/>
    <n v="38"/>
    <n v="43"/>
    <s v="High"/>
    <s v="Normal"/>
    <s v="Normal"/>
    <s v="Normal"/>
  </r>
  <r>
    <x v="955"/>
    <x v="42"/>
    <b v="0"/>
    <x v="0"/>
    <n v="0.21210000000000001"/>
    <n v="2011"/>
    <x v="1"/>
    <x v="10"/>
    <x v="0"/>
    <s v="Spring"/>
    <x v="0"/>
    <n v="0.41"/>
    <n v="0.25369999999999998"/>
    <x v="1"/>
    <n v="13"/>
    <n v="71"/>
    <n v="84"/>
    <s v="High"/>
    <s v="Normal"/>
    <s v="Normal"/>
    <s v="Normal"/>
  </r>
  <r>
    <x v="956"/>
    <x v="42"/>
    <b v="0"/>
    <x v="0"/>
    <n v="0.2727"/>
    <n v="2011"/>
    <x v="1"/>
    <x v="11"/>
    <x v="0"/>
    <s v="Spring"/>
    <x v="0"/>
    <n v="0.28000000000000003"/>
    <n v="0.32840000000000003"/>
    <x v="11"/>
    <n v="30"/>
    <n v="84"/>
    <n v="114"/>
    <s v="High"/>
    <s v="Normal"/>
    <s v="Normal"/>
    <s v="Normal"/>
  </r>
  <r>
    <x v="957"/>
    <x v="42"/>
    <b v="0"/>
    <x v="0"/>
    <n v="0.2727"/>
    <n v="2011"/>
    <x v="1"/>
    <x v="12"/>
    <x v="0"/>
    <s v="Spring"/>
    <x v="0"/>
    <n v="0.39"/>
    <n v="0.4627"/>
    <x v="11"/>
    <n v="27"/>
    <n v="93"/>
    <n v="120"/>
    <s v="High"/>
    <s v="Normal"/>
    <s v="Normal"/>
    <s v="Normal"/>
  </r>
  <r>
    <x v="958"/>
    <x v="42"/>
    <b v="0"/>
    <x v="0"/>
    <n v="0.2727"/>
    <n v="2011"/>
    <x v="1"/>
    <x v="13"/>
    <x v="0"/>
    <s v="Spring"/>
    <x v="0"/>
    <n v="0.39"/>
    <n v="0.41789999999999999"/>
    <x v="11"/>
    <n v="32"/>
    <n v="103"/>
    <n v="135"/>
    <s v="High"/>
    <s v="Normal"/>
    <s v="Normal"/>
    <s v="Normal"/>
  </r>
  <r>
    <x v="959"/>
    <x v="42"/>
    <b v="0"/>
    <x v="0"/>
    <n v="0.31819999999999998"/>
    <n v="2011"/>
    <x v="1"/>
    <x v="14"/>
    <x v="0"/>
    <s v="Spring"/>
    <x v="0"/>
    <n v="0.31"/>
    <n v="0.28360000000000002"/>
    <x v="10"/>
    <n v="30"/>
    <n v="90"/>
    <n v="120"/>
    <s v="High"/>
    <s v="Normal"/>
    <s v="Normal"/>
    <s v="Normal"/>
  </r>
  <r>
    <x v="960"/>
    <x v="42"/>
    <b v="0"/>
    <x v="0"/>
    <n v="0.30299999999999999"/>
    <n v="2011"/>
    <x v="1"/>
    <x v="15"/>
    <x v="0"/>
    <s v="Spring"/>
    <x v="0"/>
    <n v="0.28999999999999998"/>
    <n v="0.41789999999999999"/>
    <x v="10"/>
    <n v="47"/>
    <n v="127"/>
    <n v="174"/>
    <s v="High"/>
    <s v="Normal"/>
    <s v="Normal"/>
    <s v="Normal"/>
  </r>
  <r>
    <x v="961"/>
    <x v="42"/>
    <b v="0"/>
    <x v="0"/>
    <n v="0.30299999999999999"/>
    <n v="2011"/>
    <x v="1"/>
    <x v="16"/>
    <x v="0"/>
    <s v="Spring"/>
    <x v="0"/>
    <n v="0.28999999999999998"/>
    <n v="0.41789999999999999"/>
    <x v="10"/>
    <n v="42"/>
    <n v="103"/>
    <n v="145"/>
    <s v="High"/>
    <s v="Normal"/>
    <s v="Normal"/>
    <s v="Normal"/>
  </r>
  <r>
    <x v="962"/>
    <x v="42"/>
    <b v="0"/>
    <x v="0"/>
    <n v="0.28789999999999999"/>
    <n v="2011"/>
    <x v="1"/>
    <x v="17"/>
    <x v="0"/>
    <s v="Spring"/>
    <x v="0"/>
    <n v="0.31"/>
    <n v="0.52239999999999998"/>
    <x v="3"/>
    <n v="24"/>
    <n v="113"/>
    <n v="137"/>
    <s v="High"/>
    <s v="Normal"/>
    <s v="Normal"/>
    <s v="Outlier"/>
  </r>
  <r>
    <x v="963"/>
    <x v="42"/>
    <b v="0"/>
    <x v="0"/>
    <n v="0.2576"/>
    <n v="2011"/>
    <x v="1"/>
    <x v="18"/>
    <x v="0"/>
    <s v="Spring"/>
    <x v="0"/>
    <n v="0.38"/>
    <n v="0.32840000000000003"/>
    <x v="17"/>
    <n v="4"/>
    <n v="60"/>
    <n v="64"/>
    <s v="High"/>
    <s v="Normal"/>
    <s v="Normal"/>
    <s v="Normal"/>
  </r>
  <r>
    <x v="964"/>
    <x v="42"/>
    <b v="0"/>
    <x v="0"/>
    <n v="0.2727"/>
    <n v="2011"/>
    <x v="1"/>
    <x v="19"/>
    <x v="0"/>
    <s v="Spring"/>
    <x v="0"/>
    <n v="0.38"/>
    <n v="0.16420000000000001"/>
    <x v="17"/>
    <n v="2"/>
    <n v="39"/>
    <n v="41"/>
    <s v="High"/>
    <s v="Normal"/>
    <s v="Normal"/>
    <s v="Normal"/>
  </r>
  <r>
    <x v="965"/>
    <x v="42"/>
    <b v="0"/>
    <x v="0"/>
    <n v="0.2576"/>
    <n v="2011"/>
    <x v="1"/>
    <x v="20"/>
    <x v="0"/>
    <s v="Spring"/>
    <x v="0"/>
    <n v="0.41"/>
    <n v="0.22389999999999999"/>
    <x v="12"/>
    <n v="1"/>
    <n v="39"/>
    <n v="40"/>
    <s v="High"/>
    <s v="Normal"/>
    <s v="Normal"/>
    <s v="Normal"/>
  </r>
  <r>
    <x v="966"/>
    <x v="42"/>
    <b v="0"/>
    <x v="0"/>
    <n v="0.30299999999999999"/>
    <n v="2011"/>
    <x v="1"/>
    <x v="21"/>
    <x v="0"/>
    <s v="Spring"/>
    <x v="0"/>
    <n v="0.41"/>
    <n v="0.23"/>
    <x v="12"/>
    <n v="9"/>
    <n v="42"/>
    <n v="51"/>
    <s v="High"/>
    <s v="Normal"/>
    <s v="Normal"/>
    <s v="Normal"/>
  </r>
  <r>
    <x v="967"/>
    <x v="42"/>
    <b v="0"/>
    <x v="0"/>
    <n v="0.2576"/>
    <n v="2011"/>
    <x v="1"/>
    <x v="22"/>
    <x v="0"/>
    <s v="Spring"/>
    <x v="0"/>
    <n v="0.44"/>
    <n v="8.9599999999999999E-2"/>
    <x v="0"/>
    <n v="6"/>
    <n v="39"/>
    <n v="45"/>
    <s v="High"/>
    <s v="Normal"/>
    <s v="Normal"/>
    <s v="Normal"/>
  </r>
  <r>
    <x v="968"/>
    <x v="42"/>
    <b v="0"/>
    <x v="0"/>
    <n v="0.2273"/>
    <n v="2011"/>
    <x v="1"/>
    <x v="23"/>
    <x v="0"/>
    <s v="Spring"/>
    <x v="0"/>
    <n v="0.51"/>
    <n v="0.1343"/>
    <x v="1"/>
    <n v="1"/>
    <n v="31"/>
    <n v="32"/>
    <s v="High"/>
    <s v="Normal"/>
    <s v="Normal"/>
    <s v="Normal"/>
  </r>
  <r>
    <x v="969"/>
    <x v="43"/>
    <b v="0"/>
    <x v="1"/>
    <n v="0.2273"/>
    <n v="2011"/>
    <x v="1"/>
    <x v="0"/>
    <x v="0"/>
    <s v="Spring"/>
    <x v="0"/>
    <n v="0.64"/>
    <n v="0.1045"/>
    <x v="2"/>
    <n v="5"/>
    <n v="34"/>
    <n v="39"/>
    <s v="High"/>
    <s v="Normal"/>
    <s v="Normal"/>
    <s v="Normal"/>
  </r>
  <r>
    <x v="970"/>
    <x v="43"/>
    <b v="0"/>
    <x v="1"/>
    <n v="0.2273"/>
    <n v="2011"/>
    <x v="1"/>
    <x v="1"/>
    <x v="0"/>
    <s v="Spring"/>
    <x v="0"/>
    <n v="0.59"/>
    <n v="8.9599999999999999E-2"/>
    <x v="2"/>
    <n v="1"/>
    <n v="23"/>
    <n v="24"/>
    <s v="High"/>
    <s v="Normal"/>
    <s v="Normal"/>
    <s v="Normal"/>
  </r>
  <r>
    <x v="971"/>
    <x v="43"/>
    <b v="0"/>
    <x v="1"/>
    <n v="0.2273"/>
    <n v="2011"/>
    <x v="1"/>
    <x v="2"/>
    <x v="0"/>
    <s v="Spring"/>
    <x v="1"/>
    <n v="0.75"/>
    <n v="8.9599999999999999E-2"/>
    <x v="2"/>
    <n v="1"/>
    <n v="19"/>
    <n v="20"/>
    <s v="High"/>
    <s v="Normal"/>
    <s v="Normal"/>
    <s v="Normal"/>
  </r>
  <r>
    <x v="972"/>
    <x v="43"/>
    <b v="0"/>
    <x v="1"/>
    <n v="0.2273"/>
    <n v="2011"/>
    <x v="1"/>
    <x v="3"/>
    <x v="0"/>
    <s v="Spring"/>
    <x v="1"/>
    <n v="0.69"/>
    <n v="0.1045"/>
    <x v="2"/>
    <n v="4"/>
    <n v="8"/>
    <n v="12"/>
    <s v="High"/>
    <s v="Normal"/>
    <s v="Normal"/>
    <s v="Normal"/>
  </r>
  <r>
    <x v="973"/>
    <x v="43"/>
    <b v="0"/>
    <x v="1"/>
    <n v="0.21210000000000001"/>
    <n v="2011"/>
    <x v="1"/>
    <x v="4"/>
    <x v="0"/>
    <s v="Spring"/>
    <x v="1"/>
    <n v="0.69"/>
    <n v="0.16420000000000001"/>
    <x v="2"/>
    <n v="0"/>
    <n v="2"/>
    <n v="2"/>
    <s v="High"/>
    <s v="Normal"/>
    <s v="Normal"/>
    <s v="Normal"/>
  </r>
  <r>
    <x v="974"/>
    <x v="43"/>
    <b v="0"/>
    <x v="1"/>
    <n v="0.21210000000000001"/>
    <n v="2011"/>
    <x v="1"/>
    <x v="6"/>
    <x v="0"/>
    <s v="Spring"/>
    <x v="1"/>
    <n v="0.69"/>
    <n v="0.1343"/>
    <x v="2"/>
    <n v="2"/>
    <n v="3"/>
    <n v="5"/>
    <s v="High"/>
    <s v="Normal"/>
    <s v="Normal"/>
    <s v="Normal"/>
  </r>
  <r>
    <x v="975"/>
    <x v="43"/>
    <b v="0"/>
    <x v="1"/>
    <n v="0.2727"/>
    <n v="2011"/>
    <x v="1"/>
    <x v="7"/>
    <x v="0"/>
    <s v="Spring"/>
    <x v="1"/>
    <n v="0.55000000000000004"/>
    <n v="0.23"/>
    <x v="1"/>
    <n v="0"/>
    <n v="3"/>
    <n v="3"/>
    <s v="High"/>
    <s v="Normal"/>
    <s v="Normal"/>
    <s v="Normal"/>
  </r>
  <r>
    <x v="976"/>
    <x v="43"/>
    <b v="0"/>
    <x v="1"/>
    <n v="0.2273"/>
    <n v="2011"/>
    <x v="1"/>
    <x v="8"/>
    <x v="0"/>
    <s v="Spring"/>
    <x v="1"/>
    <n v="0.64"/>
    <n v="0.19400000000000001"/>
    <x v="1"/>
    <n v="1"/>
    <n v="11"/>
    <n v="12"/>
    <s v="High"/>
    <s v="Normal"/>
    <s v="Normal"/>
    <s v="Normal"/>
  </r>
  <r>
    <x v="977"/>
    <x v="43"/>
    <b v="0"/>
    <x v="1"/>
    <n v="0.2273"/>
    <n v="2011"/>
    <x v="1"/>
    <x v="9"/>
    <x v="0"/>
    <s v="Spring"/>
    <x v="1"/>
    <n v="0.6"/>
    <n v="0.22389999999999999"/>
    <x v="0"/>
    <n v="12"/>
    <n v="35"/>
    <n v="47"/>
    <s v="High"/>
    <s v="Normal"/>
    <s v="Normal"/>
    <s v="Normal"/>
  </r>
  <r>
    <x v="978"/>
    <x v="43"/>
    <b v="0"/>
    <x v="1"/>
    <n v="0.2727"/>
    <n v="2011"/>
    <x v="1"/>
    <x v="10"/>
    <x v="0"/>
    <s v="Spring"/>
    <x v="0"/>
    <n v="0.45"/>
    <n v="0.32840000000000003"/>
    <x v="11"/>
    <n v="19"/>
    <n v="86"/>
    <n v="105"/>
    <s v="High"/>
    <s v="Normal"/>
    <s v="Normal"/>
    <s v="Normal"/>
  </r>
  <r>
    <x v="979"/>
    <x v="43"/>
    <b v="0"/>
    <x v="1"/>
    <n v="0.28789999999999999"/>
    <n v="2011"/>
    <x v="1"/>
    <x v="11"/>
    <x v="0"/>
    <s v="Spring"/>
    <x v="0"/>
    <n v="0.39"/>
    <n v="0.44779999999999998"/>
    <x v="3"/>
    <n v="26"/>
    <n v="86"/>
    <n v="112"/>
    <s v="High"/>
    <s v="Normal"/>
    <s v="Normal"/>
    <s v="Normal"/>
  </r>
  <r>
    <x v="980"/>
    <x v="43"/>
    <b v="0"/>
    <x v="1"/>
    <n v="0.31819999999999998"/>
    <n v="2011"/>
    <x v="1"/>
    <x v="12"/>
    <x v="0"/>
    <s v="Spring"/>
    <x v="0"/>
    <n v="0.32"/>
    <n v="0.4627"/>
    <x v="5"/>
    <n v="58"/>
    <n v="94"/>
    <n v="152"/>
    <s v="High"/>
    <s v="Normal"/>
    <s v="Normal"/>
    <s v="Normal"/>
  </r>
  <r>
    <x v="981"/>
    <x v="43"/>
    <b v="0"/>
    <x v="1"/>
    <n v="0.39389999999999997"/>
    <n v="2011"/>
    <x v="1"/>
    <x v="13"/>
    <x v="0"/>
    <s v="Spring"/>
    <x v="0"/>
    <n v="0.28999999999999998"/>
    <n v="0.35820000000000002"/>
    <x v="4"/>
    <n v="62"/>
    <n v="92"/>
    <n v="154"/>
    <s v="High"/>
    <s v="Normal"/>
    <s v="Normal"/>
    <s v="Normal"/>
  </r>
  <r>
    <x v="982"/>
    <x v="43"/>
    <b v="0"/>
    <x v="1"/>
    <n v="0.40910000000000002"/>
    <n v="2011"/>
    <x v="1"/>
    <x v="14"/>
    <x v="0"/>
    <s v="Spring"/>
    <x v="1"/>
    <n v="0.3"/>
    <n v="0.41789999999999999"/>
    <x v="9"/>
    <n v="51"/>
    <n v="110"/>
    <n v="161"/>
    <s v="High"/>
    <s v="Normal"/>
    <s v="Normal"/>
    <s v="Normal"/>
  </r>
  <r>
    <x v="983"/>
    <x v="43"/>
    <b v="0"/>
    <x v="1"/>
    <n v="0.40910000000000002"/>
    <n v="2011"/>
    <x v="1"/>
    <x v="15"/>
    <x v="0"/>
    <s v="Spring"/>
    <x v="1"/>
    <n v="0.3"/>
    <n v="0.29849999999999999"/>
    <x v="9"/>
    <n v="40"/>
    <n v="122"/>
    <n v="162"/>
    <s v="High"/>
    <s v="Normal"/>
    <s v="Normal"/>
    <s v="Normal"/>
  </r>
  <r>
    <x v="984"/>
    <x v="43"/>
    <b v="0"/>
    <x v="1"/>
    <n v="0.42420000000000002"/>
    <n v="2011"/>
    <x v="1"/>
    <x v="16"/>
    <x v="0"/>
    <s v="Spring"/>
    <x v="1"/>
    <n v="0.28000000000000003"/>
    <n v="0.32840000000000003"/>
    <x v="6"/>
    <n v="28"/>
    <n v="106"/>
    <n v="134"/>
    <s v="High"/>
    <s v="Normal"/>
    <s v="Normal"/>
    <s v="Normal"/>
  </r>
  <r>
    <x v="985"/>
    <x v="43"/>
    <b v="0"/>
    <x v="1"/>
    <n v="0.42420000000000002"/>
    <n v="2011"/>
    <x v="1"/>
    <x v="17"/>
    <x v="0"/>
    <s v="Spring"/>
    <x v="0"/>
    <n v="0.28000000000000003"/>
    <n v="0.32840000000000003"/>
    <x v="6"/>
    <n v="30"/>
    <n v="95"/>
    <n v="125"/>
    <s v="High"/>
    <s v="Normal"/>
    <s v="Normal"/>
    <s v="Normal"/>
  </r>
  <r>
    <x v="986"/>
    <x v="43"/>
    <b v="0"/>
    <x v="1"/>
    <n v="0.40910000000000002"/>
    <n v="2011"/>
    <x v="1"/>
    <x v="18"/>
    <x v="0"/>
    <s v="Spring"/>
    <x v="0"/>
    <n v="0.32"/>
    <n v="0.29849999999999999"/>
    <x v="9"/>
    <n v="17"/>
    <n v="78"/>
    <n v="95"/>
    <s v="High"/>
    <s v="Normal"/>
    <s v="Normal"/>
    <s v="Normal"/>
  </r>
  <r>
    <x v="987"/>
    <x v="43"/>
    <b v="0"/>
    <x v="1"/>
    <n v="0.40910000000000002"/>
    <n v="2011"/>
    <x v="1"/>
    <x v="19"/>
    <x v="0"/>
    <s v="Spring"/>
    <x v="0"/>
    <n v="0.35"/>
    <n v="0.28360000000000002"/>
    <x v="9"/>
    <n v="11"/>
    <n v="50"/>
    <n v="61"/>
    <s v="High"/>
    <s v="Normal"/>
    <s v="Normal"/>
    <s v="Normal"/>
  </r>
  <r>
    <x v="988"/>
    <x v="43"/>
    <b v="0"/>
    <x v="1"/>
    <n v="0.40910000000000002"/>
    <n v="2011"/>
    <x v="1"/>
    <x v="20"/>
    <x v="0"/>
    <s v="Spring"/>
    <x v="0"/>
    <n v="0.35"/>
    <n v="0.32840000000000003"/>
    <x v="9"/>
    <n v="15"/>
    <n v="32"/>
    <n v="47"/>
    <s v="High"/>
    <s v="Normal"/>
    <s v="Normal"/>
    <s v="Normal"/>
  </r>
  <r>
    <x v="989"/>
    <x v="43"/>
    <b v="0"/>
    <x v="1"/>
    <n v="0.40910000000000002"/>
    <n v="2011"/>
    <x v="1"/>
    <x v="21"/>
    <x v="0"/>
    <s v="Spring"/>
    <x v="0"/>
    <n v="0.35"/>
    <n v="0.35820000000000002"/>
    <x v="9"/>
    <n v="6"/>
    <n v="45"/>
    <n v="51"/>
    <s v="High"/>
    <s v="Normal"/>
    <s v="Normal"/>
    <s v="Normal"/>
  </r>
  <r>
    <x v="990"/>
    <x v="43"/>
    <b v="0"/>
    <x v="1"/>
    <n v="0.40910000000000002"/>
    <n v="2011"/>
    <x v="1"/>
    <x v="22"/>
    <x v="0"/>
    <s v="Spring"/>
    <x v="0"/>
    <n v="0.35"/>
    <n v="0.29849999999999999"/>
    <x v="9"/>
    <n v="5"/>
    <n v="31"/>
    <n v="36"/>
    <s v="High"/>
    <s v="Normal"/>
    <s v="Normal"/>
    <s v="Normal"/>
  </r>
  <r>
    <x v="991"/>
    <x v="43"/>
    <b v="0"/>
    <x v="1"/>
    <n v="0.40910000000000002"/>
    <n v="2011"/>
    <x v="1"/>
    <x v="23"/>
    <x v="0"/>
    <s v="Spring"/>
    <x v="0"/>
    <n v="0.35"/>
    <n v="0.35820000000000002"/>
    <x v="9"/>
    <n v="3"/>
    <n v="27"/>
    <n v="30"/>
    <s v="High"/>
    <s v="Normal"/>
    <s v="Normal"/>
    <s v="Normal"/>
  </r>
  <r>
    <x v="992"/>
    <x v="44"/>
    <b v="0"/>
    <x v="2"/>
    <n v="0.39389999999999997"/>
    <n v="2011"/>
    <x v="1"/>
    <x v="0"/>
    <x v="1"/>
    <s v="Spring"/>
    <x v="0"/>
    <n v="0.37"/>
    <n v="0.35820000000000002"/>
    <x v="4"/>
    <n v="3"/>
    <n v="8"/>
    <n v="11"/>
    <s v="High"/>
    <s v="Normal"/>
    <s v="Normal"/>
    <s v="Normal"/>
  </r>
  <r>
    <x v="993"/>
    <x v="44"/>
    <b v="0"/>
    <x v="2"/>
    <n v="0.39389999999999997"/>
    <n v="2011"/>
    <x v="1"/>
    <x v="1"/>
    <x v="1"/>
    <s v="Spring"/>
    <x v="0"/>
    <n v="0.37"/>
    <n v="0.35820000000000002"/>
    <x v="4"/>
    <n v="1"/>
    <n v="6"/>
    <n v="7"/>
    <s v="High"/>
    <s v="Normal"/>
    <s v="Normal"/>
    <s v="Normal"/>
  </r>
  <r>
    <x v="994"/>
    <x v="44"/>
    <b v="0"/>
    <x v="2"/>
    <n v="0.33329999999999999"/>
    <n v="2011"/>
    <x v="1"/>
    <x v="2"/>
    <x v="1"/>
    <s v="Spring"/>
    <x v="0"/>
    <n v="0.4"/>
    <n v="0.29849999999999999"/>
    <x v="5"/>
    <n v="0"/>
    <n v="2"/>
    <n v="2"/>
    <s v="High"/>
    <s v="Normal"/>
    <s v="Normal"/>
    <s v="Normal"/>
  </r>
  <r>
    <x v="995"/>
    <x v="44"/>
    <b v="0"/>
    <x v="2"/>
    <n v="0.31819999999999998"/>
    <n v="2011"/>
    <x v="1"/>
    <x v="3"/>
    <x v="1"/>
    <s v="Spring"/>
    <x v="0"/>
    <n v="0.46"/>
    <n v="0.22389999999999999"/>
    <x v="10"/>
    <n v="1"/>
    <n v="1"/>
    <n v="2"/>
    <s v="High"/>
    <s v="Normal"/>
    <s v="Normal"/>
    <s v="Normal"/>
  </r>
  <r>
    <x v="996"/>
    <x v="44"/>
    <b v="0"/>
    <x v="2"/>
    <n v="0.30299999999999999"/>
    <n v="2011"/>
    <x v="1"/>
    <x v="4"/>
    <x v="1"/>
    <s v="Spring"/>
    <x v="0"/>
    <n v="0.53"/>
    <n v="0.28360000000000002"/>
    <x v="3"/>
    <n v="0"/>
    <n v="2"/>
    <n v="2"/>
    <s v="High"/>
    <s v="Normal"/>
    <s v="Normal"/>
    <s v="Normal"/>
  </r>
  <r>
    <x v="997"/>
    <x v="44"/>
    <b v="0"/>
    <x v="2"/>
    <n v="0.30299999999999999"/>
    <n v="2011"/>
    <x v="1"/>
    <x v="5"/>
    <x v="1"/>
    <s v="Spring"/>
    <x v="0"/>
    <n v="0.53"/>
    <n v="0.28360000000000002"/>
    <x v="3"/>
    <n v="0"/>
    <n v="3"/>
    <n v="3"/>
    <s v="High"/>
    <s v="Normal"/>
    <s v="Normal"/>
    <s v="Normal"/>
  </r>
  <r>
    <x v="998"/>
    <x v="44"/>
    <b v="0"/>
    <x v="2"/>
    <n v="0.30299999999999999"/>
    <n v="2011"/>
    <x v="1"/>
    <x v="6"/>
    <x v="1"/>
    <s v="Spring"/>
    <x v="0"/>
    <n v="0.46"/>
    <n v="0.29849999999999999"/>
    <x v="10"/>
    <n v="1"/>
    <n v="25"/>
    <n v="26"/>
    <s v="High"/>
    <s v="Normal"/>
    <s v="Normal"/>
    <s v="Normal"/>
  </r>
  <r>
    <x v="999"/>
    <x v="44"/>
    <b v="0"/>
    <x v="2"/>
    <n v="0.30299999999999999"/>
    <n v="2011"/>
    <x v="1"/>
    <x v="7"/>
    <x v="1"/>
    <s v="Spring"/>
    <x v="0"/>
    <n v="0.46"/>
    <n v="0.29849999999999999"/>
    <x v="10"/>
    <n v="2"/>
    <n v="96"/>
    <n v="98"/>
    <s v="High"/>
    <s v="Normal"/>
    <s v="Normal"/>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3E2AF2-D2B1-47D1-836B-3B85BB46A9F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Q48" firstHeaderRow="1" firstDataRow="1" firstDataCol="1"/>
  <pivotFields count="23">
    <pivotField showAll="0"/>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dataField="1" showAll="0"/>
    <pivotField showAll="0"/>
    <pivotField showAll="0"/>
    <pivotField showAll="0"/>
    <pivotField showAll="0"/>
    <pivotField showAll="0" sortType="descending">
      <items count="369">
        <item sd="0" x="305"/>
        <item sd="0" x="152"/>
        <item sd="0" x="91"/>
        <item sd="0" x="213"/>
        <item sd="0" x="31"/>
        <item sd="0" x="366"/>
        <item sd="0" x="244"/>
        <item sd="0" x="274"/>
        <item sd="0" x="304"/>
        <item sd="0" x="335"/>
        <item sd="0" x="151"/>
        <item sd="0" x="90"/>
        <item sd="0" x="182"/>
        <item sd="0" x="212"/>
        <item sd="0" x="30"/>
        <item sd="0" x="365"/>
        <item sd="0" x="243"/>
        <item sd="0" x="121"/>
        <item sd="0" x="273"/>
        <item sd="0" x="303"/>
        <item sd="0" x="334"/>
        <item sd="0" x="150"/>
        <item sd="0" x="89"/>
        <item sd="0" x="181"/>
        <item sd="0" x="211"/>
        <item sd="0" x="29"/>
        <item sd="0" x="60"/>
        <item sd="0" x="364"/>
        <item sd="0" x="242"/>
        <item sd="0" x="120"/>
        <item sd="0" x="272"/>
        <item sd="0" x="302"/>
        <item sd="0" x="333"/>
        <item sd="0" x="149"/>
        <item sd="0" x="88"/>
        <item sd="0" x="180"/>
        <item sd="0" x="210"/>
        <item sd="0" x="28"/>
        <item sd="0" x="59"/>
        <item sd="0" x="363"/>
        <item sd="0" x="241"/>
        <item sd="0" x="119"/>
        <item sd="0" x="271"/>
        <item sd="0" x="301"/>
        <item sd="0" x="332"/>
        <item sd="0" x="148"/>
        <item sd="0" x="87"/>
        <item sd="0" x="179"/>
        <item sd="0" x="209"/>
        <item sd="0" x="27"/>
        <item sd="0" x="58"/>
        <item sd="0" x="362"/>
        <item sd="0" x="240"/>
        <item sd="0" x="118"/>
        <item sd="0" x="270"/>
        <item sd="0" x="300"/>
        <item sd="0" x="331"/>
        <item sd="0" x="147"/>
        <item sd="0" x="86"/>
        <item sd="0" x="178"/>
        <item sd="0" x="208"/>
        <item sd="0" x="26"/>
        <item sd="0" x="57"/>
        <item sd="0" x="361"/>
        <item sd="0" x="239"/>
        <item sd="0" x="117"/>
        <item sd="0" x="269"/>
        <item sd="0" x="299"/>
        <item sd="0" x="330"/>
        <item sd="0" x="146"/>
        <item sd="0" x="85"/>
        <item sd="0" x="177"/>
        <item sd="0" x="207"/>
        <item sd="0" x="25"/>
        <item sd="0" x="56"/>
        <item sd="0" x="360"/>
        <item sd="0" x="238"/>
        <item sd="0" x="116"/>
        <item sd="0" x="268"/>
        <item sd="0" x="298"/>
        <item sd="0" x="329"/>
        <item sd="0" x="145"/>
        <item sd="0" x="84"/>
        <item sd="0" x="176"/>
        <item sd="0" x="206"/>
        <item sd="0" x="24"/>
        <item sd="0" x="55"/>
        <item sd="0" x="359"/>
        <item sd="0" x="237"/>
        <item sd="0" x="115"/>
        <item sd="0" x="267"/>
        <item sd="0" x="297"/>
        <item sd="0" x="328"/>
        <item sd="0" x="144"/>
        <item sd="0" x="83"/>
        <item sd="0" x="175"/>
        <item sd="0" x="205"/>
        <item sd="0" x="23"/>
        <item sd="0" x="54"/>
        <item sd="0" x="358"/>
        <item sd="0" x="236"/>
        <item sd="0" x="114"/>
        <item sd="0" x="266"/>
        <item sd="0" x="296"/>
        <item sd="0" x="327"/>
        <item sd="0" x="143"/>
        <item sd="0" x="82"/>
        <item sd="0" x="174"/>
        <item sd="0" x="204"/>
        <item sd="0" x="22"/>
        <item sd="0" x="53"/>
        <item sd="0" x="357"/>
        <item sd="0" x="235"/>
        <item sd="0" x="113"/>
        <item sd="0" x="265"/>
        <item sd="0" x="295"/>
        <item sd="0" x="326"/>
        <item sd="0" x="142"/>
        <item sd="0" x="81"/>
        <item sd="0" x="173"/>
        <item sd="0" x="203"/>
        <item sd="0" x="21"/>
        <item sd="0" x="52"/>
        <item sd="0" x="356"/>
        <item sd="0" x="234"/>
        <item sd="0" x="112"/>
        <item sd="0" x="264"/>
        <item sd="0" x="294"/>
        <item sd="0" x="325"/>
        <item sd="0" x="141"/>
        <item sd="0" x="80"/>
        <item sd="0" x="172"/>
        <item sd="0" x="202"/>
        <item sd="0" x="20"/>
        <item sd="0" x="51"/>
        <item sd="0" x="355"/>
        <item sd="0" x="233"/>
        <item sd="0" x="111"/>
        <item sd="0" x="263"/>
        <item sd="0" x="293"/>
        <item sd="0" x="324"/>
        <item sd="0" x="140"/>
        <item sd="0" x="79"/>
        <item sd="0" x="171"/>
        <item sd="0" x="201"/>
        <item sd="0" x="19"/>
        <item sd="0" x="50"/>
        <item sd="0" x="354"/>
        <item sd="0" x="232"/>
        <item sd="0" x="110"/>
        <item sd="0" x="262"/>
        <item sd="0" x="292"/>
        <item sd="0" x="323"/>
        <item sd="0" x="139"/>
        <item sd="0" x="78"/>
        <item sd="0" x="170"/>
        <item sd="0" x="200"/>
        <item sd="0" x="18"/>
        <item sd="0" x="49"/>
        <item sd="0" x="353"/>
        <item sd="0" x="231"/>
        <item sd="0" x="109"/>
        <item sd="0" x="261"/>
        <item sd="0" x="291"/>
        <item sd="0" x="322"/>
        <item sd="0" x="138"/>
        <item sd="0" x="77"/>
        <item sd="0" x="169"/>
        <item sd="0" x="199"/>
        <item sd="0" x="17"/>
        <item sd="0" x="48"/>
        <item sd="0" x="352"/>
        <item sd="0" x="230"/>
        <item sd="0" x="108"/>
        <item sd="0" x="260"/>
        <item sd="0" x="290"/>
        <item sd="0" x="321"/>
        <item sd="0" x="137"/>
        <item sd="0" x="76"/>
        <item sd="0" x="168"/>
        <item sd="0" x="198"/>
        <item sd="0" x="16"/>
        <item sd="0" x="47"/>
        <item sd="0" x="351"/>
        <item sd="0" x="229"/>
        <item sd="0" x="107"/>
        <item sd="0" x="259"/>
        <item sd="0" x="289"/>
        <item sd="0" x="320"/>
        <item sd="0" x="136"/>
        <item sd="0" x="75"/>
        <item sd="0" x="167"/>
        <item sd="0" x="197"/>
        <item sd="0" x="15"/>
        <item sd="0" x="46"/>
        <item sd="0" x="350"/>
        <item sd="0" x="228"/>
        <item sd="0" x="106"/>
        <item sd="0" x="258"/>
        <item sd="0" x="288"/>
        <item sd="0" x="319"/>
        <item sd="0" x="135"/>
        <item sd="0" x="74"/>
        <item sd="0" x="166"/>
        <item sd="0" x="196"/>
        <item sd="0" x="14"/>
        <item sd="0" x="45"/>
        <item sd="0" x="349"/>
        <item sd="0" x="227"/>
        <item sd="0" x="105"/>
        <item sd="0" x="257"/>
        <item sd="0" x="287"/>
        <item sd="0" x="318"/>
        <item sd="0" x="134"/>
        <item sd="0" x="73"/>
        <item sd="0" x="165"/>
        <item sd="0" x="195"/>
        <item sd="0" x="13"/>
        <item sd="0" x="44"/>
        <item sd="0" x="348"/>
        <item sd="0" x="226"/>
        <item sd="0" x="104"/>
        <item sd="0" x="256"/>
        <item sd="0" x="286"/>
        <item sd="0" x="317"/>
        <item sd="0" x="133"/>
        <item sd="0" x="72"/>
        <item sd="0" x="164"/>
        <item sd="0" x="194"/>
        <item sd="0" x="12"/>
        <item sd="0" x="43"/>
        <item sd="0" x="347"/>
        <item sd="0" x="225"/>
        <item sd="0" x="103"/>
        <item sd="0" x="255"/>
        <item sd="0" x="285"/>
        <item sd="0" x="316"/>
        <item sd="0" x="132"/>
        <item sd="0" x="71"/>
        <item sd="0" x="163"/>
        <item sd="0" x="193"/>
        <item sd="0" x="11"/>
        <item sd="0" x="42"/>
        <item sd="0" x="346"/>
        <item sd="0" x="224"/>
        <item sd="0" x="102"/>
        <item sd="0" x="254"/>
        <item sd="0" x="284"/>
        <item sd="0" x="315"/>
        <item sd="0" x="131"/>
        <item sd="0" x="70"/>
        <item sd="0" x="162"/>
        <item sd="0" x="192"/>
        <item sd="0" x="10"/>
        <item sd="0" x="41"/>
        <item sd="0" x="345"/>
        <item sd="0" x="223"/>
        <item sd="0" x="101"/>
        <item sd="0" x="253"/>
        <item sd="0" x="283"/>
        <item sd="0" x="314"/>
        <item sd="0" x="130"/>
        <item sd="0" x="69"/>
        <item sd="0" x="161"/>
        <item sd="0" x="191"/>
        <item sd="0" x="9"/>
        <item sd="0" x="40"/>
        <item sd="0" x="344"/>
        <item sd="0" x="222"/>
        <item sd="0" x="100"/>
        <item sd="0" x="252"/>
        <item sd="0" x="282"/>
        <item sd="0" x="313"/>
        <item sd="0" x="129"/>
        <item sd="0" x="68"/>
        <item sd="0" x="160"/>
        <item sd="0" x="190"/>
        <item sd="0" x="8"/>
        <item sd="0" x="39"/>
        <item sd="0" x="343"/>
        <item sd="0" x="221"/>
        <item sd="0" x="99"/>
        <item sd="0" x="251"/>
        <item sd="0" x="281"/>
        <item sd="0" x="312"/>
        <item sd="0" x="128"/>
        <item sd="0" x="67"/>
        <item sd="0" x="159"/>
        <item sd="0" x="189"/>
        <item sd="0" x="7"/>
        <item sd="0" x="38"/>
        <item sd="0" x="342"/>
        <item sd="0" x="220"/>
        <item sd="0" x="98"/>
        <item sd="0" x="250"/>
        <item sd="0" x="280"/>
        <item sd="0" x="311"/>
        <item sd="0" x="127"/>
        <item sd="0" x="66"/>
        <item sd="0" x="158"/>
        <item sd="0" x="188"/>
        <item sd="0" x="6"/>
        <item sd="0" x="37"/>
        <item sd="0" x="341"/>
        <item sd="0" x="219"/>
        <item sd="0" x="97"/>
        <item sd="0" x="249"/>
        <item sd="0" x="279"/>
        <item sd="0" x="310"/>
        <item sd="0" x="126"/>
        <item sd="0" x="65"/>
        <item sd="0" x="157"/>
        <item sd="0" x="187"/>
        <item sd="0" x="5"/>
        <item sd="0" x="36"/>
        <item sd="0" x="340"/>
        <item sd="0" x="218"/>
        <item sd="0" x="96"/>
        <item sd="0" x="248"/>
        <item sd="0" x="278"/>
        <item sd="0" x="309"/>
        <item sd="0" x="125"/>
        <item sd="0" x="64"/>
        <item sd="0" x="156"/>
        <item sd="0" x="186"/>
        <item sd="0" x="4"/>
        <item sd="0" x="35"/>
        <item sd="0" x="339"/>
        <item sd="0" x="217"/>
        <item sd="0" x="95"/>
        <item sd="0" x="247"/>
        <item sd="0" x="277"/>
        <item sd="0" x="308"/>
        <item sd="0" x="124"/>
        <item sd="0" x="63"/>
        <item sd="0" x="155"/>
        <item sd="0" x="185"/>
        <item sd="0" x="3"/>
        <item sd="0" x="34"/>
        <item sd="0" x="338"/>
        <item sd="0" x="216"/>
        <item sd="0" x="94"/>
        <item sd="0" x="246"/>
        <item sd="0" x="276"/>
        <item sd="0" x="307"/>
        <item sd="0" x="123"/>
        <item sd="0" x="62"/>
        <item sd="0" x="154"/>
        <item sd="0" x="184"/>
        <item sd="0" x="2"/>
        <item sd="0" x="33"/>
        <item sd="0" x="337"/>
        <item sd="0" x="215"/>
        <item sd="0" x="93"/>
        <item sd="0" x="245"/>
        <item sd="0" x="275"/>
        <item sd="0" x="306"/>
        <item sd="0" x="122"/>
        <item sd="0" x="61"/>
        <item sd="0" x="153"/>
        <item sd="0" x="183"/>
        <item sd="0" x="1"/>
        <item sd="0" x="32"/>
        <item sd="0" x="336"/>
        <item sd="0" x="214"/>
        <item sd="0" x="92"/>
        <item sd="0" x="367"/>
        <item sd="0"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Total Count" fld="16" baseField="0" baseItem="0"/>
  </dataFields>
  <formats count="2">
    <format dxfId="122">
      <pivotArea field="21" type="button" dataOnly="0" labelOnly="1" outline="0"/>
    </format>
    <format dxfId="12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4AB2B-36D0-4DA5-8ADD-C696766CD8F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T17:U23" firstHeaderRow="1" firstDataRow="1" firstDataCol="1"/>
  <pivotFields count="23">
    <pivotField numFmtId="1"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x="1"/>
        <item x="2"/>
        <item x="3"/>
        <item x="4"/>
        <item x="5"/>
        <item x="6"/>
        <item x="0"/>
        <item t="default"/>
      </items>
    </pivotField>
    <pivotField showAll="0"/>
    <pivotField showAll="0"/>
    <pivotField showAll="0">
      <items count="3">
        <item x="0"/>
        <item x="1"/>
        <item t="default"/>
      </items>
    </pivotField>
    <pivotField numFmtId="164" showAll="0"/>
    <pivotField showAll="0">
      <items count="3">
        <item x="1"/>
        <item x="0"/>
        <item t="default"/>
      </items>
    </pivotField>
    <pivotField showAll="0"/>
    <pivotField showAll="0">
      <items count="5">
        <item x="0"/>
        <item x="1"/>
        <item x="2"/>
        <item x="3"/>
        <item t="default"/>
      </items>
    </pivotField>
    <pivotField numFmtId="9" showAll="0"/>
    <pivotField numFmtId="9" showAll="0"/>
    <pivotField axis="axisRow" numFmtId="1" showAll="0">
      <items count="8">
        <item x="0"/>
        <item x="1"/>
        <item x="2"/>
        <item x="3"/>
        <item x="4"/>
        <item x="5"/>
        <item x="6"/>
        <item t="default"/>
      </items>
    </pivotField>
    <pivotField numFmtId="1" showAll="0"/>
    <pivotField numFmtId="1" showAll="0"/>
    <pivotField dataField="1" numFmtI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6">
    <i>
      <x v="1"/>
    </i>
    <i>
      <x v="2"/>
    </i>
    <i>
      <x v="3"/>
    </i>
    <i>
      <x v="4"/>
    </i>
    <i>
      <x v="5"/>
    </i>
    <i t="grand">
      <x/>
    </i>
  </rowItems>
  <colItems count="1">
    <i/>
  </colItems>
  <dataFields count="1">
    <dataField name="Sum of Total Count" fld="16" showDataAs="percentOfTotal" baseField="13" baseItem="3" numFmtId="10"/>
  </dataFields>
  <chartFormats count="2">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56C783-CC34-4A21-A36B-3CCA0270B3E8}" name="rider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B50" firstHeaderRow="1" firstDataRow="1" firstDataCol="1"/>
  <pivotFields count="23">
    <pivotField numFmtId="1" showAll="0"/>
    <pivotField axis="axisRow"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x="1"/>
        <item x="2"/>
        <item x="3"/>
        <item x="4"/>
        <item x="5"/>
        <item x="6"/>
        <item x="0"/>
        <item t="default"/>
      </items>
    </pivotField>
    <pivotField showAll="0"/>
    <pivotField showAll="0"/>
    <pivotField showAll="0">
      <items count="3">
        <item x="0"/>
        <item x="1"/>
        <item t="default"/>
      </items>
    </pivotField>
    <pivotField numFmtId="164" showAll="0"/>
    <pivotField showAll="0">
      <items count="3">
        <item x="1"/>
        <item x="0"/>
        <item t="default"/>
      </items>
    </pivotField>
    <pivotField showAll="0"/>
    <pivotField showAll="0"/>
    <pivotField numFmtId="9" showAll="0"/>
    <pivotField numFmtId="9" showAll="0"/>
    <pivotField numFmtId="1" showAll="0">
      <items count="8">
        <item x="0"/>
        <item x="1"/>
        <item x="2"/>
        <item x="3"/>
        <item x="4"/>
        <item x="5"/>
        <item x="6"/>
        <item t="default"/>
      </items>
    </pivotField>
    <pivotField numFmtId="1" showAll="0"/>
    <pivotField numFmtId="1" showAll="0"/>
    <pivotField dataField="1" numFmtI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21"/>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Total Count" fld="16" baseField="0" baseItem="0" numFmtId="1"/>
  </dataFields>
  <formats count="6">
    <format dxfId="10">
      <pivotArea type="all" dataOnly="0" outline="0" fieldPosition="0"/>
    </format>
    <format dxfId="9">
      <pivotArea outline="0" collapsedLevelsAreSubtotals="1" fieldPosition="0"/>
    </format>
    <format dxfId="8">
      <pivotArea field="21" type="button" dataOnly="0" labelOnly="1" outline="0" axis="axisRow" fieldPosition="0"/>
    </format>
    <format dxfId="7">
      <pivotArea dataOnly="0" labelOnly="1" fieldPosition="0">
        <references count="1">
          <reference field="21" count="45">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 dxfId="6">
      <pivotArea dataOnly="0" labelOnly="1" grandRow="1" outline="0" fieldPosition="0"/>
    </format>
    <format dxfId="5">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C9892E-2DCF-4D7A-9372-E0DBC18FC4B8}" name="weath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4:E9" firstHeaderRow="1" firstDataRow="1" firstDataCol="1"/>
  <pivotFields count="23">
    <pivotField numFmtId="1"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x="1"/>
        <item x="2"/>
        <item x="3"/>
        <item x="4"/>
        <item x="5"/>
        <item x="6"/>
        <item x="0"/>
        <item t="default"/>
      </items>
    </pivotField>
    <pivotField showAll="0"/>
    <pivotField showAll="0"/>
    <pivotField showAll="0">
      <items count="3">
        <item x="0"/>
        <item x="1"/>
        <item t="default"/>
      </items>
    </pivotField>
    <pivotField numFmtId="164" showAll="0"/>
    <pivotField showAll="0">
      <items count="3">
        <item x="1"/>
        <item x="0"/>
        <item t="default"/>
      </items>
    </pivotField>
    <pivotField showAll="0"/>
    <pivotField axis="axisRow" showAll="0">
      <items count="5">
        <item x="0"/>
        <item x="1"/>
        <item x="2"/>
        <item x="3"/>
        <item t="default"/>
      </items>
    </pivotField>
    <pivotField numFmtId="9" showAll="0"/>
    <pivotField numFmtId="9" showAll="0"/>
    <pivotField numFmtId="1" showAll="0">
      <items count="8">
        <item x="0"/>
        <item x="1"/>
        <item x="2"/>
        <item x="3"/>
        <item x="4"/>
        <item x="5"/>
        <item x="6"/>
        <item t="default"/>
      </items>
    </pivotField>
    <pivotField numFmtId="1" showAll="0"/>
    <pivotField numFmtId="1" showAll="0"/>
    <pivotField dataField="1" numFmtI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5">
    <i>
      <x/>
    </i>
    <i>
      <x v="1"/>
    </i>
    <i>
      <x v="2"/>
    </i>
    <i>
      <x v="3"/>
    </i>
    <i t="grand">
      <x/>
    </i>
  </rowItems>
  <colItems count="1">
    <i/>
  </colItems>
  <dataFields count="1">
    <dataField name="Sum of Total Count" fld="16" baseField="0" baseItem="0" numFmtId="1"/>
  </dataFields>
  <chartFormats count="2">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361C10-7D70-431B-8288-A8FD056D5D89}" name="TEMPERATURE VS RI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AH1004" firstHeaderRow="0" firstDataRow="1" firstDataCol="1"/>
  <pivotFields count="23">
    <pivotField axis="axisRow" numFmtI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numFmtId="9" showAll="0"/>
    <pivotField numFmtId="9" showAll="0"/>
    <pivotField dataField="1" numFmtId="1" showAll="0">
      <items count="8">
        <item x="0"/>
        <item x="1"/>
        <item x="2"/>
        <item x="3"/>
        <item x="4"/>
        <item x="5"/>
        <item x="6"/>
        <item t="default"/>
      </items>
    </pivotField>
    <pivotField numFmtId="1" showAll="0"/>
    <pivotField numFmtId="1" showAll="0"/>
    <pivotField dataField="1" numFmtI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Temperature©" fld="13" baseField="0" baseItem="0" numFmtId="1"/>
    <dataField name="Sum of Total Count" fld="1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D08739-6F86-47F2-AF95-2D51284CE283}" name="Humidity correl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Y1004" firstHeaderRow="0" firstDataRow="1" firstDataCol="1"/>
  <pivotFields count="23">
    <pivotField axis="axisRow" numFmtI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dataField="1" numFmtId="9" showAll="0"/>
    <pivotField numFmtId="9" showAll="0"/>
    <pivotField numFmtId="1" showAll="0">
      <items count="8">
        <item x="0"/>
        <item x="1"/>
        <item x="2"/>
        <item x="3"/>
        <item x="4"/>
        <item x="5"/>
        <item x="6"/>
        <item t="default"/>
      </items>
    </pivotField>
    <pivotField numFmtId="1" showAll="0"/>
    <pivotField numFmtId="1" showAll="0"/>
    <pivotField dataField="1" numFmtI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Humidity(%)" fld="11" baseField="0" baseItem="0" numFmtId="9"/>
    <dataField name="Sum of Total Count" fld="16" baseField="0" baseItem="0" numFmtId="1"/>
  </dataFields>
  <formats count="75">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7">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4">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3">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2">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7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7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9">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8">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7">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6">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5">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64">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3">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62">
      <pivotArea dataOnly="0" labelOnly="1" grandRow="1" outline="0" fieldPosition="0"/>
    </format>
    <format dxfId="61">
      <pivotArea dataOnly="0" labelOnly="1" outline="0" fieldPosition="0">
        <references count="1">
          <reference field="4294967294" count="2">
            <x v="0"/>
            <x v="1"/>
          </reference>
        </references>
      </pivotArea>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53">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52">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51">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50">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9">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8">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7">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6">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5">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4">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3">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2">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1">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0">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39">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8">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7">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4">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3">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2">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9">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8">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7">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6">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5">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4">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3">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987353-64AD-4ECB-9A88-576673F2BF33}" name="type of ri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R1004" firstHeaderRow="0" firstDataRow="1" firstDataCol="1"/>
  <pivotFields count="23">
    <pivotField axis="axisRow" numFmtI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x="1"/>
        <item x="2"/>
        <item x="3"/>
        <item x="4"/>
        <item x="5"/>
        <item x="6"/>
        <item x="0"/>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showAll="0"/>
    <pivotField numFmtId="9" showAll="0"/>
    <pivotField numFmtId="9" showAll="0"/>
    <pivotField numFmtId="1" showAll="0">
      <items count="8">
        <item x="0"/>
        <item x="1"/>
        <item x="2"/>
        <item x="3"/>
        <item x="4"/>
        <item x="5"/>
        <item x="6"/>
        <item t="default"/>
      </items>
    </pivotField>
    <pivotField dataField="1" numFmtId="1" showAll="0"/>
    <pivotField dataField="1" numFmtId="1" showAll="0"/>
    <pivotField numFmtI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Casual Riders" fld="14" baseField="0" baseItem="0" numFmtId="1"/>
    <dataField name="Sum of Registered Riders" fld="15" baseField="0" baseItem="0" numFmtId="1"/>
  </dataFields>
  <formats count="25">
    <format dxfId="110">
      <pivotArea type="all" dataOnly="0" outline="0" fieldPosition="0"/>
    </format>
    <format dxfId="109">
      <pivotArea outline="0" collapsedLevelsAreSubtotals="1" fieldPosition="0"/>
    </format>
    <format dxfId="108">
      <pivotArea field="0" type="button" dataOnly="0" labelOnly="1" outline="0" axis="axisRow" fieldPosition="0"/>
    </format>
    <format dxfId="10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3">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2">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1">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0">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9">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98">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97">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96">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95">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94">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93">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92">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91">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90">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89">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88">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87">
      <pivotArea dataOnly="0" labelOnly="1" grandRow="1" outline="0" fieldPosition="0"/>
    </format>
    <format dxfId="8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2AF260-6B65-4715-AE07-A75429C78B5E}" name="DEMAND BY H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27" firstHeaderRow="1" firstDataRow="1" firstDataCol="1"/>
  <pivotFields count="23">
    <pivotField numFmtId="1" showAll="0"/>
    <pivotField numFmtId="165"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8">
        <item x="1"/>
        <item x="2"/>
        <item x="3"/>
        <item x="4"/>
        <item x="5"/>
        <item x="6"/>
        <item x="0"/>
        <item t="default"/>
      </items>
    </pivotField>
    <pivotField showAll="0"/>
    <pivotField showAll="0"/>
    <pivotField showAll="0">
      <items count="3">
        <item x="0"/>
        <item x="1"/>
        <item t="default"/>
      </items>
    </pivotField>
    <pivotField axis="axisRow" showAll="0">
      <items count="49">
        <item x="1"/>
        <item x="13"/>
        <item x="10"/>
        <item x="22"/>
        <item x="11"/>
        <item x="23"/>
        <item x="0"/>
        <item x="12"/>
        <item x="2"/>
        <item x="14"/>
        <item x="3"/>
        <item x="15"/>
        <item x="4"/>
        <item x="16"/>
        <item x="5"/>
        <item x="17"/>
        <item x="6"/>
        <item x="18"/>
        <item x="7"/>
        <item x="19"/>
        <item x="8"/>
        <item x="20"/>
        <item x="9"/>
        <item x="21"/>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t="default"/>
      </items>
    </pivotField>
    <pivotField showAll="0">
      <items count="3">
        <item x="1"/>
        <item x="0"/>
        <item t="default"/>
      </items>
    </pivotField>
    <pivotField showAll="0"/>
    <pivotField showAll="0"/>
    <pivotField numFmtId="9" showAll="0"/>
    <pivotField numFmtId="9" showAll="0"/>
    <pivotField numFmtId="1" showAll="0">
      <items count="8">
        <item x="0"/>
        <item x="1"/>
        <item x="2"/>
        <item x="3"/>
        <item x="4"/>
        <item x="5"/>
        <item x="6"/>
        <item t="default"/>
      </items>
    </pivotField>
    <pivotField numFmtId="1" showAll="0"/>
    <pivotField numFmtId="1" showAll="0"/>
    <pivotField dataField="1" numFmtI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Count" fld="16" baseField="0" baseItem="0" numFmtId="1"/>
  </dataFields>
  <formats count="6">
    <format dxfId="116">
      <pivotArea type="all" dataOnly="0" outline="0" fieldPosition="0"/>
    </format>
    <format dxfId="115">
      <pivotArea outline="0" collapsedLevelsAreSubtotals="1" fieldPosition="0"/>
    </format>
    <format dxfId="114">
      <pivotArea field="7" type="button" dataOnly="0" labelOnly="1" outline="0" axis="axisRow" fieldPosition="0"/>
    </format>
    <format dxfId="113">
      <pivotArea dataOnly="0" labelOnly="1" fieldPosition="0">
        <references count="1">
          <reference field="7" count="0"/>
        </references>
      </pivotArea>
    </format>
    <format dxfId="112">
      <pivotArea dataOnly="0" labelOnly="1" grandRow="1" outline="0" fieldPosition="0"/>
    </format>
    <format dxfId="1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FABF3549-FB5D-4B01-A14F-9438B60A718F}"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9BC27781-FC03-4853-A68D-F77AEB9A2FB0}" autoFormatId="16" applyNumberFormats="0" applyBorderFormats="0" applyFontFormats="0" applyPatternFormats="0" applyAlignmentFormats="0" applyWidthHeightFormats="0">
  <queryTableRefresh nextId="23">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7" name="atemp" tableColumnId="17"/>
      <queryTableField id="18" name="hum" tableColumnId="18"/>
      <queryTableField id="19" name="windspeed" tableColumnId="19"/>
      <queryTableField id="20" name="casual" tableColumnId="20"/>
      <queryTableField id="21" name="registered" tableColumnId="21"/>
      <queryTableField id="22" name="cn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weekend" xr10:uid="{D0588560-5FAA-4736-BE6D-384B9F8E9995}" sourceName="Weekday/weekend">
  <pivotTables>
    <pivotTable tabId="12" name="rider trend"/>
    <pivotTable tabId="12" name="DEMAND BY HOUR"/>
    <pivotTable tabId="12" name="type of rider"/>
    <pivotTable tabId="12" name="weather"/>
    <pivotTable tabId="12" name="PivotTable14"/>
  </pivotTables>
  <data>
    <tabular pivotCacheId="93275490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7231B6F-57A1-4AD8-B3F7-DE035FBEA678}" sourceName="Month">
  <pivotTables>
    <pivotTable tabId="12" name="rider trend"/>
    <pivotTable tabId="12" name="DEMAND BY HOUR"/>
    <pivotTable tabId="12" name="type of rider"/>
    <pivotTable tabId="12" name="weather"/>
    <pivotTable tabId="12" name="PivotTable14"/>
  </pivotTables>
  <data>
    <tabular pivotCacheId="9327549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095582B5-9976-4C53-80F0-A67C7C527E5F}" sourceName="Days">
  <pivotTables>
    <pivotTable tabId="12" name="rider trend"/>
    <pivotTable tabId="12" name="DEMAND BY HOUR"/>
    <pivotTable tabId="12" name="type of rider"/>
    <pivotTable tabId="12" name="weather"/>
    <pivotTable tabId="12" name="PivotTable14"/>
  </pivotTables>
  <data>
    <tabular pivotCacheId="932754905">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weekend" xr10:uid="{1AB2C9D2-22F7-4684-BFB6-A347959273D4}" cache="Slicer_Weekday_weekend" rowHeight="360000"/>
  <slicer name="Month" xr10:uid="{C3F770A5-E3FF-4A93-8F48-AD2B143817BD}" cache="Slicer_Month" rowHeight="360000"/>
  <slicer name="Days" xr10:uid="{115B33C6-7E94-4DD8-B0BA-C116A6862374}" cache="Slicer_Days"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18CE66-83B6-4A13-8B6A-8DF91F1EEF72}" name="Table1" displayName="Table1" ref="A1:E29" totalsRowShown="0">
  <autoFilter ref="A1:E29" xr:uid="{5818CE66-83B6-4A13-8B6A-8DF91F1EEF72}"/>
  <tableColumns count="5">
    <tableColumn id="1" xr3:uid="{E614BF87-7E79-4B97-9084-FC58AD7032C4}" name="Demand Forecast" dataDxfId="120"/>
    <tableColumn id="2" xr3:uid="{A730A696-2536-47E1-8404-662F3DE2113F}" name="Rider Count"/>
    <tableColumn id="3" xr3:uid="{A8E7633F-FE19-4290-A831-661387B1D577}" name="Forecast(Rider Count)" dataDxfId="119">
      <calculatedColumnFormula>_xlfn.FORECAST.ETS(A2,$B$2:$B$15,$A$2:$A$15,1,1)</calculatedColumnFormula>
    </tableColumn>
    <tableColumn id="4" xr3:uid="{3E319F71-6CB5-46E4-9ABB-C5630319977F}" name="Lower Confidence Bound(Rider Count)" dataDxfId="118">
      <calculatedColumnFormula>C2-_xlfn.FORECAST.ETS.CONFINT(A2,$B$2:$B$15,$A$2:$A$15,0.95,1,1)</calculatedColumnFormula>
    </tableColumn>
    <tableColumn id="5" xr3:uid="{30E79E2F-F23F-478B-8536-EB789AED8540}" name="Upper Confidence Bound(Rider Count)" dataDxfId="117">
      <calculatedColumnFormula>C2+_xlfn.FORECAST.ETS.CONFINT(A2,$B$2:$B$15,$A$2:$A$15,0.95,1,1)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6DFCE2-3F49-486D-86EE-DB4D509A1130}" name="dataset_3" displayName="dataset_3" ref="A1:P391" tableType="queryTable" totalsRowShown="0">
  <autoFilter ref="A1:P391" xr:uid="{766DFCE2-3F49-486D-86EE-DB4D509A1130}"/>
  <sortState xmlns:xlrd2="http://schemas.microsoft.com/office/spreadsheetml/2017/richdata2" ref="A2:P391">
    <sortCondition ref="A1:A391"/>
  </sortState>
  <tableColumns count="16">
    <tableColumn id="1" xr3:uid="{7716AA01-F835-426A-9E06-7AD5B97C626A}" uniqueName="1" name="instant" queryTableFieldId="1"/>
    <tableColumn id="2" xr3:uid="{FF784134-7406-48C9-B955-1E6BB25F4AE3}" uniqueName="2" name="dteday" queryTableFieldId="2" dataDxfId="4"/>
    <tableColumn id="3" xr3:uid="{DA5D7832-FB2E-4846-9B80-6E7496217784}" uniqueName="3" name="season" queryTableFieldId="3"/>
    <tableColumn id="4" xr3:uid="{D0BAAEAC-7B0D-4AAD-AF6E-8FCDFEBCF181}" uniqueName="4" name="yr" queryTableFieldId="4"/>
    <tableColumn id="5" xr3:uid="{4F048115-F343-4A7A-A044-06E11EC1C9E2}" uniqueName="5" name="mnth" queryTableFieldId="5"/>
    <tableColumn id="6" xr3:uid="{D4D4DE33-1A48-4C75-B47B-71B11B3F5BAA}" uniqueName="6" name="hr" queryTableFieldId="6"/>
    <tableColumn id="7" xr3:uid="{159CEFDA-FE4A-4878-BD68-9849F3708FB4}" uniqueName="7" name="holiday" queryTableFieldId="7"/>
    <tableColumn id="8" xr3:uid="{714786EA-3715-4587-9ECF-995809297EAB}" uniqueName="8" name="weekday" queryTableFieldId="8"/>
    <tableColumn id="9" xr3:uid="{2CF9D00B-E009-4B11-B45C-365F0C304632}" uniqueName="9" name="weathersit" queryTableFieldId="9"/>
    <tableColumn id="10" xr3:uid="{ADDFDD84-CB0B-4AB8-851A-6B64CDD4DB3D}" uniqueName="10" name="temp" queryTableFieldId="10"/>
    <tableColumn id="11" xr3:uid="{5724B55A-9B08-432F-B833-0BCAAB34CEC1}" uniqueName="11" name="atemp" queryTableFieldId="11"/>
    <tableColumn id="12" xr3:uid="{EFEAC53E-410A-4538-930E-005F9751301D}" uniqueName="12" name="hum" queryTableFieldId="12"/>
    <tableColumn id="13" xr3:uid="{D9218FF7-D58A-41D6-9019-DDA801C7D038}" uniqueName="13" name="windspeed" queryTableFieldId="13"/>
    <tableColumn id="14" xr3:uid="{29BDF6B3-1324-42D3-B111-7DD1AA33B3E8}" uniqueName="14" name="casual" queryTableFieldId="14"/>
    <tableColumn id="15" xr3:uid="{F92DEC19-D17D-492C-B51F-6BCB8AF38BCD}" uniqueName="15" name="registered" queryTableFieldId="15"/>
    <tableColumn id="16" xr3:uid="{B1935AD8-CDEB-41C8-BE18-02B67990BF20}" uniqueName="16" name="cnt"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A165FD-C957-443C-B04C-63557D12E8B8}" name="Merge1" displayName="Merge1" ref="A1:P611" tableType="queryTable" totalsRowShown="0" headerRowDxfId="3">
  <autoFilter ref="A1:P611" xr:uid="{AEA165FD-C957-443C-B04C-63557D12E8B8}"/>
  <tableColumns count="16">
    <tableColumn id="1" xr3:uid="{F132E3BD-188B-4008-B6F6-2BBE3B761DD7}" uniqueName="1" name="instant" queryTableFieldId="1"/>
    <tableColumn id="2" xr3:uid="{0B6198FE-1F3B-4ECB-85D5-9B7E0E61FD6E}" uniqueName="2" name="dteday" queryTableFieldId="2" dataDxfId="2"/>
    <tableColumn id="3" xr3:uid="{3E6DEFD7-5CAD-47C4-8CE9-C1A9D628DB82}" uniqueName="3" name="season" queryTableFieldId="3"/>
    <tableColumn id="4" xr3:uid="{C598FC13-74C3-476C-8922-653E2094D10E}" uniqueName="4" name="yr" queryTableFieldId="4"/>
    <tableColumn id="5" xr3:uid="{27EC4C06-A630-4D65-B7C2-FAE0175673C3}" uniqueName="5" name="mnth" queryTableFieldId="5"/>
    <tableColumn id="6" xr3:uid="{A9A97AE8-14A7-4944-A19C-51E5643E4963}" uniqueName="6" name="hr" queryTableFieldId="6"/>
    <tableColumn id="7" xr3:uid="{67570AB4-B543-40FC-897B-9173B8045C52}" uniqueName="7" name="holiday" queryTableFieldId="7"/>
    <tableColumn id="8" xr3:uid="{1D451170-12CE-48B4-B87E-1053147A72D8}" uniqueName="8" name="weekday" queryTableFieldId="8"/>
    <tableColumn id="9" xr3:uid="{4B459EB4-11E6-4FD1-A6C5-894AB67CB9C2}" uniqueName="9" name="weathersit" queryTableFieldId="9"/>
    <tableColumn id="10" xr3:uid="{5D4DB414-3154-4EA4-A8A4-5CD4BFB6D8C0}" uniqueName="10" name="temp" queryTableFieldId="10"/>
    <tableColumn id="17" xr3:uid="{13462FA2-0541-45A5-95A4-E0F05EFE4AE3}" uniqueName="17" name="atemp" queryTableFieldId="17"/>
    <tableColumn id="18" xr3:uid="{5F6B3EBC-5467-4E84-9D96-8E22B5F91C85}" uniqueName="18" name="hum" queryTableFieldId="18"/>
    <tableColumn id="19" xr3:uid="{69457201-2C70-4159-A9B4-FC868FBA8740}" uniqueName="19" name="windspeed" queryTableFieldId="19"/>
    <tableColumn id="20" xr3:uid="{D98E1DE6-3693-4AF4-B855-826CA572D09A}" uniqueName="20" name="casual" queryTableFieldId="20"/>
    <tableColumn id="21" xr3:uid="{7DC82A45-09F1-49B9-B638-2C48D0706C42}" uniqueName="21" name="registered" queryTableFieldId="21"/>
    <tableColumn id="22" xr3:uid="{0434AD25-0386-4B44-9D74-5382CBDE3CB7}" uniqueName="22" name="cn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4FABC-86E6-4D75-BBEB-E9F355D0CD18}">
  <dimension ref="AA38"/>
  <sheetViews>
    <sheetView tabSelected="1" zoomScale="70" zoomScaleNormal="70" workbookViewId="0">
      <selection activeCell="P6" sqref="P6"/>
    </sheetView>
  </sheetViews>
  <sheetFormatPr defaultRowHeight="14.4"/>
  <cols>
    <col min="1" max="16384" width="8.88671875" style="59"/>
  </cols>
  <sheetData>
    <row r="38" spans="27:27">
      <c r="AA38" s="59" t="s">
        <v>148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1146-CC77-4165-A162-645DB691F40F}">
  <dimension ref="F1:Q49"/>
  <sheetViews>
    <sheetView workbookViewId="0">
      <selection activeCell="J10" sqref="J10"/>
    </sheetView>
  </sheetViews>
  <sheetFormatPr defaultRowHeight="14.4"/>
  <cols>
    <col min="3" max="3" width="12.5546875" bestFit="1" customWidth="1"/>
    <col min="4" max="4" width="17.44140625" bestFit="1" customWidth="1"/>
    <col min="6" max="6" width="14.33203125" bestFit="1" customWidth="1"/>
    <col min="9" max="9" width="21.109375" style="62" bestFit="1" customWidth="1"/>
    <col min="10" max="10" width="17.44140625" bestFit="1" customWidth="1"/>
    <col min="13" max="13" width="14.21875" bestFit="1" customWidth="1"/>
    <col min="14" max="14" width="14.33203125" bestFit="1" customWidth="1"/>
    <col min="16" max="16" width="12.5546875" style="62" bestFit="1" customWidth="1"/>
    <col min="17" max="17" width="17.44140625" bestFit="1" customWidth="1"/>
  </cols>
  <sheetData>
    <row r="1" spans="6:17">
      <c r="J1" s="66"/>
    </row>
    <row r="2" spans="6:17">
      <c r="F2" s="30">
        <f>_xlfn.QUARTILE.INC($J$4:$J$48,1)</f>
        <v>1005</v>
      </c>
      <c r="G2" s="30" t="s">
        <v>149</v>
      </c>
      <c r="I2" s="71" t="s">
        <v>152</v>
      </c>
      <c r="J2" s="30"/>
      <c r="K2" s="30"/>
      <c r="L2" s="30"/>
      <c r="M2" s="30"/>
      <c r="N2" s="30"/>
      <c r="P2" s="28" t="s">
        <v>49</v>
      </c>
      <c r="Q2" t="s">
        <v>51</v>
      </c>
    </row>
    <row r="3" spans="6:17">
      <c r="F3" s="30">
        <f>_xlfn.QUARTILE.INC($J$4:$J$48,3)</f>
        <v>1562</v>
      </c>
      <c r="G3" s="30" t="s">
        <v>29</v>
      </c>
      <c r="I3" s="73" t="s">
        <v>19</v>
      </c>
      <c r="J3" s="74" t="s">
        <v>43</v>
      </c>
      <c r="K3" s="74" t="s">
        <v>153</v>
      </c>
      <c r="L3" s="74" t="s">
        <v>154</v>
      </c>
      <c r="M3" s="74" t="s">
        <v>151</v>
      </c>
      <c r="N3" s="74" t="s">
        <v>150</v>
      </c>
      <c r="P3" s="65">
        <v>40544</v>
      </c>
      <c r="Q3">
        <v>985</v>
      </c>
    </row>
    <row r="4" spans="6:17">
      <c r="I4" s="71">
        <f>P3</f>
        <v>40544</v>
      </c>
      <c r="J4" s="30">
        <f>Q3</f>
        <v>985</v>
      </c>
      <c r="K4" s="30" t="str">
        <f t="shared" ref="K4:K48" si="0">IF(OR(J4&lt;$G$7,J4&gt;$G$8),J4,"")</f>
        <v/>
      </c>
      <c r="L4" s="30">
        <f t="shared" ref="L4:L47" si="1">IF(AND(J4&gt;$G$7,J4&lt;$G$8),J4,"")</f>
        <v>985</v>
      </c>
      <c r="M4" s="30">
        <v>2397.5</v>
      </c>
      <c r="N4" s="30">
        <v>169.5</v>
      </c>
      <c r="P4" s="65">
        <v>40545</v>
      </c>
      <c r="Q4">
        <v>801</v>
      </c>
    </row>
    <row r="5" spans="6:17">
      <c r="F5" s="8" t="s">
        <v>31</v>
      </c>
      <c r="G5" s="8">
        <f>F3-F2</f>
        <v>557</v>
      </c>
      <c r="I5" s="71">
        <f t="shared" ref="I5:I48" si="2">P4</f>
        <v>40545</v>
      </c>
      <c r="J5" s="30">
        <f t="shared" ref="J5:J48" si="3">Q4</f>
        <v>801</v>
      </c>
      <c r="K5" s="30" t="str">
        <f t="shared" si="0"/>
        <v/>
      </c>
      <c r="L5" s="30">
        <f t="shared" si="1"/>
        <v>801</v>
      </c>
      <c r="M5" s="30">
        <v>2397.5</v>
      </c>
      <c r="N5" s="30">
        <v>169.5</v>
      </c>
      <c r="P5" s="65">
        <v>40546</v>
      </c>
      <c r="Q5">
        <v>1349</v>
      </c>
    </row>
    <row r="6" spans="6:17">
      <c r="I6" s="71">
        <f t="shared" si="2"/>
        <v>40546</v>
      </c>
      <c r="J6" s="30">
        <f t="shared" si="3"/>
        <v>1349</v>
      </c>
      <c r="K6" s="30" t="str">
        <f t="shared" si="0"/>
        <v/>
      </c>
      <c r="L6" s="30">
        <f t="shared" si="1"/>
        <v>1349</v>
      </c>
      <c r="M6" s="30">
        <v>2397.5</v>
      </c>
      <c r="N6" s="30">
        <v>169.5</v>
      </c>
      <c r="P6" s="65">
        <v>40547</v>
      </c>
      <c r="Q6">
        <v>1562</v>
      </c>
    </row>
    <row r="7" spans="6:17">
      <c r="F7" t="s">
        <v>150</v>
      </c>
      <c r="G7">
        <f>F2-(1.5*(G5))</f>
        <v>169.5</v>
      </c>
      <c r="I7" s="71">
        <f t="shared" si="2"/>
        <v>40547</v>
      </c>
      <c r="J7" s="30">
        <f t="shared" si="3"/>
        <v>1562</v>
      </c>
      <c r="K7" s="30" t="str">
        <f t="shared" si="0"/>
        <v/>
      </c>
      <c r="L7" s="30">
        <f t="shared" si="1"/>
        <v>1562</v>
      </c>
      <c r="M7" s="30">
        <v>2397.5</v>
      </c>
      <c r="N7" s="30">
        <v>169.5</v>
      </c>
      <c r="P7" s="65">
        <v>40548</v>
      </c>
      <c r="Q7">
        <v>1600</v>
      </c>
    </row>
    <row r="8" spans="6:17">
      <c r="F8" t="s">
        <v>151</v>
      </c>
      <c r="G8">
        <f>F3+(1.5*(G5))</f>
        <v>2397.5</v>
      </c>
      <c r="I8" s="71">
        <f t="shared" si="2"/>
        <v>40548</v>
      </c>
      <c r="J8" s="30">
        <f t="shared" si="3"/>
        <v>1600</v>
      </c>
      <c r="K8" s="30" t="str">
        <f t="shared" si="0"/>
        <v/>
      </c>
      <c r="L8" s="30">
        <f t="shared" si="1"/>
        <v>1600</v>
      </c>
      <c r="M8" s="30">
        <v>2397.5</v>
      </c>
      <c r="N8" s="30">
        <v>169.5</v>
      </c>
      <c r="P8" s="65">
        <v>40549</v>
      </c>
      <c r="Q8">
        <v>1606</v>
      </c>
    </row>
    <row r="9" spans="6:17">
      <c r="I9" s="71">
        <f t="shared" si="2"/>
        <v>40549</v>
      </c>
      <c r="J9" s="30">
        <f t="shared" si="3"/>
        <v>1606</v>
      </c>
      <c r="K9" s="30" t="str">
        <f t="shared" si="0"/>
        <v/>
      </c>
      <c r="L9" s="30">
        <f t="shared" si="1"/>
        <v>1606</v>
      </c>
      <c r="M9" s="30">
        <v>2397.5</v>
      </c>
      <c r="N9" s="30">
        <v>169.5</v>
      </c>
      <c r="P9" s="65">
        <v>40550</v>
      </c>
      <c r="Q9">
        <v>1510</v>
      </c>
    </row>
    <row r="10" spans="6:17">
      <c r="I10" s="71">
        <f t="shared" si="2"/>
        <v>40550</v>
      </c>
      <c r="J10" s="30">
        <f t="shared" si="3"/>
        <v>1510</v>
      </c>
      <c r="K10" s="30" t="str">
        <f t="shared" si="0"/>
        <v/>
      </c>
      <c r="L10" s="30">
        <f t="shared" si="1"/>
        <v>1510</v>
      </c>
      <c r="M10" s="30">
        <v>2397.5</v>
      </c>
      <c r="N10" s="30">
        <v>169.5</v>
      </c>
      <c r="P10" s="65">
        <v>40551</v>
      </c>
      <c r="Q10">
        <v>959</v>
      </c>
    </row>
    <row r="11" spans="6:17">
      <c r="I11" s="71">
        <f t="shared" si="2"/>
        <v>40551</v>
      </c>
      <c r="J11" s="30">
        <f t="shared" si="3"/>
        <v>959</v>
      </c>
      <c r="K11" s="30" t="str">
        <f t="shared" si="0"/>
        <v/>
      </c>
      <c r="L11" s="30">
        <f t="shared" si="1"/>
        <v>959</v>
      </c>
      <c r="M11" s="30">
        <v>2397.5</v>
      </c>
      <c r="N11" s="30">
        <v>169.5</v>
      </c>
      <c r="P11" s="65">
        <v>40552</v>
      </c>
      <c r="Q11">
        <v>822</v>
      </c>
    </row>
    <row r="12" spans="6:17">
      <c r="I12" s="71">
        <f t="shared" si="2"/>
        <v>40552</v>
      </c>
      <c r="J12" s="30">
        <f t="shared" si="3"/>
        <v>822</v>
      </c>
      <c r="K12" s="30" t="str">
        <f t="shared" si="0"/>
        <v/>
      </c>
      <c r="L12" s="30">
        <f t="shared" si="1"/>
        <v>822</v>
      </c>
      <c r="M12" s="30">
        <v>2397.5</v>
      </c>
      <c r="N12" s="30">
        <v>169.5</v>
      </c>
      <c r="P12" s="65">
        <v>40553</v>
      </c>
      <c r="Q12">
        <v>1321</v>
      </c>
    </row>
    <row r="13" spans="6:17">
      <c r="I13" s="71">
        <f t="shared" si="2"/>
        <v>40553</v>
      </c>
      <c r="J13" s="30">
        <f t="shared" si="3"/>
        <v>1321</v>
      </c>
      <c r="K13" s="30" t="str">
        <f t="shared" si="0"/>
        <v/>
      </c>
      <c r="L13" s="30">
        <f t="shared" si="1"/>
        <v>1321</v>
      </c>
      <c r="M13" s="30">
        <v>2397.5</v>
      </c>
      <c r="N13" s="30">
        <v>169.5</v>
      </c>
      <c r="P13" s="65">
        <v>40554</v>
      </c>
      <c r="Q13">
        <v>1263</v>
      </c>
    </row>
    <row r="14" spans="6:17">
      <c r="I14" s="71">
        <f t="shared" si="2"/>
        <v>40554</v>
      </c>
      <c r="J14" s="30">
        <f t="shared" si="3"/>
        <v>1263</v>
      </c>
      <c r="K14" s="30" t="str">
        <f t="shared" si="0"/>
        <v/>
      </c>
      <c r="L14" s="30">
        <f t="shared" si="1"/>
        <v>1263</v>
      </c>
      <c r="M14" s="30">
        <v>2397.5</v>
      </c>
      <c r="N14" s="30">
        <v>169.5</v>
      </c>
      <c r="P14" s="65">
        <v>40555</v>
      </c>
      <c r="Q14">
        <v>1162</v>
      </c>
    </row>
    <row r="15" spans="6:17">
      <c r="I15" s="71">
        <f t="shared" si="2"/>
        <v>40555</v>
      </c>
      <c r="J15" s="30">
        <f t="shared" si="3"/>
        <v>1162</v>
      </c>
      <c r="K15" s="30" t="str">
        <f t="shared" si="0"/>
        <v/>
      </c>
      <c r="L15" s="30">
        <f t="shared" si="1"/>
        <v>1162</v>
      </c>
      <c r="M15" s="30">
        <v>2397.5</v>
      </c>
      <c r="N15" s="30">
        <v>169.5</v>
      </c>
      <c r="P15" s="65">
        <v>40556</v>
      </c>
      <c r="Q15">
        <v>1406</v>
      </c>
    </row>
    <row r="16" spans="6:17">
      <c r="I16" s="71">
        <f t="shared" si="2"/>
        <v>40556</v>
      </c>
      <c r="J16" s="30">
        <f t="shared" si="3"/>
        <v>1406</v>
      </c>
      <c r="K16" s="30" t="str">
        <f t="shared" si="0"/>
        <v/>
      </c>
      <c r="L16" s="30">
        <f t="shared" si="1"/>
        <v>1406</v>
      </c>
      <c r="M16" s="30">
        <v>2397.5</v>
      </c>
      <c r="N16" s="30">
        <v>169.5</v>
      </c>
      <c r="P16" s="65">
        <v>40557</v>
      </c>
      <c r="Q16">
        <v>1421</v>
      </c>
    </row>
    <row r="17" spans="9:17">
      <c r="I17" s="71">
        <f t="shared" si="2"/>
        <v>40557</v>
      </c>
      <c r="J17" s="30">
        <f t="shared" si="3"/>
        <v>1421</v>
      </c>
      <c r="K17" s="30" t="str">
        <f t="shared" si="0"/>
        <v/>
      </c>
      <c r="L17" s="30">
        <f t="shared" si="1"/>
        <v>1421</v>
      </c>
      <c r="M17" s="30">
        <v>2397.5</v>
      </c>
      <c r="N17" s="30">
        <v>169.5</v>
      </c>
      <c r="P17" s="65">
        <v>40558</v>
      </c>
      <c r="Q17">
        <v>1248</v>
      </c>
    </row>
    <row r="18" spans="9:17">
      <c r="I18" s="71">
        <f t="shared" si="2"/>
        <v>40558</v>
      </c>
      <c r="J18" s="30">
        <f t="shared" si="3"/>
        <v>1248</v>
      </c>
      <c r="K18" s="30" t="str">
        <f t="shared" si="0"/>
        <v/>
      </c>
      <c r="L18" s="30">
        <f t="shared" si="1"/>
        <v>1248</v>
      </c>
      <c r="M18" s="30">
        <v>2397.5</v>
      </c>
      <c r="N18" s="30">
        <v>169.5</v>
      </c>
      <c r="P18" s="65">
        <v>40559</v>
      </c>
      <c r="Q18">
        <v>1204</v>
      </c>
    </row>
    <row r="19" spans="9:17">
      <c r="I19" s="71">
        <f t="shared" si="2"/>
        <v>40559</v>
      </c>
      <c r="J19" s="30">
        <f t="shared" si="3"/>
        <v>1204</v>
      </c>
      <c r="K19" s="30" t="str">
        <f t="shared" si="0"/>
        <v/>
      </c>
      <c r="L19" s="30">
        <f t="shared" si="1"/>
        <v>1204</v>
      </c>
      <c r="M19" s="30">
        <v>2397.5</v>
      </c>
      <c r="N19" s="30">
        <v>169.5</v>
      </c>
      <c r="P19" s="65">
        <v>40560</v>
      </c>
      <c r="Q19">
        <v>1000</v>
      </c>
    </row>
    <row r="20" spans="9:17">
      <c r="I20" s="71">
        <f t="shared" si="2"/>
        <v>40560</v>
      </c>
      <c r="J20" s="30">
        <f t="shared" si="3"/>
        <v>1000</v>
      </c>
      <c r="K20" s="30" t="str">
        <f t="shared" si="0"/>
        <v/>
      </c>
      <c r="L20" s="30">
        <f t="shared" si="1"/>
        <v>1000</v>
      </c>
      <c r="M20" s="30">
        <v>2397.5</v>
      </c>
      <c r="N20" s="30">
        <v>169.5</v>
      </c>
      <c r="P20" s="65">
        <v>40561</v>
      </c>
      <c r="Q20">
        <v>683</v>
      </c>
    </row>
    <row r="21" spans="9:17">
      <c r="I21" s="71">
        <f t="shared" si="2"/>
        <v>40561</v>
      </c>
      <c r="J21" s="30">
        <f t="shared" si="3"/>
        <v>683</v>
      </c>
      <c r="K21" s="30" t="str">
        <f t="shared" si="0"/>
        <v/>
      </c>
      <c r="L21" s="30">
        <f t="shared" si="1"/>
        <v>683</v>
      </c>
      <c r="M21" s="30">
        <v>2397.5</v>
      </c>
      <c r="N21" s="30">
        <v>169.5</v>
      </c>
      <c r="P21" s="65">
        <v>40562</v>
      </c>
      <c r="Q21">
        <v>1650</v>
      </c>
    </row>
    <row r="22" spans="9:17">
      <c r="I22" s="71">
        <f t="shared" si="2"/>
        <v>40562</v>
      </c>
      <c r="J22" s="30">
        <f t="shared" si="3"/>
        <v>1650</v>
      </c>
      <c r="K22" s="30" t="str">
        <f t="shared" si="0"/>
        <v/>
      </c>
      <c r="L22" s="30">
        <f t="shared" si="1"/>
        <v>1650</v>
      </c>
      <c r="M22" s="30">
        <v>2397.5</v>
      </c>
      <c r="N22" s="30">
        <v>169.5</v>
      </c>
      <c r="P22" s="65">
        <v>40563</v>
      </c>
      <c r="Q22">
        <v>1927</v>
      </c>
    </row>
    <row r="23" spans="9:17">
      <c r="I23" s="71">
        <f t="shared" si="2"/>
        <v>40563</v>
      </c>
      <c r="J23" s="30">
        <f t="shared" si="3"/>
        <v>1927</v>
      </c>
      <c r="K23" s="30" t="str">
        <f t="shared" si="0"/>
        <v/>
      </c>
      <c r="L23" s="30">
        <f t="shared" si="1"/>
        <v>1927</v>
      </c>
      <c r="M23" s="30">
        <v>2397.5</v>
      </c>
      <c r="N23" s="30">
        <v>169.5</v>
      </c>
      <c r="P23" s="65">
        <v>40564</v>
      </c>
      <c r="Q23">
        <v>1543</v>
      </c>
    </row>
    <row r="24" spans="9:17">
      <c r="I24" s="71">
        <f t="shared" si="2"/>
        <v>40564</v>
      </c>
      <c r="J24" s="30">
        <f t="shared" si="3"/>
        <v>1543</v>
      </c>
      <c r="K24" s="30" t="str">
        <f t="shared" si="0"/>
        <v/>
      </c>
      <c r="L24" s="30">
        <f t="shared" si="1"/>
        <v>1543</v>
      </c>
      <c r="M24" s="30">
        <v>2397.5</v>
      </c>
      <c r="N24" s="30">
        <v>169.5</v>
      </c>
      <c r="P24" s="65">
        <v>40565</v>
      </c>
      <c r="Q24">
        <v>981</v>
      </c>
    </row>
    <row r="25" spans="9:17">
      <c r="I25" s="71">
        <f t="shared" si="2"/>
        <v>40565</v>
      </c>
      <c r="J25" s="30">
        <f t="shared" si="3"/>
        <v>981</v>
      </c>
      <c r="K25" s="30" t="str">
        <f t="shared" si="0"/>
        <v/>
      </c>
      <c r="L25" s="30">
        <f t="shared" si="1"/>
        <v>981</v>
      </c>
      <c r="M25" s="30">
        <v>2397.5</v>
      </c>
      <c r="N25" s="30">
        <v>169.5</v>
      </c>
      <c r="P25" s="65">
        <v>40566</v>
      </c>
      <c r="Q25">
        <v>986</v>
      </c>
    </row>
    <row r="26" spans="9:17">
      <c r="I26" s="71">
        <f t="shared" si="2"/>
        <v>40566</v>
      </c>
      <c r="J26" s="30">
        <f t="shared" si="3"/>
        <v>986</v>
      </c>
      <c r="K26" s="30" t="str">
        <f t="shared" si="0"/>
        <v/>
      </c>
      <c r="L26" s="30">
        <f t="shared" si="1"/>
        <v>986</v>
      </c>
      <c r="M26" s="30">
        <v>2397.5</v>
      </c>
      <c r="N26" s="30">
        <v>169.5</v>
      </c>
      <c r="P26" s="65">
        <v>40567</v>
      </c>
      <c r="Q26">
        <v>1416</v>
      </c>
    </row>
    <row r="27" spans="9:17">
      <c r="I27" s="71">
        <f t="shared" si="2"/>
        <v>40567</v>
      </c>
      <c r="J27" s="30">
        <f t="shared" si="3"/>
        <v>1416</v>
      </c>
      <c r="K27" s="30" t="str">
        <f t="shared" si="0"/>
        <v/>
      </c>
      <c r="L27" s="30">
        <f t="shared" si="1"/>
        <v>1416</v>
      </c>
      <c r="M27" s="30">
        <v>2397.5</v>
      </c>
      <c r="N27" s="30">
        <v>169.5</v>
      </c>
      <c r="P27" s="65">
        <v>40568</v>
      </c>
      <c r="Q27">
        <v>1985</v>
      </c>
    </row>
    <row r="28" spans="9:17">
      <c r="I28" s="71">
        <f t="shared" si="2"/>
        <v>40568</v>
      </c>
      <c r="J28" s="30">
        <f t="shared" si="3"/>
        <v>1985</v>
      </c>
      <c r="K28" s="30" t="str">
        <f t="shared" si="0"/>
        <v/>
      </c>
      <c r="L28" s="30">
        <f t="shared" si="1"/>
        <v>1985</v>
      </c>
      <c r="M28" s="30">
        <v>2397.5</v>
      </c>
      <c r="N28" s="30">
        <v>169.5</v>
      </c>
      <c r="P28" s="65">
        <v>40569</v>
      </c>
      <c r="Q28">
        <v>506</v>
      </c>
    </row>
    <row r="29" spans="9:17">
      <c r="I29" s="71">
        <f t="shared" si="2"/>
        <v>40569</v>
      </c>
      <c r="J29" s="30">
        <f t="shared" si="3"/>
        <v>506</v>
      </c>
      <c r="K29" s="30" t="str">
        <f t="shared" si="0"/>
        <v/>
      </c>
      <c r="L29" s="30">
        <f t="shared" si="1"/>
        <v>506</v>
      </c>
      <c r="M29" s="30">
        <v>2397.5</v>
      </c>
      <c r="N29" s="30">
        <v>169.5</v>
      </c>
      <c r="P29" s="65">
        <v>40570</v>
      </c>
      <c r="Q29">
        <v>431</v>
      </c>
    </row>
    <row r="30" spans="9:17">
      <c r="I30" s="71">
        <f t="shared" si="2"/>
        <v>40570</v>
      </c>
      <c r="J30" s="30">
        <f t="shared" si="3"/>
        <v>431</v>
      </c>
      <c r="K30" s="30" t="str">
        <f t="shared" si="0"/>
        <v/>
      </c>
      <c r="L30" s="30">
        <f t="shared" si="1"/>
        <v>431</v>
      </c>
      <c r="M30" s="30">
        <v>2397.5</v>
      </c>
      <c r="N30" s="30">
        <v>169.5</v>
      </c>
      <c r="P30" s="65">
        <v>40571</v>
      </c>
      <c r="Q30">
        <v>1167</v>
      </c>
    </row>
    <row r="31" spans="9:17">
      <c r="I31" s="71">
        <f t="shared" si="2"/>
        <v>40571</v>
      </c>
      <c r="J31" s="30">
        <f t="shared" si="3"/>
        <v>1167</v>
      </c>
      <c r="K31" s="30" t="str">
        <f t="shared" si="0"/>
        <v/>
      </c>
      <c r="L31" s="30">
        <f t="shared" si="1"/>
        <v>1167</v>
      </c>
      <c r="M31" s="30">
        <v>2397.5</v>
      </c>
      <c r="N31" s="30">
        <v>169.5</v>
      </c>
      <c r="P31" s="65">
        <v>40572</v>
      </c>
      <c r="Q31">
        <v>1098</v>
      </c>
    </row>
    <row r="32" spans="9:17">
      <c r="I32" s="71">
        <f t="shared" si="2"/>
        <v>40572</v>
      </c>
      <c r="J32" s="30">
        <f t="shared" si="3"/>
        <v>1098</v>
      </c>
      <c r="K32" s="30" t="str">
        <f t="shared" si="0"/>
        <v/>
      </c>
      <c r="L32" s="30">
        <f t="shared" si="1"/>
        <v>1098</v>
      </c>
      <c r="M32" s="30">
        <v>2397.5</v>
      </c>
      <c r="N32" s="30">
        <v>169.5</v>
      </c>
      <c r="P32" s="65">
        <v>40573</v>
      </c>
      <c r="Q32">
        <v>1096</v>
      </c>
    </row>
    <row r="33" spans="9:17">
      <c r="I33" s="71">
        <f t="shared" si="2"/>
        <v>40573</v>
      </c>
      <c r="J33" s="30">
        <f t="shared" si="3"/>
        <v>1096</v>
      </c>
      <c r="K33" s="30" t="str">
        <f t="shared" si="0"/>
        <v/>
      </c>
      <c r="L33" s="30">
        <f t="shared" si="1"/>
        <v>1096</v>
      </c>
      <c r="M33" s="30">
        <v>2397.5</v>
      </c>
      <c r="N33" s="30">
        <v>169.5</v>
      </c>
      <c r="P33" s="65">
        <v>40574</v>
      </c>
      <c r="Q33">
        <v>1501</v>
      </c>
    </row>
    <row r="34" spans="9:17">
      <c r="I34" s="71">
        <f t="shared" si="2"/>
        <v>40574</v>
      </c>
      <c r="J34" s="30">
        <f t="shared" si="3"/>
        <v>1501</v>
      </c>
      <c r="K34" s="30" t="str">
        <f t="shared" si="0"/>
        <v/>
      </c>
      <c r="L34" s="30">
        <f t="shared" si="1"/>
        <v>1501</v>
      </c>
      <c r="M34" s="30">
        <v>2397.5</v>
      </c>
      <c r="N34" s="30">
        <v>169.5</v>
      </c>
      <c r="P34" s="65">
        <v>40575</v>
      </c>
      <c r="Q34">
        <v>1360</v>
      </c>
    </row>
    <row r="35" spans="9:17">
      <c r="I35" s="71">
        <f t="shared" si="2"/>
        <v>40575</v>
      </c>
      <c r="J35" s="30">
        <f t="shared" si="3"/>
        <v>1360</v>
      </c>
      <c r="K35" s="30" t="str">
        <f t="shared" si="0"/>
        <v/>
      </c>
      <c r="L35" s="30">
        <f t="shared" si="1"/>
        <v>1360</v>
      </c>
      <c r="M35" s="30">
        <v>2397.5</v>
      </c>
      <c r="N35" s="30">
        <v>169.5</v>
      </c>
      <c r="P35" s="65">
        <v>40576</v>
      </c>
      <c r="Q35">
        <v>1526</v>
      </c>
    </row>
    <row r="36" spans="9:17">
      <c r="I36" s="71">
        <f t="shared" si="2"/>
        <v>40576</v>
      </c>
      <c r="J36" s="30">
        <f t="shared" si="3"/>
        <v>1526</v>
      </c>
      <c r="K36" s="30" t="str">
        <f t="shared" si="0"/>
        <v/>
      </c>
      <c r="L36" s="30">
        <f t="shared" si="1"/>
        <v>1526</v>
      </c>
      <c r="M36" s="30">
        <v>2397.5</v>
      </c>
      <c r="N36" s="30">
        <v>169.5</v>
      </c>
      <c r="P36" s="65">
        <v>40577</v>
      </c>
      <c r="Q36">
        <v>1550</v>
      </c>
    </row>
    <row r="37" spans="9:17">
      <c r="I37" s="71">
        <f t="shared" si="2"/>
        <v>40577</v>
      </c>
      <c r="J37" s="30">
        <f t="shared" si="3"/>
        <v>1550</v>
      </c>
      <c r="K37" s="30" t="str">
        <f t="shared" si="0"/>
        <v/>
      </c>
      <c r="L37" s="30">
        <f t="shared" si="1"/>
        <v>1550</v>
      </c>
      <c r="M37" s="30">
        <v>2397.5</v>
      </c>
      <c r="N37" s="30">
        <v>169.5</v>
      </c>
      <c r="P37" s="65">
        <v>40578</v>
      </c>
      <c r="Q37">
        <v>1708</v>
      </c>
    </row>
    <row r="38" spans="9:17">
      <c r="I38" s="71">
        <f t="shared" si="2"/>
        <v>40578</v>
      </c>
      <c r="J38" s="30">
        <f t="shared" si="3"/>
        <v>1708</v>
      </c>
      <c r="K38" s="30" t="str">
        <f t="shared" si="0"/>
        <v/>
      </c>
      <c r="L38" s="30">
        <f t="shared" si="1"/>
        <v>1708</v>
      </c>
      <c r="M38" s="30">
        <v>2397.5</v>
      </c>
      <c r="N38" s="30">
        <v>169.5</v>
      </c>
      <c r="P38" s="65">
        <v>40579</v>
      </c>
      <c r="Q38">
        <v>1005</v>
      </c>
    </row>
    <row r="39" spans="9:17">
      <c r="I39" s="71">
        <f t="shared" si="2"/>
        <v>40579</v>
      </c>
      <c r="J39" s="30">
        <f t="shared" si="3"/>
        <v>1005</v>
      </c>
      <c r="K39" s="30" t="str">
        <f t="shared" si="0"/>
        <v/>
      </c>
      <c r="L39" s="30">
        <f t="shared" si="1"/>
        <v>1005</v>
      </c>
      <c r="M39" s="30">
        <v>2397.5</v>
      </c>
      <c r="N39" s="30">
        <v>169.5</v>
      </c>
      <c r="P39" s="65">
        <v>40580</v>
      </c>
      <c r="Q39">
        <v>1623</v>
      </c>
    </row>
    <row r="40" spans="9:17">
      <c r="I40" s="71">
        <f t="shared" si="2"/>
        <v>40580</v>
      </c>
      <c r="J40" s="30">
        <f t="shared" si="3"/>
        <v>1623</v>
      </c>
      <c r="K40" s="30" t="str">
        <f t="shared" si="0"/>
        <v/>
      </c>
      <c r="L40" s="30">
        <f t="shared" si="1"/>
        <v>1623</v>
      </c>
      <c r="M40" s="30">
        <v>2397.5</v>
      </c>
      <c r="N40" s="30">
        <v>169.5</v>
      </c>
      <c r="P40" s="65">
        <v>40581</v>
      </c>
      <c r="Q40">
        <v>1712</v>
      </c>
    </row>
    <row r="41" spans="9:17">
      <c r="I41" s="71">
        <f t="shared" si="2"/>
        <v>40581</v>
      </c>
      <c r="J41" s="30">
        <f t="shared" si="3"/>
        <v>1712</v>
      </c>
      <c r="K41" s="30" t="str">
        <f t="shared" si="0"/>
        <v/>
      </c>
      <c r="L41" s="30">
        <f t="shared" si="1"/>
        <v>1712</v>
      </c>
      <c r="M41" s="30">
        <v>2397.5</v>
      </c>
      <c r="N41" s="30">
        <v>169.5</v>
      </c>
      <c r="P41" s="65">
        <v>40582</v>
      </c>
      <c r="Q41">
        <v>1530</v>
      </c>
    </row>
    <row r="42" spans="9:17">
      <c r="I42" s="71">
        <f t="shared" si="2"/>
        <v>40582</v>
      </c>
      <c r="J42" s="30">
        <f t="shared" si="3"/>
        <v>1530</v>
      </c>
      <c r="K42" s="30" t="str">
        <f t="shared" si="0"/>
        <v/>
      </c>
      <c r="L42" s="30">
        <f t="shared" si="1"/>
        <v>1530</v>
      </c>
      <c r="M42" s="30">
        <v>2397.5</v>
      </c>
      <c r="N42" s="30">
        <v>169.5</v>
      </c>
      <c r="P42" s="65">
        <v>40583</v>
      </c>
      <c r="Q42">
        <v>1605</v>
      </c>
    </row>
    <row r="43" spans="9:17">
      <c r="I43" s="71">
        <f t="shared" si="2"/>
        <v>40583</v>
      </c>
      <c r="J43" s="30">
        <f t="shared" si="3"/>
        <v>1605</v>
      </c>
      <c r="K43" s="30" t="str">
        <f t="shared" si="0"/>
        <v/>
      </c>
      <c r="L43" s="30">
        <f t="shared" si="1"/>
        <v>1605</v>
      </c>
      <c r="M43" s="30">
        <v>2397.5</v>
      </c>
      <c r="N43" s="30">
        <v>169.5</v>
      </c>
      <c r="P43" s="65">
        <v>40584</v>
      </c>
      <c r="Q43">
        <v>1538</v>
      </c>
    </row>
    <row r="44" spans="9:17">
      <c r="I44" s="71">
        <f t="shared" si="2"/>
        <v>40584</v>
      </c>
      <c r="J44" s="30">
        <f t="shared" si="3"/>
        <v>1538</v>
      </c>
      <c r="K44" s="30" t="str">
        <f t="shared" si="0"/>
        <v/>
      </c>
      <c r="L44" s="30">
        <f t="shared" si="1"/>
        <v>1538</v>
      </c>
      <c r="M44" s="30">
        <v>2397.5</v>
      </c>
      <c r="N44" s="30">
        <v>169.5</v>
      </c>
      <c r="P44" s="65">
        <v>40585</v>
      </c>
      <c r="Q44">
        <v>1746</v>
      </c>
    </row>
    <row r="45" spans="9:17">
      <c r="I45" s="71">
        <f t="shared" si="2"/>
        <v>40585</v>
      </c>
      <c r="J45" s="30">
        <f t="shared" si="3"/>
        <v>1746</v>
      </c>
      <c r="K45" s="30" t="str">
        <f t="shared" si="0"/>
        <v/>
      </c>
      <c r="L45" s="30">
        <f t="shared" si="1"/>
        <v>1746</v>
      </c>
      <c r="M45" s="30">
        <v>2397.5</v>
      </c>
      <c r="N45" s="30">
        <v>169.5</v>
      </c>
      <c r="P45" s="65">
        <v>40586</v>
      </c>
      <c r="Q45">
        <v>1472</v>
      </c>
    </row>
    <row r="46" spans="9:17">
      <c r="I46" s="71">
        <f t="shared" si="2"/>
        <v>40586</v>
      </c>
      <c r="J46" s="30">
        <f t="shared" si="3"/>
        <v>1472</v>
      </c>
      <c r="K46" s="30" t="str">
        <f t="shared" si="0"/>
        <v/>
      </c>
      <c r="L46" s="30">
        <f t="shared" si="1"/>
        <v>1472</v>
      </c>
      <c r="M46" s="30">
        <v>2397.5</v>
      </c>
      <c r="N46" s="30">
        <v>169.5</v>
      </c>
      <c r="P46" s="65">
        <v>40587</v>
      </c>
      <c r="Q46">
        <v>1589</v>
      </c>
    </row>
    <row r="47" spans="9:17">
      <c r="I47" s="71">
        <f t="shared" si="2"/>
        <v>40587</v>
      </c>
      <c r="J47" s="30">
        <f t="shared" si="3"/>
        <v>1589</v>
      </c>
      <c r="K47" s="30" t="str">
        <f t="shared" si="0"/>
        <v/>
      </c>
      <c r="L47" s="30">
        <f t="shared" si="1"/>
        <v>1589</v>
      </c>
      <c r="M47" s="30">
        <v>2397.5</v>
      </c>
      <c r="N47" s="30">
        <v>169.5</v>
      </c>
      <c r="P47" s="65">
        <v>40588</v>
      </c>
      <c r="Q47">
        <v>151</v>
      </c>
    </row>
    <row r="48" spans="9:17">
      <c r="I48" s="71">
        <f t="shared" si="2"/>
        <v>40588</v>
      </c>
      <c r="J48" s="30">
        <f t="shared" si="3"/>
        <v>151</v>
      </c>
      <c r="K48" s="30">
        <f t="shared" si="0"/>
        <v>151</v>
      </c>
      <c r="L48" s="30"/>
      <c r="M48" s="30">
        <v>2397.5</v>
      </c>
      <c r="N48" s="30">
        <v>169.5</v>
      </c>
      <c r="P48" s="70" t="s">
        <v>50</v>
      </c>
      <c r="Q48">
        <v>58304</v>
      </c>
    </row>
    <row r="49" spans="11:14">
      <c r="K49" s="72"/>
      <c r="L49" s="72"/>
      <c r="M49" s="64"/>
      <c r="N49" s="6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6B04-263A-4AD6-80DA-30C4BCE7EC50}">
  <dimension ref="A1:E29"/>
  <sheetViews>
    <sheetView workbookViewId="0">
      <selection activeCell="B2" sqref="B2:B15"/>
    </sheetView>
  </sheetViews>
  <sheetFormatPr defaultRowHeight="14.4"/>
  <cols>
    <col min="1" max="1" width="17.44140625" style="62" customWidth="1"/>
    <col min="2" max="2" width="12.77734375" customWidth="1"/>
    <col min="3" max="3" width="21.109375" customWidth="1"/>
    <col min="4" max="4" width="35.21875" customWidth="1"/>
    <col min="5" max="5" width="35.33203125" customWidth="1"/>
  </cols>
  <sheetData>
    <row r="1" spans="1:5">
      <c r="A1" s="62" t="s">
        <v>143</v>
      </c>
      <c r="B1" t="s">
        <v>144</v>
      </c>
      <c r="C1" t="s">
        <v>145</v>
      </c>
      <c r="D1" t="s">
        <v>146</v>
      </c>
      <c r="E1" t="s">
        <v>147</v>
      </c>
    </row>
    <row r="2" spans="1:5">
      <c r="A2" s="62">
        <v>46054</v>
      </c>
      <c r="B2" s="6">
        <v>1360</v>
      </c>
    </row>
    <row r="3" spans="1:5">
      <c r="A3" s="62">
        <v>46055</v>
      </c>
      <c r="B3" s="6">
        <v>1526</v>
      </c>
    </row>
    <row r="4" spans="1:5">
      <c r="A4" s="62">
        <v>46056</v>
      </c>
      <c r="B4" s="6">
        <v>1550</v>
      </c>
    </row>
    <row r="5" spans="1:5">
      <c r="A5" s="62">
        <v>46057</v>
      </c>
      <c r="B5" s="6">
        <v>1708</v>
      </c>
    </row>
    <row r="6" spans="1:5">
      <c r="A6" s="62">
        <v>46058</v>
      </c>
      <c r="B6" s="6">
        <v>1005</v>
      </c>
    </row>
    <row r="7" spans="1:5">
      <c r="A7" s="62">
        <v>46059</v>
      </c>
      <c r="B7" s="6">
        <v>1623</v>
      </c>
    </row>
    <row r="8" spans="1:5">
      <c r="A8" s="62">
        <v>46060</v>
      </c>
      <c r="B8" s="6">
        <v>1712</v>
      </c>
    </row>
    <row r="9" spans="1:5">
      <c r="A9" s="62">
        <v>46061</v>
      </c>
      <c r="B9" s="6">
        <v>1530</v>
      </c>
    </row>
    <row r="10" spans="1:5">
      <c r="A10" s="62">
        <v>46062</v>
      </c>
      <c r="B10" s="6">
        <v>1605</v>
      </c>
    </row>
    <row r="11" spans="1:5">
      <c r="A11" s="62">
        <v>46063</v>
      </c>
      <c r="B11" s="6">
        <v>1538</v>
      </c>
    </row>
    <row r="12" spans="1:5">
      <c r="A12" s="62">
        <v>46064</v>
      </c>
      <c r="B12" s="6">
        <v>1746</v>
      </c>
    </row>
    <row r="13" spans="1:5">
      <c r="A13" s="62">
        <v>46065</v>
      </c>
      <c r="B13" s="6">
        <v>1472</v>
      </c>
    </row>
    <row r="14" spans="1:5">
      <c r="A14" s="62">
        <v>46066</v>
      </c>
      <c r="B14" s="6">
        <v>1589</v>
      </c>
    </row>
    <row r="15" spans="1:5">
      <c r="A15" s="62">
        <v>46067</v>
      </c>
      <c r="B15" s="6">
        <v>151</v>
      </c>
      <c r="C15" s="6">
        <v>151</v>
      </c>
      <c r="D15" s="6" t="e">
        <f>C15-_xlfn.FORECAST.ETS.CONFINT(A15,$B$2:$B$15,$A$2:$A$15,0.95,1,1)</f>
        <v>#NUM!</v>
      </c>
      <c r="E15" s="6">
        <v>151</v>
      </c>
    </row>
    <row r="16" spans="1:5">
      <c r="A16" s="62">
        <v>46068</v>
      </c>
      <c r="C16" s="6">
        <f t="shared" ref="C16:C29" si="0">_xlfn.FORECAST.ETS(A16,$B$2:$B$15,$A$2:$A$15,1,1)</f>
        <v>1105.5389852346573</v>
      </c>
      <c r="D16" s="6">
        <f t="shared" ref="D16:D23" si="1">MAX(0,C16-_xlfn.FORECAST.ETS.CONFINT(A16,$B$2:$B$15,$A$2:$A$15,0.95,1,1))</f>
        <v>276.77280604639122</v>
      </c>
      <c r="E16" s="6">
        <f t="shared" ref="E16:E29" si="2">C16+_xlfn.FORECAST.ETS.CONFINT(A16,$B$2:$B$15,$A$2:$A$15,0.95,1,1)</f>
        <v>1934.3051644229233</v>
      </c>
    </row>
    <row r="17" spans="1:5">
      <c r="A17" s="62">
        <v>46069</v>
      </c>
      <c r="C17" s="6">
        <f t="shared" si="0"/>
        <v>1077.433837845477</v>
      </c>
      <c r="D17" s="6">
        <f t="shared" si="1"/>
        <v>222.95983031512799</v>
      </c>
      <c r="E17" s="6">
        <f t="shared" si="2"/>
        <v>1931.9078453758261</v>
      </c>
    </row>
    <row r="18" spans="1:5">
      <c r="A18" s="62">
        <v>46070</v>
      </c>
      <c r="C18" s="6">
        <f t="shared" si="0"/>
        <v>1049.328690456297</v>
      </c>
      <c r="D18" s="6">
        <f t="shared" si="1"/>
        <v>169.70162938231249</v>
      </c>
      <c r="E18" s="6">
        <f t="shared" si="2"/>
        <v>1928.9557515302813</v>
      </c>
    </row>
    <row r="19" spans="1:5">
      <c r="A19" s="62">
        <v>46071</v>
      </c>
      <c r="C19" s="6">
        <f t="shared" si="0"/>
        <v>1021.2235430671168</v>
      </c>
      <c r="D19" s="6">
        <f t="shared" si="1"/>
        <v>116.95114795648556</v>
      </c>
      <c r="E19" s="6">
        <f t="shared" si="2"/>
        <v>1925.495938177748</v>
      </c>
    </row>
    <row r="20" spans="1:5">
      <c r="A20" s="62">
        <v>46072</v>
      </c>
      <c r="C20" s="6">
        <f t="shared" si="0"/>
        <v>993.11839567793686</v>
      </c>
      <c r="D20" s="6">
        <f t="shared" si="1"/>
        <v>64.667213758218963</v>
      </c>
      <c r="E20" s="6">
        <f t="shared" si="2"/>
        <v>1921.5695775976546</v>
      </c>
    </row>
    <row r="21" spans="1:5">
      <c r="A21" s="62">
        <v>46073</v>
      </c>
      <c r="C21" s="6">
        <f t="shared" si="0"/>
        <v>965.01324828875659</v>
      </c>
      <c r="D21" s="6">
        <f t="shared" si="1"/>
        <v>12.813564279448656</v>
      </c>
      <c r="E21" s="6">
        <f t="shared" si="2"/>
        <v>1917.2129322980645</v>
      </c>
    </row>
    <row r="22" spans="1:5">
      <c r="A22" s="62">
        <v>46074</v>
      </c>
      <c r="C22" s="6">
        <f t="shared" si="0"/>
        <v>936.90810089957665</v>
      </c>
      <c r="D22" s="6">
        <f t="shared" si="1"/>
        <v>0</v>
      </c>
      <c r="E22" s="6">
        <f t="shared" si="2"/>
        <v>1912.458131048616</v>
      </c>
    </row>
    <row r="23" spans="1:5">
      <c r="A23" s="62">
        <v>46075</v>
      </c>
      <c r="C23" s="6">
        <f t="shared" si="0"/>
        <v>908.80295351039638</v>
      </c>
      <c r="D23" s="6">
        <f t="shared" si="1"/>
        <v>0</v>
      </c>
      <c r="E23" s="6">
        <f t="shared" si="2"/>
        <v>1907.3337943981362</v>
      </c>
    </row>
    <row r="24" spans="1:5">
      <c r="A24" s="62">
        <v>46076</v>
      </c>
      <c r="C24" s="6">
        <f t="shared" si="0"/>
        <v>880.69780612121644</v>
      </c>
      <c r="D24" s="6">
        <f t="shared" ref="D24:D29" si="3">MAX(0,C24-_xlfn.FORECAST.ETS.CONFINT(A24,$B$2:$B$15,$A$2:$A$15,0.95,1,1))</f>
        <v>0</v>
      </c>
      <c r="E24" s="6">
        <f t="shared" si="2"/>
        <v>1901.8655438483452</v>
      </c>
    </row>
    <row r="25" spans="1:5">
      <c r="A25" s="62">
        <v>46077</v>
      </c>
      <c r="C25" s="6">
        <f t="shared" si="0"/>
        <v>852.59265873203606</v>
      </c>
      <c r="D25" s="6">
        <f t="shared" si="3"/>
        <v>0</v>
      </c>
      <c r="E25" s="6">
        <f t="shared" si="2"/>
        <v>1896.0764200541021</v>
      </c>
    </row>
    <row r="26" spans="1:5">
      <c r="A26" s="62">
        <v>46078</v>
      </c>
      <c r="C26" s="6">
        <f t="shared" si="0"/>
        <v>824.48751134285624</v>
      </c>
      <c r="D26" s="6">
        <f t="shared" si="3"/>
        <v>0</v>
      </c>
      <c r="E26" s="6">
        <f t="shared" si="2"/>
        <v>1889.9872291349584</v>
      </c>
    </row>
    <row r="27" spans="1:5">
      <c r="A27" s="62">
        <v>46079</v>
      </c>
      <c r="C27" s="6">
        <f t="shared" si="0"/>
        <v>796.38236395367596</v>
      </c>
      <c r="D27" s="6">
        <f t="shared" si="3"/>
        <v>0</v>
      </c>
      <c r="E27" s="6">
        <f t="shared" si="2"/>
        <v>1883.6168316275584</v>
      </c>
    </row>
    <row r="28" spans="1:5">
      <c r="A28" s="62">
        <v>46080</v>
      </c>
      <c r="C28" s="6">
        <f t="shared" si="0"/>
        <v>768.27721656449603</v>
      </c>
      <c r="D28" s="6">
        <f t="shared" si="3"/>
        <v>0</v>
      </c>
      <c r="E28" s="6">
        <f t="shared" si="2"/>
        <v>1876.9823852630052</v>
      </c>
    </row>
    <row r="29" spans="1:5">
      <c r="A29" s="62">
        <v>46081</v>
      </c>
      <c r="C29" s="6">
        <f t="shared" si="0"/>
        <v>740.17206917531564</v>
      </c>
      <c r="D29" s="6">
        <f t="shared" si="3"/>
        <v>0</v>
      </c>
      <c r="E29" s="6">
        <f t="shared" si="2"/>
        <v>1870.0995502659589</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F61A-6AF8-4FF3-B9B4-F79D0C8EAC10}">
  <dimension ref="A1:AL1004"/>
  <sheetViews>
    <sheetView zoomScale="76" zoomScaleNormal="76" workbookViewId="0">
      <selection activeCell="U7" sqref="U7"/>
    </sheetView>
  </sheetViews>
  <sheetFormatPr defaultColWidth="9.44140625" defaultRowHeight="14.4"/>
  <cols>
    <col min="1" max="1" width="13.5546875" bestFit="1" customWidth="1"/>
    <col min="2" max="2" width="17.77734375" bestFit="1" customWidth="1"/>
    <col min="4" max="4" width="13.5546875" bestFit="1" customWidth="1"/>
    <col min="5" max="5" width="17.77734375" customWidth="1"/>
    <col min="6" max="6" width="13.5546875" bestFit="1" customWidth="1"/>
    <col min="7" max="7" width="17.77734375" bestFit="1" customWidth="1"/>
    <col min="16" max="16" width="13.5546875" bestFit="1" customWidth="1"/>
    <col min="17" max="17" width="19.109375" bestFit="1" customWidth="1"/>
    <col min="18" max="18" width="22.88671875" bestFit="1" customWidth="1"/>
    <col min="20" max="20" width="13.5546875" bestFit="1" customWidth="1"/>
    <col min="21" max="21" width="17.77734375" bestFit="1" customWidth="1"/>
    <col min="23" max="23" width="16.44140625" bestFit="1" customWidth="1"/>
    <col min="24" max="24" width="18.21875" bestFit="1" customWidth="1"/>
    <col min="25" max="25" width="17.77734375" bestFit="1" customWidth="1"/>
    <col min="26" max="26" width="4.44140625" bestFit="1" customWidth="1"/>
    <col min="27" max="27" width="12.77734375" bestFit="1" customWidth="1"/>
    <col min="28" max="28" width="8.44140625" bestFit="1" customWidth="1"/>
    <col min="29" max="29" width="15.88671875" customWidth="1"/>
    <col min="30" max="30" width="4.44140625" bestFit="1" customWidth="1"/>
    <col min="31" max="31" width="5.109375" bestFit="1" customWidth="1"/>
    <col min="32" max="32" width="13.5546875" bestFit="1" customWidth="1"/>
    <col min="33" max="33" width="20.77734375" bestFit="1" customWidth="1"/>
    <col min="34" max="34" width="17.77734375" bestFit="1" customWidth="1"/>
    <col min="35" max="35" width="4.44140625" bestFit="1" customWidth="1"/>
    <col min="36" max="36" width="10" bestFit="1" customWidth="1"/>
    <col min="37" max="37" width="8.44140625" bestFit="1" customWidth="1"/>
    <col min="38" max="38" width="5.88671875" bestFit="1" customWidth="1"/>
    <col min="39" max="43" width="5.109375" bestFit="1" customWidth="1"/>
    <col min="44" max="45" width="4.44140625" bestFit="1" customWidth="1"/>
    <col min="46" max="52" width="5.109375" bestFit="1" customWidth="1"/>
    <col min="53" max="55" width="4.44140625" bestFit="1" customWidth="1"/>
    <col min="56" max="57" width="5.109375" bestFit="1" customWidth="1"/>
    <col min="58" max="59" width="4.44140625" bestFit="1" customWidth="1"/>
    <col min="60" max="60" width="5.109375" bestFit="1" customWidth="1"/>
    <col min="61" max="64" width="4.44140625" bestFit="1" customWidth="1"/>
    <col min="65" max="66" width="5.109375" bestFit="1" customWidth="1"/>
    <col min="67" max="68" width="4.44140625" bestFit="1" customWidth="1"/>
    <col min="69" max="69" width="5.109375" bestFit="1" customWidth="1"/>
    <col min="70" max="73" width="4.44140625" bestFit="1" customWidth="1"/>
    <col min="74" max="74" width="5.109375" bestFit="1" customWidth="1"/>
    <col min="75" max="77" width="4.44140625" bestFit="1" customWidth="1"/>
    <col min="78" max="78" width="5.109375" bestFit="1" customWidth="1"/>
    <col min="79" max="80" width="4.44140625" bestFit="1" customWidth="1"/>
    <col min="81" max="81" width="5.109375" bestFit="1" customWidth="1"/>
    <col min="82" max="84" width="4.44140625" bestFit="1" customWidth="1"/>
    <col min="85" max="85" width="5.109375" bestFit="1" customWidth="1"/>
    <col min="86" max="86" width="4.44140625" bestFit="1" customWidth="1"/>
    <col min="87" max="87" width="5.5546875" bestFit="1" customWidth="1"/>
    <col min="88" max="88" width="11.21875" bestFit="1" customWidth="1"/>
  </cols>
  <sheetData>
    <row r="1" spans="1:38">
      <c r="F1" s="30"/>
      <c r="G1" s="30"/>
      <c r="H1" s="30"/>
    </row>
    <row r="2" spans="1:38">
      <c r="A2" t="s">
        <v>56</v>
      </c>
      <c r="D2" t="s">
        <v>102</v>
      </c>
      <c r="F2" s="63" t="s">
        <v>49</v>
      </c>
      <c r="G2" s="64" t="s">
        <v>51</v>
      </c>
      <c r="I2" t="s">
        <v>27</v>
      </c>
      <c r="J2">
        <f>_xlfn.QUARTILE.INC(G2:G25,1)</f>
        <v>762.5</v>
      </c>
      <c r="AB2" s="75" t="s">
        <v>138</v>
      </c>
      <c r="AC2" s="75"/>
      <c r="AK2" s="76" t="s">
        <v>141</v>
      </c>
      <c r="AL2" s="76"/>
    </row>
    <row r="3" spans="1:38">
      <c r="F3" s="50" t="s">
        <v>122</v>
      </c>
      <c r="G3" s="54">
        <v>460</v>
      </c>
      <c r="I3" t="s">
        <v>29</v>
      </c>
      <c r="J3">
        <f>_xlfn.QUARTILE.INC(G3:G26,3)</f>
        <v>3447.25</v>
      </c>
      <c r="P3" s="52" t="s">
        <v>49</v>
      </c>
      <c r="Q3" s="8" t="s">
        <v>127</v>
      </c>
      <c r="R3" s="8" t="s">
        <v>128</v>
      </c>
      <c r="T3" s="8" t="s">
        <v>133</v>
      </c>
      <c r="U3" s="8" t="s">
        <v>43</v>
      </c>
      <c r="W3" s="55" t="s">
        <v>49</v>
      </c>
      <c r="X3" s="30" t="s">
        <v>137</v>
      </c>
      <c r="Y3" s="30" t="s">
        <v>51</v>
      </c>
      <c r="AA3" s="57" t="s">
        <v>139</v>
      </c>
      <c r="AB3" s="30" t="s">
        <v>45</v>
      </c>
      <c r="AC3" s="30" t="s">
        <v>43</v>
      </c>
      <c r="AF3" s="28" t="s">
        <v>49</v>
      </c>
      <c r="AG3" t="s">
        <v>140</v>
      </c>
      <c r="AH3" t="s">
        <v>51</v>
      </c>
      <c r="AJ3" t="s">
        <v>142</v>
      </c>
      <c r="AK3" s="30" t="s">
        <v>45</v>
      </c>
      <c r="AL3" s="30" t="s">
        <v>43</v>
      </c>
    </row>
    <row r="4" spans="1:38">
      <c r="A4" s="52" t="s">
        <v>49</v>
      </c>
      <c r="B4" s="8" t="s">
        <v>51</v>
      </c>
      <c r="D4" s="28" t="s">
        <v>49</v>
      </c>
      <c r="E4" t="s">
        <v>51</v>
      </c>
      <c r="F4" s="50" t="s">
        <v>109</v>
      </c>
      <c r="G4" s="54">
        <v>3376</v>
      </c>
      <c r="K4" s="30" t="s">
        <v>132</v>
      </c>
      <c r="L4" s="30" t="s">
        <v>129</v>
      </c>
      <c r="M4" s="30" t="s">
        <v>130</v>
      </c>
      <c r="N4" s="30" t="s">
        <v>131</v>
      </c>
      <c r="P4" s="53">
        <v>1</v>
      </c>
      <c r="Q4" s="54">
        <v>3</v>
      </c>
      <c r="R4" s="54">
        <v>13</v>
      </c>
      <c r="T4" s="8" t="s">
        <v>134</v>
      </c>
      <c r="U4" s="54">
        <f>SUM(Q4:Q1003)</f>
        <v>4921</v>
      </c>
      <c r="W4" s="31">
        <v>1</v>
      </c>
      <c r="X4" s="56">
        <v>0.81</v>
      </c>
      <c r="Y4" s="31">
        <v>16</v>
      </c>
      <c r="AA4">
        <f>CORREL(X4:X1003,Y4:Y1003)</f>
        <v>-0.25435329828790432</v>
      </c>
      <c r="AB4" s="58">
        <f>X4</f>
        <v>0.81</v>
      </c>
      <c r="AC4" s="54">
        <f>Y4</f>
        <v>16</v>
      </c>
      <c r="AF4" s="51">
        <v>1</v>
      </c>
      <c r="AG4" s="6">
        <v>24</v>
      </c>
      <c r="AH4" s="6">
        <v>16</v>
      </c>
      <c r="AJ4">
        <f>CORREL(AK4:AK1003,AL4:AL1003)</f>
        <v>0.22929155386993255</v>
      </c>
      <c r="AK4" s="31">
        <f>AG4</f>
        <v>24</v>
      </c>
      <c r="AL4" s="31">
        <f>AH4</f>
        <v>16</v>
      </c>
    </row>
    <row r="5" spans="1:38">
      <c r="A5" s="50" t="s">
        <v>57</v>
      </c>
      <c r="B5" s="54">
        <v>985</v>
      </c>
      <c r="D5" s="29" t="s">
        <v>52</v>
      </c>
      <c r="E5" s="6">
        <v>37373</v>
      </c>
      <c r="F5" s="50" t="s">
        <v>116</v>
      </c>
      <c r="G5" s="54">
        <v>2253</v>
      </c>
      <c r="K5" s="30" t="s">
        <v>121</v>
      </c>
      <c r="L5" s="30"/>
      <c r="M5" s="30" t="str">
        <f>IF(AND(G3&lt;$J$3,G3&gt;$J$2),G3,"")</f>
        <v/>
      </c>
      <c r="N5" s="30">
        <f>IF(G3&lt;$J$2,G3,"")</f>
        <v>460</v>
      </c>
      <c r="P5" s="53">
        <v>2</v>
      </c>
      <c r="Q5" s="54">
        <v>8</v>
      </c>
      <c r="R5" s="54">
        <v>32</v>
      </c>
      <c r="T5" s="8" t="s">
        <v>135</v>
      </c>
      <c r="U5" s="54">
        <f>SUM(R4:R1003)</f>
        <v>53383</v>
      </c>
      <c r="W5" s="31">
        <v>2</v>
      </c>
      <c r="X5" s="56">
        <v>0.8</v>
      </c>
      <c r="Y5" s="31">
        <v>40</v>
      </c>
      <c r="AB5" s="58">
        <f t="shared" ref="AB5:AB68" si="0">X5</f>
        <v>0.8</v>
      </c>
      <c r="AC5" s="54">
        <f t="shared" ref="AC5:AC68" si="1">Y5</f>
        <v>40</v>
      </c>
      <c r="AF5" s="51">
        <v>2</v>
      </c>
      <c r="AG5" s="6">
        <v>22</v>
      </c>
      <c r="AH5" s="6">
        <v>40</v>
      </c>
      <c r="AK5" s="31">
        <f t="shared" ref="AK5:AK68" si="2">AG5</f>
        <v>22</v>
      </c>
      <c r="AL5" s="31">
        <f t="shared" ref="AL5:AL68" si="3">AH5</f>
        <v>40</v>
      </c>
    </row>
    <row r="6" spans="1:38">
      <c r="A6" s="50" t="s">
        <v>58</v>
      </c>
      <c r="B6" s="54">
        <v>801</v>
      </c>
      <c r="D6" s="29" t="s">
        <v>53</v>
      </c>
      <c r="E6" s="6">
        <v>18106</v>
      </c>
      <c r="F6" s="50" t="s">
        <v>118</v>
      </c>
      <c r="G6" s="54">
        <v>1508</v>
      </c>
      <c r="K6" s="30" t="s">
        <v>122</v>
      </c>
      <c r="L6" s="30" t="str">
        <f t="shared" ref="L6:L28" si="4">IF(G4&gt;$J$3,G4,"")</f>
        <v/>
      </c>
      <c r="M6" s="30">
        <f t="shared" ref="M6:M28" si="5">IF(AND(G4&lt;$J$3,G4&gt;$J$2),G4,"")</f>
        <v>3376</v>
      </c>
      <c r="N6" s="30" t="str">
        <f t="shared" ref="N6:N28" si="6">IF(G4&lt;$J$2,G4,"")</f>
        <v/>
      </c>
      <c r="P6" s="53">
        <v>3</v>
      </c>
      <c r="Q6" s="54">
        <v>5</v>
      </c>
      <c r="R6" s="54">
        <v>27</v>
      </c>
      <c r="T6" s="8" t="s">
        <v>136</v>
      </c>
      <c r="U6" s="54">
        <f>SUM(U4:U5)</f>
        <v>58304</v>
      </c>
      <c r="W6" s="31">
        <v>3</v>
      </c>
      <c r="X6" s="56">
        <v>0.8</v>
      </c>
      <c r="Y6" s="31">
        <v>32</v>
      </c>
      <c r="AB6" s="58">
        <f t="shared" si="0"/>
        <v>0.8</v>
      </c>
      <c r="AC6" s="54">
        <f t="shared" si="1"/>
        <v>32</v>
      </c>
      <c r="AF6" s="51">
        <v>3</v>
      </c>
      <c r="AG6" s="6">
        <v>22</v>
      </c>
      <c r="AH6" s="6">
        <v>32</v>
      </c>
      <c r="AK6" s="31">
        <f t="shared" si="2"/>
        <v>22</v>
      </c>
      <c r="AL6" s="31">
        <f t="shared" si="3"/>
        <v>32</v>
      </c>
    </row>
    <row r="7" spans="1:38">
      <c r="A7" s="50" t="s">
        <v>59</v>
      </c>
      <c r="B7" s="54">
        <v>1349</v>
      </c>
      <c r="D7" s="29" t="s">
        <v>54</v>
      </c>
      <c r="E7" s="6">
        <v>2789</v>
      </c>
      <c r="F7" s="50" t="s">
        <v>114</v>
      </c>
      <c r="G7" s="54">
        <v>2494</v>
      </c>
      <c r="K7" s="30" t="s">
        <v>123</v>
      </c>
      <c r="L7" s="30" t="str">
        <f t="shared" si="4"/>
        <v/>
      </c>
      <c r="M7" s="30">
        <f t="shared" si="5"/>
        <v>2253</v>
      </c>
      <c r="N7" s="30" t="str">
        <f t="shared" si="6"/>
        <v/>
      </c>
      <c r="P7" s="53">
        <v>4</v>
      </c>
      <c r="Q7" s="54">
        <v>3</v>
      </c>
      <c r="R7" s="54">
        <v>10</v>
      </c>
      <c r="W7" s="31">
        <v>4</v>
      </c>
      <c r="X7" s="56">
        <v>0.75</v>
      </c>
      <c r="Y7" s="31">
        <v>13</v>
      </c>
      <c r="AB7" s="58">
        <f t="shared" si="0"/>
        <v>0.75</v>
      </c>
      <c r="AC7" s="54">
        <f t="shared" si="1"/>
        <v>13</v>
      </c>
      <c r="AF7" s="51">
        <v>4</v>
      </c>
      <c r="AG7" s="6">
        <v>24</v>
      </c>
      <c r="AH7" s="6">
        <v>13</v>
      </c>
      <c r="AK7" s="31">
        <f t="shared" si="2"/>
        <v>24</v>
      </c>
      <c r="AL7" s="31">
        <f t="shared" si="3"/>
        <v>13</v>
      </c>
    </row>
    <row r="8" spans="1:38">
      <c r="A8" s="50" t="s">
        <v>60</v>
      </c>
      <c r="B8" s="54">
        <v>1562</v>
      </c>
      <c r="D8" s="29" t="s">
        <v>55</v>
      </c>
      <c r="E8" s="6">
        <v>36</v>
      </c>
      <c r="F8" s="50" t="s">
        <v>119</v>
      </c>
      <c r="G8" s="54">
        <v>1083</v>
      </c>
      <c r="K8" s="30" t="s">
        <v>124</v>
      </c>
      <c r="L8" s="30" t="str">
        <f t="shared" si="4"/>
        <v/>
      </c>
      <c r="M8" s="30">
        <f t="shared" si="5"/>
        <v>1508</v>
      </c>
      <c r="N8" s="30" t="str">
        <f t="shared" si="6"/>
        <v/>
      </c>
      <c r="P8" s="53">
        <v>5</v>
      </c>
      <c r="Q8" s="54">
        <v>0</v>
      </c>
      <c r="R8" s="54">
        <v>1</v>
      </c>
      <c r="W8" s="31">
        <v>5</v>
      </c>
      <c r="X8" s="56">
        <v>0.75</v>
      </c>
      <c r="Y8" s="31">
        <v>1</v>
      </c>
      <c r="AB8" s="58">
        <f t="shared" si="0"/>
        <v>0.75</v>
      </c>
      <c r="AC8" s="54">
        <f t="shared" si="1"/>
        <v>1</v>
      </c>
      <c r="AF8" s="51">
        <v>5</v>
      </c>
      <c r="AG8" s="6">
        <v>24</v>
      </c>
      <c r="AH8" s="6">
        <v>1</v>
      </c>
      <c r="AK8" s="31">
        <f t="shared" si="2"/>
        <v>24</v>
      </c>
      <c r="AL8" s="31">
        <f t="shared" si="3"/>
        <v>1</v>
      </c>
    </row>
    <row r="9" spans="1:38">
      <c r="A9" s="50" t="s">
        <v>61</v>
      </c>
      <c r="B9" s="54">
        <v>1600</v>
      </c>
      <c r="D9" s="29" t="s">
        <v>50</v>
      </c>
      <c r="E9" s="6">
        <v>58304</v>
      </c>
      <c r="F9" s="50" t="s">
        <v>121</v>
      </c>
      <c r="G9" s="54">
        <v>703</v>
      </c>
      <c r="K9" s="30" t="s">
        <v>126</v>
      </c>
      <c r="L9" s="30" t="str">
        <f t="shared" si="4"/>
        <v/>
      </c>
      <c r="M9" s="30">
        <f t="shared" si="5"/>
        <v>2494</v>
      </c>
      <c r="N9" s="30" t="str">
        <f t="shared" si="6"/>
        <v/>
      </c>
      <c r="P9" s="53">
        <v>6</v>
      </c>
      <c r="Q9" s="54">
        <v>0</v>
      </c>
      <c r="R9" s="54">
        <v>1</v>
      </c>
      <c r="W9" s="31">
        <v>6</v>
      </c>
      <c r="X9" s="56">
        <v>0.75</v>
      </c>
      <c r="Y9" s="31">
        <v>1</v>
      </c>
      <c r="AB9" s="58">
        <f t="shared" si="0"/>
        <v>0.75</v>
      </c>
      <c r="AC9" s="54">
        <f t="shared" si="1"/>
        <v>1</v>
      </c>
      <c r="AF9" s="51">
        <v>6</v>
      </c>
      <c r="AG9" s="6">
        <v>24</v>
      </c>
      <c r="AH9" s="6">
        <v>1</v>
      </c>
      <c r="AK9" s="31">
        <f t="shared" si="2"/>
        <v>24</v>
      </c>
      <c r="AL9" s="31">
        <f t="shared" si="3"/>
        <v>1</v>
      </c>
    </row>
    <row r="10" spans="1:38">
      <c r="A10" s="50" t="s">
        <v>62</v>
      </c>
      <c r="B10" s="54">
        <v>1606</v>
      </c>
      <c r="F10" s="50" t="s">
        <v>111</v>
      </c>
      <c r="G10" s="54">
        <v>3283</v>
      </c>
      <c r="K10" s="30" t="s">
        <v>125</v>
      </c>
      <c r="L10" s="30" t="str">
        <f t="shared" si="4"/>
        <v/>
      </c>
      <c r="M10" s="30">
        <f t="shared" si="5"/>
        <v>1083</v>
      </c>
      <c r="N10" s="30" t="str">
        <f t="shared" si="6"/>
        <v/>
      </c>
      <c r="P10" s="53">
        <v>7</v>
      </c>
      <c r="Q10" s="54">
        <v>2</v>
      </c>
      <c r="R10" s="54">
        <v>0</v>
      </c>
      <c r="W10" s="31">
        <v>7</v>
      </c>
      <c r="X10" s="56">
        <v>0.8</v>
      </c>
      <c r="Y10" s="31">
        <v>2</v>
      </c>
      <c r="AB10" s="58">
        <f t="shared" si="0"/>
        <v>0.8</v>
      </c>
      <c r="AC10" s="54">
        <f t="shared" si="1"/>
        <v>2</v>
      </c>
      <c r="AF10" s="51">
        <v>7</v>
      </c>
      <c r="AG10" s="6">
        <v>22</v>
      </c>
      <c r="AH10" s="6">
        <v>2</v>
      </c>
      <c r="AK10" s="31">
        <f t="shared" si="2"/>
        <v>22</v>
      </c>
      <c r="AL10" s="31">
        <f t="shared" si="3"/>
        <v>2</v>
      </c>
    </row>
    <row r="11" spans="1:38">
      <c r="A11" s="50" t="s">
        <v>63</v>
      </c>
      <c r="B11" s="54">
        <v>1510</v>
      </c>
      <c r="F11" s="50" t="s">
        <v>123</v>
      </c>
      <c r="G11" s="54">
        <v>294</v>
      </c>
      <c r="K11" s="30" t="s">
        <v>120</v>
      </c>
      <c r="L11" s="30" t="str">
        <f t="shared" si="4"/>
        <v/>
      </c>
      <c r="M11" s="30" t="str">
        <f t="shared" si="5"/>
        <v/>
      </c>
      <c r="N11" s="30">
        <f t="shared" si="6"/>
        <v>703</v>
      </c>
      <c r="P11" s="53">
        <v>8</v>
      </c>
      <c r="Q11" s="54">
        <v>1</v>
      </c>
      <c r="R11" s="54">
        <v>2</v>
      </c>
      <c r="W11" s="31">
        <v>8</v>
      </c>
      <c r="X11" s="56">
        <v>0.86</v>
      </c>
      <c r="Y11" s="31">
        <v>3</v>
      </c>
      <c r="AB11" s="58">
        <f t="shared" si="0"/>
        <v>0.86</v>
      </c>
      <c r="AC11" s="54">
        <f t="shared" si="1"/>
        <v>3</v>
      </c>
      <c r="AF11" s="51">
        <v>8</v>
      </c>
      <c r="AG11" s="6">
        <v>20</v>
      </c>
      <c r="AH11" s="6">
        <v>3</v>
      </c>
      <c r="AK11" s="31">
        <f t="shared" si="2"/>
        <v>20</v>
      </c>
      <c r="AL11" s="31">
        <f t="shared" si="3"/>
        <v>3</v>
      </c>
    </row>
    <row r="12" spans="1:38">
      <c r="A12" s="50" t="s">
        <v>64</v>
      </c>
      <c r="B12" s="54">
        <v>959</v>
      </c>
      <c r="F12" s="50" t="s">
        <v>112</v>
      </c>
      <c r="G12" s="54">
        <v>3200</v>
      </c>
      <c r="K12" s="30" t="s">
        <v>115</v>
      </c>
      <c r="L12" s="30" t="str">
        <f t="shared" si="4"/>
        <v/>
      </c>
      <c r="M12" s="30">
        <f t="shared" si="5"/>
        <v>3283</v>
      </c>
      <c r="N12" s="30" t="str">
        <f t="shared" si="6"/>
        <v/>
      </c>
      <c r="P12" s="53">
        <v>9</v>
      </c>
      <c r="Q12" s="54">
        <v>1</v>
      </c>
      <c r="R12" s="54">
        <v>7</v>
      </c>
      <c r="W12" s="31">
        <v>9</v>
      </c>
      <c r="X12" s="56">
        <v>0.75</v>
      </c>
      <c r="Y12" s="31">
        <v>8</v>
      </c>
      <c r="AB12" s="58">
        <f t="shared" si="0"/>
        <v>0.75</v>
      </c>
      <c r="AC12" s="54">
        <f t="shared" si="1"/>
        <v>8</v>
      </c>
      <c r="AF12" s="51">
        <v>9</v>
      </c>
      <c r="AG12" s="6">
        <v>24</v>
      </c>
      <c r="AH12" s="6">
        <v>8</v>
      </c>
      <c r="AK12" s="31">
        <f t="shared" si="2"/>
        <v>24</v>
      </c>
      <c r="AL12" s="31">
        <f t="shared" si="3"/>
        <v>8</v>
      </c>
    </row>
    <row r="13" spans="1:38">
      <c r="A13" s="50" t="s">
        <v>65</v>
      </c>
      <c r="B13" s="54">
        <v>822</v>
      </c>
      <c r="F13" s="50" t="s">
        <v>124</v>
      </c>
      <c r="G13" s="54">
        <v>151</v>
      </c>
      <c r="K13" s="30" t="s">
        <v>104</v>
      </c>
      <c r="L13" s="30" t="str">
        <f t="shared" si="4"/>
        <v/>
      </c>
      <c r="M13" s="30" t="str">
        <f t="shared" si="5"/>
        <v/>
      </c>
      <c r="N13" s="30">
        <f t="shared" si="6"/>
        <v>294</v>
      </c>
      <c r="P13" s="53">
        <v>10</v>
      </c>
      <c r="Q13" s="54">
        <v>8</v>
      </c>
      <c r="R13" s="54">
        <v>6</v>
      </c>
      <c r="W13" s="31">
        <v>10</v>
      </c>
      <c r="X13" s="56">
        <v>0.76</v>
      </c>
      <c r="Y13" s="31">
        <v>14</v>
      </c>
      <c r="AB13" s="58">
        <f t="shared" si="0"/>
        <v>0.76</v>
      </c>
      <c r="AC13" s="54">
        <f t="shared" si="1"/>
        <v>14</v>
      </c>
      <c r="AF13" s="51">
        <v>10</v>
      </c>
      <c r="AG13" s="6">
        <v>32</v>
      </c>
      <c r="AH13" s="6">
        <v>14</v>
      </c>
      <c r="AK13" s="31">
        <f t="shared" si="2"/>
        <v>32</v>
      </c>
      <c r="AL13" s="31">
        <f t="shared" si="3"/>
        <v>14</v>
      </c>
    </row>
    <row r="14" spans="1:38">
      <c r="A14" s="50" t="s">
        <v>66</v>
      </c>
      <c r="B14" s="54">
        <v>1321</v>
      </c>
      <c r="F14" s="50" t="s">
        <v>110</v>
      </c>
      <c r="G14" s="54">
        <v>3352</v>
      </c>
      <c r="K14" s="30" t="s">
        <v>107</v>
      </c>
      <c r="L14" s="30" t="str">
        <f t="shared" si="4"/>
        <v/>
      </c>
      <c r="M14" s="30">
        <f t="shared" si="5"/>
        <v>3200</v>
      </c>
      <c r="N14" s="30" t="str">
        <f t="shared" si="6"/>
        <v/>
      </c>
      <c r="P14" s="53">
        <v>11</v>
      </c>
      <c r="Q14" s="54">
        <v>12</v>
      </c>
      <c r="R14" s="54">
        <v>24</v>
      </c>
      <c r="W14" s="31">
        <v>11</v>
      </c>
      <c r="X14" s="56">
        <v>0.76</v>
      </c>
      <c r="Y14" s="31">
        <v>36</v>
      </c>
      <c r="AB14" s="58">
        <f t="shared" si="0"/>
        <v>0.76</v>
      </c>
      <c r="AC14" s="54">
        <f t="shared" si="1"/>
        <v>36</v>
      </c>
      <c r="AF14" s="51">
        <v>11</v>
      </c>
      <c r="AG14" s="6">
        <v>38</v>
      </c>
      <c r="AH14" s="6">
        <v>36</v>
      </c>
      <c r="AK14" s="31">
        <f t="shared" si="2"/>
        <v>38</v>
      </c>
      <c r="AL14" s="31">
        <f t="shared" si="3"/>
        <v>36</v>
      </c>
    </row>
    <row r="15" spans="1:38">
      <c r="A15" s="50" t="s">
        <v>67</v>
      </c>
      <c r="B15" s="54">
        <v>1263</v>
      </c>
      <c r="F15" s="50" t="s">
        <v>126</v>
      </c>
      <c r="G15" s="54">
        <v>69</v>
      </c>
      <c r="K15" s="30" t="s">
        <v>116</v>
      </c>
      <c r="L15" s="30" t="str">
        <f t="shared" si="4"/>
        <v/>
      </c>
      <c r="M15" s="30" t="str">
        <f t="shared" si="5"/>
        <v/>
      </c>
      <c r="N15" s="30">
        <f t="shared" si="6"/>
        <v>151</v>
      </c>
      <c r="P15" s="53">
        <v>12</v>
      </c>
      <c r="Q15" s="54">
        <v>26</v>
      </c>
      <c r="R15" s="54">
        <v>30</v>
      </c>
      <c r="W15" s="31">
        <v>12</v>
      </c>
      <c r="X15" s="56">
        <v>0.81</v>
      </c>
      <c r="Y15" s="31">
        <v>56</v>
      </c>
      <c r="AB15" s="58">
        <f t="shared" si="0"/>
        <v>0.81</v>
      </c>
      <c r="AC15" s="54">
        <f t="shared" si="1"/>
        <v>56</v>
      </c>
      <c r="AF15" s="51">
        <v>12</v>
      </c>
      <c r="AG15" s="6">
        <v>36</v>
      </c>
      <c r="AH15" s="6">
        <v>56</v>
      </c>
      <c r="AK15" s="31">
        <f t="shared" si="2"/>
        <v>36</v>
      </c>
      <c r="AL15" s="31">
        <f t="shared" si="3"/>
        <v>56</v>
      </c>
    </row>
    <row r="16" spans="1:38">
      <c r="A16" s="50" t="s">
        <v>68</v>
      </c>
      <c r="B16" s="54">
        <v>1162</v>
      </c>
      <c r="F16" s="50" t="s">
        <v>106</v>
      </c>
      <c r="G16" s="54">
        <v>3928</v>
      </c>
      <c r="K16" s="30" t="s">
        <v>114</v>
      </c>
      <c r="L16" s="30" t="str">
        <f t="shared" si="4"/>
        <v/>
      </c>
      <c r="M16" s="30">
        <f t="shared" si="5"/>
        <v>3352</v>
      </c>
      <c r="N16" s="30" t="str">
        <f t="shared" si="6"/>
        <v/>
      </c>
      <c r="P16" s="53">
        <v>13</v>
      </c>
      <c r="Q16" s="54">
        <v>29</v>
      </c>
      <c r="R16" s="54">
        <v>55</v>
      </c>
      <c r="W16" s="31">
        <v>13</v>
      </c>
      <c r="X16" s="56">
        <v>0.77</v>
      </c>
      <c r="Y16" s="31">
        <v>84</v>
      </c>
      <c r="AB16" s="58">
        <f t="shared" si="0"/>
        <v>0.77</v>
      </c>
      <c r="AC16" s="54">
        <f t="shared" si="1"/>
        <v>84</v>
      </c>
      <c r="AF16" s="51">
        <v>13</v>
      </c>
      <c r="AG16" s="6">
        <v>42</v>
      </c>
      <c r="AH16" s="6">
        <v>84</v>
      </c>
      <c r="AK16" s="31">
        <f t="shared" si="2"/>
        <v>42</v>
      </c>
      <c r="AL16" s="31">
        <f t="shared" si="3"/>
        <v>84</v>
      </c>
    </row>
    <row r="17" spans="1:38">
      <c r="A17" s="50" t="s">
        <v>69</v>
      </c>
      <c r="B17" s="54">
        <v>1406</v>
      </c>
      <c r="F17" s="50" t="s">
        <v>125</v>
      </c>
      <c r="G17" s="54">
        <v>164</v>
      </c>
      <c r="K17" s="30" t="s">
        <v>111</v>
      </c>
      <c r="L17" s="30" t="str">
        <f t="shared" si="4"/>
        <v/>
      </c>
      <c r="M17" s="30" t="str">
        <f t="shared" si="5"/>
        <v/>
      </c>
      <c r="N17" s="30">
        <f t="shared" si="6"/>
        <v>69</v>
      </c>
      <c r="P17" s="53">
        <v>14</v>
      </c>
      <c r="Q17" s="54">
        <v>47</v>
      </c>
      <c r="R17" s="54">
        <v>47</v>
      </c>
      <c r="T17" s="28" t="s">
        <v>49</v>
      </c>
      <c r="U17" t="s">
        <v>51</v>
      </c>
      <c r="W17" s="31">
        <v>14</v>
      </c>
      <c r="X17" s="56">
        <v>0.72</v>
      </c>
      <c r="Y17" s="31">
        <v>94</v>
      </c>
      <c r="AB17" s="58">
        <f t="shared" si="0"/>
        <v>0.72</v>
      </c>
      <c r="AC17" s="54">
        <f t="shared" si="1"/>
        <v>94</v>
      </c>
      <c r="AF17" s="51">
        <v>14</v>
      </c>
      <c r="AG17" s="6">
        <v>46</v>
      </c>
      <c r="AH17" s="6">
        <v>94</v>
      </c>
      <c r="AK17" s="31">
        <f t="shared" si="2"/>
        <v>46</v>
      </c>
      <c r="AL17" s="31">
        <f t="shared" si="3"/>
        <v>94</v>
      </c>
    </row>
    <row r="18" spans="1:38">
      <c r="A18" s="50" t="s">
        <v>70</v>
      </c>
      <c r="B18" s="54">
        <v>1421</v>
      </c>
      <c r="F18" s="50" t="s">
        <v>103</v>
      </c>
      <c r="G18" s="54">
        <v>6169</v>
      </c>
      <c r="K18" s="30" t="s">
        <v>109</v>
      </c>
      <c r="L18" s="30">
        <f t="shared" si="4"/>
        <v>3928</v>
      </c>
      <c r="M18" s="30" t="str">
        <f t="shared" si="5"/>
        <v/>
      </c>
      <c r="N18" s="30" t="str">
        <f t="shared" si="6"/>
        <v/>
      </c>
      <c r="P18" s="53">
        <v>15</v>
      </c>
      <c r="Q18" s="54">
        <v>35</v>
      </c>
      <c r="R18" s="54">
        <v>71</v>
      </c>
      <c r="T18" s="51" t="s">
        <v>155</v>
      </c>
      <c r="U18" s="9">
        <v>4.7663968166849618E-2</v>
      </c>
      <c r="W18" s="31">
        <v>15</v>
      </c>
      <c r="X18" s="56">
        <v>0.72</v>
      </c>
      <c r="Y18" s="31">
        <v>106</v>
      </c>
      <c r="AB18" s="58">
        <f t="shared" si="0"/>
        <v>0.72</v>
      </c>
      <c r="AC18" s="54">
        <f t="shared" si="1"/>
        <v>106</v>
      </c>
      <c r="AF18" s="51">
        <v>15</v>
      </c>
      <c r="AG18" s="6">
        <v>46</v>
      </c>
      <c r="AH18" s="6">
        <v>106</v>
      </c>
      <c r="AK18" s="31">
        <f t="shared" si="2"/>
        <v>46</v>
      </c>
      <c r="AL18" s="31">
        <f t="shared" si="3"/>
        <v>106</v>
      </c>
    </row>
    <row r="19" spans="1:38">
      <c r="A19" s="50" t="s">
        <v>71</v>
      </c>
      <c r="B19" s="54">
        <v>1248</v>
      </c>
      <c r="F19" s="50" t="s">
        <v>120</v>
      </c>
      <c r="G19" s="54">
        <v>822</v>
      </c>
      <c r="K19" s="30" t="s">
        <v>112</v>
      </c>
      <c r="L19" s="30" t="str">
        <f t="shared" si="4"/>
        <v/>
      </c>
      <c r="M19" s="30" t="str">
        <f t="shared" si="5"/>
        <v/>
      </c>
      <c r="N19" s="30">
        <f t="shared" si="6"/>
        <v>164</v>
      </c>
      <c r="P19" s="53">
        <v>16</v>
      </c>
      <c r="Q19" s="54">
        <v>40</v>
      </c>
      <c r="R19" s="54">
        <v>70</v>
      </c>
      <c r="T19" s="51" t="s">
        <v>156</v>
      </c>
      <c r="U19" s="9">
        <v>0.43587060922063664</v>
      </c>
      <c r="W19" s="31">
        <v>16</v>
      </c>
      <c r="X19" s="56">
        <v>0.77</v>
      </c>
      <c r="Y19" s="31">
        <v>110</v>
      </c>
      <c r="AB19" s="58">
        <f t="shared" si="0"/>
        <v>0.77</v>
      </c>
      <c r="AC19" s="54">
        <f t="shared" si="1"/>
        <v>110</v>
      </c>
      <c r="AF19" s="51">
        <v>16</v>
      </c>
      <c r="AG19" s="6">
        <v>44</v>
      </c>
      <c r="AH19" s="6">
        <v>110</v>
      </c>
      <c r="AK19" s="31">
        <f t="shared" si="2"/>
        <v>44</v>
      </c>
      <c r="AL19" s="31">
        <f t="shared" si="3"/>
        <v>110</v>
      </c>
    </row>
    <row r="20" spans="1:38">
      <c r="A20" s="50" t="s">
        <v>72</v>
      </c>
      <c r="B20" s="54">
        <v>1204</v>
      </c>
      <c r="F20" s="50" t="s">
        <v>105</v>
      </c>
      <c r="G20" s="54">
        <v>5283</v>
      </c>
      <c r="H20" s="60"/>
      <c r="K20" s="30" t="s">
        <v>110</v>
      </c>
      <c r="L20" s="30">
        <f t="shared" si="4"/>
        <v>6169</v>
      </c>
      <c r="M20" s="30" t="str">
        <f t="shared" si="5"/>
        <v/>
      </c>
      <c r="N20" s="30" t="str">
        <f t="shared" si="6"/>
        <v/>
      </c>
      <c r="P20" s="53">
        <v>17</v>
      </c>
      <c r="Q20" s="54">
        <v>41</v>
      </c>
      <c r="R20" s="54">
        <v>52</v>
      </c>
      <c r="T20" s="51" t="s">
        <v>157</v>
      </c>
      <c r="U20" s="9">
        <v>0.37463981888035125</v>
      </c>
      <c r="W20" s="31">
        <v>17</v>
      </c>
      <c r="X20" s="56">
        <v>0.82</v>
      </c>
      <c r="Y20" s="31">
        <v>93</v>
      </c>
      <c r="AB20" s="58">
        <f t="shared" si="0"/>
        <v>0.82</v>
      </c>
      <c r="AC20" s="54">
        <f t="shared" si="1"/>
        <v>93</v>
      </c>
      <c r="AF20" s="51">
        <v>17</v>
      </c>
      <c r="AG20" s="6">
        <v>42</v>
      </c>
      <c r="AH20" s="6">
        <v>93</v>
      </c>
      <c r="AK20" s="31">
        <f t="shared" si="2"/>
        <v>42</v>
      </c>
      <c r="AL20" s="31">
        <f t="shared" si="3"/>
        <v>93</v>
      </c>
    </row>
    <row r="21" spans="1:38">
      <c r="A21" s="50" t="s">
        <v>73</v>
      </c>
      <c r="B21" s="54">
        <v>1000</v>
      </c>
      <c r="F21" s="50" t="s">
        <v>115</v>
      </c>
      <c r="G21" s="54">
        <v>2339</v>
      </c>
      <c r="H21" s="60"/>
      <c r="K21" s="30" t="s">
        <v>106</v>
      </c>
      <c r="L21" s="30" t="str">
        <f t="shared" si="4"/>
        <v/>
      </c>
      <c r="M21" s="30">
        <f t="shared" si="5"/>
        <v>822</v>
      </c>
      <c r="N21" s="30" t="str">
        <f t="shared" si="6"/>
        <v/>
      </c>
      <c r="P21" s="53">
        <v>18</v>
      </c>
      <c r="Q21" s="54">
        <v>15</v>
      </c>
      <c r="R21" s="54">
        <v>52</v>
      </c>
      <c r="T21" s="51" t="s">
        <v>158</v>
      </c>
      <c r="U21" s="9">
        <v>0.1250514544456641</v>
      </c>
      <c r="W21" s="31">
        <v>18</v>
      </c>
      <c r="X21" s="56">
        <v>0.82</v>
      </c>
      <c r="Y21" s="31">
        <v>67</v>
      </c>
      <c r="AB21" s="58">
        <f t="shared" si="0"/>
        <v>0.82</v>
      </c>
      <c r="AC21" s="54">
        <f t="shared" si="1"/>
        <v>67</v>
      </c>
      <c r="AF21" s="51">
        <v>18</v>
      </c>
      <c r="AG21" s="6">
        <v>44</v>
      </c>
      <c r="AH21" s="6">
        <v>67</v>
      </c>
      <c r="AK21" s="31">
        <f t="shared" si="2"/>
        <v>44</v>
      </c>
      <c r="AL21" s="31">
        <f t="shared" si="3"/>
        <v>67</v>
      </c>
    </row>
    <row r="22" spans="1:38">
      <c r="A22" s="50" t="s">
        <v>74</v>
      </c>
      <c r="B22" s="54">
        <v>683</v>
      </c>
      <c r="F22" s="50" t="s">
        <v>108</v>
      </c>
      <c r="G22" s="54">
        <v>3661</v>
      </c>
      <c r="H22" s="60"/>
      <c r="K22" s="30" t="s">
        <v>103</v>
      </c>
      <c r="L22" s="30">
        <f t="shared" si="4"/>
        <v>5283</v>
      </c>
      <c r="M22" s="30" t="str">
        <f t="shared" si="5"/>
        <v/>
      </c>
      <c r="N22" s="30" t="str">
        <f t="shared" si="6"/>
        <v/>
      </c>
      <c r="P22" s="53">
        <v>19</v>
      </c>
      <c r="Q22" s="54">
        <v>9</v>
      </c>
      <c r="R22" s="54">
        <v>26</v>
      </c>
      <c r="T22" s="51" t="s">
        <v>159</v>
      </c>
      <c r="U22" s="9">
        <v>1.6774149286498355E-2</v>
      </c>
      <c r="W22" s="31">
        <v>19</v>
      </c>
      <c r="X22" s="56">
        <v>0.88</v>
      </c>
      <c r="Y22" s="31">
        <v>35</v>
      </c>
      <c r="AB22" s="58">
        <f t="shared" si="0"/>
        <v>0.88</v>
      </c>
      <c r="AC22" s="54">
        <f t="shared" si="1"/>
        <v>35</v>
      </c>
      <c r="AF22" s="51">
        <v>19</v>
      </c>
      <c r="AG22" s="6">
        <v>42</v>
      </c>
      <c r="AH22" s="6">
        <v>35</v>
      </c>
      <c r="AK22" s="31">
        <f t="shared" si="2"/>
        <v>42</v>
      </c>
      <c r="AL22" s="31">
        <f t="shared" si="3"/>
        <v>35</v>
      </c>
    </row>
    <row r="23" spans="1:38">
      <c r="A23" s="50" t="s">
        <v>75</v>
      </c>
      <c r="B23" s="54">
        <v>1650</v>
      </c>
      <c r="F23" s="50" t="s">
        <v>104</v>
      </c>
      <c r="G23" s="54">
        <v>5388</v>
      </c>
      <c r="H23" s="60"/>
      <c r="K23" s="30" t="s">
        <v>105</v>
      </c>
      <c r="L23" s="30" t="str">
        <f t="shared" si="4"/>
        <v/>
      </c>
      <c r="M23" s="30">
        <f t="shared" si="5"/>
        <v>2339</v>
      </c>
      <c r="N23" s="30" t="str">
        <f t="shared" si="6"/>
        <v/>
      </c>
      <c r="P23" s="53">
        <v>20</v>
      </c>
      <c r="Q23" s="54">
        <v>6</v>
      </c>
      <c r="R23" s="54">
        <v>31</v>
      </c>
      <c r="T23" s="51" t="s">
        <v>50</v>
      </c>
      <c r="U23" s="9">
        <v>1</v>
      </c>
      <c r="W23" s="31">
        <v>20</v>
      </c>
      <c r="X23" s="56">
        <v>0.88</v>
      </c>
      <c r="Y23" s="31">
        <v>37</v>
      </c>
      <c r="AB23" s="58">
        <f t="shared" si="0"/>
        <v>0.88</v>
      </c>
      <c r="AC23" s="54">
        <f t="shared" si="1"/>
        <v>37</v>
      </c>
      <c r="AF23" s="51">
        <v>20</v>
      </c>
      <c r="AG23" s="6">
        <v>42</v>
      </c>
      <c r="AH23" s="6">
        <v>37</v>
      </c>
      <c r="AK23" s="31">
        <f t="shared" si="2"/>
        <v>42</v>
      </c>
      <c r="AL23" s="31">
        <f t="shared" si="3"/>
        <v>37</v>
      </c>
    </row>
    <row r="24" spans="1:38">
      <c r="A24" s="50" t="s">
        <v>76</v>
      </c>
      <c r="B24" s="54">
        <v>1927</v>
      </c>
      <c r="F24" s="50" t="s">
        <v>113</v>
      </c>
      <c r="G24" s="54">
        <v>2656</v>
      </c>
      <c r="H24" s="60"/>
      <c r="K24" s="30" t="s">
        <v>108</v>
      </c>
      <c r="L24" s="30">
        <f t="shared" si="4"/>
        <v>3661</v>
      </c>
      <c r="M24" s="30" t="str">
        <f t="shared" si="5"/>
        <v/>
      </c>
      <c r="N24" s="30" t="str">
        <f t="shared" si="6"/>
        <v/>
      </c>
      <c r="P24" s="53">
        <v>21</v>
      </c>
      <c r="Q24" s="54">
        <v>11</v>
      </c>
      <c r="R24" s="54">
        <v>25</v>
      </c>
      <c r="W24" s="31">
        <v>21</v>
      </c>
      <c r="X24" s="56">
        <v>0.87</v>
      </c>
      <c r="Y24" s="31">
        <v>36</v>
      </c>
      <c r="AB24" s="58">
        <f t="shared" si="0"/>
        <v>0.87</v>
      </c>
      <c r="AC24" s="54">
        <f t="shared" si="1"/>
        <v>36</v>
      </c>
      <c r="AF24" s="51">
        <v>21</v>
      </c>
      <c r="AG24" s="6">
        <v>40</v>
      </c>
      <c r="AH24" s="6">
        <v>36</v>
      </c>
      <c r="AK24" s="31">
        <f t="shared" si="2"/>
        <v>40</v>
      </c>
      <c r="AL24" s="31">
        <f t="shared" si="3"/>
        <v>36</v>
      </c>
    </row>
    <row r="25" spans="1:38">
      <c r="A25" s="50" t="s">
        <v>77</v>
      </c>
      <c r="B25" s="54">
        <v>1543</v>
      </c>
      <c r="F25" s="50" t="s">
        <v>107</v>
      </c>
      <c r="G25" s="54">
        <v>3672</v>
      </c>
      <c r="H25" s="60"/>
      <c r="K25" s="30" t="s">
        <v>113</v>
      </c>
      <c r="L25" s="30">
        <f t="shared" si="4"/>
        <v>5388</v>
      </c>
      <c r="M25" s="30" t="str">
        <f t="shared" si="5"/>
        <v/>
      </c>
      <c r="N25" s="30" t="str">
        <f t="shared" si="6"/>
        <v/>
      </c>
      <c r="P25" s="53">
        <v>22</v>
      </c>
      <c r="Q25" s="54">
        <v>3</v>
      </c>
      <c r="R25" s="54">
        <v>31</v>
      </c>
      <c r="W25" s="31">
        <v>22</v>
      </c>
      <c r="X25" s="56">
        <v>0.87</v>
      </c>
      <c r="Y25" s="31">
        <v>34</v>
      </c>
      <c r="AB25" s="58">
        <f t="shared" si="0"/>
        <v>0.87</v>
      </c>
      <c r="AC25" s="54">
        <f t="shared" si="1"/>
        <v>34</v>
      </c>
      <c r="AF25" s="51">
        <v>22</v>
      </c>
      <c r="AG25" s="6">
        <v>40</v>
      </c>
      <c r="AH25" s="6">
        <v>34</v>
      </c>
      <c r="AK25" s="31">
        <f t="shared" si="2"/>
        <v>40</v>
      </c>
      <c r="AL25" s="31">
        <f t="shared" si="3"/>
        <v>34</v>
      </c>
    </row>
    <row r="26" spans="1:38">
      <c r="A26" s="50" t="s">
        <v>78</v>
      </c>
      <c r="B26" s="54">
        <v>981</v>
      </c>
      <c r="F26" s="50" t="s">
        <v>117</v>
      </c>
      <c r="G26" s="54">
        <v>1996</v>
      </c>
      <c r="K26" s="30" t="s">
        <v>117</v>
      </c>
      <c r="L26" s="30" t="str">
        <f t="shared" si="4"/>
        <v/>
      </c>
      <c r="M26" s="30">
        <f t="shared" si="5"/>
        <v>2656</v>
      </c>
      <c r="N26" s="30" t="str">
        <f t="shared" si="6"/>
        <v/>
      </c>
      <c r="P26" s="53">
        <v>23</v>
      </c>
      <c r="Q26" s="54">
        <v>11</v>
      </c>
      <c r="R26" s="54">
        <v>17</v>
      </c>
      <c r="W26" s="31">
        <v>23</v>
      </c>
      <c r="X26" s="56">
        <v>0.94</v>
      </c>
      <c r="Y26" s="31">
        <v>28</v>
      </c>
      <c r="AB26" s="58">
        <f t="shared" si="0"/>
        <v>0.94</v>
      </c>
      <c r="AC26" s="54">
        <f t="shared" si="1"/>
        <v>28</v>
      </c>
      <c r="AF26" s="51">
        <v>23</v>
      </c>
      <c r="AG26" s="6">
        <v>40</v>
      </c>
      <c r="AH26" s="6">
        <v>28</v>
      </c>
      <c r="AK26" s="31">
        <f t="shared" si="2"/>
        <v>40</v>
      </c>
      <c r="AL26" s="31">
        <f t="shared" si="3"/>
        <v>28</v>
      </c>
    </row>
    <row r="27" spans="1:38">
      <c r="A27" s="50" t="s">
        <v>79</v>
      </c>
      <c r="B27" s="54">
        <v>986</v>
      </c>
      <c r="F27" s="50" t="s">
        <v>50</v>
      </c>
      <c r="G27" s="54">
        <v>58304</v>
      </c>
      <c r="K27" s="30" t="s">
        <v>118</v>
      </c>
      <c r="L27" s="30">
        <f t="shared" si="4"/>
        <v>3672</v>
      </c>
      <c r="M27" s="30" t="str">
        <f t="shared" si="5"/>
        <v/>
      </c>
      <c r="N27" s="30" t="str">
        <f t="shared" si="6"/>
        <v/>
      </c>
      <c r="P27" s="53">
        <v>24</v>
      </c>
      <c r="Q27" s="54">
        <v>15</v>
      </c>
      <c r="R27" s="54">
        <v>24</v>
      </c>
      <c r="W27" s="31">
        <v>24</v>
      </c>
      <c r="X27" s="56">
        <v>0.88</v>
      </c>
      <c r="Y27" s="31">
        <v>39</v>
      </c>
      <c r="AB27" s="58">
        <f t="shared" si="0"/>
        <v>0.88</v>
      </c>
      <c r="AC27" s="54">
        <f t="shared" si="1"/>
        <v>39</v>
      </c>
      <c r="AF27" s="51">
        <v>24</v>
      </c>
      <c r="AG27" s="6">
        <v>46</v>
      </c>
      <c r="AH27" s="6">
        <v>39</v>
      </c>
      <c r="AK27" s="31">
        <f t="shared" si="2"/>
        <v>46</v>
      </c>
      <c r="AL27" s="31">
        <f t="shared" si="3"/>
        <v>39</v>
      </c>
    </row>
    <row r="28" spans="1:38">
      <c r="A28" s="50" t="s">
        <v>80</v>
      </c>
      <c r="B28" s="54">
        <v>1416</v>
      </c>
      <c r="K28" s="30" t="s">
        <v>119</v>
      </c>
      <c r="L28" s="30" t="str">
        <f t="shared" si="4"/>
        <v/>
      </c>
      <c r="M28" s="30">
        <f t="shared" si="5"/>
        <v>1996</v>
      </c>
      <c r="N28" s="30" t="str">
        <f t="shared" si="6"/>
        <v/>
      </c>
      <c r="P28" s="53">
        <v>25</v>
      </c>
      <c r="Q28" s="54">
        <v>4</v>
      </c>
      <c r="R28" s="54">
        <v>13</v>
      </c>
      <c r="W28" s="31">
        <v>25</v>
      </c>
      <c r="X28" s="56">
        <v>0.88</v>
      </c>
      <c r="Y28" s="31">
        <v>17</v>
      </c>
      <c r="AB28" s="58">
        <f t="shared" si="0"/>
        <v>0.88</v>
      </c>
      <c r="AC28" s="54">
        <f t="shared" si="1"/>
        <v>17</v>
      </c>
      <c r="AF28" s="51">
        <v>25</v>
      </c>
      <c r="AG28" s="6">
        <v>46</v>
      </c>
      <c r="AH28" s="6">
        <v>17</v>
      </c>
      <c r="AK28" s="31">
        <f t="shared" si="2"/>
        <v>46</v>
      </c>
      <c r="AL28" s="31">
        <f t="shared" si="3"/>
        <v>17</v>
      </c>
    </row>
    <row r="29" spans="1:38">
      <c r="A29" s="50" t="s">
        <v>81</v>
      </c>
      <c r="B29" s="54">
        <v>1985</v>
      </c>
      <c r="P29" s="53">
        <v>26</v>
      </c>
      <c r="Q29" s="54">
        <v>1</v>
      </c>
      <c r="R29" s="54">
        <v>16</v>
      </c>
      <c r="W29" s="31">
        <v>26</v>
      </c>
      <c r="X29" s="56">
        <v>0.94</v>
      </c>
      <c r="Y29" s="31">
        <v>17</v>
      </c>
      <c r="AB29" s="58">
        <f t="shared" si="0"/>
        <v>0.94</v>
      </c>
      <c r="AC29" s="54">
        <f t="shared" si="1"/>
        <v>17</v>
      </c>
      <c r="AF29" s="51">
        <v>26</v>
      </c>
      <c r="AG29" s="6">
        <v>44</v>
      </c>
      <c r="AH29" s="6">
        <v>17</v>
      </c>
      <c r="AK29" s="31">
        <f t="shared" si="2"/>
        <v>44</v>
      </c>
      <c r="AL29" s="31">
        <f t="shared" si="3"/>
        <v>17</v>
      </c>
    </row>
    <row r="30" spans="1:38">
      <c r="A30" s="50" t="s">
        <v>82</v>
      </c>
      <c r="B30" s="54">
        <v>506</v>
      </c>
      <c r="P30" s="53">
        <v>27</v>
      </c>
      <c r="Q30" s="54">
        <v>1</v>
      </c>
      <c r="R30" s="54">
        <v>8</v>
      </c>
      <c r="W30" s="31">
        <v>27</v>
      </c>
      <c r="X30" s="56">
        <v>1</v>
      </c>
      <c r="Y30" s="31">
        <v>9</v>
      </c>
      <c r="AB30" s="58">
        <f t="shared" si="0"/>
        <v>1</v>
      </c>
      <c r="AC30" s="54">
        <f t="shared" si="1"/>
        <v>9</v>
      </c>
      <c r="AF30" s="51">
        <v>27</v>
      </c>
      <c r="AG30" s="6">
        <v>42</v>
      </c>
      <c r="AH30" s="6">
        <v>9</v>
      </c>
      <c r="AK30" s="31">
        <f t="shared" si="2"/>
        <v>42</v>
      </c>
      <c r="AL30" s="31">
        <f t="shared" si="3"/>
        <v>9</v>
      </c>
    </row>
    <row r="31" spans="1:38">
      <c r="A31" s="50" t="s">
        <v>83</v>
      </c>
      <c r="B31" s="54">
        <v>431</v>
      </c>
      <c r="H31">
        <v>1232</v>
      </c>
      <c r="P31" s="53">
        <v>28</v>
      </c>
      <c r="Q31" s="54">
        <v>2</v>
      </c>
      <c r="R31" s="54">
        <v>4</v>
      </c>
      <c r="W31" s="31">
        <v>28</v>
      </c>
      <c r="X31" s="56">
        <v>0.94</v>
      </c>
      <c r="Y31" s="31">
        <v>6</v>
      </c>
      <c r="AB31" s="58">
        <f t="shared" si="0"/>
        <v>0.94</v>
      </c>
      <c r="AC31" s="54">
        <f t="shared" si="1"/>
        <v>6</v>
      </c>
      <c r="AF31" s="51">
        <v>28</v>
      </c>
      <c r="AG31" s="6">
        <v>46</v>
      </c>
      <c r="AH31" s="6">
        <v>6</v>
      </c>
      <c r="AK31" s="31">
        <f t="shared" si="2"/>
        <v>46</v>
      </c>
      <c r="AL31" s="31">
        <f t="shared" si="3"/>
        <v>6</v>
      </c>
    </row>
    <row r="32" spans="1:38">
      <c r="A32" s="50" t="s">
        <v>84</v>
      </c>
      <c r="B32" s="54">
        <v>1167</v>
      </c>
      <c r="H32">
        <v>1437</v>
      </c>
      <c r="I32">
        <f>H32-H31</f>
        <v>205</v>
      </c>
      <c r="P32" s="53">
        <v>29</v>
      </c>
      <c r="Q32" s="54">
        <v>2</v>
      </c>
      <c r="R32" s="54">
        <v>1</v>
      </c>
      <c r="W32" s="31">
        <v>29</v>
      </c>
      <c r="X32" s="56">
        <v>0.94</v>
      </c>
      <c r="Y32" s="31">
        <v>3</v>
      </c>
      <c r="AB32" s="58">
        <f t="shared" si="0"/>
        <v>0.94</v>
      </c>
      <c r="AC32" s="54">
        <f t="shared" si="1"/>
        <v>3</v>
      </c>
      <c r="AF32" s="51">
        <v>29</v>
      </c>
      <c r="AG32" s="6">
        <v>46</v>
      </c>
      <c r="AH32" s="6">
        <v>3</v>
      </c>
      <c r="AK32" s="31">
        <f t="shared" si="2"/>
        <v>46</v>
      </c>
      <c r="AL32" s="31">
        <f t="shared" si="3"/>
        <v>3</v>
      </c>
    </row>
    <row r="33" spans="1:38">
      <c r="A33" s="50" t="s">
        <v>85</v>
      </c>
      <c r="B33" s="54">
        <v>1098</v>
      </c>
      <c r="D33" s="30" t="s">
        <v>143</v>
      </c>
      <c r="E33" s="30" t="s">
        <v>144</v>
      </c>
      <c r="P33" s="53">
        <v>30</v>
      </c>
      <c r="Q33" s="54">
        <v>0</v>
      </c>
      <c r="R33" s="54">
        <v>2</v>
      </c>
      <c r="W33" s="31">
        <v>30</v>
      </c>
      <c r="X33" s="56">
        <v>0.77</v>
      </c>
      <c r="Y33" s="31">
        <v>2</v>
      </c>
      <c r="AB33" s="58">
        <f t="shared" si="0"/>
        <v>0.77</v>
      </c>
      <c r="AC33" s="54">
        <f t="shared" si="1"/>
        <v>2</v>
      </c>
      <c r="AF33" s="51">
        <v>30</v>
      </c>
      <c r="AG33" s="6">
        <v>42</v>
      </c>
      <c r="AH33" s="6">
        <v>2</v>
      </c>
      <c r="AK33" s="31">
        <f t="shared" si="2"/>
        <v>42</v>
      </c>
      <c r="AL33" s="31">
        <f t="shared" si="3"/>
        <v>2</v>
      </c>
    </row>
    <row r="34" spans="1:38">
      <c r="A34" s="50" t="s">
        <v>86</v>
      </c>
      <c r="B34" s="54">
        <v>1096</v>
      </c>
      <c r="D34" s="61">
        <v>46054</v>
      </c>
      <c r="E34" s="31">
        <f>B36</f>
        <v>1360</v>
      </c>
      <c r="P34" s="53">
        <v>31</v>
      </c>
      <c r="Q34" s="54">
        <v>0</v>
      </c>
      <c r="R34" s="54">
        <v>1</v>
      </c>
      <c r="W34" s="31">
        <v>31</v>
      </c>
      <c r="X34" s="56">
        <v>0.76</v>
      </c>
      <c r="Y34" s="31">
        <v>1</v>
      </c>
      <c r="AB34" s="58">
        <f t="shared" si="0"/>
        <v>0.76</v>
      </c>
      <c r="AC34" s="54">
        <f t="shared" si="1"/>
        <v>1</v>
      </c>
      <c r="AF34" s="51">
        <v>31</v>
      </c>
      <c r="AG34" s="6">
        <v>40</v>
      </c>
      <c r="AH34" s="6">
        <v>1</v>
      </c>
      <c r="AK34" s="31">
        <f t="shared" si="2"/>
        <v>40</v>
      </c>
      <c r="AL34" s="31">
        <f t="shared" si="3"/>
        <v>1</v>
      </c>
    </row>
    <row r="35" spans="1:38">
      <c r="A35" s="50" t="s">
        <v>87</v>
      </c>
      <c r="B35" s="54">
        <v>1501</v>
      </c>
      <c r="D35" s="61">
        <v>46055</v>
      </c>
      <c r="E35" s="31">
        <f t="shared" ref="E35:E47" si="7">B37</f>
        <v>1526</v>
      </c>
      <c r="P35" s="53">
        <v>32</v>
      </c>
      <c r="Q35" s="54">
        <v>0</v>
      </c>
      <c r="R35" s="54">
        <v>8</v>
      </c>
      <c r="W35" s="31">
        <v>32</v>
      </c>
      <c r="X35" s="56">
        <v>0.71</v>
      </c>
      <c r="Y35" s="31">
        <v>8</v>
      </c>
      <c r="AB35" s="58">
        <f t="shared" si="0"/>
        <v>0.71</v>
      </c>
      <c r="AC35" s="54">
        <f t="shared" si="1"/>
        <v>8</v>
      </c>
      <c r="AF35" s="51">
        <v>32</v>
      </c>
      <c r="AG35" s="6">
        <v>40</v>
      </c>
      <c r="AH35" s="6">
        <v>8</v>
      </c>
      <c r="AK35" s="31">
        <f t="shared" si="2"/>
        <v>40</v>
      </c>
      <c r="AL35" s="31">
        <f t="shared" si="3"/>
        <v>8</v>
      </c>
    </row>
    <row r="36" spans="1:38">
      <c r="A36" s="50" t="s">
        <v>88</v>
      </c>
      <c r="B36" s="54">
        <v>1360</v>
      </c>
      <c r="D36" s="61">
        <v>46056</v>
      </c>
      <c r="E36" s="31">
        <f t="shared" si="7"/>
        <v>1550</v>
      </c>
      <c r="P36" s="53">
        <v>33</v>
      </c>
      <c r="Q36" s="54">
        <v>1</v>
      </c>
      <c r="R36" s="54">
        <v>19</v>
      </c>
      <c r="W36" s="31">
        <v>33</v>
      </c>
      <c r="X36" s="56">
        <v>0.76</v>
      </c>
      <c r="Y36" s="31">
        <v>20</v>
      </c>
      <c r="AB36" s="58">
        <f t="shared" si="0"/>
        <v>0.76</v>
      </c>
      <c r="AC36" s="54">
        <f t="shared" si="1"/>
        <v>20</v>
      </c>
      <c r="AF36" s="51">
        <v>33</v>
      </c>
      <c r="AG36" s="6">
        <v>38</v>
      </c>
      <c r="AH36" s="6">
        <v>20</v>
      </c>
      <c r="AK36" s="31">
        <f t="shared" si="2"/>
        <v>38</v>
      </c>
      <c r="AL36" s="31">
        <f t="shared" si="3"/>
        <v>20</v>
      </c>
    </row>
    <row r="37" spans="1:38">
      <c r="A37" s="50" t="s">
        <v>89</v>
      </c>
      <c r="B37" s="54">
        <v>1526</v>
      </c>
      <c r="D37" s="61">
        <v>46057</v>
      </c>
      <c r="E37" s="31">
        <f t="shared" si="7"/>
        <v>1708</v>
      </c>
      <c r="P37" s="53">
        <v>34</v>
      </c>
      <c r="Q37" s="54">
        <v>7</v>
      </c>
      <c r="R37" s="54">
        <v>46</v>
      </c>
      <c r="W37" s="31">
        <v>34</v>
      </c>
      <c r="X37" s="56">
        <v>0.81</v>
      </c>
      <c r="Y37" s="31">
        <v>53</v>
      </c>
      <c r="AB37" s="58">
        <f t="shared" si="0"/>
        <v>0.81</v>
      </c>
      <c r="AC37" s="54">
        <f t="shared" si="1"/>
        <v>53</v>
      </c>
      <c r="AF37" s="51">
        <v>34</v>
      </c>
      <c r="AG37" s="6">
        <v>36</v>
      </c>
      <c r="AH37" s="6">
        <v>53</v>
      </c>
      <c r="AK37" s="31">
        <f t="shared" si="2"/>
        <v>36</v>
      </c>
      <c r="AL37" s="31">
        <f t="shared" si="3"/>
        <v>53</v>
      </c>
    </row>
    <row r="38" spans="1:38">
      <c r="A38" s="50" t="s">
        <v>90</v>
      </c>
      <c r="B38" s="54">
        <v>1550</v>
      </c>
      <c r="D38" s="61">
        <v>46058</v>
      </c>
      <c r="E38" s="31">
        <f t="shared" si="7"/>
        <v>1005</v>
      </c>
      <c r="P38" s="53">
        <v>35</v>
      </c>
      <c r="Q38" s="54">
        <v>16</v>
      </c>
      <c r="R38" s="54">
        <v>54</v>
      </c>
      <c r="W38" s="31">
        <v>35</v>
      </c>
      <c r="X38" s="56">
        <v>0.71</v>
      </c>
      <c r="Y38" s="31">
        <v>70</v>
      </c>
      <c r="AB38" s="58">
        <f t="shared" si="0"/>
        <v>0.71</v>
      </c>
      <c r="AC38" s="54">
        <f t="shared" si="1"/>
        <v>70</v>
      </c>
      <c r="AF38" s="51">
        <v>35</v>
      </c>
      <c r="AG38" s="6">
        <v>36</v>
      </c>
      <c r="AH38" s="6">
        <v>70</v>
      </c>
      <c r="AK38" s="31">
        <f t="shared" si="2"/>
        <v>36</v>
      </c>
      <c r="AL38" s="31">
        <f t="shared" si="3"/>
        <v>70</v>
      </c>
    </row>
    <row r="39" spans="1:38">
      <c r="A39" s="50" t="s">
        <v>91</v>
      </c>
      <c r="B39" s="54">
        <v>1708</v>
      </c>
      <c r="D39" s="61">
        <v>46059</v>
      </c>
      <c r="E39" s="31">
        <f t="shared" si="7"/>
        <v>1623</v>
      </c>
      <c r="P39" s="53">
        <v>36</v>
      </c>
      <c r="Q39" s="54">
        <v>20</v>
      </c>
      <c r="R39" s="54">
        <v>73</v>
      </c>
      <c r="W39" s="31">
        <v>36</v>
      </c>
      <c r="X39" s="56">
        <v>0.66</v>
      </c>
      <c r="Y39" s="31">
        <v>93</v>
      </c>
      <c r="AB39" s="58">
        <f t="shared" si="0"/>
        <v>0.66</v>
      </c>
      <c r="AC39" s="54">
        <f t="shared" si="1"/>
        <v>93</v>
      </c>
      <c r="AF39" s="51">
        <v>36</v>
      </c>
      <c r="AG39" s="6">
        <v>36</v>
      </c>
      <c r="AH39" s="6">
        <v>93</v>
      </c>
      <c r="AK39" s="31">
        <f t="shared" si="2"/>
        <v>36</v>
      </c>
      <c r="AL39" s="31">
        <f t="shared" si="3"/>
        <v>93</v>
      </c>
    </row>
    <row r="40" spans="1:38">
      <c r="A40" s="50" t="s">
        <v>92</v>
      </c>
      <c r="B40" s="54">
        <v>1005</v>
      </c>
      <c r="D40" s="61">
        <v>46060</v>
      </c>
      <c r="E40" s="31">
        <f t="shared" si="7"/>
        <v>1712</v>
      </c>
      <c r="P40" s="53">
        <v>37</v>
      </c>
      <c r="Q40" s="54">
        <v>11</v>
      </c>
      <c r="R40" s="54">
        <v>64</v>
      </c>
      <c r="W40" s="31">
        <v>37</v>
      </c>
      <c r="X40" s="56">
        <v>0.66</v>
      </c>
      <c r="Y40" s="31">
        <v>75</v>
      </c>
      <c r="AB40" s="58">
        <f t="shared" si="0"/>
        <v>0.66</v>
      </c>
      <c r="AC40" s="54">
        <f t="shared" si="1"/>
        <v>75</v>
      </c>
      <c r="AF40" s="51">
        <v>37</v>
      </c>
      <c r="AG40" s="6">
        <v>36</v>
      </c>
      <c r="AH40" s="6">
        <v>75</v>
      </c>
      <c r="AK40" s="31">
        <f t="shared" si="2"/>
        <v>36</v>
      </c>
      <c r="AL40" s="31">
        <f t="shared" si="3"/>
        <v>75</v>
      </c>
    </row>
    <row r="41" spans="1:38">
      <c r="A41" s="50" t="s">
        <v>93</v>
      </c>
      <c r="B41" s="54">
        <v>1623</v>
      </c>
      <c r="D41" s="61">
        <v>46061</v>
      </c>
      <c r="E41" s="31">
        <f t="shared" si="7"/>
        <v>1530</v>
      </c>
      <c r="P41" s="53">
        <v>38</v>
      </c>
      <c r="Q41" s="54">
        <v>4</v>
      </c>
      <c r="R41" s="54">
        <v>55</v>
      </c>
      <c r="W41" s="31">
        <v>38</v>
      </c>
      <c r="X41" s="56">
        <v>0.76</v>
      </c>
      <c r="Y41" s="31">
        <v>59</v>
      </c>
      <c r="AB41" s="58">
        <f t="shared" si="0"/>
        <v>0.76</v>
      </c>
      <c r="AC41" s="54">
        <f t="shared" si="1"/>
        <v>59</v>
      </c>
      <c r="AF41" s="51">
        <v>38</v>
      </c>
      <c r="AG41" s="6">
        <v>36</v>
      </c>
      <c r="AH41" s="6">
        <v>59</v>
      </c>
      <c r="AK41" s="31">
        <f t="shared" si="2"/>
        <v>36</v>
      </c>
      <c r="AL41" s="31">
        <f t="shared" si="3"/>
        <v>59</v>
      </c>
    </row>
    <row r="42" spans="1:38">
      <c r="A42" s="50" t="s">
        <v>94</v>
      </c>
      <c r="B42" s="54">
        <v>1712</v>
      </c>
      <c r="D42" s="61">
        <v>46062</v>
      </c>
      <c r="E42" s="31">
        <f t="shared" si="7"/>
        <v>1605</v>
      </c>
      <c r="P42" s="53">
        <v>39</v>
      </c>
      <c r="Q42" s="54">
        <v>19</v>
      </c>
      <c r="R42" s="54">
        <v>55</v>
      </c>
      <c r="W42" s="31">
        <v>39</v>
      </c>
      <c r="X42" s="56">
        <v>0.81</v>
      </c>
      <c r="Y42" s="31">
        <v>74</v>
      </c>
      <c r="AB42" s="58">
        <f t="shared" si="0"/>
        <v>0.81</v>
      </c>
      <c r="AC42" s="54">
        <f t="shared" si="1"/>
        <v>74</v>
      </c>
      <c r="AF42" s="51">
        <v>39</v>
      </c>
      <c r="AG42" s="6">
        <v>34</v>
      </c>
      <c r="AH42" s="6">
        <v>74</v>
      </c>
      <c r="AK42" s="31">
        <f t="shared" si="2"/>
        <v>34</v>
      </c>
      <c r="AL42" s="31">
        <f t="shared" si="3"/>
        <v>74</v>
      </c>
    </row>
    <row r="43" spans="1:38">
      <c r="A43" s="50" t="s">
        <v>95</v>
      </c>
      <c r="B43" s="54">
        <v>1530</v>
      </c>
      <c r="D43" s="61">
        <v>46063</v>
      </c>
      <c r="E43" s="31">
        <f t="shared" si="7"/>
        <v>1538</v>
      </c>
      <c r="P43" s="53">
        <v>40</v>
      </c>
      <c r="Q43" s="54">
        <v>9</v>
      </c>
      <c r="R43" s="54">
        <v>67</v>
      </c>
      <c r="W43" s="31">
        <v>40</v>
      </c>
      <c r="X43" s="56">
        <v>0.71</v>
      </c>
      <c r="Y43" s="31">
        <v>76</v>
      </c>
      <c r="AB43" s="58">
        <f t="shared" si="0"/>
        <v>0.71</v>
      </c>
      <c r="AC43" s="54">
        <f t="shared" si="1"/>
        <v>76</v>
      </c>
      <c r="AF43" s="51">
        <v>40</v>
      </c>
      <c r="AG43" s="6">
        <v>34</v>
      </c>
      <c r="AH43" s="6">
        <v>76</v>
      </c>
      <c r="AK43" s="31">
        <f t="shared" si="2"/>
        <v>34</v>
      </c>
      <c r="AL43" s="31">
        <f t="shared" si="3"/>
        <v>76</v>
      </c>
    </row>
    <row r="44" spans="1:38">
      <c r="A44" s="50" t="s">
        <v>96</v>
      </c>
      <c r="B44" s="54">
        <v>1605</v>
      </c>
      <c r="D44" s="61">
        <v>46064</v>
      </c>
      <c r="E44" s="31">
        <f t="shared" si="7"/>
        <v>1746</v>
      </c>
      <c r="P44" s="53">
        <v>41</v>
      </c>
      <c r="Q44" s="54">
        <v>7</v>
      </c>
      <c r="R44" s="54">
        <v>58</v>
      </c>
      <c r="W44" s="31">
        <v>41</v>
      </c>
      <c r="X44" s="56">
        <v>0.56999999999999995</v>
      </c>
      <c r="Y44" s="31">
        <v>65</v>
      </c>
      <c r="AB44" s="58">
        <f t="shared" si="0"/>
        <v>0.56999999999999995</v>
      </c>
      <c r="AC44" s="54">
        <f t="shared" si="1"/>
        <v>65</v>
      </c>
      <c r="AF44" s="51">
        <v>41</v>
      </c>
      <c r="AG44" s="6">
        <v>34</v>
      </c>
      <c r="AH44" s="6">
        <v>65</v>
      </c>
      <c r="AK44" s="31">
        <f t="shared" si="2"/>
        <v>34</v>
      </c>
      <c r="AL44" s="31">
        <f t="shared" si="3"/>
        <v>65</v>
      </c>
    </row>
    <row r="45" spans="1:38">
      <c r="A45" s="50" t="s">
        <v>97</v>
      </c>
      <c r="B45" s="54">
        <v>1538</v>
      </c>
      <c r="D45" s="61">
        <v>46065</v>
      </c>
      <c r="E45" s="31">
        <f t="shared" si="7"/>
        <v>1472</v>
      </c>
      <c r="P45" s="53">
        <v>42</v>
      </c>
      <c r="Q45" s="54">
        <v>10</v>
      </c>
      <c r="R45" s="54">
        <v>43</v>
      </c>
      <c r="W45" s="31">
        <v>42</v>
      </c>
      <c r="X45" s="56">
        <v>0.46</v>
      </c>
      <c r="Y45" s="31">
        <v>53</v>
      </c>
      <c r="AB45" s="58">
        <f t="shared" si="0"/>
        <v>0.46</v>
      </c>
      <c r="AC45" s="54">
        <f t="shared" si="1"/>
        <v>53</v>
      </c>
      <c r="AF45" s="51">
        <v>42</v>
      </c>
      <c r="AG45" s="6">
        <v>36</v>
      </c>
      <c r="AH45" s="6">
        <v>53</v>
      </c>
      <c r="AK45" s="31">
        <f t="shared" si="2"/>
        <v>36</v>
      </c>
      <c r="AL45" s="31">
        <f t="shared" si="3"/>
        <v>53</v>
      </c>
    </row>
    <row r="46" spans="1:38">
      <c r="A46" s="50" t="s">
        <v>98</v>
      </c>
      <c r="B46" s="54">
        <v>1746</v>
      </c>
      <c r="D46" s="61">
        <v>46066</v>
      </c>
      <c r="E46" s="31">
        <f t="shared" si="7"/>
        <v>1589</v>
      </c>
      <c r="P46" s="53">
        <v>43</v>
      </c>
      <c r="Q46" s="54">
        <v>1</v>
      </c>
      <c r="R46" s="54">
        <v>29</v>
      </c>
      <c r="W46" s="31">
        <v>43</v>
      </c>
      <c r="X46" s="56">
        <v>0.42</v>
      </c>
      <c r="Y46" s="31">
        <v>30</v>
      </c>
      <c r="AB46" s="58">
        <f t="shared" si="0"/>
        <v>0.42</v>
      </c>
      <c r="AC46" s="54">
        <f t="shared" si="1"/>
        <v>30</v>
      </c>
      <c r="AF46" s="51">
        <v>43</v>
      </c>
      <c r="AG46" s="6">
        <v>32</v>
      </c>
      <c r="AH46" s="6">
        <v>30</v>
      </c>
      <c r="AK46" s="31">
        <f t="shared" si="2"/>
        <v>32</v>
      </c>
      <c r="AL46" s="31">
        <f t="shared" si="3"/>
        <v>30</v>
      </c>
    </row>
    <row r="47" spans="1:38">
      <c r="A47" s="50" t="s">
        <v>99</v>
      </c>
      <c r="B47" s="54">
        <v>1472</v>
      </c>
      <c r="D47" s="61">
        <v>46067</v>
      </c>
      <c r="E47" s="31">
        <f t="shared" si="7"/>
        <v>151</v>
      </c>
      <c r="P47" s="53">
        <v>44</v>
      </c>
      <c r="Q47" s="54">
        <v>5</v>
      </c>
      <c r="R47" s="54">
        <v>17</v>
      </c>
      <c r="W47" s="31">
        <v>44</v>
      </c>
      <c r="X47" s="56">
        <v>0.39</v>
      </c>
      <c r="Y47" s="31">
        <v>22</v>
      </c>
      <c r="AB47" s="58">
        <f t="shared" si="0"/>
        <v>0.39</v>
      </c>
      <c r="AC47" s="54">
        <f t="shared" si="1"/>
        <v>22</v>
      </c>
      <c r="AF47" s="51">
        <v>44</v>
      </c>
      <c r="AG47" s="6">
        <v>30</v>
      </c>
      <c r="AH47" s="6">
        <v>22</v>
      </c>
      <c r="AK47" s="31">
        <f t="shared" si="2"/>
        <v>30</v>
      </c>
      <c r="AL47" s="31">
        <f t="shared" si="3"/>
        <v>22</v>
      </c>
    </row>
    <row r="48" spans="1:38">
      <c r="A48" s="50" t="s">
        <v>100</v>
      </c>
      <c r="B48" s="54">
        <v>1589</v>
      </c>
      <c r="P48" s="53">
        <v>45</v>
      </c>
      <c r="Q48" s="54">
        <v>11</v>
      </c>
      <c r="R48" s="54">
        <v>20</v>
      </c>
      <c r="W48" s="31">
        <v>45</v>
      </c>
      <c r="X48" s="56">
        <v>0.44</v>
      </c>
      <c r="Y48" s="31">
        <v>31</v>
      </c>
      <c r="AB48" s="58">
        <f t="shared" si="0"/>
        <v>0.44</v>
      </c>
      <c r="AC48" s="54">
        <f t="shared" si="1"/>
        <v>31</v>
      </c>
      <c r="AF48" s="51">
        <v>45</v>
      </c>
      <c r="AG48" s="6">
        <v>26</v>
      </c>
      <c r="AH48" s="6">
        <v>31</v>
      </c>
      <c r="AK48" s="31">
        <f t="shared" si="2"/>
        <v>26</v>
      </c>
      <c r="AL48" s="31">
        <f t="shared" si="3"/>
        <v>31</v>
      </c>
    </row>
    <row r="49" spans="1:38">
      <c r="A49" s="50" t="s">
        <v>101</v>
      </c>
      <c r="B49" s="54">
        <v>151</v>
      </c>
      <c r="P49" s="53">
        <v>46</v>
      </c>
      <c r="Q49" s="54">
        <v>0</v>
      </c>
      <c r="R49" s="54">
        <v>9</v>
      </c>
      <c r="W49" s="31">
        <v>46</v>
      </c>
      <c r="X49" s="56">
        <v>0.44</v>
      </c>
      <c r="Y49" s="31">
        <v>9</v>
      </c>
      <c r="AB49" s="58">
        <f t="shared" si="0"/>
        <v>0.44</v>
      </c>
      <c r="AC49" s="54">
        <f t="shared" si="1"/>
        <v>9</v>
      </c>
      <c r="AF49" s="51">
        <v>46</v>
      </c>
      <c r="AG49" s="6">
        <v>24</v>
      </c>
      <c r="AH49" s="6">
        <v>9</v>
      </c>
      <c r="AK49" s="31">
        <f t="shared" si="2"/>
        <v>24</v>
      </c>
      <c r="AL49" s="31">
        <f t="shared" si="3"/>
        <v>9</v>
      </c>
    </row>
    <row r="50" spans="1:38">
      <c r="A50" s="50" t="s">
        <v>50</v>
      </c>
      <c r="B50" s="54">
        <v>58304</v>
      </c>
      <c r="P50" s="53">
        <v>47</v>
      </c>
      <c r="Q50" s="54">
        <v>0</v>
      </c>
      <c r="R50" s="54">
        <v>8</v>
      </c>
      <c r="W50" s="31">
        <v>47</v>
      </c>
      <c r="X50" s="56">
        <v>0.47</v>
      </c>
      <c r="Y50" s="31">
        <v>8</v>
      </c>
      <c r="AB50" s="58">
        <f t="shared" si="0"/>
        <v>0.47</v>
      </c>
      <c r="AC50" s="54">
        <f t="shared" si="1"/>
        <v>8</v>
      </c>
      <c r="AF50" s="51">
        <v>47</v>
      </c>
      <c r="AG50" s="6">
        <v>22</v>
      </c>
      <c r="AH50" s="6">
        <v>8</v>
      </c>
      <c r="AK50" s="31">
        <f t="shared" si="2"/>
        <v>22</v>
      </c>
      <c r="AL50" s="31">
        <f t="shared" si="3"/>
        <v>8</v>
      </c>
    </row>
    <row r="51" spans="1:38">
      <c r="P51" s="53">
        <v>48</v>
      </c>
      <c r="Q51" s="54">
        <v>0</v>
      </c>
      <c r="R51" s="54">
        <v>5</v>
      </c>
      <c r="W51" s="31">
        <v>48</v>
      </c>
      <c r="X51" s="56">
        <v>0.44</v>
      </c>
      <c r="Y51" s="31">
        <v>5</v>
      </c>
      <c r="AB51" s="58">
        <f t="shared" si="0"/>
        <v>0.44</v>
      </c>
      <c r="AC51" s="54">
        <f t="shared" si="1"/>
        <v>5</v>
      </c>
      <c r="AF51" s="51">
        <v>48</v>
      </c>
      <c r="AG51" s="6">
        <v>22</v>
      </c>
      <c r="AH51" s="6">
        <v>5</v>
      </c>
      <c r="AK51" s="31">
        <f t="shared" si="2"/>
        <v>22</v>
      </c>
      <c r="AL51" s="31">
        <f t="shared" si="3"/>
        <v>5</v>
      </c>
    </row>
    <row r="52" spans="1:38">
      <c r="P52" s="53">
        <v>49</v>
      </c>
      <c r="Q52" s="54">
        <v>0</v>
      </c>
      <c r="R52" s="54">
        <v>2</v>
      </c>
      <c r="W52" s="31">
        <v>49</v>
      </c>
      <c r="X52" s="56">
        <v>0.44</v>
      </c>
      <c r="Y52" s="31">
        <v>2</v>
      </c>
      <c r="AB52" s="58">
        <f t="shared" si="0"/>
        <v>0.44</v>
      </c>
      <c r="AC52" s="54">
        <f t="shared" si="1"/>
        <v>2</v>
      </c>
      <c r="AF52" s="51">
        <v>49</v>
      </c>
      <c r="AG52" s="6">
        <v>20</v>
      </c>
      <c r="AH52" s="6">
        <v>2</v>
      </c>
      <c r="AK52" s="31">
        <f t="shared" si="2"/>
        <v>20</v>
      </c>
      <c r="AL52" s="31">
        <f t="shared" si="3"/>
        <v>2</v>
      </c>
    </row>
    <row r="53" spans="1:38">
      <c r="P53" s="53">
        <v>50</v>
      </c>
      <c r="Q53" s="54">
        <v>0</v>
      </c>
      <c r="R53" s="54">
        <v>1</v>
      </c>
      <c r="W53" s="31">
        <v>50</v>
      </c>
      <c r="X53" s="56">
        <v>0.47</v>
      </c>
      <c r="Y53" s="31">
        <v>1</v>
      </c>
      <c r="AB53" s="58">
        <f t="shared" si="0"/>
        <v>0.47</v>
      </c>
      <c r="AC53" s="54">
        <f t="shared" si="1"/>
        <v>1</v>
      </c>
      <c r="AF53" s="51">
        <v>50</v>
      </c>
      <c r="AG53" s="6">
        <v>16</v>
      </c>
      <c r="AH53" s="6">
        <v>1</v>
      </c>
      <c r="AK53" s="31">
        <f t="shared" si="2"/>
        <v>16</v>
      </c>
      <c r="AL53" s="31">
        <f t="shared" si="3"/>
        <v>1</v>
      </c>
    </row>
    <row r="54" spans="1:38">
      <c r="P54" s="53">
        <v>51</v>
      </c>
      <c r="Q54" s="54">
        <v>0</v>
      </c>
      <c r="R54" s="54">
        <v>3</v>
      </c>
      <c r="W54" s="31">
        <v>51</v>
      </c>
      <c r="X54" s="56">
        <v>0.47</v>
      </c>
      <c r="Y54" s="31">
        <v>3</v>
      </c>
      <c r="AB54" s="58">
        <f t="shared" si="0"/>
        <v>0.47</v>
      </c>
      <c r="AC54" s="54">
        <f t="shared" si="1"/>
        <v>3</v>
      </c>
      <c r="AF54" s="51">
        <v>51</v>
      </c>
      <c r="AG54" s="6">
        <v>16</v>
      </c>
      <c r="AH54" s="6">
        <v>3</v>
      </c>
      <c r="AK54" s="31">
        <f t="shared" si="2"/>
        <v>16</v>
      </c>
      <c r="AL54" s="31">
        <f t="shared" si="3"/>
        <v>3</v>
      </c>
    </row>
    <row r="55" spans="1:38">
      <c r="P55" s="53">
        <v>52</v>
      </c>
      <c r="Q55" s="54">
        <v>0</v>
      </c>
      <c r="R55" s="54">
        <v>30</v>
      </c>
      <c r="W55" s="31">
        <v>52</v>
      </c>
      <c r="X55" s="56">
        <v>0.5</v>
      </c>
      <c r="Y55" s="31">
        <v>30</v>
      </c>
      <c r="AB55" s="58">
        <f t="shared" si="0"/>
        <v>0.5</v>
      </c>
      <c r="AC55" s="54">
        <f t="shared" si="1"/>
        <v>30</v>
      </c>
      <c r="AF55" s="51">
        <v>52</v>
      </c>
      <c r="AG55" s="6">
        <v>14.000000000000002</v>
      </c>
      <c r="AH55" s="6">
        <v>30</v>
      </c>
      <c r="AK55" s="31">
        <f t="shared" si="2"/>
        <v>14.000000000000002</v>
      </c>
      <c r="AL55" s="31">
        <f t="shared" si="3"/>
        <v>30</v>
      </c>
    </row>
    <row r="56" spans="1:38">
      <c r="P56" s="53">
        <v>53</v>
      </c>
      <c r="Q56" s="54">
        <v>1</v>
      </c>
      <c r="R56" s="54">
        <v>63</v>
      </c>
      <c r="W56" s="31">
        <v>53</v>
      </c>
      <c r="X56" s="56">
        <v>0.5</v>
      </c>
      <c r="Y56" s="31">
        <v>64</v>
      </c>
      <c r="AB56" s="58">
        <f t="shared" si="0"/>
        <v>0.5</v>
      </c>
      <c r="AC56" s="54">
        <f t="shared" si="1"/>
        <v>64</v>
      </c>
      <c r="AF56" s="51">
        <v>53</v>
      </c>
      <c r="AG56" s="6">
        <v>14.000000000000002</v>
      </c>
      <c r="AH56" s="6">
        <v>64</v>
      </c>
      <c r="AK56" s="31">
        <f t="shared" si="2"/>
        <v>14.000000000000002</v>
      </c>
      <c r="AL56" s="31">
        <f t="shared" si="3"/>
        <v>64</v>
      </c>
    </row>
    <row r="57" spans="1:38">
      <c r="P57" s="53">
        <v>54</v>
      </c>
      <c r="Q57" s="54">
        <v>1</v>
      </c>
      <c r="R57" s="54">
        <v>153</v>
      </c>
      <c r="W57" s="31">
        <v>54</v>
      </c>
      <c r="X57" s="56">
        <v>0.5</v>
      </c>
      <c r="Y57" s="31">
        <v>154</v>
      </c>
      <c r="AB57" s="58">
        <f t="shared" si="0"/>
        <v>0.5</v>
      </c>
      <c r="AC57" s="54">
        <f t="shared" si="1"/>
        <v>154</v>
      </c>
      <c r="AF57" s="51">
        <v>54</v>
      </c>
      <c r="AG57" s="6">
        <v>14.000000000000002</v>
      </c>
      <c r="AH57" s="6">
        <v>154</v>
      </c>
      <c r="AK57" s="31">
        <f t="shared" si="2"/>
        <v>14.000000000000002</v>
      </c>
      <c r="AL57" s="31">
        <f t="shared" si="3"/>
        <v>154</v>
      </c>
    </row>
    <row r="58" spans="1:38">
      <c r="P58" s="53">
        <v>55</v>
      </c>
      <c r="Q58" s="54">
        <v>7</v>
      </c>
      <c r="R58" s="54">
        <v>81</v>
      </c>
      <c r="W58" s="31">
        <v>55</v>
      </c>
      <c r="X58" s="56">
        <v>0.43</v>
      </c>
      <c r="Y58" s="31">
        <v>88</v>
      </c>
      <c r="AB58" s="58">
        <f t="shared" si="0"/>
        <v>0.43</v>
      </c>
      <c r="AC58" s="54">
        <f t="shared" si="1"/>
        <v>88</v>
      </c>
      <c r="AF58" s="51">
        <v>55</v>
      </c>
      <c r="AG58" s="6">
        <v>16</v>
      </c>
      <c r="AH58" s="6">
        <v>88</v>
      </c>
      <c r="AK58" s="31">
        <f t="shared" si="2"/>
        <v>16</v>
      </c>
      <c r="AL58" s="31">
        <f t="shared" si="3"/>
        <v>88</v>
      </c>
    </row>
    <row r="59" spans="1:38">
      <c r="P59" s="53">
        <v>56</v>
      </c>
      <c r="Q59" s="54">
        <v>11</v>
      </c>
      <c r="R59" s="54">
        <v>33</v>
      </c>
      <c r="W59" s="31">
        <v>56</v>
      </c>
      <c r="X59" s="56">
        <v>0.43</v>
      </c>
      <c r="Y59" s="31">
        <v>44</v>
      </c>
      <c r="AB59" s="58">
        <f t="shared" si="0"/>
        <v>0.43</v>
      </c>
      <c r="AC59" s="54">
        <f t="shared" si="1"/>
        <v>44</v>
      </c>
      <c r="AF59" s="51">
        <v>56</v>
      </c>
      <c r="AG59" s="6">
        <v>18</v>
      </c>
      <c r="AH59" s="6">
        <v>44</v>
      </c>
      <c r="AK59" s="31">
        <f t="shared" si="2"/>
        <v>18</v>
      </c>
      <c r="AL59" s="31">
        <f t="shared" si="3"/>
        <v>44</v>
      </c>
    </row>
    <row r="60" spans="1:38">
      <c r="P60" s="53">
        <v>57</v>
      </c>
      <c r="Q60" s="54">
        <v>10</v>
      </c>
      <c r="R60" s="54">
        <v>41</v>
      </c>
      <c r="W60" s="31">
        <v>57</v>
      </c>
      <c r="X60" s="56">
        <v>0.4</v>
      </c>
      <c r="Y60" s="31">
        <v>51</v>
      </c>
      <c r="AB60" s="58">
        <f t="shared" si="0"/>
        <v>0.4</v>
      </c>
      <c r="AC60" s="54">
        <f t="shared" si="1"/>
        <v>51</v>
      </c>
      <c r="AF60" s="51">
        <v>57</v>
      </c>
      <c r="AG60" s="6">
        <v>20</v>
      </c>
      <c r="AH60" s="6">
        <v>51</v>
      </c>
      <c r="AK60" s="31">
        <f t="shared" si="2"/>
        <v>20</v>
      </c>
      <c r="AL60" s="31">
        <f t="shared" si="3"/>
        <v>51</v>
      </c>
    </row>
    <row r="61" spans="1:38">
      <c r="P61" s="53">
        <v>58</v>
      </c>
      <c r="Q61" s="54">
        <v>13</v>
      </c>
      <c r="R61" s="54">
        <v>48</v>
      </c>
      <c r="W61" s="31">
        <v>58</v>
      </c>
      <c r="X61" s="56">
        <v>0.35</v>
      </c>
      <c r="Y61" s="31">
        <v>61</v>
      </c>
      <c r="AB61" s="58">
        <f t="shared" si="0"/>
        <v>0.35</v>
      </c>
      <c r="AC61" s="54">
        <f t="shared" si="1"/>
        <v>61</v>
      </c>
      <c r="AF61" s="51">
        <v>58</v>
      </c>
      <c r="AG61" s="6">
        <v>22</v>
      </c>
      <c r="AH61" s="6">
        <v>61</v>
      </c>
      <c r="AK61" s="31">
        <f t="shared" si="2"/>
        <v>22</v>
      </c>
      <c r="AL61" s="31">
        <f t="shared" si="3"/>
        <v>61</v>
      </c>
    </row>
    <row r="62" spans="1:38">
      <c r="P62" s="53">
        <v>59</v>
      </c>
      <c r="Q62" s="54">
        <v>8</v>
      </c>
      <c r="R62" s="54">
        <v>53</v>
      </c>
      <c r="W62" s="31">
        <v>59</v>
      </c>
      <c r="X62" s="56">
        <v>0.35</v>
      </c>
      <c r="Y62" s="31">
        <v>61</v>
      </c>
      <c r="AB62" s="58">
        <f t="shared" si="0"/>
        <v>0.35</v>
      </c>
      <c r="AC62" s="54">
        <f t="shared" si="1"/>
        <v>61</v>
      </c>
      <c r="AF62" s="51">
        <v>59</v>
      </c>
      <c r="AG62" s="6">
        <v>24</v>
      </c>
      <c r="AH62" s="6">
        <v>61</v>
      </c>
      <c r="AK62" s="31">
        <f t="shared" si="2"/>
        <v>24</v>
      </c>
      <c r="AL62" s="31">
        <f t="shared" si="3"/>
        <v>61</v>
      </c>
    </row>
    <row r="63" spans="1:38">
      <c r="P63" s="53">
        <v>60</v>
      </c>
      <c r="Q63" s="54">
        <v>11</v>
      </c>
      <c r="R63" s="54">
        <v>66</v>
      </c>
      <c r="W63" s="31">
        <v>60</v>
      </c>
      <c r="X63" s="56">
        <v>0.3</v>
      </c>
      <c r="Y63" s="31">
        <v>77</v>
      </c>
      <c r="AB63" s="58">
        <f t="shared" si="0"/>
        <v>0.3</v>
      </c>
      <c r="AC63" s="54">
        <f t="shared" si="1"/>
        <v>77</v>
      </c>
      <c r="AF63" s="51">
        <v>60</v>
      </c>
      <c r="AG63" s="6">
        <v>26</v>
      </c>
      <c r="AH63" s="6">
        <v>77</v>
      </c>
      <c r="AK63" s="31">
        <f t="shared" si="2"/>
        <v>26</v>
      </c>
      <c r="AL63" s="31">
        <f t="shared" si="3"/>
        <v>77</v>
      </c>
    </row>
    <row r="64" spans="1:38">
      <c r="P64" s="53">
        <v>61</v>
      </c>
      <c r="Q64" s="54">
        <v>14</v>
      </c>
      <c r="R64" s="54">
        <v>58</v>
      </c>
      <c r="W64" s="31">
        <v>61</v>
      </c>
      <c r="X64" s="56">
        <v>0.3</v>
      </c>
      <c r="Y64" s="31">
        <v>72</v>
      </c>
      <c r="AB64" s="58">
        <f t="shared" si="0"/>
        <v>0.3</v>
      </c>
      <c r="AC64" s="54">
        <f t="shared" si="1"/>
        <v>72</v>
      </c>
      <c r="AF64" s="51">
        <v>61</v>
      </c>
      <c r="AG64" s="6">
        <v>26</v>
      </c>
      <c r="AH64" s="6">
        <v>72</v>
      </c>
      <c r="AK64" s="31">
        <f t="shared" si="2"/>
        <v>26</v>
      </c>
      <c r="AL64" s="31">
        <f t="shared" si="3"/>
        <v>72</v>
      </c>
    </row>
    <row r="65" spans="16:38">
      <c r="P65" s="53">
        <v>62</v>
      </c>
      <c r="Q65" s="54">
        <v>9</v>
      </c>
      <c r="R65" s="54">
        <v>67</v>
      </c>
      <c r="W65" s="31">
        <v>62</v>
      </c>
      <c r="X65" s="56">
        <v>0.3</v>
      </c>
      <c r="Y65" s="31">
        <v>76</v>
      </c>
      <c r="AB65" s="58">
        <f t="shared" si="0"/>
        <v>0.3</v>
      </c>
      <c r="AC65" s="54">
        <f t="shared" si="1"/>
        <v>76</v>
      </c>
      <c r="AF65" s="51">
        <v>62</v>
      </c>
      <c r="AG65" s="6">
        <v>26</v>
      </c>
      <c r="AH65" s="6">
        <v>76</v>
      </c>
      <c r="AK65" s="31">
        <f t="shared" si="2"/>
        <v>26</v>
      </c>
      <c r="AL65" s="31">
        <f t="shared" si="3"/>
        <v>76</v>
      </c>
    </row>
    <row r="66" spans="16:38">
      <c r="P66" s="53">
        <v>63</v>
      </c>
      <c r="Q66" s="54">
        <v>11</v>
      </c>
      <c r="R66" s="54">
        <v>146</v>
      </c>
      <c r="W66" s="31">
        <v>63</v>
      </c>
      <c r="X66" s="56">
        <v>0.3</v>
      </c>
      <c r="Y66" s="31">
        <v>157</v>
      </c>
      <c r="AB66" s="58">
        <f t="shared" si="0"/>
        <v>0.3</v>
      </c>
      <c r="AC66" s="54">
        <f t="shared" si="1"/>
        <v>157</v>
      </c>
      <c r="AF66" s="51">
        <v>63</v>
      </c>
      <c r="AG66" s="6">
        <v>24</v>
      </c>
      <c r="AH66" s="6">
        <v>157</v>
      </c>
      <c r="AK66" s="31">
        <f t="shared" si="2"/>
        <v>24</v>
      </c>
      <c r="AL66" s="31">
        <f t="shared" si="3"/>
        <v>157</v>
      </c>
    </row>
    <row r="67" spans="16:38">
      <c r="P67" s="53">
        <v>64</v>
      </c>
      <c r="Q67" s="54">
        <v>9</v>
      </c>
      <c r="R67" s="54">
        <v>148</v>
      </c>
      <c r="W67" s="31">
        <v>64</v>
      </c>
      <c r="X67" s="56">
        <v>0.32</v>
      </c>
      <c r="Y67" s="31">
        <v>157</v>
      </c>
      <c r="AB67" s="58">
        <f t="shared" si="0"/>
        <v>0.32</v>
      </c>
      <c r="AC67" s="54">
        <f t="shared" si="1"/>
        <v>157</v>
      </c>
      <c r="AF67" s="51">
        <v>64</v>
      </c>
      <c r="AG67" s="6">
        <v>24</v>
      </c>
      <c r="AH67" s="6">
        <v>157</v>
      </c>
      <c r="AK67" s="31">
        <f t="shared" si="2"/>
        <v>24</v>
      </c>
      <c r="AL67" s="31">
        <f t="shared" si="3"/>
        <v>157</v>
      </c>
    </row>
    <row r="68" spans="16:38">
      <c r="P68" s="53">
        <v>65</v>
      </c>
      <c r="Q68" s="54">
        <v>8</v>
      </c>
      <c r="R68" s="54">
        <v>102</v>
      </c>
      <c r="W68" s="31">
        <v>65</v>
      </c>
      <c r="X68" s="56">
        <v>0.47</v>
      </c>
      <c r="Y68" s="31">
        <v>110</v>
      </c>
      <c r="AB68" s="58">
        <f t="shared" si="0"/>
        <v>0.47</v>
      </c>
      <c r="AC68" s="54">
        <f t="shared" si="1"/>
        <v>110</v>
      </c>
      <c r="AF68" s="51">
        <v>65</v>
      </c>
      <c r="AG68" s="6">
        <v>20</v>
      </c>
      <c r="AH68" s="6">
        <v>110</v>
      </c>
      <c r="AK68" s="31">
        <f t="shared" si="2"/>
        <v>20</v>
      </c>
      <c r="AL68" s="31">
        <f t="shared" si="3"/>
        <v>110</v>
      </c>
    </row>
    <row r="69" spans="16:38">
      <c r="P69" s="53">
        <v>66</v>
      </c>
      <c r="Q69" s="54">
        <v>3</v>
      </c>
      <c r="R69" s="54">
        <v>49</v>
      </c>
      <c r="W69" s="31">
        <v>66</v>
      </c>
      <c r="X69" s="56">
        <v>0.47</v>
      </c>
      <c r="Y69" s="31">
        <v>52</v>
      </c>
      <c r="AB69" s="58">
        <f t="shared" ref="AB69:AB132" si="8">X69</f>
        <v>0.47</v>
      </c>
      <c r="AC69" s="54">
        <f t="shared" ref="AC69:AC132" si="9">Y69</f>
        <v>52</v>
      </c>
      <c r="AF69" s="51">
        <v>66</v>
      </c>
      <c r="AG69" s="6">
        <v>20</v>
      </c>
      <c r="AH69" s="6">
        <v>52</v>
      </c>
      <c r="AK69" s="31">
        <f t="shared" ref="AK69:AK132" si="10">AG69</f>
        <v>20</v>
      </c>
      <c r="AL69" s="31">
        <f t="shared" ref="AL69:AL132" si="11">AH69</f>
        <v>52</v>
      </c>
    </row>
    <row r="70" spans="16:38">
      <c r="P70" s="53">
        <v>67</v>
      </c>
      <c r="Q70" s="54">
        <v>3</v>
      </c>
      <c r="R70" s="54">
        <v>49</v>
      </c>
      <c r="W70" s="31">
        <v>67</v>
      </c>
      <c r="X70" s="56">
        <v>0.64</v>
      </c>
      <c r="Y70" s="31">
        <v>52</v>
      </c>
      <c r="AB70" s="58">
        <f t="shared" si="8"/>
        <v>0.64</v>
      </c>
      <c r="AC70" s="54">
        <f t="shared" si="9"/>
        <v>52</v>
      </c>
      <c r="AF70" s="51">
        <v>67</v>
      </c>
      <c r="AG70" s="6">
        <v>18</v>
      </c>
      <c r="AH70" s="6">
        <v>52</v>
      </c>
      <c r="AK70" s="31">
        <f t="shared" si="10"/>
        <v>18</v>
      </c>
      <c r="AL70" s="31">
        <f t="shared" si="11"/>
        <v>52</v>
      </c>
    </row>
    <row r="71" spans="16:38">
      <c r="P71" s="53">
        <v>68</v>
      </c>
      <c r="Q71" s="54">
        <v>0</v>
      </c>
      <c r="R71" s="54">
        <v>20</v>
      </c>
      <c r="W71" s="31">
        <v>68</v>
      </c>
      <c r="X71" s="56">
        <v>0.69</v>
      </c>
      <c r="Y71" s="31">
        <v>20</v>
      </c>
      <c r="AB71" s="58">
        <f t="shared" si="8"/>
        <v>0.69</v>
      </c>
      <c r="AC71" s="54">
        <f t="shared" si="9"/>
        <v>20</v>
      </c>
      <c r="AF71" s="51">
        <v>68</v>
      </c>
      <c r="AG71" s="6">
        <v>14.000000000000002</v>
      </c>
      <c r="AH71" s="6">
        <v>20</v>
      </c>
      <c r="AK71" s="31">
        <f t="shared" si="10"/>
        <v>14.000000000000002</v>
      </c>
      <c r="AL71" s="31">
        <f t="shared" si="11"/>
        <v>20</v>
      </c>
    </row>
    <row r="72" spans="16:38">
      <c r="P72" s="53">
        <v>69</v>
      </c>
      <c r="Q72" s="54">
        <v>1</v>
      </c>
      <c r="R72" s="54">
        <v>11</v>
      </c>
      <c r="W72" s="31">
        <v>69</v>
      </c>
      <c r="X72" s="56">
        <v>0.55000000000000004</v>
      </c>
      <c r="Y72" s="31">
        <v>12</v>
      </c>
      <c r="AB72" s="58">
        <f t="shared" si="8"/>
        <v>0.55000000000000004</v>
      </c>
      <c r="AC72" s="54">
        <f t="shared" si="9"/>
        <v>12</v>
      </c>
      <c r="AF72" s="51">
        <v>69</v>
      </c>
      <c r="AG72" s="6">
        <v>18</v>
      </c>
      <c r="AH72" s="6">
        <v>12</v>
      </c>
      <c r="AK72" s="31">
        <f t="shared" si="10"/>
        <v>18</v>
      </c>
      <c r="AL72" s="31">
        <f t="shared" si="11"/>
        <v>12</v>
      </c>
    </row>
    <row r="73" spans="16:38">
      <c r="P73" s="53">
        <v>70</v>
      </c>
      <c r="Q73" s="54">
        <v>0</v>
      </c>
      <c r="R73" s="54">
        <v>5</v>
      </c>
      <c r="W73" s="31">
        <v>70</v>
      </c>
      <c r="X73" s="56">
        <v>0.55000000000000004</v>
      </c>
      <c r="Y73" s="31">
        <v>5</v>
      </c>
      <c r="AB73" s="58">
        <f t="shared" si="8"/>
        <v>0.55000000000000004</v>
      </c>
      <c r="AC73" s="54">
        <f t="shared" si="9"/>
        <v>5</v>
      </c>
      <c r="AF73" s="51">
        <v>70</v>
      </c>
      <c r="AG73" s="6">
        <v>16</v>
      </c>
      <c r="AH73" s="6">
        <v>5</v>
      </c>
      <c r="AK73" s="31">
        <f t="shared" si="10"/>
        <v>16</v>
      </c>
      <c r="AL73" s="31">
        <f t="shared" si="11"/>
        <v>5</v>
      </c>
    </row>
    <row r="74" spans="16:38">
      <c r="P74" s="53">
        <v>71</v>
      </c>
      <c r="Q74" s="54">
        <v>0</v>
      </c>
      <c r="R74" s="54">
        <v>2</v>
      </c>
      <c r="W74" s="31">
        <v>71</v>
      </c>
      <c r="X74" s="56">
        <v>0.59</v>
      </c>
      <c r="Y74" s="31">
        <v>2</v>
      </c>
      <c r="AB74" s="58">
        <f t="shared" si="8"/>
        <v>0.59</v>
      </c>
      <c r="AC74" s="54">
        <f t="shared" si="9"/>
        <v>2</v>
      </c>
      <c r="AF74" s="51">
        <v>71</v>
      </c>
      <c r="AG74" s="6">
        <v>16</v>
      </c>
      <c r="AH74" s="6">
        <v>2</v>
      </c>
      <c r="AK74" s="31">
        <f t="shared" si="10"/>
        <v>16</v>
      </c>
      <c r="AL74" s="31">
        <f t="shared" si="11"/>
        <v>2</v>
      </c>
    </row>
    <row r="75" spans="16:38">
      <c r="P75" s="53">
        <v>72</v>
      </c>
      <c r="Q75" s="54">
        <v>0</v>
      </c>
      <c r="R75" s="54">
        <v>1</v>
      </c>
      <c r="W75" s="31">
        <v>72</v>
      </c>
      <c r="X75" s="56">
        <v>0.63</v>
      </c>
      <c r="Y75" s="31">
        <v>1</v>
      </c>
      <c r="AB75" s="58">
        <f t="shared" si="8"/>
        <v>0.63</v>
      </c>
      <c r="AC75" s="54">
        <f t="shared" si="9"/>
        <v>1</v>
      </c>
      <c r="AF75" s="51">
        <v>72</v>
      </c>
      <c r="AG75" s="6">
        <v>14.000000000000002</v>
      </c>
      <c r="AH75" s="6">
        <v>1</v>
      </c>
      <c r="AK75" s="31">
        <f t="shared" si="10"/>
        <v>14.000000000000002</v>
      </c>
      <c r="AL75" s="31">
        <f t="shared" si="11"/>
        <v>1</v>
      </c>
    </row>
    <row r="76" spans="16:38">
      <c r="P76" s="53">
        <v>73</v>
      </c>
      <c r="Q76" s="54">
        <v>0</v>
      </c>
      <c r="R76" s="54">
        <v>2</v>
      </c>
      <c r="W76" s="31">
        <v>73</v>
      </c>
      <c r="X76" s="56">
        <v>0.63</v>
      </c>
      <c r="Y76" s="31">
        <v>2</v>
      </c>
      <c r="AB76" s="58">
        <f t="shared" si="8"/>
        <v>0.63</v>
      </c>
      <c r="AC76" s="54">
        <f t="shared" si="9"/>
        <v>2</v>
      </c>
      <c r="AF76" s="51">
        <v>73</v>
      </c>
      <c r="AG76" s="6">
        <v>14.000000000000002</v>
      </c>
      <c r="AH76" s="6">
        <v>2</v>
      </c>
      <c r="AK76" s="31">
        <f t="shared" si="10"/>
        <v>14.000000000000002</v>
      </c>
      <c r="AL76" s="31">
        <f t="shared" si="11"/>
        <v>2</v>
      </c>
    </row>
    <row r="77" spans="16:38">
      <c r="P77" s="53">
        <v>74</v>
      </c>
      <c r="Q77" s="54">
        <v>0</v>
      </c>
      <c r="R77" s="54">
        <v>4</v>
      </c>
      <c r="W77" s="31">
        <v>74</v>
      </c>
      <c r="X77" s="56">
        <v>0.68</v>
      </c>
      <c r="Y77" s="31">
        <v>4</v>
      </c>
      <c r="AB77" s="58">
        <f t="shared" si="8"/>
        <v>0.68</v>
      </c>
      <c r="AC77" s="54">
        <f t="shared" si="9"/>
        <v>4</v>
      </c>
      <c r="AF77" s="51">
        <v>74</v>
      </c>
      <c r="AG77" s="6">
        <v>12</v>
      </c>
      <c r="AH77" s="6">
        <v>4</v>
      </c>
      <c r="AK77" s="31">
        <f t="shared" si="10"/>
        <v>12</v>
      </c>
      <c r="AL77" s="31">
        <f t="shared" si="11"/>
        <v>4</v>
      </c>
    </row>
    <row r="78" spans="16:38">
      <c r="P78" s="53">
        <v>75</v>
      </c>
      <c r="Q78" s="54">
        <v>0</v>
      </c>
      <c r="R78" s="54">
        <v>36</v>
      </c>
      <c r="W78" s="31">
        <v>75</v>
      </c>
      <c r="X78" s="56">
        <v>0.74</v>
      </c>
      <c r="Y78" s="31">
        <v>36</v>
      </c>
      <c r="AB78" s="58">
        <f t="shared" si="8"/>
        <v>0.74</v>
      </c>
      <c r="AC78" s="54">
        <f t="shared" si="9"/>
        <v>36</v>
      </c>
      <c r="AF78" s="51">
        <v>75</v>
      </c>
      <c r="AG78" s="6">
        <v>12</v>
      </c>
      <c r="AH78" s="6">
        <v>36</v>
      </c>
      <c r="AK78" s="31">
        <f t="shared" si="10"/>
        <v>12</v>
      </c>
      <c r="AL78" s="31">
        <f t="shared" si="11"/>
        <v>36</v>
      </c>
    </row>
    <row r="79" spans="16:38">
      <c r="P79" s="53">
        <v>76</v>
      </c>
      <c r="Q79" s="54">
        <v>2</v>
      </c>
      <c r="R79" s="54">
        <v>92</v>
      </c>
      <c r="W79" s="31">
        <v>76</v>
      </c>
      <c r="X79" s="56">
        <v>0.74</v>
      </c>
      <c r="Y79" s="31">
        <v>94</v>
      </c>
      <c r="AB79" s="58">
        <f t="shared" si="8"/>
        <v>0.74</v>
      </c>
      <c r="AC79" s="54">
        <f t="shared" si="9"/>
        <v>94</v>
      </c>
      <c r="AF79" s="51">
        <v>76</v>
      </c>
      <c r="AG79" s="6">
        <v>12</v>
      </c>
      <c r="AH79" s="6">
        <v>94</v>
      </c>
      <c r="AK79" s="31">
        <f t="shared" si="10"/>
        <v>12</v>
      </c>
      <c r="AL79" s="31">
        <f t="shared" si="11"/>
        <v>94</v>
      </c>
    </row>
    <row r="80" spans="16:38">
      <c r="P80" s="53">
        <v>77</v>
      </c>
      <c r="Q80" s="54">
        <v>2</v>
      </c>
      <c r="R80" s="54">
        <v>177</v>
      </c>
      <c r="W80" s="31">
        <v>77</v>
      </c>
      <c r="X80" s="56">
        <v>0.69</v>
      </c>
      <c r="Y80" s="31">
        <v>179</v>
      </c>
      <c r="AB80" s="58">
        <f t="shared" si="8"/>
        <v>0.69</v>
      </c>
      <c r="AC80" s="54">
        <f t="shared" si="9"/>
        <v>179</v>
      </c>
      <c r="AF80" s="51">
        <v>77</v>
      </c>
      <c r="AG80" s="6">
        <v>14.000000000000002</v>
      </c>
      <c r="AH80" s="6">
        <v>179</v>
      </c>
      <c r="AK80" s="31">
        <f t="shared" si="10"/>
        <v>14.000000000000002</v>
      </c>
      <c r="AL80" s="31">
        <f t="shared" si="11"/>
        <v>179</v>
      </c>
    </row>
    <row r="81" spans="16:38">
      <c r="P81" s="53">
        <v>78</v>
      </c>
      <c r="Q81" s="54">
        <v>2</v>
      </c>
      <c r="R81" s="54">
        <v>98</v>
      </c>
      <c r="W81" s="31">
        <v>78</v>
      </c>
      <c r="X81" s="56">
        <v>0.64</v>
      </c>
      <c r="Y81" s="31">
        <v>100</v>
      </c>
      <c r="AB81" s="58">
        <f t="shared" si="8"/>
        <v>0.64</v>
      </c>
      <c r="AC81" s="54">
        <f t="shared" si="9"/>
        <v>100</v>
      </c>
      <c r="AF81" s="51">
        <v>78</v>
      </c>
      <c r="AG81" s="6">
        <v>16</v>
      </c>
      <c r="AH81" s="6">
        <v>100</v>
      </c>
      <c r="AK81" s="31">
        <f t="shared" si="10"/>
        <v>16</v>
      </c>
      <c r="AL81" s="31">
        <f t="shared" si="11"/>
        <v>100</v>
      </c>
    </row>
    <row r="82" spans="16:38">
      <c r="P82" s="53">
        <v>79</v>
      </c>
      <c r="Q82" s="54">
        <v>5</v>
      </c>
      <c r="R82" s="54">
        <v>37</v>
      </c>
      <c r="W82" s="31">
        <v>79</v>
      </c>
      <c r="X82" s="56">
        <v>0.69</v>
      </c>
      <c r="Y82" s="31">
        <v>42</v>
      </c>
      <c r="AB82" s="58">
        <f t="shared" si="8"/>
        <v>0.69</v>
      </c>
      <c r="AC82" s="54">
        <f t="shared" si="9"/>
        <v>42</v>
      </c>
      <c r="AF82" s="51">
        <v>79</v>
      </c>
      <c r="AG82" s="6">
        <v>16</v>
      </c>
      <c r="AH82" s="6">
        <v>42</v>
      </c>
      <c r="AK82" s="31">
        <f t="shared" si="10"/>
        <v>16</v>
      </c>
      <c r="AL82" s="31">
        <f t="shared" si="11"/>
        <v>42</v>
      </c>
    </row>
    <row r="83" spans="16:38">
      <c r="P83" s="53">
        <v>80</v>
      </c>
      <c r="Q83" s="54">
        <v>7</v>
      </c>
      <c r="R83" s="54">
        <v>50</v>
      </c>
      <c r="W83" s="31">
        <v>80</v>
      </c>
      <c r="X83" s="56">
        <v>0.51</v>
      </c>
      <c r="Y83" s="31">
        <v>57</v>
      </c>
      <c r="AB83" s="58">
        <f t="shared" si="8"/>
        <v>0.51</v>
      </c>
      <c r="AC83" s="54">
        <f t="shared" si="9"/>
        <v>57</v>
      </c>
      <c r="AF83" s="51">
        <v>80</v>
      </c>
      <c r="AG83" s="6">
        <v>22</v>
      </c>
      <c r="AH83" s="6">
        <v>57</v>
      </c>
      <c r="AK83" s="31">
        <f t="shared" si="10"/>
        <v>22</v>
      </c>
      <c r="AL83" s="31">
        <f t="shared" si="11"/>
        <v>57</v>
      </c>
    </row>
    <row r="84" spans="16:38">
      <c r="P84" s="53">
        <v>81</v>
      </c>
      <c r="Q84" s="54">
        <v>12</v>
      </c>
      <c r="R84" s="54">
        <v>66</v>
      </c>
      <c r="W84" s="31">
        <v>81</v>
      </c>
      <c r="X84" s="56">
        <v>0.51</v>
      </c>
      <c r="Y84" s="31">
        <v>78</v>
      </c>
      <c r="AB84" s="58">
        <f t="shared" si="8"/>
        <v>0.51</v>
      </c>
      <c r="AC84" s="54">
        <f t="shared" si="9"/>
        <v>78</v>
      </c>
      <c r="AF84" s="51">
        <v>81</v>
      </c>
      <c r="AG84" s="6">
        <v>22</v>
      </c>
      <c r="AH84" s="6">
        <v>78</v>
      </c>
      <c r="AK84" s="31">
        <f t="shared" si="10"/>
        <v>22</v>
      </c>
      <c r="AL84" s="31">
        <f t="shared" si="11"/>
        <v>78</v>
      </c>
    </row>
    <row r="85" spans="16:38">
      <c r="P85" s="53">
        <v>82</v>
      </c>
      <c r="Q85" s="54">
        <v>18</v>
      </c>
      <c r="R85" s="54">
        <v>79</v>
      </c>
      <c r="W85" s="31">
        <v>82</v>
      </c>
      <c r="X85" s="56">
        <v>0.56000000000000005</v>
      </c>
      <c r="Y85" s="31">
        <v>97</v>
      </c>
      <c r="AB85" s="58">
        <f t="shared" si="8"/>
        <v>0.56000000000000005</v>
      </c>
      <c r="AC85" s="54">
        <f t="shared" si="9"/>
        <v>97</v>
      </c>
      <c r="AF85" s="51">
        <v>82</v>
      </c>
      <c r="AG85" s="6">
        <v>24</v>
      </c>
      <c r="AH85" s="6">
        <v>97</v>
      </c>
      <c r="AK85" s="31">
        <f t="shared" si="10"/>
        <v>24</v>
      </c>
      <c r="AL85" s="31">
        <f t="shared" si="11"/>
        <v>97</v>
      </c>
    </row>
    <row r="86" spans="16:38">
      <c r="P86" s="53">
        <v>83</v>
      </c>
      <c r="Q86" s="54">
        <v>9</v>
      </c>
      <c r="R86" s="54">
        <v>54</v>
      </c>
      <c r="W86" s="31">
        <v>83</v>
      </c>
      <c r="X86" s="56">
        <v>0.52</v>
      </c>
      <c r="Y86" s="31">
        <v>63</v>
      </c>
      <c r="AB86" s="58">
        <f t="shared" si="8"/>
        <v>0.52</v>
      </c>
      <c r="AC86" s="54">
        <f t="shared" si="9"/>
        <v>63</v>
      </c>
      <c r="AF86" s="51">
        <v>83</v>
      </c>
      <c r="AG86" s="6">
        <v>26</v>
      </c>
      <c r="AH86" s="6">
        <v>63</v>
      </c>
      <c r="AK86" s="31">
        <f t="shared" si="10"/>
        <v>26</v>
      </c>
      <c r="AL86" s="31">
        <f t="shared" si="11"/>
        <v>63</v>
      </c>
    </row>
    <row r="87" spans="16:38">
      <c r="P87" s="53">
        <v>84</v>
      </c>
      <c r="Q87" s="54">
        <v>17</v>
      </c>
      <c r="R87" s="54">
        <v>48</v>
      </c>
      <c r="W87" s="31">
        <v>84</v>
      </c>
      <c r="X87" s="56">
        <v>0.52</v>
      </c>
      <c r="Y87" s="31">
        <v>65</v>
      </c>
      <c r="AB87" s="58">
        <f t="shared" si="8"/>
        <v>0.52</v>
      </c>
      <c r="AC87" s="54">
        <f t="shared" si="9"/>
        <v>65</v>
      </c>
      <c r="AF87" s="51">
        <v>84</v>
      </c>
      <c r="AG87" s="6">
        <v>28.000000000000004</v>
      </c>
      <c r="AH87" s="6">
        <v>65</v>
      </c>
      <c r="AK87" s="31">
        <f t="shared" si="10"/>
        <v>28.000000000000004</v>
      </c>
      <c r="AL87" s="31">
        <f t="shared" si="11"/>
        <v>65</v>
      </c>
    </row>
    <row r="88" spans="16:38">
      <c r="P88" s="53">
        <v>85</v>
      </c>
      <c r="Q88" s="54">
        <v>15</v>
      </c>
      <c r="R88" s="54">
        <v>68</v>
      </c>
      <c r="W88" s="31">
        <v>85</v>
      </c>
      <c r="X88" s="56">
        <v>0.49</v>
      </c>
      <c r="Y88" s="31">
        <v>83</v>
      </c>
      <c r="AB88" s="58">
        <f t="shared" si="8"/>
        <v>0.49</v>
      </c>
      <c r="AC88" s="54">
        <f t="shared" si="9"/>
        <v>83</v>
      </c>
      <c r="AF88" s="51">
        <v>85</v>
      </c>
      <c r="AG88" s="6">
        <v>30</v>
      </c>
      <c r="AH88" s="6">
        <v>83</v>
      </c>
      <c r="AK88" s="31">
        <f t="shared" si="10"/>
        <v>30</v>
      </c>
      <c r="AL88" s="31">
        <f t="shared" si="11"/>
        <v>83</v>
      </c>
    </row>
    <row r="89" spans="16:38">
      <c r="P89" s="53">
        <v>86</v>
      </c>
      <c r="Q89" s="54">
        <v>10</v>
      </c>
      <c r="R89" s="54">
        <v>202</v>
      </c>
      <c r="W89" s="31">
        <v>86</v>
      </c>
      <c r="X89" s="56">
        <v>0.48</v>
      </c>
      <c r="Y89" s="31">
        <v>212</v>
      </c>
      <c r="AB89" s="58">
        <f t="shared" si="8"/>
        <v>0.48</v>
      </c>
      <c r="AC89" s="54">
        <f t="shared" si="9"/>
        <v>212</v>
      </c>
      <c r="AF89" s="51">
        <v>86</v>
      </c>
      <c r="AG89" s="6">
        <v>28.000000000000004</v>
      </c>
      <c r="AH89" s="6">
        <v>212</v>
      </c>
      <c r="AK89" s="31">
        <f t="shared" si="10"/>
        <v>28.000000000000004</v>
      </c>
      <c r="AL89" s="31">
        <f t="shared" si="11"/>
        <v>212</v>
      </c>
    </row>
    <row r="90" spans="16:38">
      <c r="P90" s="53">
        <v>87</v>
      </c>
      <c r="Q90" s="54">
        <v>3</v>
      </c>
      <c r="R90" s="54">
        <v>179</v>
      </c>
      <c r="W90" s="31">
        <v>87</v>
      </c>
      <c r="X90" s="56">
        <v>0.48</v>
      </c>
      <c r="Y90" s="31">
        <v>182</v>
      </c>
      <c r="AB90" s="58">
        <f t="shared" si="8"/>
        <v>0.48</v>
      </c>
      <c r="AC90" s="54">
        <f t="shared" si="9"/>
        <v>182</v>
      </c>
      <c r="AF90" s="51">
        <v>87</v>
      </c>
      <c r="AG90" s="6">
        <v>26</v>
      </c>
      <c r="AH90" s="6">
        <v>182</v>
      </c>
      <c r="AK90" s="31">
        <f t="shared" si="10"/>
        <v>26</v>
      </c>
      <c r="AL90" s="31">
        <f t="shared" si="11"/>
        <v>182</v>
      </c>
    </row>
    <row r="91" spans="16:38">
      <c r="P91" s="53">
        <v>88</v>
      </c>
      <c r="Q91" s="54">
        <v>2</v>
      </c>
      <c r="R91" s="54">
        <v>110</v>
      </c>
      <c r="W91" s="31">
        <v>88</v>
      </c>
      <c r="X91" s="56">
        <v>0.48</v>
      </c>
      <c r="Y91" s="31">
        <v>112</v>
      </c>
      <c r="AB91" s="58">
        <f t="shared" si="8"/>
        <v>0.48</v>
      </c>
      <c r="AC91" s="54">
        <f t="shared" si="9"/>
        <v>112</v>
      </c>
      <c r="AF91" s="51">
        <v>88</v>
      </c>
      <c r="AG91" s="6">
        <v>24</v>
      </c>
      <c r="AH91" s="6">
        <v>112</v>
      </c>
      <c r="AK91" s="31">
        <f t="shared" si="10"/>
        <v>24</v>
      </c>
      <c r="AL91" s="31">
        <f t="shared" si="11"/>
        <v>112</v>
      </c>
    </row>
    <row r="92" spans="16:38">
      <c r="P92" s="53">
        <v>89</v>
      </c>
      <c r="Q92" s="54">
        <v>1</v>
      </c>
      <c r="R92" s="54">
        <v>53</v>
      </c>
      <c r="W92" s="31">
        <v>89</v>
      </c>
      <c r="X92" s="56">
        <v>0.48</v>
      </c>
      <c r="Y92" s="31">
        <v>54</v>
      </c>
      <c r="AB92" s="58">
        <f t="shared" si="8"/>
        <v>0.48</v>
      </c>
      <c r="AC92" s="54">
        <f t="shared" si="9"/>
        <v>54</v>
      </c>
      <c r="AF92" s="51">
        <v>89</v>
      </c>
      <c r="AG92" s="6">
        <v>24</v>
      </c>
      <c r="AH92" s="6">
        <v>54</v>
      </c>
      <c r="AK92" s="31">
        <f t="shared" si="10"/>
        <v>24</v>
      </c>
      <c r="AL92" s="31">
        <f t="shared" si="11"/>
        <v>54</v>
      </c>
    </row>
    <row r="93" spans="16:38">
      <c r="P93" s="53">
        <v>90</v>
      </c>
      <c r="Q93" s="54">
        <v>0</v>
      </c>
      <c r="R93" s="54">
        <v>48</v>
      </c>
      <c r="W93" s="31">
        <v>90</v>
      </c>
      <c r="X93" s="56">
        <v>0.64</v>
      </c>
      <c r="Y93" s="31">
        <v>48</v>
      </c>
      <c r="AB93" s="58">
        <f t="shared" si="8"/>
        <v>0.64</v>
      </c>
      <c r="AC93" s="54">
        <f t="shared" si="9"/>
        <v>48</v>
      </c>
      <c r="AF93" s="51">
        <v>90</v>
      </c>
      <c r="AG93" s="6">
        <v>22</v>
      </c>
      <c r="AH93" s="6">
        <v>48</v>
      </c>
      <c r="AK93" s="31">
        <f t="shared" si="10"/>
        <v>22</v>
      </c>
      <c r="AL93" s="31">
        <f t="shared" si="11"/>
        <v>48</v>
      </c>
    </row>
    <row r="94" spans="16:38">
      <c r="P94" s="53">
        <v>91</v>
      </c>
      <c r="Q94" s="54">
        <v>1</v>
      </c>
      <c r="R94" s="54">
        <v>34</v>
      </c>
      <c r="W94" s="31">
        <v>91</v>
      </c>
      <c r="X94" s="56">
        <v>0.64</v>
      </c>
      <c r="Y94" s="31">
        <v>35</v>
      </c>
      <c r="AB94" s="58">
        <f t="shared" si="8"/>
        <v>0.64</v>
      </c>
      <c r="AC94" s="54">
        <f t="shared" si="9"/>
        <v>35</v>
      </c>
      <c r="AF94" s="51">
        <v>91</v>
      </c>
      <c r="AG94" s="6">
        <v>22</v>
      </c>
      <c r="AH94" s="6">
        <v>35</v>
      </c>
      <c r="AK94" s="31">
        <f t="shared" si="10"/>
        <v>22</v>
      </c>
      <c r="AL94" s="31">
        <f t="shared" si="11"/>
        <v>35</v>
      </c>
    </row>
    <row r="95" spans="16:38">
      <c r="P95" s="53">
        <v>92</v>
      </c>
      <c r="Q95" s="54">
        <v>2</v>
      </c>
      <c r="R95" s="54">
        <v>9</v>
      </c>
      <c r="W95" s="31">
        <v>92</v>
      </c>
      <c r="X95" s="56">
        <v>0.69</v>
      </c>
      <c r="Y95" s="31">
        <v>11</v>
      </c>
      <c r="AB95" s="58">
        <f t="shared" si="8"/>
        <v>0.69</v>
      </c>
      <c r="AC95" s="54">
        <f t="shared" si="9"/>
        <v>11</v>
      </c>
      <c r="AF95" s="51">
        <v>92</v>
      </c>
      <c r="AG95" s="6">
        <v>20</v>
      </c>
      <c r="AH95" s="6">
        <v>11</v>
      </c>
      <c r="AK95" s="31">
        <f t="shared" si="10"/>
        <v>20</v>
      </c>
      <c r="AL95" s="31">
        <f t="shared" si="11"/>
        <v>11</v>
      </c>
    </row>
    <row r="96" spans="16:38">
      <c r="P96" s="53">
        <v>93</v>
      </c>
      <c r="Q96" s="54">
        <v>0</v>
      </c>
      <c r="R96" s="54">
        <v>6</v>
      </c>
      <c r="W96" s="31">
        <v>93</v>
      </c>
      <c r="X96" s="56">
        <v>0.64</v>
      </c>
      <c r="Y96" s="31">
        <v>6</v>
      </c>
      <c r="AB96" s="58">
        <f t="shared" si="8"/>
        <v>0.64</v>
      </c>
      <c r="AC96" s="54">
        <f t="shared" si="9"/>
        <v>6</v>
      </c>
      <c r="AF96" s="51">
        <v>93</v>
      </c>
      <c r="AG96" s="6">
        <v>20</v>
      </c>
      <c r="AH96" s="6">
        <v>6</v>
      </c>
      <c r="AK96" s="31">
        <f t="shared" si="10"/>
        <v>20</v>
      </c>
      <c r="AL96" s="31">
        <f t="shared" si="11"/>
        <v>6</v>
      </c>
    </row>
    <row r="97" spans="16:38">
      <c r="P97" s="53">
        <v>94</v>
      </c>
      <c r="Q97" s="54">
        <v>0</v>
      </c>
      <c r="R97" s="54">
        <v>6</v>
      </c>
      <c r="W97" s="31">
        <v>94</v>
      </c>
      <c r="X97" s="56">
        <v>0.74</v>
      </c>
      <c r="Y97" s="31">
        <v>6</v>
      </c>
      <c r="AB97" s="58">
        <f t="shared" si="8"/>
        <v>0.74</v>
      </c>
      <c r="AC97" s="54">
        <f t="shared" si="9"/>
        <v>6</v>
      </c>
      <c r="AF97" s="51">
        <v>94</v>
      </c>
      <c r="AG97" s="6">
        <v>16</v>
      </c>
      <c r="AH97" s="6">
        <v>6</v>
      </c>
      <c r="AK97" s="31">
        <f t="shared" si="10"/>
        <v>16</v>
      </c>
      <c r="AL97" s="31">
        <f t="shared" si="11"/>
        <v>6</v>
      </c>
    </row>
    <row r="98" spans="16:38">
      <c r="P98" s="53">
        <v>95</v>
      </c>
      <c r="Q98" s="54">
        <v>0</v>
      </c>
      <c r="R98" s="54">
        <v>2</v>
      </c>
      <c r="W98" s="31">
        <v>95</v>
      </c>
      <c r="X98" s="56">
        <v>0.74</v>
      </c>
      <c r="Y98" s="31">
        <v>2</v>
      </c>
      <c r="AB98" s="58">
        <f t="shared" si="8"/>
        <v>0.74</v>
      </c>
      <c r="AC98" s="54">
        <f t="shared" si="9"/>
        <v>2</v>
      </c>
      <c r="AF98" s="51">
        <v>95</v>
      </c>
      <c r="AG98" s="6">
        <v>16</v>
      </c>
      <c r="AH98" s="6">
        <v>2</v>
      </c>
      <c r="AK98" s="31">
        <f t="shared" si="10"/>
        <v>16</v>
      </c>
      <c r="AL98" s="31">
        <f t="shared" si="11"/>
        <v>2</v>
      </c>
    </row>
    <row r="99" spans="16:38">
      <c r="P99" s="53">
        <v>96</v>
      </c>
      <c r="Q99" s="54">
        <v>0</v>
      </c>
      <c r="R99" s="54">
        <v>2</v>
      </c>
      <c r="W99" s="31">
        <v>96</v>
      </c>
      <c r="X99" s="56">
        <v>0.48</v>
      </c>
      <c r="Y99" s="31">
        <v>2</v>
      </c>
      <c r="AB99" s="58">
        <f t="shared" si="8"/>
        <v>0.48</v>
      </c>
      <c r="AC99" s="54">
        <f t="shared" si="9"/>
        <v>2</v>
      </c>
      <c r="AF99" s="51">
        <v>96</v>
      </c>
      <c r="AG99" s="6">
        <v>24</v>
      </c>
      <c r="AH99" s="6">
        <v>2</v>
      </c>
      <c r="AK99" s="31">
        <f t="shared" si="10"/>
        <v>24</v>
      </c>
      <c r="AL99" s="31">
        <f t="shared" si="11"/>
        <v>2</v>
      </c>
    </row>
    <row r="100" spans="16:38">
      <c r="P100" s="53">
        <v>97</v>
      </c>
      <c r="Q100" s="54">
        <v>0</v>
      </c>
      <c r="R100" s="54">
        <v>3</v>
      </c>
      <c r="W100" s="31">
        <v>97</v>
      </c>
      <c r="X100" s="56">
        <v>0.47</v>
      </c>
      <c r="Y100" s="31">
        <v>3</v>
      </c>
      <c r="AB100" s="58">
        <f t="shared" si="8"/>
        <v>0.47</v>
      </c>
      <c r="AC100" s="54">
        <f t="shared" si="9"/>
        <v>3</v>
      </c>
      <c r="AF100" s="51">
        <v>97</v>
      </c>
      <c r="AG100" s="6">
        <v>22</v>
      </c>
      <c r="AH100" s="6">
        <v>3</v>
      </c>
      <c r="AK100" s="31">
        <f t="shared" si="10"/>
        <v>22</v>
      </c>
      <c r="AL100" s="31">
        <f t="shared" si="11"/>
        <v>3</v>
      </c>
    </row>
    <row r="101" spans="16:38">
      <c r="P101" s="53">
        <v>98</v>
      </c>
      <c r="Q101" s="54">
        <v>0</v>
      </c>
      <c r="R101" s="54">
        <v>33</v>
      </c>
      <c r="W101" s="31">
        <v>98</v>
      </c>
      <c r="X101" s="56">
        <v>0.47</v>
      </c>
      <c r="Y101" s="31">
        <v>33</v>
      </c>
      <c r="AB101" s="58">
        <f t="shared" si="8"/>
        <v>0.47</v>
      </c>
      <c r="AC101" s="54">
        <f t="shared" si="9"/>
        <v>33</v>
      </c>
      <c r="AF101" s="51">
        <v>98</v>
      </c>
      <c r="AG101" s="6">
        <v>20</v>
      </c>
      <c r="AH101" s="6">
        <v>33</v>
      </c>
      <c r="AK101" s="31">
        <f t="shared" si="10"/>
        <v>20</v>
      </c>
      <c r="AL101" s="31">
        <f t="shared" si="11"/>
        <v>33</v>
      </c>
    </row>
    <row r="102" spans="16:38">
      <c r="P102" s="53">
        <v>99</v>
      </c>
      <c r="Q102" s="54">
        <v>1</v>
      </c>
      <c r="R102" s="54">
        <v>87</v>
      </c>
      <c r="W102" s="31">
        <v>99</v>
      </c>
      <c r="X102" s="56">
        <v>0.43</v>
      </c>
      <c r="Y102" s="31">
        <v>88</v>
      </c>
      <c r="AB102" s="58">
        <f t="shared" si="8"/>
        <v>0.43</v>
      </c>
      <c r="AC102" s="54">
        <f t="shared" si="9"/>
        <v>88</v>
      </c>
      <c r="AF102" s="51">
        <v>99</v>
      </c>
      <c r="AG102" s="6">
        <v>18</v>
      </c>
      <c r="AH102" s="6">
        <v>88</v>
      </c>
      <c r="AK102" s="31">
        <f t="shared" si="10"/>
        <v>18</v>
      </c>
      <c r="AL102" s="31">
        <f t="shared" si="11"/>
        <v>88</v>
      </c>
    </row>
    <row r="103" spans="16:38">
      <c r="P103" s="53">
        <v>100</v>
      </c>
      <c r="Q103" s="54">
        <v>3</v>
      </c>
      <c r="R103" s="54">
        <v>192</v>
      </c>
      <c r="W103" s="31">
        <v>100</v>
      </c>
      <c r="X103" s="56">
        <v>0.4</v>
      </c>
      <c r="Y103" s="31">
        <v>195</v>
      </c>
      <c r="AB103" s="58">
        <f t="shared" si="8"/>
        <v>0.4</v>
      </c>
      <c r="AC103" s="54">
        <f t="shared" si="9"/>
        <v>195</v>
      </c>
      <c r="AF103" s="51">
        <v>100</v>
      </c>
      <c r="AG103" s="6">
        <v>20</v>
      </c>
      <c r="AH103" s="6">
        <v>195</v>
      </c>
      <c r="AK103" s="31">
        <f t="shared" si="10"/>
        <v>20</v>
      </c>
      <c r="AL103" s="31">
        <f t="shared" si="11"/>
        <v>195</v>
      </c>
    </row>
    <row r="104" spans="16:38">
      <c r="P104" s="53">
        <v>101</v>
      </c>
      <c r="Q104" s="54">
        <v>6</v>
      </c>
      <c r="R104" s="54">
        <v>109</v>
      </c>
      <c r="W104" s="31">
        <v>101</v>
      </c>
      <c r="X104" s="56">
        <v>0.37</v>
      </c>
      <c r="Y104" s="31">
        <v>115</v>
      </c>
      <c r="AB104" s="58">
        <f t="shared" si="8"/>
        <v>0.37</v>
      </c>
      <c r="AC104" s="54">
        <f t="shared" si="9"/>
        <v>115</v>
      </c>
      <c r="AF104" s="51">
        <v>101</v>
      </c>
      <c r="AG104" s="6">
        <v>22</v>
      </c>
      <c r="AH104" s="6">
        <v>115</v>
      </c>
      <c r="AK104" s="31">
        <f t="shared" si="10"/>
        <v>22</v>
      </c>
      <c r="AL104" s="31">
        <f t="shared" si="11"/>
        <v>115</v>
      </c>
    </row>
    <row r="105" spans="16:38">
      <c r="P105" s="53">
        <v>102</v>
      </c>
      <c r="Q105" s="54">
        <v>4</v>
      </c>
      <c r="R105" s="54">
        <v>53</v>
      </c>
      <c r="W105" s="31">
        <v>102</v>
      </c>
      <c r="X105" s="56">
        <v>0.37</v>
      </c>
      <c r="Y105" s="31">
        <v>57</v>
      </c>
      <c r="AB105" s="58">
        <f t="shared" si="8"/>
        <v>0.37</v>
      </c>
      <c r="AC105" s="54">
        <f t="shared" si="9"/>
        <v>57</v>
      </c>
      <c r="AF105" s="51">
        <v>102</v>
      </c>
      <c r="AG105" s="6">
        <v>22</v>
      </c>
      <c r="AH105" s="6">
        <v>57</v>
      </c>
      <c r="AK105" s="31">
        <f t="shared" si="10"/>
        <v>22</v>
      </c>
      <c r="AL105" s="31">
        <f t="shared" si="11"/>
        <v>57</v>
      </c>
    </row>
    <row r="106" spans="16:38">
      <c r="P106" s="53">
        <v>103</v>
      </c>
      <c r="Q106" s="54">
        <v>12</v>
      </c>
      <c r="R106" s="54">
        <v>34</v>
      </c>
      <c r="W106" s="31">
        <v>103</v>
      </c>
      <c r="X106" s="56">
        <v>0.33</v>
      </c>
      <c r="Y106" s="31">
        <v>46</v>
      </c>
      <c r="AB106" s="58">
        <f t="shared" si="8"/>
        <v>0.33</v>
      </c>
      <c r="AC106" s="54">
        <f t="shared" si="9"/>
        <v>46</v>
      </c>
      <c r="AF106" s="51">
        <v>103</v>
      </c>
      <c r="AG106" s="6">
        <v>26</v>
      </c>
      <c r="AH106" s="6">
        <v>46</v>
      </c>
      <c r="AK106" s="31">
        <f t="shared" si="10"/>
        <v>26</v>
      </c>
      <c r="AL106" s="31">
        <f t="shared" si="11"/>
        <v>46</v>
      </c>
    </row>
    <row r="107" spans="16:38">
      <c r="P107" s="53">
        <v>104</v>
      </c>
      <c r="Q107" s="54">
        <v>5</v>
      </c>
      <c r="R107" s="54">
        <v>74</v>
      </c>
      <c r="W107" s="31">
        <v>104</v>
      </c>
      <c r="X107" s="56">
        <v>0.33</v>
      </c>
      <c r="Y107" s="31">
        <v>79</v>
      </c>
      <c r="AB107" s="58">
        <f t="shared" si="8"/>
        <v>0.33</v>
      </c>
      <c r="AC107" s="54">
        <f t="shared" si="9"/>
        <v>79</v>
      </c>
      <c r="AF107" s="51">
        <v>104</v>
      </c>
      <c r="AG107" s="6">
        <v>26</v>
      </c>
      <c r="AH107" s="6">
        <v>79</v>
      </c>
      <c r="AK107" s="31">
        <f t="shared" si="10"/>
        <v>26</v>
      </c>
      <c r="AL107" s="31">
        <f t="shared" si="11"/>
        <v>79</v>
      </c>
    </row>
    <row r="108" spans="16:38">
      <c r="P108" s="53">
        <v>105</v>
      </c>
      <c r="Q108" s="54">
        <v>6</v>
      </c>
      <c r="R108" s="54">
        <v>65</v>
      </c>
      <c r="W108" s="31">
        <v>105</v>
      </c>
      <c r="X108" s="56">
        <v>0.3</v>
      </c>
      <c r="Y108" s="31">
        <v>71</v>
      </c>
      <c r="AB108" s="58">
        <f t="shared" si="8"/>
        <v>0.3</v>
      </c>
      <c r="AC108" s="54">
        <f t="shared" si="9"/>
        <v>71</v>
      </c>
      <c r="AF108" s="51">
        <v>105</v>
      </c>
      <c r="AG108" s="6">
        <v>28.000000000000004</v>
      </c>
      <c r="AH108" s="6">
        <v>71</v>
      </c>
      <c r="AK108" s="31">
        <f t="shared" si="10"/>
        <v>28.000000000000004</v>
      </c>
      <c r="AL108" s="31">
        <f t="shared" si="11"/>
        <v>71</v>
      </c>
    </row>
    <row r="109" spans="16:38">
      <c r="P109" s="53">
        <v>106</v>
      </c>
      <c r="Q109" s="54">
        <v>10</v>
      </c>
      <c r="R109" s="54">
        <v>52</v>
      </c>
      <c r="W109" s="31">
        <v>106</v>
      </c>
      <c r="X109" s="56">
        <v>0.28000000000000003</v>
      </c>
      <c r="Y109" s="31">
        <v>62</v>
      </c>
      <c r="AB109" s="58">
        <f t="shared" si="8"/>
        <v>0.28000000000000003</v>
      </c>
      <c r="AC109" s="54">
        <f t="shared" si="9"/>
        <v>62</v>
      </c>
      <c r="AF109" s="51">
        <v>106</v>
      </c>
      <c r="AG109" s="6">
        <v>30</v>
      </c>
      <c r="AH109" s="6">
        <v>62</v>
      </c>
      <c r="AK109" s="31">
        <f t="shared" si="10"/>
        <v>30</v>
      </c>
      <c r="AL109" s="31">
        <f t="shared" si="11"/>
        <v>62</v>
      </c>
    </row>
    <row r="110" spans="16:38">
      <c r="P110" s="53">
        <v>107</v>
      </c>
      <c r="Q110" s="54">
        <v>7</v>
      </c>
      <c r="R110" s="54">
        <v>55</v>
      </c>
      <c r="W110" s="31">
        <v>107</v>
      </c>
      <c r="X110" s="56">
        <v>0.28000000000000003</v>
      </c>
      <c r="Y110" s="31">
        <v>62</v>
      </c>
      <c r="AB110" s="58">
        <f t="shared" si="8"/>
        <v>0.28000000000000003</v>
      </c>
      <c r="AC110" s="54">
        <f t="shared" si="9"/>
        <v>62</v>
      </c>
      <c r="AF110" s="51">
        <v>107</v>
      </c>
      <c r="AG110" s="6">
        <v>30</v>
      </c>
      <c r="AH110" s="6">
        <v>62</v>
      </c>
      <c r="AK110" s="31">
        <f t="shared" si="10"/>
        <v>30</v>
      </c>
      <c r="AL110" s="31">
        <f t="shared" si="11"/>
        <v>62</v>
      </c>
    </row>
    <row r="111" spans="16:38">
      <c r="P111" s="53">
        <v>108</v>
      </c>
      <c r="Q111" s="54">
        <v>4</v>
      </c>
      <c r="R111" s="54">
        <v>85</v>
      </c>
      <c r="W111" s="31">
        <v>108</v>
      </c>
      <c r="X111" s="56">
        <v>0.28000000000000003</v>
      </c>
      <c r="Y111" s="31">
        <v>89</v>
      </c>
      <c r="AB111" s="58">
        <f t="shared" si="8"/>
        <v>0.28000000000000003</v>
      </c>
      <c r="AC111" s="54">
        <f t="shared" si="9"/>
        <v>89</v>
      </c>
      <c r="AF111" s="51">
        <v>108</v>
      </c>
      <c r="AG111" s="6">
        <v>30</v>
      </c>
      <c r="AH111" s="6">
        <v>89</v>
      </c>
      <c r="AK111" s="31">
        <f t="shared" si="10"/>
        <v>30</v>
      </c>
      <c r="AL111" s="31">
        <f t="shared" si="11"/>
        <v>89</v>
      </c>
    </row>
    <row r="112" spans="16:38">
      <c r="P112" s="53">
        <v>109</v>
      </c>
      <c r="Q112" s="54">
        <v>4</v>
      </c>
      <c r="R112" s="54">
        <v>186</v>
      </c>
      <c r="W112" s="31">
        <v>109</v>
      </c>
      <c r="X112" s="56">
        <v>0.38</v>
      </c>
      <c r="Y112" s="31">
        <v>190</v>
      </c>
      <c r="AB112" s="58">
        <f t="shared" si="8"/>
        <v>0.38</v>
      </c>
      <c r="AC112" s="54">
        <f t="shared" si="9"/>
        <v>190</v>
      </c>
      <c r="AF112" s="51">
        <v>109</v>
      </c>
      <c r="AG112" s="6">
        <v>24</v>
      </c>
      <c r="AH112" s="6">
        <v>190</v>
      </c>
      <c r="AK112" s="31">
        <f t="shared" si="10"/>
        <v>24</v>
      </c>
      <c r="AL112" s="31">
        <f t="shared" si="11"/>
        <v>190</v>
      </c>
    </row>
    <row r="113" spans="16:38">
      <c r="P113" s="53">
        <v>110</v>
      </c>
      <c r="Q113" s="54">
        <v>3</v>
      </c>
      <c r="R113" s="54">
        <v>166</v>
      </c>
      <c r="W113" s="31">
        <v>110</v>
      </c>
      <c r="X113" s="56">
        <v>0.38</v>
      </c>
      <c r="Y113" s="31">
        <v>169</v>
      </c>
      <c r="AB113" s="58">
        <f t="shared" si="8"/>
        <v>0.38</v>
      </c>
      <c r="AC113" s="54">
        <f t="shared" si="9"/>
        <v>169</v>
      </c>
      <c r="AF113" s="51">
        <v>110</v>
      </c>
      <c r="AG113" s="6">
        <v>24</v>
      </c>
      <c r="AH113" s="6">
        <v>169</v>
      </c>
      <c r="AK113" s="31">
        <f t="shared" si="10"/>
        <v>24</v>
      </c>
      <c r="AL113" s="31">
        <f t="shared" si="11"/>
        <v>169</v>
      </c>
    </row>
    <row r="114" spans="16:38">
      <c r="P114" s="53">
        <v>111</v>
      </c>
      <c r="Q114" s="54">
        <v>5</v>
      </c>
      <c r="R114" s="54">
        <v>127</v>
      </c>
      <c r="W114" s="31">
        <v>111</v>
      </c>
      <c r="X114" s="56">
        <v>0.38</v>
      </c>
      <c r="Y114" s="31">
        <v>132</v>
      </c>
      <c r="AB114" s="58">
        <f t="shared" si="8"/>
        <v>0.38</v>
      </c>
      <c r="AC114" s="54">
        <f t="shared" si="9"/>
        <v>132</v>
      </c>
      <c r="AF114" s="51">
        <v>111</v>
      </c>
      <c r="AG114" s="6">
        <v>24</v>
      </c>
      <c r="AH114" s="6">
        <v>132</v>
      </c>
      <c r="AK114" s="31">
        <f t="shared" si="10"/>
        <v>24</v>
      </c>
      <c r="AL114" s="31">
        <f t="shared" si="11"/>
        <v>132</v>
      </c>
    </row>
    <row r="115" spans="16:38">
      <c r="P115" s="53">
        <v>112</v>
      </c>
      <c r="Q115" s="54">
        <v>7</v>
      </c>
      <c r="R115" s="54">
        <v>82</v>
      </c>
      <c r="W115" s="31">
        <v>112</v>
      </c>
      <c r="X115" s="56">
        <v>0.47</v>
      </c>
      <c r="Y115" s="31">
        <v>89</v>
      </c>
      <c r="AB115" s="58">
        <f t="shared" si="8"/>
        <v>0.47</v>
      </c>
      <c r="AC115" s="54">
        <f t="shared" si="9"/>
        <v>89</v>
      </c>
      <c r="AF115" s="51">
        <v>112</v>
      </c>
      <c r="AG115" s="6">
        <v>22</v>
      </c>
      <c r="AH115" s="6">
        <v>89</v>
      </c>
      <c r="AK115" s="31">
        <f t="shared" si="10"/>
        <v>22</v>
      </c>
      <c r="AL115" s="31">
        <f t="shared" si="11"/>
        <v>89</v>
      </c>
    </row>
    <row r="116" spans="16:38">
      <c r="P116" s="53">
        <v>113</v>
      </c>
      <c r="Q116" s="54">
        <v>3</v>
      </c>
      <c r="R116" s="54">
        <v>40</v>
      </c>
      <c r="W116" s="31">
        <v>113</v>
      </c>
      <c r="X116" s="56">
        <v>0.51</v>
      </c>
      <c r="Y116" s="31">
        <v>43</v>
      </c>
      <c r="AB116" s="58">
        <f t="shared" si="8"/>
        <v>0.51</v>
      </c>
      <c r="AC116" s="54">
        <f t="shared" si="9"/>
        <v>43</v>
      </c>
      <c r="AF116" s="51">
        <v>113</v>
      </c>
      <c r="AG116" s="6">
        <v>20</v>
      </c>
      <c r="AH116" s="6">
        <v>43</v>
      </c>
      <c r="AK116" s="31">
        <f t="shared" si="10"/>
        <v>20</v>
      </c>
      <c r="AL116" s="31">
        <f t="shared" si="11"/>
        <v>43</v>
      </c>
    </row>
    <row r="117" spans="16:38">
      <c r="P117" s="53">
        <v>114</v>
      </c>
      <c r="Q117" s="54">
        <v>1</v>
      </c>
      <c r="R117" s="54">
        <v>41</v>
      </c>
      <c r="W117" s="31">
        <v>114</v>
      </c>
      <c r="X117" s="56">
        <v>0.55000000000000004</v>
      </c>
      <c r="Y117" s="31">
        <v>42</v>
      </c>
      <c r="AB117" s="58">
        <f t="shared" si="8"/>
        <v>0.55000000000000004</v>
      </c>
      <c r="AC117" s="54">
        <f t="shared" si="9"/>
        <v>42</v>
      </c>
      <c r="AF117" s="51">
        <v>114</v>
      </c>
      <c r="AG117" s="6">
        <v>18</v>
      </c>
      <c r="AH117" s="6">
        <v>42</v>
      </c>
      <c r="AK117" s="31">
        <f t="shared" si="10"/>
        <v>18</v>
      </c>
      <c r="AL117" s="31">
        <f t="shared" si="11"/>
        <v>42</v>
      </c>
    </row>
    <row r="118" spans="16:38">
      <c r="P118" s="53">
        <v>115</v>
      </c>
      <c r="Q118" s="54">
        <v>1</v>
      </c>
      <c r="R118" s="54">
        <v>18</v>
      </c>
      <c r="W118" s="31">
        <v>115</v>
      </c>
      <c r="X118" s="56">
        <v>0.47</v>
      </c>
      <c r="Y118" s="31">
        <v>19</v>
      </c>
      <c r="AB118" s="58">
        <f t="shared" si="8"/>
        <v>0.47</v>
      </c>
      <c r="AC118" s="54">
        <f t="shared" si="9"/>
        <v>19</v>
      </c>
      <c r="AF118" s="51">
        <v>115</v>
      </c>
      <c r="AG118" s="6">
        <v>20</v>
      </c>
      <c r="AH118" s="6">
        <v>19</v>
      </c>
      <c r="AK118" s="31">
        <f t="shared" si="10"/>
        <v>20</v>
      </c>
      <c r="AL118" s="31">
        <f t="shared" si="11"/>
        <v>19</v>
      </c>
    </row>
    <row r="119" spans="16:38">
      <c r="P119" s="53">
        <v>116</v>
      </c>
      <c r="Q119" s="54">
        <v>0</v>
      </c>
      <c r="R119" s="54">
        <v>11</v>
      </c>
      <c r="W119" s="31">
        <v>116</v>
      </c>
      <c r="X119" s="56">
        <v>0.55000000000000004</v>
      </c>
      <c r="Y119" s="31">
        <v>11</v>
      </c>
      <c r="AB119" s="58">
        <f t="shared" si="8"/>
        <v>0.55000000000000004</v>
      </c>
      <c r="AC119" s="54">
        <f t="shared" si="9"/>
        <v>11</v>
      </c>
      <c r="AF119" s="51">
        <v>116</v>
      </c>
      <c r="AG119" s="6">
        <v>18</v>
      </c>
      <c r="AH119" s="6">
        <v>11</v>
      </c>
      <c r="AK119" s="31">
        <f t="shared" si="10"/>
        <v>18</v>
      </c>
      <c r="AL119" s="31">
        <f t="shared" si="11"/>
        <v>11</v>
      </c>
    </row>
    <row r="120" spans="16:38">
      <c r="P120" s="53">
        <v>117</v>
      </c>
      <c r="Q120" s="54">
        <v>0</v>
      </c>
      <c r="R120" s="54">
        <v>4</v>
      </c>
      <c r="W120" s="31">
        <v>117</v>
      </c>
      <c r="X120" s="56">
        <v>0.64</v>
      </c>
      <c r="Y120" s="31">
        <v>4</v>
      </c>
      <c r="AB120" s="58">
        <f t="shared" si="8"/>
        <v>0.64</v>
      </c>
      <c r="AC120" s="54">
        <f t="shared" si="9"/>
        <v>4</v>
      </c>
      <c r="AF120" s="51">
        <v>117</v>
      </c>
      <c r="AG120" s="6">
        <v>16</v>
      </c>
      <c r="AH120" s="6">
        <v>4</v>
      </c>
      <c r="AK120" s="31">
        <f t="shared" si="10"/>
        <v>16</v>
      </c>
      <c r="AL120" s="31">
        <f t="shared" si="11"/>
        <v>4</v>
      </c>
    </row>
    <row r="121" spans="16:38">
      <c r="P121" s="53">
        <v>118</v>
      </c>
      <c r="Q121" s="54">
        <v>0</v>
      </c>
      <c r="R121" s="54">
        <v>2</v>
      </c>
      <c r="W121" s="31">
        <v>118</v>
      </c>
      <c r="X121" s="56">
        <v>0.64</v>
      </c>
      <c r="Y121" s="31">
        <v>2</v>
      </c>
      <c r="AB121" s="58">
        <f t="shared" si="8"/>
        <v>0.64</v>
      </c>
      <c r="AC121" s="54">
        <f t="shared" si="9"/>
        <v>2</v>
      </c>
      <c r="AF121" s="51">
        <v>118</v>
      </c>
      <c r="AG121" s="6">
        <v>16</v>
      </c>
      <c r="AH121" s="6">
        <v>2</v>
      </c>
      <c r="AK121" s="31">
        <f t="shared" si="10"/>
        <v>16</v>
      </c>
      <c r="AL121" s="31">
        <f t="shared" si="11"/>
        <v>2</v>
      </c>
    </row>
    <row r="122" spans="16:38">
      <c r="P122" s="53">
        <v>119</v>
      </c>
      <c r="Q122" s="54">
        <v>0</v>
      </c>
      <c r="R122" s="54">
        <v>1</v>
      </c>
      <c r="W122" s="31">
        <v>119</v>
      </c>
      <c r="X122" s="56">
        <v>0.64</v>
      </c>
      <c r="Y122" s="31">
        <v>1</v>
      </c>
      <c r="AB122" s="58">
        <f t="shared" si="8"/>
        <v>0.64</v>
      </c>
      <c r="AC122" s="54">
        <f t="shared" si="9"/>
        <v>1</v>
      </c>
      <c r="AF122" s="51">
        <v>119</v>
      </c>
      <c r="AG122" s="6">
        <v>16</v>
      </c>
      <c r="AH122" s="6">
        <v>1</v>
      </c>
      <c r="AK122" s="31">
        <f t="shared" si="10"/>
        <v>16</v>
      </c>
      <c r="AL122" s="31">
        <f t="shared" si="11"/>
        <v>1</v>
      </c>
    </row>
    <row r="123" spans="16:38">
      <c r="P123" s="53">
        <v>120</v>
      </c>
      <c r="Q123" s="54">
        <v>0</v>
      </c>
      <c r="R123" s="54">
        <v>4</v>
      </c>
      <c r="W123" s="31">
        <v>120</v>
      </c>
      <c r="X123" s="56">
        <v>0.69</v>
      </c>
      <c r="Y123" s="31">
        <v>4</v>
      </c>
      <c r="AB123" s="58">
        <f t="shared" si="8"/>
        <v>0.69</v>
      </c>
      <c r="AC123" s="54">
        <f t="shared" si="9"/>
        <v>4</v>
      </c>
      <c r="AF123" s="51">
        <v>120</v>
      </c>
      <c r="AG123" s="6">
        <v>14.000000000000002</v>
      </c>
      <c r="AH123" s="6">
        <v>4</v>
      </c>
      <c r="AK123" s="31">
        <f t="shared" si="10"/>
        <v>14.000000000000002</v>
      </c>
      <c r="AL123" s="31">
        <f t="shared" si="11"/>
        <v>4</v>
      </c>
    </row>
    <row r="124" spans="16:38">
      <c r="P124" s="53">
        <v>121</v>
      </c>
      <c r="Q124" s="54">
        <v>0</v>
      </c>
      <c r="R124" s="54">
        <v>36</v>
      </c>
      <c r="W124" s="31">
        <v>121</v>
      </c>
      <c r="X124" s="56">
        <v>0.63</v>
      </c>
      <c r="Y124" s="31">
        <v>36</v>
      </c>
      <c r="AB124" s="58">
        <f t="shared" si="8"/>
        <v>0.63</v>
      </c>
      <c r="AC124" s="54">
        <f t="shared" si="9"/>
        <v>36</v>
      </c>
      <c r="AF124" s="51">
        <v>121</v>
      </c>
      <c r="AG124" s="6">
        <v>14.000000000000002</v>
      </c>
      <c r="AH124" s="6">
        <v>36</v>
      </c>
      <c r="AK124" s="31">
        <f t="shared" si="10"/>
        <v>14.000000000000002</v>
      </c>
      <c r="AL124" s="31">
        <f t="shared" si="11"/>
        <v>36</v>
      </c>
    </row>
    <row r="125" spans="16:38">
      <c r="P125" s="53">
        <v>122</v>
      </c>
      <c r="Q125" s="54">
        <v>0</v>
      </c>
      <c r="R125" s="54">
        <v>95</v>
      </c>
      <c r="W125" s="31">
        <v>122</v>
      </c>
      <c r="X125" s="56">
        <v>0.59</v>
      </c>
      <c r="Y125" s="31">
        <v>95</v>
      </c>
      <c r="AB125" s="58">
        <f t="shared" si="8"/>
        <v>0.59</v>
      </c>
      <c r="AC125" s="54">
        <f t="shared" si="9"/>
        <v>95</v>
      </c>
      <c r="AF125" s="51">
        <v>122</v>
      </c>
      <c r="AG125" s="6">
        <v>16</v>
      </c>
      <c r="AH125" s="6">
        <v>95</v>
      </c>
      <c r="AK125" s="31">
        <f t="shared" si="10"/>
        <v>16</v>
      </c>
      <c r="AL125" s="31">
        <f t="shared" si="11"/>
        <v>95</v>
      </c>
    </row>
    <row r="126" spans="16:38">
      <c r="P126" s="53">
        <v>123</v>
      </c>
      <c r="Q126" s="54">
        <v>3</v>
      </c>
      <c r="R126" s="54">
        <v>216</v>
      </c>
      <c r="W126" s="31">
        <v>123</v>
      </c>
      <c r="X126" s="56">
        <v>0.59</v>
      </c>
      <c r="Y126" s="31">
        <v>219</v>
      </c>
      <c r="AB126" s="58">
        <f t="shared" si="8"/>
        <v>0.59</v>
      </c>
      <c r="AC126" s="54">
        <f t="shared" si="9"/>
        <v>219</v>
      </c>
      <c r="AF126" s="51">
        <v>123</v>
      </c>
      <c r="AG126" s="6">
        <v>16</v>
      </c>
      <c r="AH126" s="6">
        <v>219</v>
      </c>
      <c r="AK126" s="31">
        <f t="shared" si="10"/>
        <v>16</v>
      </c>
      <c r="AL126" s="31">
        <f t="shared" si="11"/>
        <v>219</v>
      </c>
    </row>
    <row r="127" spans="16:38">
      <c r="P127" s="53">
        <v>124</v>
      </c>
      <c r="Q127" s="54">
        <v>6</v>
      </c>
      <c r="R127" s="54">
        <v>116</v>
      </c>
      <c r="W127" s="31">
        <v>124</v>
      </c>
      <c r="X127" s="56">
        <v>0.51</v>
      </c>
      <c r="Y127" s="31">
        <v>122</v>
      </c>
      <c r="AB127" s="58">
        <f t="shared" si="8"/>
        <v>0.51</v>
      </c>
      <c r="AC127" s="54">
        <f t="shared" si="9"/>
        <v>122</v>
      </c>
      <c r="AF127" s="51">
        <v>124</v>
      </c>
      <c r="AG127" s="6">
        <v>18</v>
      </c>
      <c r="AH127" s="6">
        <v>122</v>
      </c>
      <c r="AK127" s="31">
        <f t="shared" si="10"/>
        <v>18</v>
      </c>
      <c r="AL127" s="31">
        <f t="shared" si="11"/>
        <v>122</v>
      </c>
    </row>
    <row r="128" spans="16:38">
      <c r="P128" s="53">
        <v>125</v>
      </c>
      <c r="Q128" s="54">
        <v>3</v>
      </c>
      <c r="R128" s="54">
        <v>42</v>
      </c>
      <c r="W128" s="31">
        <v>125</v>
      </c>
      <c r="X128" s="56">
        <v>0.47</v>
      </c>
      <c r="Y128" s="31">
        <v>45</v>
      </c>
      <c r="AB128" s="58">
        <f t="shared" si="8"/>
        <v>0.47</v>
      </c>
      <c r="AC128" s="54">
        <f t="shared" si="9"/>
        <v>45</v>
      </c>
      <c r="AF128" s="51">
        <v>125</v>
      </c>
      <c r="AG128" s="6">
        <v>20</v>
      </c>
      <c r="AH128" s="6">
        <v>45</v>
      </c>
      <c r="AK128" s="31">
        <f t="shared" si="10"/>
        <v>20</v>
      </c>
      <c r="AL128" s="31">
        <f t="shared" si="11"/>
        <v>45</v>
      </c>
    </row>
    <row r="129" spans="16:38">
      <c r="P129" s="53">
        <v>126</v>
      </c>
      <c r="Q129" s="54">
        <v>2</v>
      </c>
      <c r="R129" s="54">
        <v>57</v>
      </c>
      <c r="W129" s="31">
        <v>126</v>
      </c>
      <c r="X129" s="56">
        <v>0.44</v>
      </c>
      <c r="Y129" s="31">
        <v>59</v>
      </c>
      <c r="AB129" s="58">
        <f t="shared" si="8"/>
        <v>0.44</v>
      </c>
      <c r="AC129" s="54">
        <f t="shared" si="9"/>
        <v>59</v>
      </c>
      <c r="AF129" s="51">
        <v>126</v>
      </c>
      <c r="AG129" s="6">
        <v>22</v>
      </c>
      <c r="AH129" s="6">
        <v>59</v>
      </c>
      <c r="AK129" s="31">
        <f t="shared" si="10"/>
        <v>22</v>
      </c>
      <c r="AL129" s="31">
        <f t="shared" si="11"/>
        <v>59</v>
      </c>
    </row>
    <row r="130" spans="16:38">
      <c r="P130" s="53">
        <v>127</v>
      </c>
      <c r="Q130" s="54">
        <v>6</v>
      </c>
      <c r="R130" s="54">
        <v>78</v>
      </c>
      <c r="W130" s="31">
        <v>127</v>
      </c>
      <c r="X130" s="56">
        <v>0.35</v>
      </c>
      <c r="Y130" s="31">
        <v>84</v>
      </c>
      <c r="AB130" s="58">
        <f t="shared" si="8"/>
        <v>0.35</v>
      </c>
      <c r="AC130" s="54">
        <f t="shared" si="9"/>
        <v>84</v>
      </c>
      <c r="AF130" s="51">
        <v>127</v>
      </c>
      <c r="AG130" s="6">
        <v>26</v>
      </c>
      <c r="AH130" s="6">
        <v>84</v>
      </c>
      <c r="AK130" s="31">
        <f t="shared" si="10"/>
        <v>26</v>
      </c>
      <c r="AL130" s="31">
        <f t="shared" si="11"/>
        <v>84</v>
      </c>
    </row>
    <row r="131" spans="16:38">
      <c r="P131" s="53">
        <v>128</v>
      </c>
      <c r="Q131" s="54">
        <v>12</v>
      </c>
      <c r="R131" s="54">
        <v>55</v>
      </c>
      <c r="W131" s="31">
        <v>128</v>
      </c>
      <c r="X131" s="56">
        <v>0.35</v>
      </c>
      <c r="Y131" s="31">
        <v>67</v>
      </c>
      <c r="AB131" s="58">
        <f t="shared" si="8"/>
        <v>0.35</v>
      </c>
      <c r="AC131" s="54">
        <f t="shared" si="9"/>
        <v>67</v>
      </c>
      <c r="AF131" s="51">
        <v>128</v>
      </c>
      <c r="AG131" s="6">
        <v>26</v>
      </c>
      <c r="AH131" s="6">
        <v>67</v>
      </c>
      <c r="AK131" s="31">
        <f t="shared" si="10"/>
        <v>26</v>
      </c>
      <c r="AL131" s="31">
        <f t="shared" si="11"/>
        <v>67</v>
      </c>
    </row>
    <row r="132" spans="16:38">
      <c r="P132" s="53">
        <v>129</v>
      </c>
      <c r="Q132" s="54">
        <v>11</v>
      </c>
      <c r="R132" s="54">
        <v>59</v>
      </c>
      <c r="W132" s="31">
        <v>129</v>
      </c>
      <c r="X132" s="56">
        <v>0.36</v>
      </c>
      <c r="Y132" s="31">
        <v>70</v>
      </c>
      <c r="AB132" s="58">
        <f t="shared" si="8"/>
        <v>0.36</v>
      </c>
      <c r="AC132" s="54">
        <f t="shared" si="9"/>
        <v>70</v>
      </c>
      <c r="AF132" s="51">
        <v>129</v>
      </c>
      <c r="AG132" s="6">
        <v>28.000000000000004</v>
      </c>
      <c r="AH132" s="6">
        <v>70</v>
      </c>
      <c r="AK132" s="31">
        <f t="shared" si="10"/>
        <v>28.000000000000004</v>
      </c>
      <c r="AL132" s="31">
        <f t="shared" si="11"/>
        <v>70</v>
      </c>
    </row>
    <row r="133" spans="16:38">
      <c r="P133" s="53">
        <v>130</v>
      </c>
      <c r="Q133" s="54">
        <v>8</v>
      </c>
      <c r="R133" s="54">
        <v>54</v>
      </c>
      <c r="W133" s="31">
        <v>130</v>
      </c>
      <c r="X133" s="56">
        <v>0.36</v>
      </c>
      <c r="Y133" s="31">
        <v>62</v>
      </c>
      <c r="AB133" s="58">
        <f t="shared" ref="AB133:AB196" si="12">X133</f>
        <v>0.36</v>
      </c>
      <c r="AC133" s="54">
        <f t="shared" ref="AC133:AC196" si="13">Y133</f>
        <v>62</v>
      </c>
      <c r="AF133" s="51">
        <v>130</v>
      </c>
      <c r="AG133" s="6">
        <v>28.000000000000004</v>
      </c>
      <c r="AH133" s="6">
        <v>62</v>
      </c>
      <c r="AK133" s="31">
        <f t="shared" ref="AK133:AK196" si="14">AG133</f>
        <v>28.000000000000004</v>
      </c>
      <c r="AL133" s="31">
        <f t="shared" ref="AL133:AL196" si="15">AH133</f>
        <v>62</v>
      </c>
    </row>
    <row r="134" spans="16:38">
      <c r="P134" s="53">
        <v>131</v>
      </c>
      <c r="Q134" s="54">
        <v>12</v>
      </c>
      <c r="R134" s="54">
        <v>74</v>
      </c>
      <c r="W134" s="31">
        <v>131</v>
      </c>
      <c r="X134" s="56">
        <v>0.38</v>
      </c>
      <c r="Y134" s="31">
        <v>86</v>
      </c>
      <c r="AB134" s="58">
        <f t="shared" si="12"/>
        <v>0.38</v>
      </c>
      <c r="AC134" s="54">
        <f t="shared" si="13"/>
        <v>86</v>
      </c>
      <c r="AF134" s="51">
        <v>131</v>
      </c>
      <c r="AG134" s="6">
        <v>26</v>
      </c>
      <c r="AH134" s="6">
        <v>86</v>
      </c>
      <c r="AK134" s="31">
        <f t="shared" si="14"/>
        <v>26</v>
      </c>
      <c r="AL134" s="31">
        <f t="shared" si="15"/>
        <v>86</v>
      </c>
    </row>
    <row r="135" spans="16:38">
      <c r="P135" s="53">
        <v>132</v>
      </c>
      <c r="Q135" s="54">
        <v>9</v>
      </c>
      <c r="R135" s="54">
        <v>163</v>
      </c>
      <c r="W135" s="31">
        <v>132</v>
      </c>
      <c r="X135" s="56">
        <v>0.51</v>
      </c>
      <c r="Y135" s="31">
        <v>172</v>
      </c>
      <c r="AB135" s="58">
        <f t="shared" si="12"/>
        <v>0.51</v>
      </c>
      <c r="AC135" s="54">
        <f t="shared" si="13"/>
        <v>172</v>
      </c>
      <c r="AF135" s="51">
        <v>132</v>
      </c>
      <c r="AG135" s="6">
        <v>22</v>
      </c>
      <c r="AH135" s="6">
        <v>172</v>
      </c>
      <c r="AK135" s="31">
        <f t="shared" si="14"/>
        <v>22</v>
      </c>
      <c r="AL135" s="31">
        <f t="shared" si="15"/>
        <v>172</v>
      </c>
    </row>
    <row r="136" spans="16:38">
      <c r="P136" s="53">
        <v>133</v>
      </c>
      <c r="Q136" s="54">
        <v>5</v>
      </c>
      <c r="R136" s="54">
        <v>158</v>
      </c>
      <c r="W136" s="31">
        <v>133</v>
      </c>
      <c r="X136" s="56">
        <v>0.51</v>
      </c>
      <c r="Y136" s="31">
        <v>163</v>
      </c>
      <c r="AB136" s="58">
        <f t="shared" si="12"/>
        <v>0.51</v>
      </c>
      <c r="AC136" s="54">
        <f t="shared" si="13"/>
        <v>163</v>
      </c>
      <c r="AF136" s="51">
        <v>133</v>
      </c>
      <c r="AG136" s="6">
        <v>22</v>
      </c>
      <c r="AH136" s="6">
        <v>163</v>
      </c>
      <c r="AK136" s="31">
        <f t="shared" si="14"/>
        <v>22</v>
      </c>
      <c r="AL136" s="31">
        <f t="shared" si="15"/>
        <v>163</v>
      </c>
    </row>
    <row r="137" spans="16:38">
      <c r="P137" s="53">
        <v>134</v>
      </c>
      <c r="Q137" s="54">
        <v>3</v>
      </c>
      <c r="R137" s="54">
        <v>109</v>
      </c>
      <c r="W137" s="31">
        <v>134</v>
      </c>
      <c r="X137" s="56">
        <v>0.55000000000000004</v>
      </c>
      <c r="Y137" s="31">
        <v>112</v>
      </c>
      <c r="AB137" s="58">
        <f t="shared" si="12"/>
        <v>0.55000000000000004</v>
      </c>
      <c r="AC137" s="54">
        <f t="shared" si="13"/>
        <v>112</v>
      </c>
      <c r="AF137" s="51">
        <v>134</v>
      </c>
      <c r="AG137" s="6">
        <v>22</v>
      </c>
      <c r="AH137" s="6">
        <v>112</v>
      </c>
      <c r="AK137" s="31">
        <f t="shared" si="14"/>
        <v>22</v>
      </c>
      <c r="AL137" s="31">
        <f t="shared" si="15"/>
        <v>112</v>
      </c>
    </row>
    <row r="138" spans="16:38">
      <c r="P138" s="53">
        <v>135</v>
      </c>
      <c r="Q138" s="54">
        <v>3</v>
      </c>
      <c r="R138" s="54">
        <v>66</v>
      </c>
      <c r="W138" s="31">
        <v>135</v>
      </c>
      <c r="X138" s="56">
        <v>0.51</v>
      </c>
      <c r="Y138" s="31">
        <v>69</v>
      </c>
      <c r="AB138" s="58">
        <f t="shared" si="12"/>
        <v>0.51</v>
      </c>
      <c r="AC138" s="54">
        <f t="shared" si="13"/>
        <v>69</v>
      </c>
      <c r="AF138" s="51">
        <v>135</v>
      </c>
      <c r="AG138" s="6">
        <v>20</v>
      </c>
      <c r="AH138" s="6">
        <v>69</v>
      </c>
      <c r="AK138" s="31">
        <f t="shared" si="14"/>
        <v>20</v>
      </c>
      <c r="AL138" s="31">
        <f t="shared" si="15"/>
        <v>69</v>
      </c>
    </row>
    <row r="139" spans="16:38">
      <c r="P139" s="53">
        <v>136</v>
      </c>
      <c r="Q139" s="54">
        <v>0</v>
      </c>
      <c r="R139" s="54">
        <v>48</v>
      </c>
      <c r="W139" s="31">
        <v>136</v>
      </c>
      <c r="X139" s="56">
        <v>0.55000000000000004</v>
      </c>
      <c r="Y139" s="31">
        <v>48</v>
      </c>
      <c r="AB139" s="58">
        <f t="shared" si="12"/>
        <v>0.55000000000000004</v>
      </c>
      <c r="AC139" s="54">
        <f t="shared" si="13"/>
        <v>48</v>
      </c>
      <c r="AF139" s="51">
        <v>136</v>
      </c>
      <c r="AG139" s="6">
        <v>22</v>
      </c>
      <c r="AH139" s="6">
        <v>48</v>
      </c>
      <c r="AK139" s="31">
        <f t="shared" si="14"/>
        <v>22</v>
      </c>
      <c r="AL139" s="31">
        <f t="shared" si="15"/>
        <v>48</v>
      </c>
    </row>
    <row r="140" spans="16:38">
      <c r="P140" s="53">
        <v>137</v>
      </c>
      <c r="Q140" s="54">
        <v>1</v>
      </c>
      <c r="R140" s="54">
        <v>51</v>
      </c>
      <c r="W140" s="31">
        <v>137</v>
      </c>
      <c r="X140" s="56">
        <v>0.51</v>
      </c>
      <c r="Y140" s="31">
        <v>52</v>
      </c>
      <c r="AB140" s="58">
        <f t="shared" si="12"/>
        <v>0.51</v>
      </c>
      <c r="AC140" s="54">
        <f t="shared" si="13"/>
        <v>52</v>
      </c>
      <c r="AF140" s="51">
        <v>137</v>
      </c>
      <c r="AG140" s="6">
        <v>22</v>
      </c>
      <c r="AH140" s="6">
        <v>52</v>
      </c>
      <c r="AK140" s="31">
        <f t="shared" si="14"/>
        <v>22</v>
      </c>
      <c r="AL140" s="31">
        <f t="shared" si="15"/>
        <v>52</v>
      </c>
    </row>
    <row r="141" spans="16:38">
      <c r="P141" s="53">
        <v>138</v>
      </c>
      <c r="Q141" s="54">
        <v>4</v>
      </c>
      <c r="R141" s="54">
        <v>19</v>
      </c>
      <c r="W141" s="31">
        <v>138</v>
      </c>
      <c r="X141" s="56">
        <v>0.59</v>
      </c>
      <c r="Y141" s="31">
        <v>23</v>
      </c>
      <c r="AB141" s="58">
        <f t="shared" si="12"/>
        <v>0.59</v>
      </c>
      <c r="AC141" s="54">
        <f t="shared" si="13"/>
        <v>23</v>
      </c>
      <c r="AF141" s="51">
        <v>138</v>
      </c>
      <c r="AG141" s="6">
        <v>20</v>
      </c>
      <c r="AH141" s="6">
        <v>23</v>
      </c>
      <c r="AK141" s="31">
        <f t="shared" si="14"/>
        <v>20</v>
      </c>
      <c r="AL141" s="31">
        <f t="shared" si="15"/>
        <v>23</v>
      </c>
    </row>
    <row r="142" spans="16:38">
      <c r="P142" s="53">
        <v>139</v>
      </c>
      <c r="Q142" s="54">
        <v>4</v>
      </c>
      <c r="R142" s="54">
        <v>13</v>
      </c>
      <c r="W142" s="31">
        <v>139</v>
      </c>
      <c r="X142" s="56">
        <v>0.64</v>
      </c>
      <c r="Y142" s="31">
        <v>17</v>
      </c>
      <c r="AB142" s="58">
        <f t="shared" si="12"/>
        <v>0.64</v>
      </c>
      <c r="AC142" s="54">
        <f t="shared" si="13"/>
        <v>17</v>
      </c>
      <c r="AF142" s="51">
        <v>139</v>
      </c>
      <c r="AG142" s="6">
        <v>20</v>
      </c>
      <c r="AH142" s="6">
        <v>17</v>
      </c>
      <c r="AK142" s="31">
        <f t="shared" si="14"/>
        <v>20</v>
      </c>
      <c r="AL142" s="31">
        <f t="shared" si="15"/>
        <v>17</v>
      </c>
    </row>
    <row r="143" spans="16:38">
      <c r="P143" s="53">
        <v>140</v>
      </c>
      <c r="Q143" s="54">
        <v>2</v>
      </c>
      <c r="R143" s="54">
        <v>5</v>
      </c>
      <c r="W143" s="31">
        <v>140</v>
      </c>
      <c r="X143" s="56">
        <v>0.69</v>
      </c>
      <c r="Y143" s="31">
        <v>7</v>
      </c>
      <c r="AB143" s="58">
        <f t="shared" si="12"/>
        <v>0.69</v>
      </c>
      <c r="AC143" s="54">
        <f t="shared" si="13"/>
        <v>7</v>
      </c>
      <c r="AF143" s="51">
        <v>140</v>
      </c>
      <c r="AG143" s="6">
        <v>20</v>
      </c>
      <c r="AH143" s="6">
        <v>7</v>
      </c>
      <c r="AK143" s="31">
        <f t="shared" si="14"/>
        <v>20</v>
      </c>
      <c r="AL143" s="31">
        <f t="shared" si="15"/>
        <v>7</v>
      </c>
    </row>
    <row r="144" spans="16:38">
      <c r="P144" s="53">
        <v>141</v>
      </c>
      <c r="Q144" s="54">
        <v>0</v>
      </c>
      <c r="R144" s="54">
        <v>1</v>
      </c>
      <c r="W144" s="31">
        <v>141</v>
      </c>
      <c r="X144" s="56">
        <v>0.69</v>
      </c>
      <c r="Y144" s="31">
        <v>1</v>
      </c>
      <c r="AB144" s="58">
        <f t="shared" si="12"/>
        <v>0.69</v>
      </c>
      <c r="AC144" s="54">
        <f t="shared" si="13"/>
        <v>1</v>
      </c>
      <c r="AF144" s="51">
        <v>141</v>
      </c>
      <c r="AG144" s="6">
        <v>20</v>
      </c>
      <c r="AH144" s="6">
        <v>1</v>
      </c>
      <c r="AK144" s="31">
        <f t="shared" si="14"/>
        <v>20</v>
      </c>
      <c r="AL144" s="31">
        <f t="shared" si="15"/>
        <v>1</v>
      </c>
    </row>
    <row r="145" spans="16:38">
      <c r="P145" s="53">
        <v>142</v>
      </c>
      <c r="Q145" s="54">
        <v>0</v>
      </c>
      <c r="R145" s="54">
        <v>1</v>
      </c>
      <c r="W145" s="31">
        <v>142</v>
      </c>
      <c r="X145" s="56">
        <v>0.69</v>
      </c>
      <c r="Y145" s="31">
        <v>1</v>
      </c>
      <c r="AB145" s="58">
        <f t="shared" si="12"/>
        <v>0.69</v>
      </c>
      <c r="AC145" s="54">
        <f t="shared" si="13"/>
        <v>1</v>
      </c>
      <c r="AF145" s="51">
        <v>142</v>
      </c>
      <c r="AG145" s="6">
        <v>20</v>
      </c>
      <c r="AH145" s="6">
        <v>1</v>
      </c>
      <c r="AK145" s="31">
        <f t="shared" si="14"/>
        <v>20</v>
      </c>
      <c r="AL145" s="31">
        <f t="shared" si="15"/>
        <v>1</v>
      </c>
    </row>
    <row r="146" spans="16:38">
      <c r="P146" s="53">
        <v>143</v>
      </c>
      <c r="Q146" s="54">
        <v>0</v>
      </c>
      <c r="R146" s="54">
        <v>5</v>
      </c>
      <c r="W146" s="31">
        <v>143</v>
      </c>
      <c r="X146" s="56">
        <v>0.55000000000000004</v>
      </c>
      <c r="Y146" s="31">
        <v>5</v>
      </c>
      <c r="AB146" s="58">
        <f t="shared" si="12"/>
        <v>0.55000000000000004</v>
      </c>
      <c r="AC146" s="54">
        <f t="shared" si="13"/>
        <v>5</v>
      </c>
      <c r="AF146" s="51">
        <v>143</v>
      </c>
      <c r="AG146" s="6">
        <v>22</v>
      </c>
      <c r="AH146" s="6">
        <v>5</v>
      </c>
      <c r="AK146" s="31">
        <f t="shared" si="14"/>
        <v>22</v>
      </c>
      <c r="AL146" s="31">
        <f t="shared" si="15"/>
        <v>5</v>
      </c>
    </row>
    <row r="147" spans="16:38">
      <c r="P147" s="53">
        <v>144</v>
      </c>
      <c r="Q147" s="54">
        <v>8</v>
      </c>
      <c r="R147" s="54">
        <v>26</v>
      </c>
      <c r="W147" s="31">
        <v>144</v>
      </c>
      <c r="X147" s="56">
        <v>0.69</v>
      </c>
      <c r="Y147" s="31">
        <v>34</v>
      </c>
      <c r="AB147" s="58">
        <f t="shared" si="12"/>
        <v>0.69</v>
      </c>
      <c r="AC147" s="54">
        <f t="shared" si="13"/>
        <v>34</v>
      </c>
      <c r="AF147" s="51">
        <v>144</v>
      </c>
      <c r="AG147" s="6">
        <v>20</v>
      </c>
      <c r="AH147" s="6">
        <v>34</v>
      </c>
      <c r="AK147" s="31">
        <f t="shared" si="14"/>
        <v>20</v>
      </c>
      <c r="AL147" s="31">
        <f t="shared" si="15"/>
        <v>34</v>
      </c>
    </row>
    <row r="148" spans="16:38">
      <c r="P148" s="53">
        <v>145</v>
      </c>
      <c r="Q148" s="54">
        <v>8</v>
      </c>
      <c r="R148" s="54">
        <v>76</v>
      </c>
      <c r="W148" s="31">
        <v>145</v>
      </c>
      <c r="X148" s="56">
        <v>0.69</v>
      </c>
      <c r="Y148" s="31">
        <v>84</v>
      </c>
      <c r="AB148" s="58">
        <f t="shared" si="12"/>
        <v>0.69</v>
      </c>
      <c r="AC148" s="54">
        <f t="shared" si="13"/>
        <v>84</v>
      </c>
      <c r="AF148" s="51">
        <v>145</v>
      </c>
      <c r="AG148" s="6">
        <v>20</v>
      </c>
      <c r="AH148" s="6">
        <v>84</v>
      </c>
      <c r="AK148" s="31">
        <f t="shared" si="14"/>
        <v>20</v>
      </c>
      <c r="AL148" s="31">
        <f t="shared" si="15"/>
        <v>84</v>
      </c>
    </row>
    <row r="149" spans="16:38">
      <c r="P149" s="53">
        <v>146</v>
      </c>
      <c r="Q149" s="54">
        <v>20</v>
      </c>
      <c r="R149" s="54">
        <v>190</v>
      </c>
      <c r="W149" s="31">
        <v>146</v>
      </c>
      <c r="X149" s="56">
        <v>0.51</v>
      </c>
      <c r="Y149" s="31">
        <v>210</v>
      </c>
      <c r="AB149" s="58">
        <f t="shared" si="12"/>
        <v>0.51</v>
      </c>
      <c r="AC149" s="54">
        <f t="shared" si="13"/>
        <v>210</v>
      </c>
      <c r="AF149" s="51">
        <v>146</v>
      </c>
      <c r="AG149" s="6">
        <v>20</v>
      </c>
      <c r="AH149" s="6">
        <v>210</v>
      </c>
      <c r="AK149" s="31">
        <f t="shared" si="14"/>
        <v>20</v>
      </c>
      <c r="AL149" s="31">
        <f t="shared" si="15"/>
        <v>210</v>
      </c>
    </row>
    <row r="150" spans="16:38">
      <c r="P150" s="53">
        <v>147</v>
      </c>
      <c r="Q150" s="54">
        <v>9</v>
      </c>
      <c r="R150" s="54">
        <v>125</v>
      </c>
      <c r="W150" s="31">
        <v>147</v>
      </c>
      <c r="X150" s="56">
        <v>0.47</v>
      </c>
      <c r="Y150" s="31">
        <v>134</v>
      </c>
      <c r="AB150" s="58">
        <f t="shared" si="12"/>
        <v>0.47</v>
      </c>
      <c r="AC150" s="54">
        <f t="shared" si="13"/>
        <v>134</v>
      </c>
      <c r="AF150" s="51">
        <v>147</v>
      </c>
      <c r="AG150" s="6">
        <v>20</v>
      </c>
      <c r="AH150" s="6">
        <v>134</v>
      </c>
      <c r="AK150" s="31">
        <f t="shared" si="14"/>
        <v>20</v>
      </c>
      <c r="AL150" s="31">
        <f t="shared" si="15"/>
        <v>134</v>
      </c>
    </row>
    <row r="151" spans="16:38">
      <c r="P151" s="53">
        <v>148</v>
      </c>
      <c r="Q151" s="54">
        <v>16</v>
      </c>
      <c r="R151" s="54">
        <v>47</v>
      </c>
      <c r="W151" s="31">
        <v>148</v>
      </c>
      <c r="X151" s="56">
        <v>0.37</v>
      </c>
      <c r="Y151" s="31">
        <v>63</v>
      </c>
      <c r="AB151" s="58">
        <f t="shared" si="12"/>
        <v>0.37</v>
      </c>
      <c r="AC151" s="54">
        <f t="shared" si="13"/>
        <v>63</v>
      </c>
      <c r="AF151" s="51">
        <v>148</v>
      </c>
      <c r="AG151" s="6">
        <v>22</v>
      </c>
      <c r="AH151" s="6">
        <v>63</v>
      </c>
      <c r="AK151" s="31">
        <f t="shared" si="14"/>
        <v>22</v>
      </c>
      <c r="AL151" s="31">
        <f t="shared" si="15"/>
        <v>63</v>
      </c>
    </row>
    <row r="152" spans="16:38">
      <c r="P152" s="53">
        <v>149</v>
      </c>
      <c r="Q152" s="54">
        <v>19</v>
      </c>
      <c r="R152" s="54">
        <v>48</v>
      </c>
      <c r="W152" s="31">
        <v>149</v>
      </c>
      <c r="X152" s="56">
        <v>0.4</v>
      </c>
      <c r="Y152" s="31">
        <v>67</v>
      </c>
      <c r="AB152" s="58">
        <f t="shared" si="12"/>
        <v>0.4</v>
      </c>
      <c r="AC152" s="54">
        <f t="shared" si="13"/>
        <v>67</v>
      </c>
      <c r="AF152" s="51">
        <v>149</v>
      </c>
      <c r="AG152" s="6">
        <v>20</v>
      </c>
      <c r="AH152" s="6">
        <v>67</v>
      </c>
      <c r="AK152" s="31">
        <f t="shared" si="14"/>
        <v>20</v>
      </c>
      <c r="AL152" s="31">
        <f t="shared" si="15"/>
        <v>67</v>
      </c>
    </row>
    <row r="153" spans="16:38">
      <c r="P153" s="53">
        <v>150</v>
      </c>
      <c r="Q153" s="54">
        <v>9</v>
      </c>
      <c r="R153" s="54">
        <v>50</v>
      </c>
      <c r="W153" s="31">
        <v>150</v>
      </c>
      <c r="X153" s="56">
        <v>0.37</v>
      </c>
      <c r="Y153" s="31">
        <v>59</v>
      </c>
      <c r="AB153" s="58">
        <f t="shared" si="12"/>
        <v>0.37</v>
      </c>
      <c r="AC153" s="54">
        <f t="shared" si="13"/>
        <v>59</v>
      </c>
      <c r="AF153" s="51">
        <v>150</v>
      </c>
      <c r="AG153" s="6">
        <v>20</v>
      </c>
      <c r="AH153" s="6">
        <v>59</v>
      </c>
      <c r="AK153" s="31">
        <f t="shared" si="14"/>
        <v>20</v>
      </c>
      <c r="AL153" s="31">
        <f t="shared" si="15"/>
        <v>59</v>
      </c>
    </row>
    <row r="154" spans="16:38">
      <c r="P154" s="53">
        <v>151</v>
      </c>
      <c r="Q154" s="54">
        <v>9</v>
      </c>
      <c r="R154" s="54">
        <v>64</v>
      </c>
      <c r="W154" s="31">
        <v>151</v>
      </c>
      <c r="X154" s="56">
        <v>0.37</v>
      </c>
      <c r="Y154" s="31">
        <v>73</v>
      </c>
      <c r="AB154" s="58">
        <f t="shared" si="12"/>
        <v>0.37</v>
      </c>
      <c r="AC154" s="54">
        <f t="shared" si="13"/>
        <v>73</v>
      </c>
      <c r="AF154" s="51">
        <v>151</v>
      </c>
      <c r="AG154" s="6">
        <v>20</v>
      </c>
      <c r="AH154" s="6">
        <v>73</v>
      </c>
      <c r="AK154" s="31">
        <f t="shared" si="14"/>
        <v>20</v>
      </c>
      <c r="AL154" s="31">
        <f t="shared" si="15"/>
        <v>73</v>
      </c>
    </row>
    <row r="155" spans="16:38">
      <c r="P155" s="53">
        <v>152</v>
      </c>
      <c r="Q155" s="54">
        <v>7</v>
      </c>
      <c r="R155" s="54">
        <v>43</v>
      </c>
      <c r="W155" s="31">
        <v>152</v>
      </c>
      <c r="X155" s="56">
        <v>0.4</v>
      </c>
      <c r="Y155" s="31">
        <v>50</v>
      </c>
      <c r="AB155" s="58">
        <f t="shared" si="12"/>
        <v>0.4</v>
      </c>
      <c r="AC155" s="54">
        <f t="shared" si="13"/>
        <v>50</v>
      </c>
      <c r="AF155" s="51">
        <v>152</v>
      </c>
      <c r="AG155" s="6">
        <v>20</v>
      </c>
      <c r="AH155" s="6">
        <v>50</v>
      </c>
      <c r="AK155" s="31">
        <f t="shared" si="14"/>
        <v>20</v>
      </c>
      <c r="AL155" s="31">
        <f t="shared" si="15"/>
        <v>50</v>
      </c>
    </row>
    <row r="156" spans="16:38">
      <c r="P156" s="53">
        <v>153</v>
      </c>
      <c r="Q156" s="54">
        <v>9</v>
      </c>
      <c r="R156" s="54">
        <v>63</v>
      </c>
      <c r="W156" s="31">
        <v>153</v>
      </c>
      <c r="X156" s="56">
        <v>0.37</v>
      </c>
      <c r="Y156" s="31">
        <v>72</v>
      </c>
      <c r="AB156" s="58">
        <f t="shared" si="12"/>
        <v>0.37</v>
      </c>
      <c r="AC156" s="54">
        <f t="shared" si="13"/>
        <v>72</v>
      </c>
      <c r="AF156" s="51">
        <v>153</v>
      </c>
      <c r="AG156" s="6">
        <v>20</v>
      </c>
      <c r="AH156" s="6">
        <v>72</v>
      </c>
      <c r="AK156" s="31">
        <f t="shared" si="14"/>
        <v>20</v>
      </c>
      <c r="AL156" s="31">
        <f t="shared" si="15"/>
        <v>72</v>
      </c>
    </row>
    <row r="157" spans="16:38">
      <c r="P157" s="53">
        <v>154</v>
      </c>
      <c r="Q157" s="54">
        <v>5</v>
      </c>
      <c r="R157" s="54">
        <v>82</v>
      </c>
      <c r="W157" s="31">
        <v>154</v>
      </c>
      <c r="X157" s="56">
        <v>0.37</v>
      </c>
      <c r="Y157" s="31">
        <v>87</v>
      </c>
      <c r="AB157" s="58">
        <f t="shared" si="12"/>
        <v>0.37</v>
      </c>
      <c r="AC157" s="54">
        <f t="shared" si="13"/>
        <v>87</v>
      </c>
      <c r="AF157" s="51">
        <v>154</v>
      </c>
      <c r="AG157" s="6">
        <v>20</v>
      </c>
      <c r="AH157" s="6">
        <v>87</v>
      </c>
      <c r="AK157" s="31">
        <f t="shared" si="14"/>
        <v>20</v>
      </c>
      <c r="AL157" s="31">
        <f t="shared" si="15"/>
        <v>87</v>
      </c>
    </row>
    <row r="158" spans="16:38">
      <c r="P158" s="53">
        <v>155</v>
      </c>
      <c r="Q158" s="54">
        <v>9</v>
      </c>
      <c r="R158" s="54">
        <v>178</v>
      </c>
      <c r="W158" s="31">
        <v>155</v>
      </c>
      <c r="X158" s="56">
        <v>0.37</v>
      </c>
      <c r="Y158" s="31">
        <v>187</v>
      </c>
      <c r="AB158" s="58">
        <f t="shared" si="12"/>
        <v>0.37</v>
      </c>
      <c r="AC158" s="54">
        <f t="shared" si="13"/>
        <v>187</v>
      </c>
      <c r="AF158" s="51">
        <v>155</v>
      </c>
      <c r="AG158" s="6">
        <v>20</v>
      </c>
      <c r="AH158" s="6">
        <v>187</v>
      </c>
      <c r="AK158" s="31">
        <f t="shared" si="14"/>
        <v>20</v>
      </c>
      <c r="AL158" s="31">
        <f t="shared" si="15"/>
        <v>187</v>
      </c>
    </row>
    <row r="159" spans="16:38">
      <c r="P159" s="53">
        <v>156</v>
      </c>
      <c r="Q159" s="54">
        <v>7</v>
      </c>
      <c r="R159" s="54">
        <v>116</v>
      </c>
      <c r="W159" s="31">
        <v>156</v>
      </c>
      <c r="X159" s="56">
        <v>0.4</v>
      </c>
      <c r="Y159" s="31">
        <v>123</v>
      </c>
      <c r="AB159" s="58">
        <f t="shared" si="12"/>
        <v>0.4</v>
      </c>
      <c r="AC159" s="54">
        <f t="shared" si="13"/>
        <v>123</v>
      </c>
      <c r="AF159" s="51">
        <v>156</v>
      </c>
      <c r="AG159" s="6">
        <v>20</v>
      </c>
      <c r="AH159" s="6">
        <v>123</v>
      </c>
      <c r="AK159" s="31">
        <f t="shared" si="14"/>
        <v>20</v>
      </c>
      <c r="AL159" s="31">
        <f t="shared" si="15"/>
        <v>123</v>
      </c>
    </row>
    <row r="160" spans="16:38">
      <c r="P160" s="53">
        <v>157</v>
      </c>
      <c r="Q160" s="54">
        <v>3</v>
      </c>
      <c r="R160" s="54">
        <v>92</v>
      </c>
      <c r="W160" s="31">
        <v>157</v>
      </c>
      <c r="X160" s="56">
        <v>0.55000000000000004</v>
      </c>
      <c r="Y160" s="31">
        <v>95</v>
      </c>
      <c r="AB160" s="58">
        <f t="shared" si="12"/>
        <v>0.55000000000000004</v>
      </c>
      <c r="AC160" s="54">
        <f t="shared" si="13"/>
        <v>95</v>
      </c>
      <c r="AF160" s="51">
        <v>157</v>
      </c>
      <c r="AG160" s="6">
        <v>16</v>
      </c>
      <c r="AH160" s="6">
        <v>95</v>
      </c>
      <c r="AK160" s="31">
        <f t="shared" si="14"/>
        <v>16</v>
      </c>
      <c r="AL160" s="31">
        <f t="shared" si="15"/>
        <v>95</v>
      </c>
    </row>
    <row r="161" spans="16:38">
      <c r="P161" s="53">
        <v>158</v>
      </c>
      <c r="Q161" s="54">
        <v>1</v>
      </c>
      <c r="R161" s="54">
        <v>50</v>
      </c>
      <c r="W161" s="31">
        <v>158</v>
      </c>
      <c r="X161" s="56">
        <v>0.47</v>
      </c>
      <c r="Y161" s="31">
        <v>51</v>
      </c>
      <c r="AB161" s="58">
        <f t="shared" si="12"/>
        <v>0.47</v>
      </c>
      <c r="AC161" s="54">
        <f t="shared" si="13"/>
        <v>51</v>
      </c>
      <c r="AF161" s="51">
        <v>158</v>
      </c>
      <c r="AG161" s="6">
        <v>18</v>
      </c>
      <c r="AH161" s="6">
        <v>51</v>
      </c>
      <c r="AK161" s="31">
        <f t="shared" si="14"/>
        <v>18</v>
      </c>
      <c r="AL161" s="31">
        <f t="shared" si="15"/>
        <v>51</v>
      </c>
    </row>
    <row r="162" spans="16:38">
      <c r="P162" s="53">
        <v>159</v>
      </c>
      <c r="Q162" s="54">
        <v>0</v>
      </c>
      <c r="R162" s="54">
        <v>39</v>
      </c>
      <c r="W162" s="31">
        <v>159</v>
      </c>
      <c r="X162" s="56">
        <v>0.47</v>
      </c>
      <c r="Y162" s="31">
        <v>39</v>
      </c>
      <c r="AB162" s="58">
        <f t="shared" si="12"/>
        <v>0.47</v>
      </c>
      <c r="AC162" s="54">
        <f t="shared" si="13"/>
        <v>39</v>
      </c>
      <c r="AF162" s="51">
        <v>159</v>
      </c>
      <c r="AG162" s="6">
        <v>18</v>
      </c>
      <c r="AH162" s="6">
        <v>39</v>
      </c>
      <c r="AK162" s="31">
        <f t="shared" si="14"/>
        <v>18</v>
      </c>
      <c r="AL162" s="31">
        <f t="shared" si="15"/>
        <v>39</v>
      </c>
    </row>
    <row r="163" spans="16:38">
      <c r="P163" s="53">
        <v>160</v>
      </c>
      <c r="Q163" s="54">
        <v>2</v>
      </c>
      <c r="R163" s="54">
        <v>34</v>
      </c>
      <c r="W163" s="31">
        <v>160</v>
      </c>
      <c r="X163" s="56">
        <v>0.43</v>
      </c>
      <c r="Y163" s="31">
        <v>36</v>
      </c>
      <c r="AB163" s="58">
        <f t="shared" si="12"/>
        <v>0.43</v>
      </c>
      <c r="AC163" s="54">
        <f t="shared" si="13"/>
        <v>36</v>
      </c>
      <c r="AF163" s="51">
        <v>160</v>
      </c>
      <c r="AG163" s="6">
        <v>18</v>
      </c>
      <c r="AH163" s="6">
        <v>36</v>
      </c>
      <c r="AK163" s="31">
        <f t="shared" si="14"/>
        <v>18</v>
      </c>
      <c r="AL163" s="31">
        <f t="shared" si="15"/>
        <v>36</v>
      </c>
    </row>
    <row r="164" spans="16:38">
      <c r="P164" s="53">
        <v>161</v>
      </c>
      <c r="Q164" s="54">
        <v>1</v>
      </c>
      <c r="R164" s="54">
        <v>14</v>
      </c>
      <c r="W164" s="31">
        <v>161</v>
      </c>
      <c r="X164" s="56">
        <v>0.51</v>
      </c>
      <c r="Y164" s="31">
        <v>15</v>
      </c>
      <c r="AB164" s="58">
        <f t="shared" si="12"/>
        <v>0.51</v>
      </c>
      <c r="AC164" s="54">
        <f t="shared" si="13"/>
        <v>15</v>
      </c>
      <c r="AF164" s="51">
        <v>161</v>
      </c>
      <c r="AG164" s="6">
        <v>18</v>
      </c>
      <c r="AH164" s="6">
        <v>15</v>
      </c>
      <c r="AK164" s="31">
        <f t="shared" si="14"/>
        <v>18</v>
      </c>
      <c r="AL164" s="31">
        <f t="shared" si="15"/>
        <v>15</v>
      </c>
    </row>
    <row r="165" spans="16:38">
      <c r="P165" s="53">
        <v>162</v>
      </c>
      <c r="Q165" s="54">
        <v>1</v>
      </c>
      <c r="R165" s="54">
        <v>24</v>
      </c>
      <c r="W165" s="31">
        <v>162</v>
      </c>
      <c r="X165" s="56">
        <v>0.51</v>
      </c>
      <c r="Y165" s="31">
        <v>25</v>
      </c>
      <c r="AB165" s="58">
        <f t="shared" si="12"/>
        <v>0.51</v>
      </c>
      <c r="AC165" s="54">
        <f t="shared" si="13"/>
        <v>25</v>
      </c>
      <c r="AF165" s="51">
        <v>162</v>
      </c>
      <c r="AG165" s="6">
        <v>18</v>
      </c>
      <c r="AH165" s="6">
        <v>25</v>
      </c>
      <c r="AK165" s="31">
        <f t="shared" si="14"/>
        <v>18</v>
      </c>
      <c r="AL165" s="31">
        <f t="shared" si="15"/>
        <v>25</v>
      </c>
    </row>
    <row r="166" spans="16:38">
      <c r="P166" s="53">
        <v>163</v>
      </c>
      <c r="Q166" s="54">
        <v>1</v>
      </c>
      <c r="R166" s="54">
        <v>15</v>
      </c>
      <c r="W166" s="31">
        <v>163</v>
      </c>
      <c r="X166" s="56">
        <v>0.55000000000000004</v>
      </c>
      <c r="Y166" s="31">
        <v>16</v>
      </c>
      <c r="AB166" s="58">
        <f t="shared" si="12"/>
        <v>0.55000000000000004</v>
      </c>
      <c r="AC166" s="54">
        <f t="shared" si="13"/>
        <v>16</v>
      </c>
      <c r="AF166" s="51">
        <v>163</v>
      </c>
      <c r="AG166" s="6">
        <v>18</v>
      </c>
      <c r="AH166" s="6">
        <v>16</v>
      </c>
      <c r="AK166" s="31">
        <f t="shared" si="14"/>
        <v>18</v>
      </c>
      <c r="AL166" s="31">
        <f t="shared" si="15"/>
        <v>16</v>
      </c>
    </row>
    <row r="167" spans="16:38">
      <c r="P167" s="53">
        <v>164</v>
      </c>
      <c r="Q167" s="54">
        <v>3</v>
      </c>
      <c r="R167" s="54">
        <v>13</v>
      </c>
      <c r="W167" s="31">
        <v>164</v>
      </c>
      <c r="X167" s="56">
        <v>0.55000000000000004</v>
      </c>
      <c r="Y167" s="31">
        <v>16</v>
      </c>
      <c r="AB167" s="58">
        <f t="shared" si="12"/>
        <v>0.55000000000000004</v>
      </c>
      <c r="AC167" s="54">
        <f t="shared" si="13"/>
        <v>16</v>
      </c>
      <c r="AF167" s="51">
        <v>164</v>
      </c>
      <c r="AG167" s="6">
        <v>18</v>
      </c>
      <c r="AH167" s="6">
        <v>16</v>
      </c>
      <c r="AK167" s="31">
        <f t="shared" si="14"/>
        <v>18</v>
      </c>
      <c r="AL167" s="31">
        <f t="shared" si="15"/>
        <v>16</v>
      </c>
    </row>
    <row r="168" spans="16:38">
      <c r="P168" s="53">
        <v>165</v>
      </c>
      <c r="Q168" s="54">
        <v>0</v>
      </c>
      <c r="R168" s="54">
        <v>7</v>
      </c>
      <c r="W168" s="31">
        <v>165</v>
      </c>
      <c r="X168" s="56">
        <v>0.55000000000000004</v>
      </c>
      <c r="Y168" s="31">
        <v>7</v>
      </c>
      <c r="AB168" s="58">
        <f t="shared" si="12"/>
        <v>0.55000000000000004</v>
      </c>
      <c r="AC168" s="54">
        <f t="shared" si="13"/>
        <v>7</v>
      </c>
      <c r="AF168" s="51">
        <v>165</v>
      </c>
      <c r="AG168" s="6">
        <v>18</v>
      </c>
      <c r="AH168" s="6">
        <v>7</v>
      </c>
      <c r="AK168" s="31">
        <f t="shared" si="14"/>
        <v>18</v>
      </c>
      <c r="AL168" s="31">
        <f t="shared" si="15"/>
        <v>7</v>
      </c>
    </row>
    <row r="169" spans="16:38">
      <c r="P169" s="53">
        <v>166</v>
      </c>
      <c r="Q169" s="54">
        <v>0</v>
      </c>
      <c r="R169" s="54">
        <v>1</v>
      </c>
      <c r="W169" s="31">
        <v>166</v>
      </c>
      <c r="X169" s="56">
        <v>0.55000000000000004</v>
      </c>
      <c r="Y169" s="31">
        <v>1</v>
      </c>
      <c r="AB169" s="58">
        <f t="shared" si="12"/>
        <v>0.55000000000000004</v>
      </c>
      <c r="AC169" s="54">
        <f t="shared" si="13"/>
        <v>1</v>
      </c>
      <c r="AF169" s="51">
        <v>166</v>
      </c>
      <c r="AG169" s="6">
        <v>18</v>
      </c>
      <c r="AH169" s="6">
        <v>1</v>
      </c>
      <c r="AK169" s="31">
        <f t="shared" si="14"/>
        <v>18</v>
      </c>
      <c r="AL169" s="31">
        <f t="shared" si="15"/>
        <v>1</v>
      </c>
    </row>
    <row r="170" spans="16:38">
      <c r="P170" s="53">
        <v>167</v>
      </c>
      <c r="Q170" s="54">
        <v>0</v>
      </c>
      <c r="R170" s="54">
        <v>5</v>
      </c>
      <c r="W170" s="31">
        <v>167</v>
      </c>
      <c r="X170" s="56">
        <v>0.74</v>
      </c>
      <c r="Y170" s="31">
        <v>5</v>
      </c>
      <c r="AB170" s="58">
        <f t="shared" si="12"/>
        <v>0.74</v>
      </c>
      <c r="AC170" s="54">
        <f t="shared" si="13"/>
        <v>5</v>
      </c>
      <c r="AF170" s="51">
        <v>167</v>
      </c>
      <c r="AG170" s="6">
        <v>16</v>
      </c>
      <c r="AH170" s="6">
        <v>5</v>
      </c>
      <c r="AK170" s="31">
        <f t="shared" si="14"/>
        <v>16</v>
      </c>
      <c r="AL170" s="31">
        <f t="shared" si="15"/>
        <v>5</v>
      </c>
    </row>
    <row r="171" spans="16:38">
      <c r="P171" s="53">
        <v>168</v>
      </c>
      <c r="Q171" s="54">
        <v>0</v>
      </c>
      <c r="R171" s="54">
        <v>2</v>
      </c>
      <c r="W171" s="31">
        <v>168</v>
      </c>
      <c r="X171" s="56">
        <v>0.74</v>
      </c>
      <c r="Y171" s="31">
        <v>2</v>
      </c>
      <c r="AB171" s="58">
        <f t="shared" si="12"/>
        <v>0.74</v>
      </c>
      <c r="AC171" s="54">
        <f t="shared" si="13"/>
        <v>2</v>
      </c>
      <c r="AF171" s="51">
        <v>168</v>
      </c>
      <c r="AG171" s="6">
        <v>16</v>
      </c>
      <c r="AH171" s="6">
        <v>2</v>
      </c>
      <c r="AK171" s="31">
        <f t="shared" si="14"/>
        <v>16</v>
      </c>
      <c r="AL171" s="31">
        <f t="shared" si="15"/>
        <v>2</v>
      </c>
    </row>
    <row r="172" spans="16:38">
      <c r="P172" s="53">
        <v>169</v>
      </c>
      <c r="Q172" s="54">
        <v>1</v>
      </c>
      <c r="R172" s="54">
        <v>8</v>
      </c>
      <c r="W172" s="31">
        <v>169</v>
      </c>
      <c r="X172" s="56">
        <v>0.74</v>
      </c>
      <c r="Y172" s="31">
        <v>9</v>
      </c>
      <c r="AB172" s="58">
        <f t="shared" si="12"/>
        <v>0.74</v>
      </c>
      <c r="AC172" s="54">
        <f t="shared" si="13"/>
        <v>9</v>
      </c>
      <c r="AF172" s="51">
        <v>169</v>
      </c>
      <c r="AG172" s="6">
        <v>16</v>
      </c>
      <c r="AH172" s="6">
        <v>9</v>
      </c>
      <c r="AK172" s="31">
        <f t="shared" si="14"/>
        <v>16</v>
      </c>
      <c r="AL172" s="31">
        <f t="shared" si="15"/>
        <v>9</v>
      </c>
    </row>
    <row r="173" spans="16:38">
      <c r="P173" s="53">
        <v>170</v>
      </c>
      <c r="Q173" s="54">
        <v>0</v>
      </c>
      <c r="R173" s="54">
        <v>15</v>
      </c>
      <c r="W173" s="31">
        <v>170</v>
      </c>
      <c r="X173" s="56">
        <v>0.93</v>
      </c>
      <c r="Y173" s="31">
        <v>15</v>
      </c>
      <c r="AB173" s="58">
        <f t="shared" si="12"/>
        <v>0.93</v>
      </c>
      <c r="AC173" s="54">
        <f t="shared" si="13"/>
        <v>15</v>
      </c>
      <c r="AF173" s="51">
        <v>170</v>
      </c>
      <c r="AG173" s="6">
        <v>16</v>
      </c>
      <c r="AH173" s="6">
        <v>15</v>
      </c>
      <c r="AK173" s="31">
        <f t="shared" si="14"/>
        <v>16</v>
      </c>
      <c r="AL173" s="31">
        <f t="shared" si="15"/>
        <v>15</v>
      </c>
    </row>
    <row r="174" spans="16:38">
      <c r="P174" s="53">
        <v>171</v>
      </c>
      <c r="Q174" s="54">
        <v>0</v>
      </c>
      <c r="R174" s="54">
        <v>20</v>
      </c>
      <c r="W174" s="31">
        <v>171</v>
      </c>
      <c r="X174" s="56">
        <v>0.93</v>
      </c>
      <c r="Y174" s="31">
        <v>20</v>
      </c>
      <c r="AB174" s="58">
        <f t="shared" si="12"/>
        <v>0.93</v>
      </c>
      <c r="AC174" s="54">
        <f t="shared" si="13"/>
        <v>20</v>
      </c>
      <c r="AF174" s="51">
        <v>171</v>
      </c>
      <c r="AG174" s="6">
        <v>16</v>
      </c>
      <c r="AH174" s="6">
        <v>20</v>
      </c>
      <c r="AK174" s="31">
        <f t="shared" si="14"/>
        <v>16</v>
      </c>
      <c r="AL174" s="31">
        <f t="shared" si="15"/>
        <v>20</v>
      </c>
    </row>
    <row r="175" spans="16:38">
      <c r="P175" s="53">
        <v>172</v>
      </c>
      <c r="Q175" s="54">
        <v>5</v>
      </c>
      <c r="R175" s="54">
        <v>56</v>
      </c>
      <c r="W175" s="31">
        <v>172</v>
      </c>
      <c r="X175" s="56">
        <v>0.8</v>
      </c>
      <c r="Y175" s="31">
        <v>61</v>
      </c>
      <c r="AB175" s="58">
        <f t="shared" si="12"/>
        <v>0.8</v>
      </c>
      <c r="AC175" s="54">
        <f t="shared" si="13"/>
        <v>61</v>
      </c>
      <c r="AF175" s="51">
        <v>172</v>
      </c>
      <c r="AG175" s="6">
        <v>18</v>
      </c>
      <c r="AH175" s="6">
        <v>61</v>
      </c>
      <c r="AK175" s="31">
        <f t="shared" si="14"/>
        <v>18</v>
      </c>
      <c r="AL175" s="31">
        <f t="shared" si="15"/>
        <v>61</v>
      </c>
    </row>
    <row r="176" spans="16:38">
      <c r="P176" s="53">
        <v>173</v>
      </c>
      <c r="Q176" s="54">
        <v>2</v>
      </c>
      <c r="R176" s="54">
        <v>60</v>
      </c>
      <c r="W176" s="31">
        <v>173</v>
      </c>
      <c r="X176" s="56">
        <v>0.69</v>
      </c>
      <c r="Y176" s="31">
        <v>62</v>
      </c>
      <c r="AB176" s="58">
        <f t="shared" si="12"/>
        <v>0.69</v>
      </c>
      <c r="AC176" s="54">
        <f t="shared" si="13"/>
        <v>62</v>
      </c>
      <c r="AF176" s="51">
        <v>173</v>
      </c>
      <c r="AG176" s="6">
        <v>20</v>
      </c>
      <c r="AH176" s="6">
        <v>62</v>
      </c>
      <c r="AK176" s="31">
        <f t="shared" si="14"/>
        <v>20</v>
      </c>
      <c r="AL176" s="31">
        <f t="shared" si="15"/>
        <v>62</v>
      </c>
    </row>
    <row r="177" spans="16:38">
      <c r="P177" s="53">
        <v>174</v>
      </c>
      <c r="Q177" s="54">
        <v>8</v>
      </c>
      <c r="R177" s="54">
        <v>90</v>
      </c>
      <c r="W177" s="31">
        <v>174</v>
      </c>
      <c r="X177" s="56">
        <v>0.59</v>
      </c>
      <c r="Y177" s="31">
        <v>98</v>
      </c>
      <c r="AB177" s="58">
        <f t="shared" si="12"/>
        <v>0.59</v>
      </c>
      <c r="AC177" s="54">
        <f t="shared" si="13"/>
        <v>98</v>
      </c>
      <c r="AF177" s="51">
        <v>174</v>
      </c>
      <c r="AG177" s="6">
        <v>20</v>
      </c>
      <c r="AH177" s="6">
        <v>98</v>
      </c>
      <c r="AK177" s="31">
        <f t="shared" si="14"/>
        <v>20</v>
      </c>
      <c r="AL177" s="31">
        <f t="shared" si="15"/>
        <v>98</v>
      </c>
    </row>
    <row r="178" spans="16:38">
      <c r="P178" s="53">
        <v>175</v>
      </c>
      <c r="Q178" s="54">
        <v>7</v>
      </c>
      <c r="R178" s="54">
        <v>95</v>
      </c>
      <c r="W178" s="31">
        <v>175</v>
      </c>
      <c r="X178" s="56">
        <v>0.44</v>
      </c>
      <c r="Y178" s="31">
        <v>102</v>
      </c>
      <c r="AB178" s="58">
        <f t="shared" si="12"/>
        <v>0.44</v>
      </c>
      <c r="AC178" s="54">
        <f t="shared" si="13"/>
        <v>102</v>
      </c>
      <c r="AF178" s="51">
        <v>175</v>
      </c>
      <c r="AG178" s="6">
        <v>20</v>
      </c>
      <c r="AH178" s="6">
        <v>102</v>
      </c>
      <c r="AK178" s="31">
        <f t="shared" si="14"/>
        <v>20</v>
      </c>
      <c r="AL178" s="31">
        <f t="shared" si="15"/>
        <v>102</v>
      </c>
    </row>
    <row r="179" spans="16:38">
      <c r="P179" s="53">
        <v>176</v>
      </c>
      <c r="Q179" s="54">
        <v>12</v>
      </c>
      <c r="R179" s="54">
        <v>83</v>
      </c>
      <c r="W179" s="31">
        <v>176</v>
      </c>
      <c r="X179" s="56">
        <v>0.32</v>
      </c>
      <c r="Y179" s="31">
        <v>95</v>
      </c>
      <c r="AB179" s="58">
        <f t="shared" si="12"/>
        <v>0.32</v>
      </c>
      <c r="AC179" s="54">
        <f t="shared" si="13"/>
        <v>95</v>
      </c>
      <c r="AF179" s="51">
        <v>176</v>
      </c>
      <c r="AG179" s="6">
        <v>20</v>
      </c>
      <c r="AH179" s="6">
        <v>95</v>
      </c>
      <c r="AK179" s="31">
        <f t="shared" si="14"/>
        <v>20</v>
      </c>
      <c r="AL179" s="31">
        <f t="shared" si="15"/>
        <v>95</v>
      </c>
    </row>
    <row r="180" spans="16:38">
      <c r="P180" s="53">
        <v>177</v>
      </c>
      <c r="Q180" s="54">
        <v>5</v>
      </c>
      <c r="R180" s="54">
        <v>69</v>
      </c>
      <c r="W180" s="31">
        <v>177</v>
      </c>
      <c r="X180" s="56">
        <v>0.32</v>
      </c>
      <c r="Y180" s="31">
        <v>74</v>
      </c>
      <c r="AB180" s="58">
        <f t="shared" si="12"/>
        <v>0.32</v>
      </c>
      <c r="AC180" s="54">
        <f t="shared" si="13"/>
        <v>74</v>
      </c>
      <c r="AF180" s="51">
        <v>177</v>
      </c>
      <c r="AG180" s="6">
        <v>20</v>
      </c>
      <c r="AH180" s="6">
        <v>74</v>
      </c>
      <c r="AK180" s="31">
        <f t="shared" si="14"/>
        <v>20</v>
      </c>
      <c r="AL180" s="31">
        <f t="shared" si="15"/>
        <v>74</v>
      </c>
    </row>
    <row r="181" spans="16:38">
      <c r="P181" s="53">
        <v>178</v>
      </c>
      <c r="Q181" s="54">
        <v>8</v>
      </c>
      <c r="R181" s="54">
        <v>68</v>
      </c>
      <c r="W181" s="31">
        <v>178</v>
      </c>
      <c r="X181" s="56">
        <v>0.28999999999999998</v>
      </c>
      <c r="Y181" s="31">
        <v>76</v>
      </c>
      <c r="AB181" s="58">
        <f t="shared" si="12"/>
        <v>0.28999999999999998</v>
      </c>
      <c r="AC181" s="54">
        <f t="shared" si="13"/>
        <v>76</v>
      </c>
      <c r="AF181" s="51">
        <v>178</v>
      </c>
      <c r="AG181" s="6">
        <v>18</v>
      </c>
      <c r="AH181" s="6">
        <v>76</v>
      </c>
      <c r="AK181" s="31">
        <f t="shared" si="14"/>
        <v>18</v>
      </c>
      <c r="AL181" s="31">
        <f t="shared" si="15"/>
        <v>76</v>
      </c>
    </row>
    <row r="182" spans="16:38">
      <c r="P182" s="53">
        <v>179</v>
      </c>
      <c r="Q182" s="54">
        <v>5</v>
      </c>
      <c r="R182" s="54">
        <v>64</v>
      </c>
      <c r="W182" s="31">
        <v>179</v>
      </c>
      <c r="X182" s="56">
        <v>0.37</v>
      </c>
      <c r="Y182" s="31">
        <v>69</v>
      </c>
      <c r="AB182" s="58">
        <f t="shared" si="12"/>
        <v>0.37</v>
      </c>
      <c r="AC182" s="54">
        <f t="shared" si="13"/>
        <v>69</v>
      </c>
      <c r="AF182" s="51">
        <v>179</v>
      </c>
      <c r="AG182" s="6">
        <v>16</v>
      </c>
      <c r="AH182" s="6">
        <v>69</v>
      </c>
      <c r="AK182" s="31">
        <f t="shared" si="14"/>
        <v>16</v>
      </c>
      <c r="AL182" s="31">
        <f t="shared" si="15"/>
        <v>69</v>
      </c>
    </row>
    <row r="183" spans="16:38">
      <c r="P183" s="53">
        <v>180</v>
      </c>
      <c r="Q183" s="54">
        <v>3</v>
      </c>
      <c r="R183" s="54">
        <v>52</v>
      </c>
      <c r="W183" s="31">
        <v>180</v>
      </c>
      <c r="X183" s="56">
        <v>0.39</v>
      </c>
      <c r="Y183" s="31">
        <v>55</v>
      </c>
      <c r="AB183" s="58">
        <f t="shared" si="12"/>
        <v>0.39</v>
      </c>
      <c r="AC183" s="54">
        <f t="shared" si="13"/>
        <v>55</v>
      </c>
      <c r="AF183" s="51">
        <v>180</v>
      </c>
      <c r="AG183" s="6">
        <v>14.000000000000002</v>
      </c>
      <c r="AH183" s="6">
        <v>55</v>
      </c>
      <c r="AK183" s="31">
        <f t="shared" si="14"/>
        <v>14.000000000000002</v>
      </c>
      <c r="AL183" s="31">
        <f t="shared" si="15"/>
        <v>55</v>
      </c>
    </row>
    <row r="184" spans="16:38">
      <c r="P184" s="53">
        <v>181</v>
      </c>
      <c r="Q184" s="54">
        <v>4</v>
      </c>
      <c r="R184" s="54">
        <v>26</v>
      </c>
      <c r="W184" s="31">
        <v>181</v>
      </c>
      <c r="X184" s="56">
        <v>0.36</v>
      </c>
      <c r="Y184" s="31">
        <v>30</v>
      </c>
      <c r="AB184" s="58">
        <f t="shared" si="12"/>
        <v>0.36</v>
      </c>
      <c r="AC184" s="54">
        <f t="shared" si="13"/>
        <v>30</v>
      </c>
      <c r="AF184" s="51">
        <v>181</v>
      </c>
      <c r="AG184" s="6">
        <v>14.000000000000002</v>
      </c>
      <c r="AH184" s="6">
        <v>30</v>
      </c>
      <c r="AK184" s="31">
        <f t="shared" si="14"/>
        <v>14.000000000000002</v>
      </c>
      <c r="AL184" s="31">
        <f t="shared" si="15"/>
        <v>30</v>
      </c>
    </row>
    <row r="185" spans="16:38">
      <c r="P185" s="53">
        <v>182</v>
      </c>
      <c r="Q185" s="54">
        <v>0</v>
      </c>
      <c r="R185" s="54">
        <v>28</v>
      </c>
      <c r="W185" s="31">
        <v>182</v>
      </c>
      <c r="X185" s="56">
        <v>0.36</v>
      </c>
      <c r="Y185" s="31">
        <v>28</v>
      </c>
      <c r="AB185" s="58">
        <f t="shared" si="12"/>
        <v>0.36</v>
      </c>
      <c r="AC185" s="54">
        <f t="shared" si="13"/>
        <v>28</v>
      </c>
      <c r="AF185" s="51">
        <v>182</v>
      </c>
      <c r="AG185" s="6">
        <v>12</v>
      </c>
      <c r="AH185" s="6">
        <v>28</v>
      </c>
      <c r="AK185" s="31">
        <f t="shared" si="14"/>
        <v>12</v>
      </c>
      <c r="AL185" s="31">
        <f t="shared" si="15"/>
        <v>28</v>
      </c>
    </row>
    <row r="186" spans="16:38">
      <c r="P186" s="53">
        <v>183</v>
      </c>
      <c r="Q186" s="54">
        <v>2</v>
      </c>
      <c r="R186" s="54">
        <v>35</v>
      </c>
      <c r="W186" s="31">
        <v>183</v>
      </c>
      <c r="X186" s="56">
        <v>0.39</v>
      </c>
      <c r="Y186" s="31">
        <v>37</v>
      </c>
      <c r="AB186" s="58">
        <f t="shared" si="12"/>
        <v>0.39</v>
      </c>
      <c r="AC186" s="54">
        <f t="shared" si="13"/>
        <v>37</v>
      </c>
      <c r="AF186" s="51">
        <v>183</v>
      </c>
      <c r="AG186" s="6">
        <v>12</v>
      </c>
      <c r="AH186" s="6">
        <v>37</v>
      </c>
      <c r="AK186" s="31">
        <f t="shared" si="14"/>
        <v>12</v>
      </c>
      <c r="AL186" s="31">
        <f t="shared" si="15"/>
        <v>37</v>
      </c>
    </row>
    <row r="187" spans="16:38">
      <c r="P187" s="53">
        <v>184</v>
      </c>
      <c r="Q187" s="54">
        <v>1</v>
      </c>
      <c r="R187" s="54">
        <v>33</v>
      </c>
      <c r="W187" s="31">
        <v>184</v>
      </c>
      <c r="X187" s="56">
        <v>0.36</v>
      </c>
      <c r="Y187" s="31">
        <v>34</v>
      </c>
      <c r="AB187" s="58">
        <f t="shared" si="12"/>
        <v>0.36</v>
      </c>
      <c r="AC187" s="54">
        <f t="shared" si="13"/>
        <v>34</v>
      </c>
      <c r="AF187" s="51">
        <v>184</v>
      </c>
      <c r="AG187" s="6">
        <v>12</v>
      </c>
      <c r="AH187" s="6">
        <v>34</v>
      </c>
      <c r="AK187" s="31">
        <f t="shared" si="14"/>
        <v>12</v>
      </c>
      <c r="AL187" s="31">
        <f t="shared" si="15"/>
        <v>34</v>
      </c>
    </row>
    <row r="188" spans="16:38">
      <c r="P188" s="53">
        <v>185</v>
      </c>
      <c r="Q188" s="54">
        <v>0</v>
      </c>
      <c r="R188" s="54">
        <v>22</v>
      </c>
      <c r="W188" s="31">
        <v>185</v>
      </c>
      <c r="X188" s="56">
        <v>0.39</v>
      </c>
      <c r="Y188" s="31">
        <v>22</v>
      </c>
      <c r="AB188" s="58">
        <f t="shared" si="12"/>
        <v>0.39</v>
      </c>
      <c r="AC188" s="54">
        <f t="shared" si="13"/>
        <v>22</v>
      </c>
      <c r="AF188" s="51">
        <v>185</v>
      </c>
      <c r="AG188" s="6">
        <v>10</v>
      </c>
      <c r="AH188" s="6">
        <v>22</v>
      </c>
      <c r="AK188" s="31">
        <f t="shared" si="14"/>
        <v>10</v>
      </c>
      <c r="AL188" s="31">
        <f t="shared" si="15"/>
        <v>22</v>
      </c>
    </row>
    <row r="189" spans="16:38">
      <c r="P189" s="53">
        <v>186</v>
      </c>
      <c r="Q189" s="54">
        <v>1</v>
      </c>
      <c r="R189" s="54">
        <v>24</v>
      </c>
      <c r="W189" s="31">
        <v>186</v>
      </c>
      <c r="X189" s="56">
        <v>0.42</v>
      </c>
      <c r="Y189" s="31">
        <v>25</v>
      </c>
      <c r="AB189" s="58">
        <f t="shared" si="12"/>
        <v>0.42</v>
      </c>
      <c r="AC189" s="54">
        <f t="shared" si="13"/>
        <v>25</v>
      </c>
      <c r="AF189" s="51">
        <v>186</v>
      </c>
      <c r="AG189" s="6">
        <v>10</v>
      </c>
      <c r="AH189" s="6">
        <v>25</v>
      </c>
      <c r="AK189" s="31">
        <f t="shared" si="14"/>
        <v>10</v>
      </c>
      <c r="AL189" s="31">
        <f t="shared" si="15"/>
        <v>25</v>
      </c>
    </row>
    <row r="190" spans="16:38">
      <c r="P190" s="53">
        <v>187</v>
      </c>
      <c r="Q190" s="54">
        <v>0</v>
      </c>
      <c r="R190" s="54">
        <v>12</v>
      </c>
      <c r="W190" s="31">
        <v>187</v>
      </c>
      <c r="X190" s="56">
        <v>0.42</v>
      </c>
      <c r="Y190" s="31">
        <v>12</v>
      </c>
      <c r="AB190" s="58">
        <f t="shared" si="12"/>
        <v>0.42</v>
      </c>
      <c r="AC190" s="54">
        <f t="shared" si="13"/>
        <v>12</v>
      </c>
      <c r="AF190" s="51">
        <v>187</v>
      </c>
      <c r="AG190" s="6">
        <v>10</v>
      </c>
      <c r="AH190" s="6">
        <v>12</v>
      </c>
      <c r="AK190" s="31">
        <f t="shared" si="14"/>
        <v>10</v>
      </c>
      <c r="AL190" s="31">
        <f t="shared" si="15"/>
        <v>12</v>
      </c>
    </row>
    <row r="191" spans="16:38">
      <c r="P191" s="53">
        <v>188</v>
      </c>
      <c r="Q191" s="54">
        <v>0</v>
      </c>
      <c r="R191" s="54">
        <v>11</v>
      </c>
      <c r="W191" s="31">
        <v>188</v>
      </c>
      <c r="X191" s="56">
        <v>0.46</v>
      </c>
      <c r="Y191" s="31">
        <v>11</v>
      </c>
      <c r="AB191" s="58">
        <f t="shared" si="12"/>
        <v>0.46</v>
      </c>
      <c r="AC191" s="54">
        <f t="shared" si="13"/>
        <v>11</v>
      </c>
      <c r="AF191" s="51">
        <v>188</v>
      </c>
      <c r="AG191" s="6">
        <v>10</v>
      </c>
      <c r="AH191" s="6">
        <v>11</v>
      </c>
      <c r="AK191" s="31">
        <f t="shared" si="14"/>
        <v>10</v>
      </c>
      <c r="AL191" s="31">
        <f t="shared" si="15"/>
        <v>11</v>
      </c>
    </row>
    <row r="192" spans="16:38">
      <c r="P192" s="53">
        <v>189</v>
      </c>
      <c r="Q192" s="54">
        <v>0</v>
      </c>
      <c r="R192" s="54">
        <v>4</v>
      </c>
      <c r="W192" s="31">
        <v>189</v>
      </c>
      <c r="X192" s="56">
        <v>0.46</v>
      </c>
      <c r="Y192" s="31">
        <v>4</v>
      </c>
      <c r="AB192" s="58">
        <f t="shared" si="12"/>
        <v>0.46</v>
      </c>
      <c r="AC192" s="54">
        <f t="shared" si="13"/>
        <v>4</v>
      </c>
      <c r="AF192" s="51">
        <v>189</v>
      </c>
      <c r="AG192" s="6">
        <v>10</v>
      </c>
      <c r="AH192" s="6">
        <v>4</v>
      </c>
      <c r="AK192" s="31">
        <f t="shared" si="14"/>
        <v>10</v>
      </c>
      <c r="AL192" s="31">
        <f t="shared" si="15"/>
        <v>4</v>
      </c>
    </row>
    <row r="193" spans="16:38">
      <c r="P193" s="53">
        <v>190</v>
      </c>
      <c r="Q193" s="54">
        <v>0</v>
      </c>
      <c r="R193" s="54">
        <v>1</v>
      </c>
      <c r="W193" s="31">
        <v>190</v>
      </c>
      <c r="X193" s="56">
        <v>0.53</v>
      </c>
      <c r="Y193" s="31">
        <v>1</v>
      </c>
      <c r="AB193" s="58">
        <f t="shared" si="12"/>
        <v>0.53</v>
      </c>
      <c r="AC193" s="54">
        <f t="shared" si="13"/>
        <v>1</v>
      </c>
      <c r="AF193" s="51">
        <v>190</v>
      </c>
      <c r="AG193" s="6">
        <v>8</v>
      </c>
      <c r="AH193" s="6">
        <v>1</v>
      </c>
      <c r="AK193" s="31">
        <f t="shared" si="14"/>
        <v>8</v>
      </c>
      <c r="AL193" s="31">
        <f t="shared" si="15"/>
        <v>1</v>
      </c>
    </row>
    <row r="194" spans="16:38">
      <c r="P194" s="53">
        <v>191</v>
      </c>
      <c r="Q194" s="54">
        <v>0</v>
      </c>
      <c r="R194" s="54">
        <v>1</v>
      </c>
      <c r="W194" s="31">
        <v>191</v>
      </c>
      <c r="X194" s="56">
        <v>0.53</v>
      </c>
      <c r="Y194" s="31">
        <v>1</v>
      </c>
      <c r="AB194" s="58">
        <f t="shared" si="12"/>
        <v>0.53</v>
      </c>
      <c r="AC194" s="54">
        <f t="shared" si="13"/>
        <v>1</v>
      </c>
      <c r="AF194" s="51">
        <v>191</v>
      </c>
      <c r="AG194" s="6">
        <v>8</v>
      </c>
      <c r="AH194" s="6">
        <v>1</v>
      </c>
      <c r="AK194" s="31">
        <f t="shared" si="14"/>
        <v>8</v>
      </c>
      <c r="AL194" s="31">
        <f t="shared" si="15"/>
        <v>1</v>
      </c>
    </row>
    <row r="195" spans="16:38">
      <c r="P195" s="53">
        <v>192</v>
      </c>
      <c r="Q195" s="54">
        <v>0</v>
      </c>
      <c r="R195" s="54">
        <v>1</v>
      </c>
      <c r="W195" s="31">
        <v>192</v>
      </c>
      <c r="X195" s="56">
        <v>0.49</v>
      </c>
      <c r="Y195" s="31">
        <v>1</v>
      </c>
      <c r="AB195" s="58">
        <f t="shared" si="12"/>
        <v>0.49</v>
      </c>
      <c r="AC195" s="54">
        <f t="shared" si="13"/>
        <v>1</v>
      </c>
      <c r="AF195" s="51">
        <v>192</v>
      </c>
      <c r="AG195" s="6">
        <v>10</v>
      </c>
      <c r="AH195" s="6">
        <v>1</v>
      </c>
      <c r="AK195" s="31">
        <f t="shared" si="14"/>
        <v>10</v>
      </c>
      <c r="AL195" s="31">
        <f t="shared" si="15"/>
        <v>1</v>
      </c>
    </row>
    <row r="196" spans="16:38">
      <c r="P196" s="53">
        <v>193</v>
      </c>
      <c r="Q196" s="54">
        <v>1</v>
      </c>
      <c r="R196" s="54">
        <v>5</v>
      </c>
      <c r="W196" s="31">
        <v>193</v>
      </c>
      <c r="X196" s="56">
        <v>0.53</v>
      </c>
      <c r="Y196" s="31">
        <v>6</v>
      </c>
      <c r="AB196" s="58">
        <f t="shared" si="12"/>
        <v>0.53</v>
      </c>
      <c r="AC196" s="54">
        <f t="shared" si="13"/>
        <v>6</v>
      </c>
      <c r="AF196" s="51">
        <v>193</v>
      </c>
      <c r="AG196" s="6">
        <v>8</v>
      </c>
      <c r="AH196" s="6">
        <v>6</v>
      </c>
      <c r="AK196" s="31">
        <f t="shared" si="14"/>
        <v>8</v>
      </c>
      <c r="AL196" s="31">
        <f t="shared" si="15"/>
        <v>6</v>
      </c>
    </row>
    <row r="197" spans="16:38">
      <c r="P197" s="53">
        <v>194</v>
      </c>
      <c r="Q197" s="54">
        <v>0</v>
      </c>
      <c r="R197" s="54">
        <v>10</v>
      </c>
      <c r="W197" s="31">
        <v>194</v>
      </c>
      <c r="X197" s="56">
        <v>0.49</v>
      </c>
      <c r="Y197" s="31">
        <v>10</v>
      </c>
      <c r="AB197" s="58">
        <f t="shared" ref="AB197:AB260" si="16">X197</f>
        <v>0.49</v>
      </c>
      <c r="AC197" s="54">
        <f t="shared" ref="AC197:AC260" si="17">Y197</f>
        <v>10</v>
      </c>
      <c r="AF197" s="51">
        <v>194</v>
      </c>
      <c r="AG197" s="6">
        <v>10</v>
      </c>
      <c r="AH197" s="6">
        <v>10</v>
      </c>
      <c r="AK197" s="31">
        <f t="shared" ref="AK197:AK217" si="18">AG197</f>
        <v>10</v>
      </c>
      <c r="AL197" s="31">
        <f t="shared" ref="AL197:AL260" si="19">AH197</f>
        <v>10</v>
      </c>
    </row>
    <row r="198" spans="16:38">
      <c r="P198" s="53">
        <v>195</v>
      </c>
      <c r="Q198" s="54">
        <v>0</v>
      </c>
      <c r="R198" s="54">
        <v>19</v>
      </c>
      <c r="W198" s="31">
        <v>195</v>
      </c>
      <c r="X198" s="56">
        <v>0.46</v>
      </c>
      <c r="Y198" s="31">
        <v>19</v>
      </c>
      <c r="AB198" s="58">
        <f t="shared" si="16"/>
        <v>0.46</v>
      </c>
      <c r="AC198" s="54">
        <f t="shared" si="17"/>
        <v>19</v>
      </c>
      <c r="AF198" s="51">
        <v>195</v>
      </c>
      <c r="AG198" s="6">
        <v>12</v>
      </c>
      <c r="AH198" s="6">
        <v>19</v>
      </c>
      <c r="AK198" s="31">
        <f t="shared" si="18"/>
        <v>12</v>
      </c>
      <c r="AL198" s="31">
        <f t="shared" si="19"/>
        <v>19</v>
      </c>
    </row>
    <row r="199" spans="16:38">
      <c r="P199" s="53">
        <v>196</v>
      </c>
      <c r="Q199" s="54">
        <v>0</v>
      </c>
      <c r="R199" s="54">
        <v>49</v>
      </c>
      <c r="W199" s="31">
        <v>196</v>
      </c>
      <c r="X199" s="56">
        <v>0.43</v>
      </c>
      <c r="Y199" s="31">
        <v>49</v>
      </c>
      <c r="AB199" s="58">
        <f t="shared" si="16"/>
        <v>0.43</v>
      </c>
      <c r="AC199" s="54">
        <f t="shared" si="17"/>
        <v>49</v>
      </c>
      <c r="AF199" s="51">
        <v>196</v>
      </c>
      <c r="AG199" s="6">
        <v>14.000000000000002</v>
      </c>
      <c r="AH199" s="6">
        <v>49</v>
      </c>
      <c r="AK199" s="31">
        <f t="shared" si="18"/>
        <v>14.000000000000002</v>
      </c>
      <c r="AL199" s="31">
        <f t="shared" si="19"/>
        <v>49</v>
      </c>
    </row>
    <row r="200" spans="16:38">
      <c r="P200" s="53">
        <v>197</v>
      </c>
      <c r="Q200" s="54">
        <v>2</v>
      </c>
      <c r="R200" s="54">
        <v>47</v>
      </c>
      <c r="W200" s="31">
        <v>197</v>
      </c>
      <c r="X200" s="56">
        <v>0.4</v>
      </c>
      <c r="Y200" s="31">
        <v>49</v>
      </c>
      <c r="AB200" s="58">
        <f t="shared" si="16"/>
        <v>0.4</v>
      </c>
      <c r="AC200" s="54">
        <f t="shared" si="17"/>
        <v>49</v>
      </c>
      <c r="AF200" s="51">
        <v>197</v>
      </c>
      <c r="AG200" s="6">
        <v>16</v>
      </c>
      <c r="AH200" s="6">
        <v>49</v>
      </c>
      <c r="AK200" s="31">
        <f t="shared" si="18"/>
        <v>16</v>
      </c>
      <c r="AL200" s="31">
        <f t="shared" si="19"/>
        <v>49</v>
      </c>
    </row>
    <row r="201" spans="16:38">
      <c r="P201" s="53">
        <v>198</v>
      </c>
      <c r="Q201" s="54">
        <v>4</v>
      </c>
      <c r="R201" s="54">
        <v>79</v>
      </c>
      <c r="W201" s="31">
        <v>198</v>
      </c>
      <c r="X201" s="56">
        <v>0.37</v>
      </c>
      <c r="Y201" s="31">
        <v>83</v>
      </c>
      <c r="AB201" s="58">
        <f t="shared" si="16"/>
        <v>0.37</v>
      </c>
      <c r="AC201" s="54">
        <f t="shared" si="17"/>
        <v>83</v>
      </c>
      <c r="AF201" s="51">
        <v>198</v>
      </c>
      <c r="AG201" s="6">
        <v>18</v>
      </c>
      <c r="AH201" s="6">
        <v>83</v>
      </c>
      <c r="AK201" s="31">
        <f t="shared" si="18"/>
        <v>18</v>
      </c>
      <c r="AL201" s="31">
        <f t="shared" si="19"/>
        <v>83</v>
      </c>
    </row>
    <row r="202" spans="16:38">
      <c r="P202" s="53">
        <v>199</v>
      </c>
      <c r="Q202" s="54">
        <v>6</v>
      </c>
      <c r="R202" s="54">
        <v>69</v>
      </c>
      <c r="W202" s="31">
        <v>199</v>
      </c>
      <c r="X202" s="56">
        <v>0.34</v>
      </c>
      <c r="Y202" s="31">
        <v>75</v>
      </c>
      <c r="AB202" s="58">
        <f t="shared" si="16"/>
        <v>0.34</v>
      </c>
      <c r="AC202" s="54">
        <f t="shared" si="17"/>
        <v>75</v>
      </c>
      <c r="AF202" s="51">
        <v>199</v>
      </c>
      <c r="AG202" s="6">
        <v>20</v>
      </c>
      <c r="AH202" s="6">
        <v>75</v>
      </c>
      <c r="AK202" s="31">
        <f t="shared" si="18"/>
        <v>20</v>
      </c>
      <c r="AL202" s="31">
        <f t="shared" si="19"/>
        <v>75</v>
      </c>
    </row>
    <row r="203" spans="16:38">
      <c r="P203" s="53">
        <v>200</v>
      </c>
      <c r="Q203" s="54">
        <v>8</v>
      </c>
      <c r="R203" s="54">
        <v>64</v>
      </c>
      <c r="W203" s="31">
        <v>200</v>
      </c>
      <c r="X203" s="56">
        <v>0.32</v>
      </c>
      <c r="Y203" s="31">
        <v>72</v>
      </c>
      <c r="AB203" s="58">
        <f t="shared" si="16"/>
        <v>0.32</v>
      </c>
      <c r="AC203" s="54">
        <f t="shared" si="17"/>
        <v>72</v>
      </c>
      <c r="AF203" s="51">
        <v>200</v>
      </c>
      <c r="AG203" s="6">
        <v>22</v>
      </c>
      <c r="AH203" s="6">
        <v>72</v>
      </c>
      <c r="AK203" s="31">
        <f t="shared" si="18"/>
        <v>22</v>
      </c>
      <c r="AL203" s="31">
        <f t="shared" si="19"/>
        <v>72</v>
      </c>
    </row>
    <row r="204" spans="16:38">
      <c r="P204" s="53">
        <v>201</v>
      </c>
      <c r="Q204" s="54">
        <v>5</v>
      </c>
      <c r="R204" s="54">
        <v>77</v>
      </c>
      <c r="W204" s="31">
        <v>201</v>
      </c>
      <c r="X204" s="56">
        <v>0.35</v>
      </c>
      <c r="Y204" s="31">
        <v>82</v>
      </c>
      <c r="AB204" s="58">
        <f t="shared" si="16"/>
        <v>0.35</v>
      </c>
      <c r="AC204" s="54">
        <f t="shared" si="17"/>
        <v>82</v>
      </c>
      <c r="AF204" s="51">
        <v>201</v>
      </c>
      <c r="AG204" s="6">
        <v>22</v>
      </c>
      <c r="AH204" s="6">
        <v>82</v>
      </c>
      <c r="AK204" s="31">
        <f t="shared" si="18"/>
        <v>22</v>
      </c>
      <c r="AL204" s="31">
        <f t="shared" si="19"/>
        <v>82</v>
      </c>
    </row>
    <row r="205" spans="16:38">
      <c r="P205" s="53">
        <v>202</v>
      </c>
      <c r="Q205" s="54">
        <v>13</v>
      </c>
      <c r="R205" s="54">
        <v>79</v>
      </c>
      <c r="W205" s="31">
        <v>202</v>
      </c>
      <c r="X205" s="56">
        <v>0.34</v>
      </c>
      <c r="Y205" s="31">
        <v>92</v>
      </c>
      <c r="AB205" s="58">
        <f t="shared" si="16"/>
        <v>0.34</v>
      </c>
      <c r="AC205" s="54">
        <f t="shared" si="17"/>
        <v>92</v>
      </c>
      <c r="AF205" s="51">
        <v>202</v>
      </c>
      <c r="AG205" s="6">
        <v>20</v>
      </c>
      <c r="AH205" s="6">
        <v>92</v>
      </c>
      <c r="AK205" s="31">
        <f t="shared" si="18"/>
        <v>20</v>
      </c>
      <c r="AL205" s="31">
        <f t="shared" si="19"/>
        <v>92</v>
      </c>
    </row>
    <row r="206" spans="16:38">
      <c r="P206" s="53">
        <v>203</v>
      </c>
      <c r="Q206" s="54">
        <v>3</v>
      </c>
      <c r="R206" s="54">
        <v>59</v>
      </c>
      <c r="W206" s="31">
        <v>203</v>
      </c>
      <c r="X206" s="56">
        <v>0.37</v>
      </c>
      <c r="Y206" s="31">
        <v>62</v>
      </c>
      <c r="AB206" s="58">
        <f t="shared" si="16"/>
        <v>0.37</v>
      </c>
      <c r="AC206" s="54">
        <f t="shared" si="17"/>
        <v>62</v>
      </c>
      <c r="AF206" s="51">
        <v>203</v>
      </c>
      <c r="AG206" s="6">
        <v>18</v>
      </c>
      <c r="AH206" s="6">
        <v>62</v>
      </c>
      <c r="AK206" s="31">
        <f t="shared" si="18"/>
        <v>18</v>
      </c>
      <c r="AL206" s="31">
        <f t="shared" si="19"/>
        <v>62</v>
      </c>
    </row>
    <row r="207" spans="16:38">
      <c r="P207" s="53">
        <v>204</v>
      </c>
      <c r="Q207" s="54">
        <v>4</v>
      </c>
      <c r="R207" s="54">
        <v>44</v>
      </c>
      <c r="W207" s="31">
        <v>204</v>
      </c>
      <c r="X207" s="56">
        <v>0.4</v>
      </c>
      <c r="Y207" s="31">
        <v>48</v>
      </c>
      <c r="AB207" s="58">
        <f t="shared" si="16"/>
        <v>0.4</v>
      </c>
      <c r="AC207" s="54">
        <f t="shared" si="17"/>
        <v>48</v>
      </c>
      <c r="AF207" s="51">
        <v>204</v>
      </c>
      <c r="AG207" s="6">
        <v>16</v>
      </c>
      <c r="AH207" s="6">
        <v>48</v>
      </c>
      <c r="AK207" s="31">
        <f t="shared" si="18"/>
        <v>16</v>
      </c>
      <c r="AL207" s="31">
        <f t="shared" si="19"/>
        <v>48</v>
      </c>
    </row>
    <row r="208" spans="16:38">
      <c r="P208" s="53">
        <v>205</v>
      </c>
      <c r="Q208" s="54">
        <v>1</v>
      </c>
      <c r="R208" s="54">
        <v>40</v>
      </c>
      <c r="W208" s="31">
        <v>205</v>
      </c>
      <c r="X208" s="56">
        <v>0.43</v>
      </c>
      <c r="Y208" s="31">
        <v>41</v>
      </c>
      <c r="AB208" s="58">
        <f t="shared" si="16"/>
        <v>0.43</v>
      </c>
      <c r="AC208" s="54">
        <f t="shared" si="17"/>
        <v>41</v>
      </c>
      <c r="AF208" s="51">
        <v>205</v>
      </c>
      <c r="AG208" s="6">
        <v>16</v>
      </c>
      <c r="AH208" s="6">
        <v>41</v>
      </c>
      <c r="AK208" s="31">
        <f t="shared" si="18"/>
        <v>16</v>
      </c>
      <c r="AL208" s="31">
        <f t="shared" si="19"/>
        <v>41</v>
      </c>
    </row>
    <row r="209" spans="16:38">
      <c r="P209" s="53">
        <v>206</v>
      </c>
      <c r="Q209" s="54">
        <v>0</v>
      </c>
      <c r="R209" s="54">
        <v>38</v>
      </c>
      <c r="W209" s="31">
        <v>206</v>
      </c>
      <c r="X209" s="56">
        <v>0.46</v>
      </c>
      <c r="Y209" s="31">
        <v>38</v>
      </c>
      <c r="AB209" s="58">
        <f t="shared" si="16"/>
        <v>0.46</v>
      </c>
      <c r="AC209" s="54">
        <f t="shared" si="17"/>
        <v>38</v>
      </c>
      <c r="AF209" s="51">
        <v>206</v>
      </c>
      <c r="AG209" s="6">
        <v>14.000000000000002</v>
      </c>
      <c r="AH209" s="6">
        <v>38</v>
      </c>
      <c r="AK209" s="31">
        <f t="shared" si="18"/>
        <v>14.000000000000002</v>
      </c>
      <c r="AL209" s="31">
        <f t="shared" si="19"/>
        <v>38</v>
      </c>
    </row>
    <row r="210" spans="16:38">
      <c r="P210" s="53">
        <v>207</v>
      </c>
      <c r="Q210" s="54">
        <v>1</v>
      </c>
      <c r="R210" s="54">
        <v>19</v>
      </c>
      <c r="W210" s="31">
        <v>207</v>
      </c>
      <c r="X210" s="56">
        <v>0.46</v>
      </c>
      <c r="Y210" s="31">
        <v>20</v>
      </c>
      <c r="AB210" s="58">
        <f t="shared" si="16"/>
        <v>0.46</v>
      </c>
      <c r="AC210" s="54">
        <f t="shared" si="17"/>
        <v>20</v>
      </c>
      <c r="AF210" s="51">
        <v>207</v>
      </c>
      <c r="AG210" s="6">
        <v>14.000000000000002</v>
      </c>
      <c r="AH210" s="6">
        <v>20</v>
      </c>
      <c r="AK210" s="31">
        <f t="shared" si="18"/>
        <v>14.000000000000002</v>
      </c>
      <c r="AL210" s="31">
        <f t="shared" si="19"/>
        <v>20</v>
      </c>
    </row>
    <row r="211" spans="16:38">
      <c r="P211" s="53">
        <v>208</v>
      </c>
      <c r="Q211" s="54">
        <v>5</v>
      </c>
      <c r="R211" s="54">
        <v>10</v>
      </c>
      <c r="W211" s="31">
        <v>208</v>
      </c>
      <c r="X211" s="56">
        <v>0.46</v>
      </c>
      <c r="Y211" s="31">
        <v>15</v>
      </c>
      <c r="AB211" s="58">
        <f t="shared" si="16"/>
        <v>0.46</v>
      </c>
      <c r="AC211" s="54">
        <f t="shared" si="17"/>
        <v>15</v>
      </c>
      <c r="AF211" s="51">
        <v>208</v>
      </c>
      <c r="AG211" s="6">
        <v>14.000000000000002</v>
      </c>
      <c r="AH211" s="6">
        <v>15</v>
      </c>
      <c r="AK211" s="31">
        <f t="shared" si="18"/>
        <v>14.000000000000002</v>
      </c>
      <c r="AL211" s="31">
        <f t="shared" si="19"/>
        <v>15</v>
      </c>
    </row>
    <row r="212" spans="16:38">
      <c r="P212" s="53">
        <v>209</v>
      </c>
      <c r="Q212" s="54">
        <v>0</v>
      </c>
      <c r="R212" s="54">
        <v>6</v>
      </c>
      <c r="W212" s="31">
        <v>209</v>
      </c>
      <c r="X212" s="56">
        <v>0.5</v>
      </c>
      <c r="Y212" s="31">
        <v>6</v>
      </c>
      <c r="AB212" s="58">
        <f t="shared" si="16"/>
        <v>0.5</v>
      </c>
      <c r="AC212" s="54">
        <f t="shared" si="17"/>
        <v>6</v>
      </c>
      <c r="AF212" s="51">
        <v>209</v>
      </c>
      <c r="AG212" s="6">
        <v>12</v>
      </c>
      <c r="AH212" s="6">
        <v>6</v>
      </c>
      <c r="AK212" s="31">
        <f t="shared" si="18"/>
        <v>12</v>
      </c>
      <c r="AL212" s="31">
        <f t="shared" si="19"/>
        <v>6</v>
      </c>
    </row>
    <row r="213" spans="16:38">
      <c r="P213" s="53">
        <v>210</v>
      </c>
      <c r="Q213" s="54">
        <v>2</v>
      </c>
      <c r="R213" s="54">
        <v>3</v>
      </c>
      <c r="W213" s="31">
        <v>210</v>
      </c>
      <c r="X213" s="56">
        <v>0.5</v>
      </c>
      <c r="Y213" s="31">
        <v>5</v>
      </c>
      <c r="AB213" s="58">
        <f t="shared" si="16"/>
        <v>0.5</v>
      </c>
      <c r="AC213" s="54">
        <f t="shared" si="17"/>
        <v>5</v>
      </c>
      <c r="AF213" s="51">
        <v>210</v>
      </c>
      <c r="AG213" s="6">
        <v>12</v>
      </c>
      <c r="AH213" s="6">
        <v>5</v>
      </c>
      <c r="AK213" s="31">
        <f t="shared" si="18"/>
        <v>12</v>
      </c>
      <c r="AL213" s="31">
        <f t="shared" si="19"/>
        <v>5</v>
      </c>
    </row>
    <row r="214" spans="16:38">
      <c r="P214" s="53">
        <v>211</v>
      </c>
      <c r="Q214" s="54">
        <v>1</v>
      </c>
      <c r="R214" s="54">
        <v>0</v>
      </c>
      <c r="W214" s="31">
        <v>211</v>
      </c>
      <c r="X214" s="56">
        <v>0.5</v>
      </c>
      <c r="Y214" s="31">
        <v>1</v>
      </c>
      <c r="AB214" s="58">
        <f t="shared" si="16"/>
        <v>0.5</v>
      </c>
      <c r="AC214" s="54">
        <f t="shared" si="17"/>
        <v>1</v>
      </c>
      <c r="AF214" s="51">
        <v>211</v>
      </c>
      <c r="AG214" s="6">
        <v>12</v>
      </c>
      <c r="AH214" s="6">
        <v>1</v>
      </c>
      <c r="AK214" s="31">
        <f t="shared" si="18"/>
        <v>12</v>
      </c>
      <c r="AL214" s="31">
        <f t="shared" si="19"/>
        <v>1</v>
      </c>
    </row>
    <row r="215" spans="16:38">
      <c r="P215" s="53">
        <v>212</v>
      </c>
      <c r="Q215" s="54">
        <v>0</v>
      </c>
      <c r="R215" s="54">
        <v>3</v>
      </c>
      <c r="W215" s="31">
        <v>212</v>
      </c>
      <c r="X215" s="56">
        <v>0.5</v>
      </c>
      <c r="Y215" s="31">
        <v>3</v>
      </c>
      <c r="AB215" s="58">
        <f t="shared" si="16"/>
        <v>0.5</v>
      </c>
      <c r="AC215" s="54">
        <f t="shared" si="17"/>
        <v>3</v>
      </c>
      <c r="AF215" s="51">
        <v>212</v>
      </c>
      <c r="AG215" s="6">
        <v>12</v>
      </c>
      <c r="AH215" s="6">
        <v>3</v>
      </c>
      <c r="AK215" s="31">
        <f t="shared" si="18"/>
        <v>12</v>
      </c>
      <c r="AL215" s="31">
        <f t="shared" si="19"/>
        <v>3</v>
      </c>
    </row>
    <row r="216" spans="16:38">
      <c r="P216" s="53">
        <v>213</v>
      </c>
      <c r="Q216" s="54">
        <v>0</v>
      </c>
      <c r="R216" s="54">
        <v>1</v>
      </c>
      <c r="W216" s="31">
        <v>213</v>
      </c>
      <c r="X216" s="56">
        <v>0.5</v>
      </c>
      <c r="Y216" s="31">
        <v>1</v>
      </c>
      <c r="AB216" s="58">
        <f t="shared" si="16"/>
        <v>0.5</v>
      </c>
      <c r="AC216" s="54">
        <f t="shared" si="17"/>
        <v>1</v>
      </c>
      <c r="AF216" s="51">
        <v>213</v>
      </c>
      <c r="AG216" s="6">
        <v>12</v>
      </c>
      <c r="AH216" s="6">
        <v>1</v>
      </c>
      <c r="AK216" s="31">
        <f t="shared" si="18"/>
        <v>12</v>
      </c>
      <c r="AL216" s="31">
        <f t="shared" si="19"/>
        <v>1</v>
      </c>
    </row>
    <row r="217" spans="16:38">
      <c r="P217" s="53">
        <v>214</v>
      </c>
      <c r="Q217" s="54">
        <v>1</v>
      </c>
      <c r="R217" s="54">
        <v>2</v>
      </c>
      <c r="W217" s="31">
        <v>214</v>
      </c>
      <c r="X217" s="56">
        <v>0.54</v>
      </c>
      <c r="Y217" s="31">
        <v>3</v>
      </c>
      <c r="AB217" s="58">
        <f t="shared" si="16"/>
        <v>0.54</v>
      </c>
      <c r="AC217" s="54">
        <f t="shared" si="17"/>
        <v>3</v>
      </c>
      <c r="AF217" s="51">
        <v>214</v>
      </c>
      <c r="AG217" s="6">
        <v>10</v>
      </c>
      <c r="AH217" s="6">
        <v>3</v>
      </c>
      <c r="AK217" s="31">
        <f t="shared" si="18"/>
        <v>10</v>
      </c>
      <c r="AL217" s="31">
        <f t="shared" si="19"/>
        <v>3</v>
      </c>
    </row>
    <row r="218" spans="16:38">
      <c r="P218" s="53">
        <v>215</v>
      </c>
      <c r="Q218" s="54">
        <v>0</v>
      </c>
      <c r="R218" s="54">
        <v>3</v>
      </c>
      <c r="W218" s="31">
        <v>215</v>
      </c>
      <c r="X218" s="56">
        <v>0.54</v>
      </c>
      <c r="Y218" s="31">
        <v>3</v>
      </c>
      <c r="AB218" s="58">
        <f t="shared" si="16"/>
        <v>0.54</v>
      </c>
      <c r="AC218" s="54">
        <f t="shared" si="17"/>
        <v>3</v>
      </c>
      <c r="AF218" s="51">
        <v>215</v>
      </c>
      <c r="AG218" s="6">
        <v>10</v>
      </c>
      <c r="AH218" s="6">
        <v>3</v>
      </c>
      <c r="AK218" s="31">
        <f>AG218</f>
        <v>10</v>
      </c>
      <c r="AL218" s="31">
        <f t="shared" si="19"/>
        <v>3</v>
      </c>
    </row>
    <row r="219" spans="16:38">
      <c r="P219" s="53">
        <v>216</v>
      </c>
      <c r="Q219" s="54">
        <v>0</v>
      </c>
      <c r="R219" s="54">
        <v>31</v>
      </c>
      <c r="W219" s="31">
        <v>216</v>
      </c>
      <c r="X219" s="56">
        <v>0.5</v>
      </c>
      <c r="Y219" s="31">
        <v>31</v>
      </c>
      <c r="AB219" s="58">
        <f t="shared" si="16"/>
        <v>0.5</v>
      </c>
      <c r="AC219" s="54">
        <f t="shared" si="17"/>
        <v>31</v>
      </c>
      <c r="AF219" s="51">
        <v>216</v>
      </c>
      <c r="AG219" s="6">
        <v>12</v>
      </c>
      <c r="AH219" s="6">
        <v>31</v>
      </c>
      <c r="AK219" s="31">
        <f t="shared" ref="AK219:AK251" si="20">AG219</f>
        <v>12</v>
      </c>
      <c r="AL219" s="31">
        <f t="shared" si="19"/>
        <v>31</v>
      </c>
    </row>
    <row r="220" spans="16:38">
      <c r="P220" s="53">
        <v>217</v>
      </c>
      <c r="Q220" s="54">
        <v>2</v>
      </c>
      <c r="R220" s="54">
        <v>75</v>
      </c>
      <c r="W220" s="31">
        <v>217</v>
      </c>
      <c r="X220" s="56">
        <v>0.5</v>
      </c>
      <c r="Y220" s="31">
        <v>77</v>
      </c>
      <c r="AB220" s="58">
        <f t="shared" si="16"/>
        <v>0.5</v>
      </c>
      <c r="AC220" s="54">
        <f t="shared" si="17"/>
        <v>77</v>
      </c>
      <c r="AF220" s="51">
        <v>217</v>
      </c>
      <c r="AG220" s="6">
        <v>12</v>
      </c>
      <c r="AH220" s="6">
        <v>77</v>
      </c>
      <c r="AK220" s="31">
        <f t="shared" si="20"/>
        <v>12</v>
      </c>
      <c r="AL220" s="31">
        <f t="shared" si="19"/>
        <v>77</v>
      </c>
    </row>
    <row r="221" spans="16:38">
      <c r="P221" s="53">
        <v>218</v>
      </c>
      <c r="Q221" s="54">
        <v>4</v>
      </c>
      <c r="R221" s="54">
        <v>184</v>
      </c>
      <c r="W221" s="31">
        <v>218</v>
      </c>
      <c r="X221" s="56">
        <v>0.5</v>
      </c>
      <c r="Y221" s="31">
        <v>188</v>
      </c>
      <c r="AB221" s="58">
        <f t="shared" si="16"/>
        <v>0.5</v>
      </c>
      <c r="AC221" s="54">
        <f t="shared" si="17"/>
        <v>188</v>
      </c>
      <c r="AF221" s="51">
        <v>218</v>
      </c>
      <c r="AG221" s="6">
        <v>12</v>
      </c>
      <c r="AH221" s="6">
        <v>188</v>
      </c>
      <c r="AK221" s="31">
        <f t="shared" si="20"/>
        <v>12</v>
      </c>
      <c r="AL221" s="31">
        <f t="shared" si="19"/>
        <v>188</v>
      </c>
    </row>
    <row r="222" spans="16:38">
      <c r="P222" s="53">
        <v>219</v>
      </c>
      <c r="Q222" s="54">
        <v>2</v>
      </c>
      <c r="R222" s="54">
        <v>92</v>
      </c>
      <c r="W222" s="31">
        <v>219</v>
      </c>
      <c r="X222" s="56">
        <v>0.5</v>
      </c>
      <c r="Y222" s="31">
        <v>94</v>
      </c>
      <c r="AB222" s="58">
        <f t="shared" si="16"/>
        <v>0.5</v>
      </c>
      <c r="AC222" s="54">
        <f t="shared" si="17"/>
        <v>94</v>
      </c>
      <c r="AF222" s="51">
        <v>219</v>
      </c>
      <c r="AG222" s="6">
        <v>14.000000000000002</v>
      </c>
      <c r="AH222" s="6">
        <v>94</v>
      </c>
      <c r="AK222" s="31">
        <f t="shared" si="20"/>
        <v>14.000000000000002</v>
      </c>
      <c r="AL222" s="31">
        <f t="shared" si="19"/>
        <v>94</v>
      </c>
    </row>
    <row r="223" spans="16:38">
      <c r="P223" s="53">
        <v>220</v>
      </c>
      <c r="Q223" s="54">
        <v>0</v>
      </c>
      <c r="R223" s="54">
        <v>31</v>
      </c>
      <c r="W223" s="31">
        <v>220</v>
      </c>
      <c r="X223" s="56">
        <v>0.5</v>
      </c>
      <c r="Y223" s="31">
        <v>31</v>
      </c>
      <c r="AB223" s="58">
        <f t="shared" si="16"/>
        <v>0.5</v>
      </c>
      <c r="AC223" s="54">
        <f t="shared" si="17"/>
        <v>31</v>
      </c>
      <c r="AF223" s="51">
        <v>220</v>
      </c>
      <c r="AG223" s="6">
        <v>14.000000000000002</v>
      </c>
      <c r="AH223" s="6">
        <v>31</v>
      </c>
      <c r="AK223" s="31">
        <f t="shared" si="20"/>
        <v>14.000000000000002</v>
      </c>
      <c r="AL223" s="31">
        <f t="shared" si="19"/>
        <v>31</v>
      </c>
    </row>
    <row r="224" spans="16:38">
      <c r="P224" s="53">
        <v>221</v>
      </c>
      <c r="Q224" s="54">
        <v>2</v>
      </c>
      <c r="R224" s="54">
        <v>28</v>
      </c>
      <c r="W224" s="31">
        <v>221</v>
      </c>
      <c r="X224" s="56">
        <v>0.47</v>
      </c>
      <c r="Y224" s="31">
        <v>30</v>
      </c>
      <c r="AB224" s="58">
        <f t="shared" si="16"/>
        <v>0.47</v>
      </c>
      <c r="AC224" s="54">
        <f t="shared" si="17"/>
        <v>30</v>
      </c>
      <c r="AF224" s="51">
        <v>221</v>
      </c>
      <c r="AG224" s="6">
        <v>16</v>
      </c>
      <c r="AH224" s="6">
        <v>30</v>
      </c>
      <c r="AK224" s="31">
        <f t="shared" si="20"/>
        <v>16</v>
      </c>
      <c r="AL224" s="31">
        <f t="shared" si="19"/>
        <v>30</v>
      </c>
    </row>
    <row r="225" spans="16:38">
      <c r="P225" s="53">
        <v>222</v>
      </c>
      <c r="Q225" s="54">
        <v>5</v>
      </c>
      <c r="R225" s="54">
        <v>47</v>
      </c>
      <c r="W225" s="31">
        <v>222</v>
      </c>
      <c r="X225" s="56">
        <v>0.4</v>
      </c>
      <c r="Y225" s="31">
        <v>52</v>
      </c>
      <c r="AB225" s="58">
        <f t="shared" si="16"/>
        <v>0.4</v>
      </c>
      <c r="AC225" s="54">
        <f t="shared" si="17"/>
        <v>52</v>
      </c>
      <c r="AF225" s="51">
        <v>222</v>
      </c>
      <c r="AG225" s="6">
        <v>20</v>
      </c>
      <c r="AH225" s="6">
        <v>52</v>
      </c>
      <c r="AK225" s="31">
        <f t="shared" si="20"/>
        <v>20</v>
      </c>
      <c r="AL225" s="31">
        <f t="shared" si="19"/>
        <v>52</v>
      </c>
    </row>
    <row r="226" spans="16:38">
      <c r="P226" s="53">
        <v>223</v>
      </c>
      <c r="Q226" s="54">
        <v>4</v>
      </c>
      <c r="R226" s="54">
        <v>50</v>
      </c>
      <c r="W226" s="31">
        <v>223</v>
      </c>
      <c r="X226" s="56">
        <v>0.4</v>
      </c>
      <c r="Y226" s="31">
        <v>54</v>
      </c>
      <c r="AB226" s="58">
        <f t="shared" si="16"/>
        <v>0.4</v>
      </c>
      <c r="AC226" s="54">
        <f t="shared" si="17"/>
        <v>54</v>
      </c>
      <c r="AF226" s="51">
        <v>223</v>
      </c>
      <c r="AG226" s="6">
        <v>20</v>
      </c>
      <c r="AH226" s="6">
        <v>54</v>
      </c>
      <c r="AK226" s="31">
        <f t="shared" si="20"/>
        <v>20</v>
      </c>
      <c r="AL226" s="31">
        <f t="shared" si="19"/>
        <v>54</v>
      </c>
    </row>
    <row r="227" spans="16:38">
      <c r="P227" s="53">
        <v>224</v>
      </c>
      <c r="Q227" s="54">
        <v>0</v>
      </c>
      <c r="R227" s="54">
        <v>47</v>
      </c>
      <c r="W227" s="31">
        <v>224</v>
      </c>
      <c r="X227" s="56">
        <v>0.4</v>
      </c>
      <c r="Y227" s="31">
        <v>47</v>
      </c>
      <c r="AB227" s="58">
        <f t="shared" si="16"/>
        <v>0.4</v>
      </c>
      <c r="AC227" s="54">
        <f t="shared" si="17"/>
        <v>47</v>
      </c>
      <c r="AF227" s="51">
        <v>224</v>
      </c>
      <c r="AG227" s="6">
        <v>20</v>
      </c>
      <c r="AH227" s="6">
        <v>47</v>
      </c>
      <c r="AK227" s="31">
        <f t="shared" si="20"/>
        <v>20</v>
      </c>
      <c r="AL227" s="31">
        <f t="shared" si="19"/>
        <v>47</v>
      </c>
    </row>
    <row r="228" spans="16:38">
      <c r="P228" s="53">
        <v>225</v>
      </c>
      <c r="Q228" s="54">
        <v>2</v>
      </c>
      <c r="R228" s="54">
        <v>43</v>
      </c>
      <c r="W228" s="31">
        <v>225</v>
      </c>
      <c r="X228" s="56">
        <v>0.4</v>
      </c>
      <c r="Y228" s="31">
        <v>45</v>
      </c>
      <c r="AB228" s="58">
        <f t="shared" si="16"/>
        <v>0.4</v>
      </c>
      <c r="AC228" s="54">
        <f t="shared" si="17"/>
        <v>45</v>
      </c>
      <c r="AF228" s="51">
        <v>225</v>
      </c>
      <c r="AG228" s="6">
        <v>20</v>
      </c>
      <c r="AH228" s="6">
        <v>45</v>
      </c>
      <c r="AK228" s="31">
        <f t="shared" si="20"/>
        <v>20</v>
      </c>
      <c r="AL228" s="31">
        <f t="shared" si="19"/>
        <v>45</v>
      </c>
    </row>
    <row r="229" spans="16:38">
      <c r="P229" s="53">
        <v>226</v>
      </c>
      <c r="Q229" s="54">
        <v>4</v>
      </c>
      <c r="R229" s="54">
        <v>70</v>
      </c>
      <c r="W229" s="31">
        <v>226</v>
      </c>
      <c r="X229" s="56">
        <v>0.4</v>
      </c>
      <c r="Y229" s="31">
        <v>74</v>
      </c>
      <c r="AB229" s="58">
        <f t="shared" si="16"/>
        <v>0.4</v>
      </c>
      <c r="AC229" s="54">
        <f t="shared" si="17"/>
        <v>74</v>
      </c>
      <c r="AF229" s="51">
        <v>226</v>
      </c>
      <c r="AG229" s="6">
        <v>20</v>
      </c>
      <c r="AH229" s="6">
        <v>74</v>
      </c>
      <c r="AK229" s="31">
        <f t="shared" si="20"/>
        <v>20</v>
      </c>
      <c r="AL229" s="31">
        <f t="shared" si="19"/>
        <v>74</v>
      </c>
    </row>
    <row r="230" spans="16:38">
      <c r="P230" s="53">
        <v>227</v>
      </c>
      <c r="Q230" s="54">
        <v>4</v>
      </c>
      <c r="R230" s="54">
        <v>174</v>
      </c>
      <c r="W230" s="31">
        <v>227</v>
      </c>
      <c r="X230" s="56">
        <v>0.4</v>
      </c>
      <c r="Y230" s="31">
        <v>178</v>
      </c>
      <c r="AB230" s="58">
        <f t="shared" si="16"/>
        <v>0.4</v>
      </c>
      <c r="AC230" s="54">
        <f t="shared" si="17"/>
        <v>178</v>
      </c>
      <c r="AF230" s="51">
        <v>227</v>
      </c>
      <c r="AG230" s="6">
        <v>20</v>
      </c>
      <c r="AH230" s="6">
        <v>178</v>
      </c>
      <c r="AK230" s="31">
        <f t="shared" si="20"/>
        <v>20</v>
      </c>
      <c r="AL230" s="31">
        <f t="shared" si="19"/>
        <v>178</v>
      </c>
    </row>
    <row r="231" spans="16:38">
      <c r="P231" s="53">
        <v>228</v>
      </c>
      <c r="Q231" s="54">
        <v>1</v>
      </c>
      <c r="R231" s="54">
        <v>154</v>
      </c>
      <c r="W231" s="31">
        <v>228</v>
      </c>
      <c r="X231" s="56">
        <v>0.4</v>
      </c>
      <c r="Y231" s="31">
        <v>155</v>
      </c>
      <c r="AB231" s="58">
        <f t="shared" si="16"/>
        <v>0.4</v>
      </c>
      <c r="AC231" s="54">
        <f t="shared" si="17"/>
        <v>155</v>
      </c>
      <c r="AF231" s="51">
        <v>228</v>
      </c>
      <c r="AG231" s="6">
        <v>20</v>
      </c>
      <c r="AH231" s="6">
        <v>155</v>
      </c>
      <c r="AK231" s="31">
        <f t="shared" si="20"/>
        <v>20</v>
      </c>
      <c r="AL231" s="31">
        <f t="shared" si="19"/>
        <v>155</v>
      </c>
    </row>
    <row r="232" spans="16:38">
      <c r="P232" s="53">
        <v>229</v>
      </c>
      <c r="Q232" s="54">
        <v>3</v>
      </c>
      <c r="R232" s="54">
        <v>92</v>
      </c>
      <c r="W232" s="31">
        <v>229</v>
      </c>
      <c r="X232" s="56">
        <v>0.47</v>
      </c>
      <c r="Y232" s="31">
        <v>95</v>
      </c>
      <c r="AB232" s="58">
        <f t="shared" si="16"/>
        <v>0.47</v>
      </c>
      <c r="AC232" s="54">
        <f t="shared" si="17"/>
        <v>95</v>
      </c>
      <c r="AF232" s="51">
        <v>229</v>
      </c>
      <c r="AG232" s="6">
        <v>16</v>
      </c>
      <c r="AH232" s="6">
        <v>95</v>
      </c>
      <c r="AK232" s="31">
        <f t="shared" si="20"/>
        <v>16</v>
      </c>
      <c r="AL232" s="31">
        <f t="shared" si="19"/>
        <v>95</v>
      </c>
    </row>
    <row r="233" spans="16:38">
      <c r="P233" s="53">
        <v>230</v>
      </c>
      <c r="Q233" s="54">
        <v>1</v>
      </c>
      <c r="R233" s="54">
        <v>73</v>
      </c>
      <c r="W233" s="31">
        <v>230</v>
      </c>
      <c r="X233" s="56">
        <v>0.5</v>
      </c>
      <c r="Y233" s="31">
        <v>74</v>
      </c>
      <c r="AB233" s="58">
        <f t="shared" si="16"/>
        <v>0.5</v>
      </c>
      <c r="AC233" s="54">
        <f t="shared" si="17"/>
        <v>74</v>
      </c>
      <c r="AF233" s="51">
        <v>230</v>
      </c>
      <c r="AG233" s="6">
        <v>16</v>
      </c>
      <c r="AH233" s="6">
        <v>74</v>
      </c>
      <c r="AK233" s="31">
        <f t="shared" si="20"/>
        <v>16</v>
      </c>
      <c r="AL233" s="31">
        <f t="shared" si="19"/>
        <v>74</v>
      </c>
    </row>
    <row r="234" spans="16:38">
      <c r="P234" s="53">
        <v>231</v>
      </c>
      <c r="Q234" s="54">
        <v>1</v>
      </c>
      <c r="R234" s="54">
        <v>37</v>
      </c>
      <c r="W234" s="31">
        <v>231</v>
      </c>
      <c r="X234" s="56">
        <v>0.59</v>
      </c>
      <c r="Y234" s="31">
        <v>38</v>
      </c>
      <c r="AB234" s="58">
        <f t="shared" si="16"/>
        <v>0.59</v>
      </c>
      <c r="AC234" s="54">
        <f t="shared" si="17"/>
        <v>38</v>
      </c>
      <c r="AF234" s="51">
        <v>231</v>
      </c>
      <c r="AG234" s="6">
        <v>14.000000000000002</v>
      </c>
      <c r="AH234" s="6">
        <v>38</v>
      </c>
      <c r="AK234" s="31">
        <f t="shared" si="20"/>
        <v>14.000000000000002</v>
      </c>
      <c r="AL234" s="31">
        <f t="shared" si="19"/>
        <v>38</v>
      </c>
    </row>
    <row r="235" spans="16:38">
      <c r="P235" s="53">
        <v>232</v>
      </c>
      <c r="Q235" s="54">
        <v>2</v>
      </c>
      <c r="R235" s="54">
        <v>22</v>
      </c>
      <c r="W235" s="31">
        <v>232</v>
      </c>
      <c r="X235" s="56">
        <v>0.59</v>
      </c>
      <c r="Y235" s="31">
        <v>24</v>
      </c>
      <c r="AB235" s="58">
        <f t="shared" si="16"/>
        <v>0.59</v>
      </c>
      <c r="AC235" s="54">
        <f t="shared" si="17"/>
        <v>24</v>
      </c>
      <c r="AF235" s="51">
        <v>232</v>
      </c>
      <c r="AG235" s="6">
        <v>14.000000000000002</v>
      </c>
      <c r="AH235" s="6">
        <v>24</v>
      </c>
      <c r="AK235" s="31">
        <f t="shared" si="20"/>
        <v>14.000000000000002</v>
      </c>
      <c r="AL235" s="31">
        <f t="shared" si="19"/>
        <v>24</v>
      </c>
    </row>
    <row r="236" spans="16:38">
      <c r="P236" s="53">
        <v>233</v>
      </c>
      <c r="Q236" s="54">
        <v>0</v>
      </c>
      <c r="R236" s="54">
        <v>18</v>
      </c>
      <c r="W236" s="31">
        <v>233</v>
      </c>
      <c r="X236" s="56">
        <v>0.59</v>
      </c>
      <c r="Y236" s="31">
        <v>18</v>
      </c>
      <c r="AB236" s="58">
        <f t="shared" si="16"/>
        <v>0.59</v>
      </c>
      <c r="AC236" s="54">
        <f t="shared" si="17"/>
        <v>18</v>
      </c>
      <c r="AF236" s="51">
        <v>233</v>
      </c>
      <c r="AG236" s="6">
        <v>14.000000000000002</v>
      </c>
      <c r="AH236" s="6">
        <v>18</v>
      </c>
      <c r="AK236" s="31">
        <f t="shared" si="20"/>
        <v>14.000000000000002</v>
      </c>
      <c r="AL236" s="31">
        <f t="shared" si="19"/>
        <v>18</v>
      </c>
    </row>
    <row r="237" spans="16:38">
      <c r="P237" s="53">
        <v>234</v>
      </c>
      <c r="Q237" s="54">
        <v>2</v>
      </c>
      <c r="R237" s="54">
        <v>10</v>
      </c>
      <c r="W237" s="31">
        <v>234</v>
      </c>
      <c r="X237" s="56">
        <v>0.59</v>
      </c>
      <c r="Y237" s="31">
        <v>12</v>
      </c>
      <c r="AB237" s="58">
        <f t="shared" si="16"/>
        <v>0.59</v>
      </c>
      <c r="AC237" s="54">
        <f t="shared" si="17"/>
        <v>12</v>
      </c>
      <c r="AF237" s="51">
        <v>234</v>
      </c>
      <c r="AG237" s="6">
        <v>14.000000000000002</v>
      </c>
      <c r="AH237" s="6">
        <v>12</v>
      </c>
      <c r="AK237" s="31">
        <f t="shared" si="20"/>
        <v>14.000000000000002</v>
      </c>
      <c r="AL237" s="31">
        <f t="shared" si="19"/>
        <v>12</v>
      </c>
    </row>
    <row r="238" spans="16:38">
      <c r="P238" s="53">
        <v>235</v>
      </c>
      <c r="Q238" s="54">
        <v>0</v>
      </c>
      <c r="R238" s="54">
        <v>3</v>
      </c>
      <c r="W238" s="31">
        <v>235</v>
      </c>
      <c r="X238" s="56">
        <v>0.59</v>
      </c>
      <c r="Y238" s="31">
        <v>3</v>
      </c>
      <c r="AB238" s="58">
        <f t="shared" si="16"/>
        <v>0.59</v>
      </c>
      <c r="AC238" s="54">
        <f t="shared" si="17"/>
        <v>3</v>
      </c>
      <c r="AF238" s="51">
        <v>235</v>
      </c>
      <c r="AG238" s="6">
        <v>14.000000000000002</v>
      </c>
      <c r="AH238" s="6">
        <v>3</v>
      </c>
      <c r="AK238" s="31">
        <f t="shared" si="20"/>
        <v>14.000000000000002</v>
      </c>
      <c r="AL238" s="31">
        <f t="shared" si="19"/>
        <v>3</v>
      </c>
    </row>
    <row r="239" spans="16:38">
      <c r="P239" s="53">
        <v>236</v>
      </c>
      <c r="Q239" s="54">
        <v>0</v>
      </c>
      <c r="R239" s="54">
        <v>3</v>
      </c>
      <c r="W239" s="31">
        <v>236</v>
      </c>
      <c r="X239" s="56">
        <v>0.55000000000000004</v>
      </c>
      <c r="Y239" s="31">
        <v>3</v>
      </c>
      <c r="AB239" s="58">
        <f t="shared" si="16"/>
        <v>0.55000000000000004</v>
      </c>
      <c r="AC239" s="54">
        <f t="shared" si="17"/>
        <v>3</v>
      </c>
      <c r="AF239" s="51">
        <v>236</v>
      </c>
      <c r="AG239" s="6">
        <v>16</v>
      </c>
      <c r="AH239" s="6">
        <v>3</v>
      </c>
      <c r="AK239" s="31">
        <f t="shared" si="20"/>
        <v>16</v>
      </c>
      <c r="AL239" s="31">
        <f t="shared" si="19"/>
        <v>3</v>
      </c>
    </row>
    <row r="240" spans="16:38">
      <c r="P240" s="53">
        <v>237</v>
      </c>
      <c r="Q240" s="54">
        <v>0</v>
      </c>
      <c r="R240" s="54">
        <v>6</v>
      </c>
      <c r="W240" s="31">
        <v>237</v>
      </c>
      <c r="X240" s="56">
        <v>0.55000000000000004</v>
      </c>
      <c r="Y240" s="31">
        <v>6</v>
      </c>
      <c r="AB240" s="58">
        <f t="shared" si="16"/>
        <v>0.55000000000000004</v>
      </c>
      <c r="AC240" s="54">
        <f t="shared" si="17"/>
        <v>6</v>
      </c>
      <c r="AF240" s="51">
        <v>237</v>
      </c>
      <c r="AG240" s="6">
        <v>16</v>
      </c>
      <c r="AH240" s="6">
        <v>6</v>
      </c>
      <c r="AK240" s="31">
        <f t="shared" si="20"/>
        <v>16</v>
      </c>
      <c r="AL240" s="31">
        <f t="shared" si="19"/>
        <v>6</v>
      </c>
    </row>
    <row r="241" spans="16:38">
      <c r="P241" s="53">
        <v>238</v>
      </c>
      <c r="Q241" s="54">
        <v>0</v>
      </c>
      <c r="R241" s="54">
        <v>27</v>
      </c>
      <c r="W241" s="31">
        <v>238</v>
      </c>
      <c r="X241" s="56">
        <v>0.55000000000000004</v>
      </c>
      <c r="Y241" s="31">
        <v>27</v>
      </c>
      <c r="AB241" s="58">
        <f t="shared" si="16"/>
        <v>0.55000000000000004</v>
      </c>
      <c r="AC241" s="54">
        <f t="shared" si="17"/>
        <v>27</v>
      </c>
      <c r="AF241" s="51">
        <v>238</v>
      </c>
      <c r="AG241" s="6">
        <v>16</v>
      </c>
      <c r="AH241" s="6">
        <v>27</v>
      </c>
      <c r="AK241" s="31">
        <f t="shared" si="20"/>
        <v>16</v>
      </c>
      <c r="AL241" s="31">
        <f t="shared" si="19"/>
        <v>27</v>
      </c>
    </row>
    <row r="242" spans="16:38">
      <c r="P242" s="53">
        <v>239</v>
      </c>
      <c r="Q242" s="54">
        <v>2</v>
      </c>
      <c r="R242" s="54">
        <v>97</v>
      </c>
      <c r="W242" s="31">
        <v>239</v>
      </c>
      <c r="X242" s="56">
        <v>0.55000000000000004</v>
      </c>
      <c r="Y242" s="31">
        <v>99</v>
      </c>
      <c r="AB242" s="58">
        <f t="shared" si="16"/>
        <v>0.55000000000000004</v>
      </c>
      <c r="AC242" s="54">
        <f t="shared" si="17"/>
        <v>99</v>
      </c>
      <c r="AF242" s="51">
        <v>239</v>
      </c>
      <c r="AG242" s="6">
        <v>16</v>
      </c>
      <c r="AH242" s="6">
        <v>99</v>
      </c>
      <c r="AK242" s="31">
        <f t="shared" si="20"/>
        <v>16</v>
      </c>
      <c r="AL242" s="31">
        <f t="shared" si="19"/>
        <v>99</v>
      </c>
    </row>
    <row r="243" spans="16:38">
      <c r="P243" s="53">
        <v>240</v>
      </c>
      <c r="Q243" s="54">
        <v>3</v>
      </c>
      <c r="R243" s="54">
        <v>214</v>
      </c>
      <c r="W243" s="31">
        <v>240</v>
      </c>
      <c r="X243" s="56">
        <v>0.51</v>
      </c>
      <c r="Y243" s="31">
        <v>217</v>
      </c>
      <c r="AB243" s="58">
        <f t="shared" si="16"/>
        <v>0.51</v>
      </c>
      <c r="AC243" s="54">
        <f t="shared" si="17"/>
        <v>217</v>
      </c>
      <c r="AF243" s="51">
        <v>240</v>
      </c>
      <c r="AG243" s="6">
        <v>18</v>
      </c>
      <c r="AH243" s="6">
        <v>217</v>
      </c>
      <c r="AK243" s="31">
        <f t="shared" si="20"/>
        <v>18</v>
      </c>
      <c r="AL243" s="31">
        <f t="shared" si="19"/>
        <v>217</v>
      </c>
    </row>
    <row r="244" spans="16:38">
      <c r="P244" s="53">
        <v>241</v>
      </c>
      <c r="Q244" s="54">
        <v>3</v>
      </c>
      <c r="R244" s="54">
        <v>127</v>
      </c>
      <c r="W244" s="31">
        <v>241</v>
      </c>
      <c r="X244" s="56">
        <v>0.51</v>
      </c>
      <c r="Y244" s="31">
        <v>130</v>
      </c>
      <c r="AB244" s="58">
        <f t="shared" si="16"/>
        <v>0.51</v>
      </c>
      <c r="AC244" s="54">
        <f t="shared" si="17"/>
        <v>130</v>
      </c>
      <c r="AF244" s="51">
        <v>241</v>
      </c>
      <c r="AG244" s="6">
        <v>18</v>
      </c>
      <c r="AH244" s="6">
        <v>130</v>
      </c>
      <c r="AK244" s="31">
        <f t="shared" si="20"/>
        <v>18</v>
      </c>
      <c r="AL244" s="31">
        <f t="shared" si="19"/>
        <v>130</v>
      </c>
    </row>
    <row r="245" spans="16:38">
      <c r="P245" s="53">
        <v>242</v>
      </c>
      <c r="Q245" s="54">
        <v>3</v>
      </c>
      <c r="R245" s="54">
        <v>51</v>
      </c>
      <c r="W245" s="31">
        <v>242</v>
      </c>
      <c r="X245" s="56">
        <v>0.51</v>
      </c>
      <c r="Y245" s="31">
        <v>54</v>
      </c>
      <c r="AB245" s="58">
        <f t="shared" si="16"/>
        <v>0.51</v>
      </c>
      <c r="AC245" s="54">
        <f t="shared" si="17"/>
        <v>54</v>
      </c>
      <c r="AF245" s="51">
        <v>242</v>
      </c>
      <c r="AG245" s="6">
        <v>20</v>
      </c>
      <c r="AH245" s="6">
        <v>54</v>
      </c>
      <c r="AK245" s="31">
        <f t="shared" si="20"/>
        <v>20</v>
      </c>
      <c r="AL245" s="31">
        <f t="shared" si="19"/>
        <v>54</v>
      </c>
    </row>
    <row r="246" spans="16:38">
      <c r="P246" s="53">
        <v>243</v>
      </c>
      <c r="Q246" s="54">
        <v>4</v>
      </c>
      <c r="R246" s="54">
        <v>31</v>
      </c>
      <c r="W246" s="31">
        <v>243</v>
      </c>
      <c r="X246" s="56">
        <v>0.47</v>
      </c>
      <c r="Y246" s="31">
        <v>35</v>
      </c>
      <c r="AB246" s="58">
        <f t="shared" si="16"/>
        <v>0.47</v>
      </c>
      <c r="AC246" s="54">
        <f t="shared" si="17"/>
        <v>35</v>
      </c>
      <c r="AF246" s="51">
        <v>243</v>
      </c>
      <c r="AG246" s="6">
        <v>20</v>
      </c>
      <c r="AH246" s="6">
        <v>35</v>
      </c>
      <c r="AK246" s="31">
        <f t="shared" si="20"/>
        <v>20</v>
      </c>
      <c r="AL246" s="31">
        <f t="shared" si="19"/>
        <v>35</v>
      </c>
    </row>
    <row r="247" spans="16:38">
      <c r="P247" s="53">
        <v>244</v>
      </c>
      <c r="Q247" s="54">
        <v>2</v>
      </c>
      <c r="R247" s="54">
        <v>55</v>
      </c>
      <c r="W247" s="31">
        <v>244</v>
      </c>
      <c r="X247" s="56">
        <v>0.51</v>
      </c>
      <c r="Y247" s="31">
        <v>57</v>
      </c>
      <c r="AB247" s="58">
        <f t="shared" si="16"/>
        <v>0.51</v>
      </c>
      <c r="AC247" s="54">
        <f t="shared" si="17"/>
        <v>57</v>
      </c>
      <c r="AF247" s="51">
        <v>244</v>
      </c>
      <c r="AG247" s="6">
        <v>20</v>
      </c>
      <c r="AH247" s="6">
        <v>57</v>
      </c>
      <c r="AK247" s="31">
        <f t="shared" si="20"/>
        <v>20</v>
      </c>
      <c r="AL247" s="31">
        <f t="shared" si="19"/>
        <v>57</v>
      </c>
    </row>
    <row r="248" spans="16:38">
      <c r="P248" s="53">
        <v>245</v>
      </c>
      <c r="Q248" s="54">
        <v>6</v>
      </c>
      <c r="R248" s="54">
        <v>46</v>
      </c>
      <c r="W248" s="31">
        <v>245</v>
      </c>
      <c r="X248" s="56">
        <v>0.59</v>
      </c>
      <c r="Y248" s="31">
        <v>52</v>
      </c>
      <c r="AB248" s="58">
        <f t="shared" si="16"/>
        <v>0.59</v>
      </c>
      <c r="AC248" s="54">
        <f t="shared" si="17"/>
        <v>52</v>
      </c>
      <c r="AF248" s="51">
        <v>245</v>
      </c>
      <c r="AG248" s="6">
        <v>20</v>
      </c>
      <c r="AH248" s="6">
        <v>52</v>
      </c>
      <c r="AK248" s="31">
        <f t="shared" si="20"/>
        <v>20</v>
      </c>
      <c r="AL248" s="31">
        <f t="shared" si="19"/>
        <v>52</v>
      </c>
    </row>
    <row r="249" spans="16:38">
      <c r="P249" s="53">
        <v>246</v>
      </c>
      <c r="Q249" s="54">
        <v>3</v>
      </c>
      <c r="R249" s="54">
        <v>60</v>
      </c>
      <c r="W249" s="31">
        <v>246</v>
      </c>
      <c r="X249" s="56">
        <v>0.59</v>
      </c>
      <c r="Y249" s="31">
        <v>63</v>
      </c>
      <c r="AB249" s="58">
        <f t="shared" si="16"/>
        <v>0.59</v>
      </c>
      <c r="AC249" s="54">
        <f t="shared" si="17"/>
        <v>63</v>
      </c>
      <c r="AF249" s="51">
        <v>246</v>
      </c>
      <c r="AG249" s="6">
        <v>20</v>
      </c>
      <c r="AH249" s="6">
        <v>63</v>
      </c>
      <c r="AK249" s="31">
        <f t="shared" si="20"/>
        <v>20</v>
      </c>
      <c r="AL249" s="31">
        <f t="shared" si="19"/>
        <v>63</v>
      </c>
    </row>
    <row r="250" spans="16:38">
      <c r="P250" s="53">
        <v>247</v>
      </c>
      <c r="Q250" s="54">
        <v>2</v>
      </c>
      <c r="R250" s="54">
        <v>45</v>
      </c>
      <c r="W250" s="31">
        <v>247</v>
      </c>
      <c r="X250" s="56">
        <v>0.8</v>
      </c>
      <c r="Y250" s="31">
        <v>47</v>
      </c>
      <c r="AB250" s="58">
        <f t="shared" si="16"/>
        <v>0.8</v>
      </c>
      <c r="AC250" s="54">
        <f t="shared" si="17"/>
        <v>47</v>
      </c>
      <c r="AF250" s="51">
        <v>247</v>
      </c>
      <c r="AG250" s="6">
        <v>16</v>
      </c>
      <c r="AH250" s="6">
        <v>47</v>
      </c>
      <c r="AK250" s="31">
        <f t="shared" si="20"/>
        <v>16</v>
      </c>
      <c r="AL250" s="31">
        <f t="shared" si="19"/>
        <v>47</v>
      </c>
    </row>
    <row r="251" spans="16:38">
      <c r="P251" s="53">
        <v>248</v>
      </c>
      <c r="Q251" s="54">
        <v>4</v>
      </c>
      <c r="R251" s="54">
        <v>72</v>
      </c>
      <c r="W251" s="31">
        <v>248</v>
      </c>
      <c r="X251" s="56">
        <v>0.86</v>
      </c>
      <c r="Y251" s="31">
        <v>76</v>
      </c>
      <c r="AB251" s="58">
        <f t="shared" si="16"/>
        <v>0.86</v>
      </c>
      <c r="AC251" s="54">
        <f t="shared" si="17"/>
        <v>76</v>
      </c>
      <c r="AF251" s="51">
        <v>248</v>
      </c>
      <c r="AG251" s="6">
        <v>16</v>
      </c>
      <c r="AH251" s="6">
        <v>76</v>
      </c>
      <c r="AK251" s="31">
        <f t="shared" si="20"/>
        <v>16</v>
      </c>
      <c r="AL251" s="31">
        <f t="shared" si="19"/>
        <v>76</v>
      </c>
    </row>
    <row r="252" spans="16:38">
      <c r="P252" s="53">
        <v>249</v>
      </c>
      <c r="Q252" s="54">
        <v>6</v>
      </c>
      <c r="R252" s="54">
        <v>130</v>
      </c>
      <c r="W252" s="31">
        <v>249</v>
      </c>
      <c r="X252" s="56">
        <v>0.86</v>
      </c>
      <c r="Y252" s="31">
        <v>136</v>
      </c>
      <c r="AB252" s="58">
        <f t="shared" si="16"/>
        <v>0.86</v>
      </c>
      <c r="AC252" s="54">
        <f t="shared" si="17"/>
        <v>136</v>
      </c>
      <c r="AF252" s="51">
        <v>249</v>
      </c>
      <c r="AG252" s="6">
        <v>16</v>
      </c>
      <c r="AH252" s="6">
        <v>136</v>
      </c>
      <c r="AK252" s="31">
        <f>AG252</f>
        <v>16</v>
      </c>
      <c r="AL252" s="31">
        <f t="shared" si="19"/>
        <v>136</v>
      </c>
    </row>
    <row r="253" spans="16:38">
      <c r="P253" s="53">
        <v>250</v>
      </c>
      <c r="Q253" s="54">
        <v>1</v>
      </c>
      <c r="R253" s="54">
        <v>94</v>
      </c>
      <c r="W253" s="31">
        <v>250</v>
      </c>
      <c r="X253" s="56">
        <v>0.93</v>
      </c>
      <c r="Y253" s="31">
        <v>95</v>
      </c>
      <c r="AB253" s="58">
        <f t="shared" si="16"/>
        <v>0.93</v>
      </c>
      <c r="AC253" s="54">
        <f t="shared" si="17"/>
        <v>95</v>
      </c>
      <c r="AF253" s="51">
        <v>250</v>
      </c>
      <c r="AG253" s="6">
        <v>16</v>
      </c>
      <c r="AH253" s="6">
        <v>95</v>
      </c>
      <c r="AK253" s="31">
        <f t="shared" ref="AK253:AK275" si="21">AG253</f>
        <v>16</v>
      </c>
      <c r="AL253" s="31">
        <f t="shared" si="19"/>
        <v>95</v>
      </c>
    </row>
    <row r="254" spans="16:38">
      <c r="P254" s="53">
        <v>251</v>
      </c>
      <c r="Q254" s="54">
        <v>0</v>
      </c>
      <c r="R254" s="54">
        <v>51</v>
      </c>
      <c r="W254" s="31">
        <v>251</v>
      </c>
      <c r="X254" s="56">
        <v>0.93</v>
      </c>
      <c r="Y254" s="31">
        <v>51</v>
      </c>
      <c r="AB254" s="58">
        <f t="shared" si="16"/>
        <v>0.93</v>
      </c>
      <c r="AC254" s="54">
        <f t="shared" si="17"/>
        <v>51</v>
      </c>
      <c r="AF254" s="51">
        <v>251</v>
      </c>
      <c r="AG254" s="6">
        <v>16</v>
      </c>
      <c r="AH254" s="6">
        <v>51</v>
      </c>
      <c r="AK254" s="31">
        <f t="shared" si="21"/>
        <v>16</v>
      </c>
      <c r="AL254" s="31">
        <f t="shared" si="19"/>
        <v>51</v>
      </c>
    </row>
    <row r="255" spans="16:38">
      <c r="P255" s="53">
        <v>252</v>
      </c>
      <c r="Q255" s="54">
        <v>0</v>
      </c>
      <c r="R255" s="54">
        <v>32</v>
      </c>
      <c r="W255" s="31">
        <v>252</v>
      </c>
      <c r="X255" s="56">
        <v>0.93</v>
      </c>
      <c r="Y255" s="31">
        <v>32</v>
      </c>
      <c r="AB255" s="58">
        <f t="shared" si="16"/>
        <v>0.93</v>
      </c>
      <c r="AC255" s="54">
        <f t="shared" si="17"/>
        <v>32</v>
      </c>
      <c r="AF255" s="51">
        <v>252</v>
      </c>
      <c r="AG255" s="6">
        <v>16</v>
      </c>
      <c r="AH255" s="6">
        <v>32</v>
      </c>
      <c r="AK255" s="31">
        <f t="shared" si="21"/>
        <v>16</v>
      </c>
      <c r="AL255" s="31">
        <f t="shared" si="19"/>
        <v>32</v>
      </c>
    </row>
    <row r="256" spans="16:38">
      <c r="P256" s="53">
        <v>253</v>
      </c>
      <c r="Q256" s="54">
        <v>0</v>
      </c>
      <c r="R256" s="54">
        <v>20</v>
      </c>
      <c r="W256" s="31">
        <v>253</v>
      </c>
      <c r="X256" s="56">
        <v>0.86</v>
      </c>
      <c r="Y256" s="31">
        <v>20</v>
      </c>
      <c r="AB256" s="58">
        <f t="shared" si="16"/>
        <v>0.86</v>
      </c>
      <c r="AC256" s="54">
        <f t="shared" si="17"/>
        <v>20</v>
      </c>
      <c r="AF256" s="51">
        <v>253</v>
      </c>
      <c r="AG256" s="6">
        <v>16</v>
      </c>
      <c r="AH256" s="6">
        <v>20</v>
      </c>
      <c r="AK256" s="31">
        <f t="shared" si="21"/>
        <v>16</v>
      </c>
      <c r="AL256" s="31">
        <f t="shared" si="19"/>
        <v>20</v>
      </c>
    </row>
    <row r="257" spans="16:38">
      <c r="P257" s="53">
        <v>254</v>
      </c>
      <c r="Q257" s="54">
        <v>1</v>
      </c>
      <c r="R257" s="54">
        <v>28</v>
      </c>
      <c r="W257" s="31">
        <v>254</v>
      </c>
      <c r="X257" s="56">
        <v>0.93</v>
      </c>
      <c r="Y257" s="31">
        <v>29</v>
      </c>
      <c r="AB257" s="58">
        <f t="shared" si="16"/>
        <v>0.93</v>
      </c>
      <c r="AC257" s="54">
        <f t="shared" si="17"/>
        <v>29</v>
      </c>
      <c r="AF257" s="51">
        <v>254</v>
      </c>
      <c r="AG257" s="6">
        <v>16</v>
      </c>
      <c r="AH257" s="6">
        <v>29</v>
      </c>
      <c r="AK257" s="31">
        <f t="shared" si="21"/>
        <v>16</v>
      </c>
      <c r="AL257" s="31">
        <f t="shared" si="19"/>
        <v>29</v>
      </c>
    </row>
    <row r="258" spans="16:38">
      <c r="P258" s="53">
        <v>255</v>
      </c>
      <c r="Q258" s="54">
        <v>1</v>
      </c>
      <c r="R258" s="54">
        <v>18</v>
      </c>
      <c r="W258" s="31">
        <v>255</v>
      </c>
      <c r="X258" s="56">
        <v>0.93</v>
      </c>
      <c r="Y258" s="31">
        <v>19</v>
      </c>
      <c r="AB258" s="58">
        <f t="shared" si="16"/>
        <v>0.93</v>
      </c>
      <c r="AC258" s="54">
        <f t="shared" si="17"/>
        <v>19</v>
      </c>
      <c r="AF258" s="51">
        <v>255</v>
      </c>
      <c r="AG258" s="6">
        <v>16</v>
      </c>
      <c r="AH258" s="6">
        <v>19</v>
      </c>
      <c r="AK258" s="31">
        <f t="shared" si="21"/>
        <v>16</v>
      </c>
      <c r="AL258" s="31">
        <f t="shared" si="19"/>
        <v>19</v>
      </c>
    </row>
    <row r="259" spans="16:38">
      <c r="P259" s="53">
        <v>256</v>
      </c>
      <c r="Q259" s="54">
        <v>0</v>
      </c>
      <c r="R259" s="54">
        <v>7</v>
      </c>
      <c r="W259" s="31">
        <v>256</v>
      </c>
      <c r="X259" s="56">
        <v>0.86</v>
      </c>
      <c r="Y259" s="31">
        <v>7</v>
      </c>
      <c r="AB259" s="58">
        <f t="shared" si="16"/>
        <v>0.86</v>
      </c>
      <c r="AC259" s="54">
        <f t="shared" si="17"/>
        <v>7</v>
      </c>
      <c r="AF259" s="51">
        <v>256</v>
      </c>
      <c r="AG259" s="6">
        <v>16</v>
      </c>
      <c r="AH259" s="6">
        <v>7</v>
      </c>
      <c r="AK259" s="31">
        <f t="shared" si="21"/>
        <v>16</v>
      </c>
      <c r="AL259" s="31">
        <f t="shared" si="19"/>
        <v>7</v>
      </c>
    </row>
    <row r="260" spans="16:38">
      <c r="P260" s="53">
        <v>257</v>
      </c>
      <c r="Q260" s="54">
        <v>0</v>
      </c>
      <c r="R260" s="54">
        <v>6</v>
      </c>
      <c r="W260" s="31">
        <v>257</v>
      </c>
      <c r="X260" s="56">
        <v>0.86</v>
      </c>
      <c r="Y260" s="31">
        <v>6</v>
      </c>
      <c r="AB260" s="58">
        <f t="shared" si="16"/>
        <v>0.86</v>
      </c>
      <c r="AC260" s="54">
        <f t="shared" si="17"/>
        <v>6</v>
      </c>
      <c r="AF260" s="51">
        <v>257</v>
      </c>
      <c r="AG260" s="6">
        <v>16</v>
      </c>
      <c r="AH260" s="6">
        <v>6</v>
      </c>
      <c r="AK260" s="31">
        <f t="shared" si="21"/>
        <v>16</v>
      </c>
      <c r="AL260" s="31">
        <f t="shared" si="19"/>
        <v>6</v>
      </c>
    </row>
    <row r="261" spans="16:38">
      <c r="P261" s="53">
        <v>258</v>
      </c>
      <c r="Q261" s="54">
        <v>0</v>
      </c>
      <c r="R261" s="54">
        <v>1</v>
      </c>
      <c r="W261" s="31">
        <v>258</v>
      </c>
      <c r="X261" s="56">
        <v>0.86</v>
      </c>
      <c r="Y261" s="31">
        <v>1</v>
      </c>
      <c r="AB261" s="58">
        <f t="shared" ref="AB261:AB324" si="22">X261</f>
        <v>0.86</v>
      </c>
      <c r="AC261" s="54">
        <f t="shared" ref="AC261:AC324" si="23">Y261</f>
        <v>1</v>
      </c>
      <c r="AF261" s="51">
        <v>258</v>
      </c>
      <c r="AG261" s="6">
        <v>14.000000000000002</v>
      </c>
      <c r="AH261" s="6">
        <v>1</v>
      </c>
      <c r="AK261" s="31">
        <f t="shared" si="21"/>
        <v>14.000000000000002</v>
      </c>
      <c r="AL261" s="31">
        <f t="shared" ref="AL261:AL324" si="24">AH261</f>
        <v>1</v>
      </c>
    </row>
    <row r="262" spans="16:38">
      <c r="P262" s="53">
        <v>259</v>
      </c>
      <c r="Q262" s="54">
        <v>0</v>
      </c>
      <c r="R262" s="54">
        <v>5</v>
      </c>
      <c r="W262" s="31">
        <v>259</v>
      </c>
      <c r="X262" s="56">
        <v>0.86</v>
      </c>
      <c r="Y262" s="31">
        <v>5</v>
      </c>
      <c r="AB262" s="58">
        <f t="shared" si="22"/>
        <v>0.86</v>
      </c>
      <c r="AC262" s="54">
        <f t="shared" si="23"/>
        <v>5</v>
      </c>
      <c r="AF262" s="51">
        <v>259</v>
      </c>
      <c r="AG262" s="6">
        <v>14.000000000000002</v>
      </c>
      <c r="AH262" s="6">
        <v>5</v>
      </c>
      <c r="AK262" s="31">
        <f t="shared" si="21"/>
        <v>14.000000000000002</v>
      </c>
      <c r="AL262" s="31">
        <f t="shared" si="24"/>
        <v>5</v>
      </c>
    </row>
    <row r="263" spans="16:38">
      <c r="P263" s="53">
        <v>260</v>
      </c>
      <c r="Q263" s="54">
        <v>0</v>
      </c>
      <c r="R263" s="54">
        <v>16</v>
      </c>
      <c r="W263" s="31">
        <v>260</v>
      </c>
      <c r="X263" s="56">
        <v>0.93</v>
      </c>
      <c r="Y263" s="31">
        <v>16</v>
      </c>
      <c r="AB263" s="58">
        <f t="shared" si="22"/>
        <v>0.93</v>
      </c>
      <c r="AC263" s="54">
        <f t="shared" si="23"/>
        <v>16</v>
      </c>
      <c r="AF263" s="51">
        <v>260</v>
      </c>
      <c r="AG263" s="6">
        <v>12</v>
      </c>
      <c r="AH263" s="6">
        <v>16</v>
      </c>
      <c r="AK263" s="31">
        <f t="shared" si="21"/>
        <v>12</v>
      </c>
      <c r="AL263" s="31">
        <f t="shared" si="24"/>
        <v>16</v>
      </c>
    </row>
    <row r="264" spans="16:38">
      <c r="P264" s="53">
        <v>261</v>
      </c>
      <c r="Q264" s="54">
        <v>0</v>
      </c>
      <c r="R264" s="54">
        <v>54</v>
      </c>
      <c r="W264" s="31">
        <v>261</v>
      </c>
      <c r="X264" s="56">
        <v>0.69</v>
      </c>
      <c r="Y264" s="31">
        <v>54</v>
      </c>
      <c r="AB264" s="58">
        <f t="shared" si="22"/>
        <v>0.69</v>
      </c>
      <c r="AC264" s="54">
        <f t="shared" si="23"/>
        <v>54</v>
      </c>
      <c r="AF264" s="51">
        <v>261</v>
      </c>
      <c r="AG264" s="6">
        <v>14.000000000000002</v>
      </c>
      <c r="AH264" s="6">
        <v>54</v>
      </c>
      <c r="AK264" s="31">
        <f t="shared" si="21"/>
        <v>14.000000000000002</v>
      </c>
      <c r="AL264" s="31">
        <f t="shared" si="24"/>
        <v>54</v>
      </c>
    </row>
    <row r="265" spans="16:38">
      <c r="P265" s="53">
        <v>262</v>
      </c>
      <c r="Q265" s="54">
        <v>3</v>
      </c>
      <c r="R265" s="54">
        <v>125</v>
      </c>
      <c r="W265" s="31">
        <v>262</v>
      </c>
      <c r="X265" s="56">
        <v>0.59</v>
      </c>
      <c r="Y265" s="31">
        <v>128</v>
      </c>
      <c r="AB265" s="58">
        <f t="shared" si="22"/>
        <v>0.59</v>
      </c>
      <c r="AC265" s="54">
        <f t="shared" si="23"/>
        <v>128</v>
      </c>
      <c r="AF265" s="51">
        <v>262</v>
      </c>
      <c r="AG265" s="6">
        <v>16</v>
      </c>
      <c r="AH265" s="6">
        <v>128</v>
      </c>
      <c r="AK265" s="31">
        <f t="shared" si="21"/>
        <v>16</v>
      </c>
      <c r="AL265" s="31">
        <f t="shared" si="24"/>
        <v>128</v>
      </c>
    </row>
    <row r="266" spans="16:38">
      <c r="P266" s="53">
        <v>263</v>
      </c>
      <c r="Q266" s="54">
        <v>3</v>
      </c>
      <c r="R266" s="54">
        <v>78</v>
      </c>
      <c r="W266" s="31">
        <v>263</v>
      </c>
      <c r="X266" s="56">
        <v>0.59</v>
      </c>
      <c r="Y266" s="31">
        <v>81</v>
      </c>
      <c r="AB266" s="58">
        <f t="shared" si="22"/>
        <v>0.59</v>
      </c>
      <c r="AC266" s="54">
        <f t="shared" si="23"/>
        <v>81</v>
      </c>
      <c r="AF266" s="51">
        <v>263</v>
      </c>
      <c r="AG266" s="6">
        <v>16</v>
      </c>
      <c r="AH266" s="6">
        <v>81</v>
      </c>
      <c r="AK266" s="31">
        <f t="shared" si="21"/>
        <v>16</v>
      </c>
      <c r="AL266" s="31">
        <f t="shared" si="24"/>
        <v>81</v>
      </c>
    </row>
    <row r="267" spans="16:38">
      <c r="P267" s="53">
        <v>264</v>
      </c>
      <c r="Q267" s="54">
        <v>0</v>
      </c>
      <c r="R267" s="54">
        <v>39</v>
      </c>
      <c r="W267" s="31">
        <v>264</v>
      </c>
      <c r="X267" s="56">
        <v>0.55000000000000004</v>
      </c>
      <c r="Y267" s="31">
        <v>39</v>
      </c>
      <c r="AB267" s="58">
        <f t="shared" si="22"/>
        <v>0.55000000000000004</v>
      </c>
      <c r="AC267" s="54">
        <f t="shared" si="23"/>
        <v>39</v>
      </c>
      <c r="AF267" s="51">
        <v>264</v>
      </c>
      <c r="AG267" s="6">
        <v>18</v>
      </c>
      <c r="AH267" s="6">
        <v>39</v>
      </c>
      <c r="AK267" s="31">
        <f t="shared" si="21"/>
        <v>18</v>
      </c>
      <c r="AL267" s="31">
        <f t="shared" si="24"/>
        <v>39</v>
      </c>
    </row>
    <row r="268" spans="16:38">
      <c r="P268" s="53">
        <v>265</v>
      </c>
      <c r="Q268" s="54">
        <v>3</v>
      </c>
      <c r="R268" s="54">
        <v>32</v>
      </c>
      <c r="W268" s="31">
        <v>265</v>
      </c>
      <c r="X268" s="56">
        <v>0.51</v>
      </c>
      <c r="Y268" s="31">
        <v>35</v>
      </c>
      <c r="AB268" s="58">
        <f t="shared" si="22"/>
        <v>0.51</v>
      </c>
      <c r="AC268" s="54">
        <f t="shared" si="23"/>
        <v>35</v>
      </c>
      <c r="AF268" s="51">
        <v>265</v>
      </c>
      <c r="AG268" s="6">
        <v>20</v>
      </c>
      <c r="AH268" s="6">
        <v>35</v>
      </c>
      <c r="AK268" s="31">
        <f t="shared" si="21"/>
        <v>20</v>
      </c>
      <c r="AL268" s="31">
        <f t="shared" si="24"/>
        <v>35</v>
      </c>
    </row>
    <row r="269" spans="16:38">
      <c r="P269" s="53">
        <v>266</v>
      </c>
      <c r="Q269" s="54">
        <v>3</v>
      </c>
      <c r="R269" s="54">
        <v>52</v>
      </c>
      <c r="W269" s="31">
        <v>266</v>
      </c>
      <c r="X269" s="56">
        <v>0.47</v>
      </c>
      <c r="Y269" s="31">
        <v>55</v>
      </c>
      <c r="AB269" s="58">
        <f t="shared" si="22"/>
        <v>0.47</v>
      </c>
      <c r="AC269" s="54">
        <f t="shared" si="23"/>
        <v>55</v>
      </c>
      <c r="AF269" s="51">
        <v>266</v>
      </c>
      <c r="AG269" s="6">
        <v>20</v>
      </c>
      <c r="AH269" s="6">
        <v>55</v>
      </c>
      <c r="AK269" s="31">
        <f t="shared" si="21"/>
        <v>20</v>
      </c>
      <c r="AL269" s="31">
        <f t="shared" si="24"/>
        <v>55</v>
      </c>
    </row>
    <row r="270" spans="16:38">
      <c r="P270" s="53">
        <v>267</v>
      </c>
      <c r="Q270" s="54">
        <v>0</v>
      </c>
      <c r="R270" s="54">
        <v>49</v>
      </c>
      <c r="W270" s="31">
        <v>267</v>
      </c>
      <c r="X270" s="56">
        <v>0.44</v>
      </c>
      <c r="Y270" s="31">
        <v>49</v>
      </c>
      <c r="AB270" s="58">
        <f t="shared" si="22"/>
        <v>0.44</v>
      </c>
      <c r="AC270" s="54">
        <f t="shared" si="23"/>
        <v>49</v>
      </c>
      <c r="AF270" s="51">
        <v>267</v>
      </c>
      <c r="AG270" s="6">
        <v>22</v>
      </c>
      <c r="AH270" s="6">
        <v>49</v>
      </c>
      <c r="AK270" s="31">
        <f t="shared" si="21"/>
        <v>22</v>
      </c>
      <c r="AL270" s="31">
        <f t="shared" si="24"/>
        <v>49</v>
      </c>
    </row>
    <row r="271" spans="16:38">
      <c r="P271" s="53">
        <v>268</v>
      </c>
      <c r="Q271" s="54">
        <v>0</v>
      </c>
      <c r="R271" s="54">
        <v>44</v>
      </c>
      <c r="W271" s="31">
        <v>268</v>
      </c>
      <c r="X271" s="56">
        <v>0.47</v>
      </c>
      <c r="Y271" s="31">
        <v>44</v>
      </c>
      <c r="AB271" s="58">
        <f t="shared" si="22"/>
        <v>0.47</v>
      </c>
      <c r="AC271" s="54">
        <f t="shared" si="23"/>
        <v>44</v>
      </c>
      <c r="AF271" s="51">
        <v>268</v>
      </c>
      <c r="AG271" s="6">
        <v>20</v>
      </c>
      <c r="AH271" s="6">
        <v>44</v>
      </c>
      <c r="AK271" s="31">
        <f t="shared" si="21"/>
        <v>20</v>
      </c>
      <c r="AL271" s="31">
        <f t="shared" si="24"/>
        <v>44</v>
      </c>
    </row>
    <row r="272" spans="16:38">
      <c r="P272" s="53">
        <v>269</v>
      </c>
      <c r="Q272" s="54">
        <v>1</v>
      </c>
      <c r="R272" s="54">
        <v>48</v>
      </c>
      <c r="W272" s="31">
        <v>269</v>
      </c>
      <c r="X272" s="56">
        <v>0.47</v>
      </c>
      <c r="Y272" s="31">
        <v>49</v>
      </c>
      <c r="AB272" s="58">
        <f t="shared" si="22"/>
        <v>0.47</v>
      </c>
      <c r="AC272" s="54">
        <f t="shared" si="23"/>
        <v>49</v>
      </c>
      <c r="AF272" s="51">
        <v>269</v>
      </c>
      <c r="AG272" s="6">
        <v>20</v>
      </c>
      <c r="AH272" s="6">
        <v>49</v>
      </c>
      <c r="AK272" s="31">
        <f t="shared" si="21"/>
        <v>20</v>
      </c>
      <c r="AL272" s="31">
        <f t="shared" si="24"/>
        <v>49</v>
      </c>
    </row>
    <row r="273" spans="16:38">
      <c r="P273" s="53">
        <v>270</v>
      </c>
      <c r="Q273" s="54">
        <v>5</v>
      </c>
      <c r="R273" s="54">
        <v>63</v>
      </c>
      <c r="W273" s="31">
        <v>270</v>
      </c>
      <c r="X273" s="56">
        <v>0.44</v>
      </c>
      <c r="Y273" s="31">
        <v>68</v>
      </c>
      <c r="AB273" s="58">
        <f t="shared" si="22"/>
        <v>0.44</v>
      </c>
      <c r="AC273" s="54">
        <f t="shared" si="23"/>
        <v>68</v>
      </c>
      <c r="AF273" s="51">
        <v>270</v>
      </c>
      <c r="AG273" s="6">
        <v>22</v>
      </c>
      <c r="AH273" s="6">
        <v>68</v>
      </c>
      <c r="AK273" s="31">
        <f t="shared" si="21"/>
        <v>22</v>
      </c>
      <c r="AL273" s="31">
        <f t="shared" si="24"/>
        <v>68</v>
      </c>
    </row>
    <row r="274" spans="16:38">
      <c r="P274" s="53">
        <v>271</v>
      </c>
      <c r="Q274" s="54">
        <v>0</v>
      </c>
      <c r="R274" s="54">
        <v>139</v>
      </c>
      <c r="W274" s="31">
        <v>271</v>
      </c>
      <c r="X274" s="56">
        <v>0.47</v>
      </c>
      <c r="Y274" s="31">
        <v>139</v>
      </c>
      <c r="AB274" s="58">
        <f t="shared" si="22"/>
        <v>0.47</v>
      </c>
      <c r="AC274" s="54">
        <f t="shared" si="23"/>
        <v>139</v>
      </c>
      <c r="AF274" s="51">
        <v>271</v>
      </c>
      <c r="AG274" s="6">
        <v>20</v>
      </c>
      <c r="AH274" s="6">
        <v>139</v>
      </c>
      <c r="AK274" s="31">
        <f t="shared" si="21"/>
        <v>20</v>
      </c>
      <c r="AL274" s="31">
        <f t="shared" si="24"/>
        <v>139</v>
      </c>
    </row>
    <row r="275" spans="16:38">
      <c r="P275" s="53">
        <v>272</v>
      </c>
      <c r="Q275" s="54">
        <v>2</v>
      </c>
      <c r="R275" s="54">
        <v>135</v>
      </c>
      <c r="W275" s="31">
        <v>272</v>
      </c>
      <c r="X275" s="56">
        <v>0.47</v>
      </c>
      <c r="Y275" s="31">
        <v>137</v>
      </c>
      <c r="AB275" s="58">
        <f t="shared" si="22"/>
        <v>0.47</v>
      </c>
      <c r="AC275" s="54">
        <f t="shared" si="23"/>
        <v>137</v>
      </c>
      <c r="AF275" s="51">
        <v>272</v>
      </c>
      <c r="AG275" s="6">
        <v>20</v>
      </c>
      <c r="AH275" s="6">
        <v>137</v>
      </c>
      <c r="AK275" s="31">
        <f t="shared" si="21"/>
        <v>20</v>
      </c>
      <c r="AL275" s="31">
        <f t="shared" si="24"/>
        <v>137</v>
      </c>
    </row>
    <row r="276" spans="16:38">
      <c r="P276" s="53">
        <v>273</v>
      </c>
      <c r="Q276" s="54">
        <v>1</v>
      </c>
      <c r="R276" s="54">
        <v>82</v>
      </c>
      <c r="W276" s="31">
        <v>273</v>
      </c>
      <c r="X276" s="56">
        <v>0.47</v>
      </c>
      <c r="Y276" s="31">
        <v>83</v>
      </c>
      <c r="AB276" s="58">
        <f t="shared" si="22"/>
        <v>0.47</v>
      </c>
      <c r="AC276" s="54">
        <f t="shared" si="23"/>
        <v>83</v>
      </c>
      <c r="AF276" s="51">
        <v>273</v>
      </c>
      <c r="AG276" s="6">
        <v>18</v>
      </c>
      <c r="AH276" s="6">
        <v>83</v>
      </c>
      <c r="AK276" s="31">
        <f>AG276</f>
        <v>18</v>
      </c>
      <c r="AL276" s="31">
        <f t="shared" si="24"/>
        <v>83</v>
      </c>
    </row>
    <row r="277" spans="16:38">
      <c r="P277" s="53">
        <v>274</v>
      </c>
      <c r="Q277" s="54">
        <v>2</v>
      </c>
      <c r="R277" s="54">
        <v>54</v>
      </c>
      <c r="W277" s="31">
        <v>274</v>
      </c>
      <c r="X277" s="56">
        <v>0.5</v>
      </c>
      <c r="Y277" s="31">
        <v>56</v>
      </c>
      <c r="AB277" s="58">
        <f t="shared" si="22"/>
        <v>0.5</v>
      </c>
      <c r="AC277" s="54">
        <f t="shared" si="23"/>
        <v>56</v>
      </c>
      <c r="AF277" s="51">
        <v>274</v>
      </c>
      <c r="AG277" s="6">
        <v>16</v>
      </c>
      <c r="AH277" s="6">
        <v>56</v>
      </c>
      <c r="AK277" s="31">
        <f t="shared" ref="AK277:AL340" si="25">AG277</f>
        <v>16</v>
      </c>
      <c r="AL277" s="31">
        <f t="shared" si="24"/>
        <v>56</v>
      </c>
    </row>
    <row r="278" spans="16:38">
      <c r="P278" s="53">
        <v>275</v>
      </c>
      <c r="Q278" s="54">
        <v>0</v>
      </c>
      <c r="R278" s="54">
        <v>57</v>
      </c>
      <c r="W278" s="31">
        <v>275</v>
      </c>
      <c r="X278" s="56">
        <v>0.55000000000000004</v>
      </c>
      <c r="Y278" s="31">
        <v>57</v>
      </c>
      <c r="AB278" s="58">
        <f t="shared" si="22"/>
        <v>0.55000000000000004</v>
      </c>
      <c r="AC278" s="54">
        <f t="shared" si="23"/>
        <v>57</v>
      </c>
      <c r="AF278" s="51">
        <v>275</v>
      </c>
      <c r="AG278" s="6">
        <v>16</v>
      </c>
      <c r="AH278" s="6">
        <v>57</v>
      </c>
      <c r="AK278" s="31">
        <f t="shared" si="25"/>
        <v>16</v>
      </c>
      <c r="AL278" s="31">
        <f t="shared" si="24"/>
        <v>57</v>
      </c>
    </row>
    <row r="279" spans="16:38">
      <c r="P279" s="53">
        <v>276</v>
      </c>
      <c r="Q279" s="54">
        <v>1</v>
      </c>
      <c r="R279" s="54">
        <v>32</v>
      </c>
      <c r="W279" s="31">
        <v>276</v>
      </c>
      <c r="X279" s="56">
        <v>0.55000000000000004</v>
      </c>
      <c r="Y279" s="31">
        <v>33</v>
      </c>
      <c r="AB279" s="58">
        <f t="shared" si="22"/>
        <v>0.55000000000000004</v>
      </c>
      <c r="AC279" s="54">
        <f t="shared" si="23"/>
        <v>33</v>
      </c>
      <c r="AF279" s="51">
        <v>276</v>
      </c>
      <c r="AG279" s="6">
        <v>16</v>
      </c>
      <c r="AH279" s="6">
        <v>33</v>
      </c>
      <c r="AK279" s="31">
        <f t="shared" si="25"/>
        <v>16</v>
      </c>
      <c r="AL279" s="31">
        <f t="shared" si="24"/>
        <v>33</v>
      </c>
    </row>
    <row r="280" spans="16:38">
      <c r="P280" s="53">
        <v>277</v>
      </c>
      <c r="Q280" s="54">
        <v>1</v>
      </c>
      <c r="R280" s="54">
        <v>19</v>
      </c>
      <c r="W280" s="31">
        <v>277</v>
      </c>
      <c r="X280" s="56">
        <v>0.59</v>
      </c>
      <c r="Y280" s="31">
        <v>20</v>
      </c>
      <c r="AB280" s="58">
        <f t="shared" si="22"/>
        <v>0.59</v>
      </c>
      <c r="AC280" s="54">
        <f t="shared" si="23"/>
        <v>20</v>
      </c>
      <c r="AF280" s="51">
        <v>277</v>
      </c>
      <c r="AG280" s="6">
        <v>14.000000000000002</v>
      </c>
      <c r="AH280" s="6">
        <v>20</v>
      </c>
      <c r="AK280" s="31">
        <f t="shared" si="25"/>
        <v>14.000000000000002</v>
      </c>
      <c r="AL280" s="31">
        <f t="shared" si="24"/>
        <v>20</v>
      </c>
    </row>
    <row r="281" spans="16:38">
      <c r="P281" s="53">
        <v>278</v>
      </c>
      <c r="Q281" s="54">
        <v>1</v>
      </c>
      <c r="R281" s="54">
        <v>6</v>
      </c>
      <c r="W281" s="31">
        <v>278</v>
      </c>
      <c r="X281" s="56">
        <v>0.59</v>
      </c>
      <c r="Y281" s="31">
        <v>7</v>
      </c>
      <c r="AB281" s="58">
        <f t="shared" si="22"/>
        <v>0.59</v>
      </c>
      <c r="AC281" s="54">
        <f t="shared" si="23"/>
        <v>7</v>
      </c>
      <c r="AF281" s="51">
        <v>278</v>
      </c>
      <c r="AG281" s="6">
        <v>14.000000000000002</v>
      </c>
      <c r="AH281" s="6">
        <v>7</v>
      </c>
      <c r="AK281" s="31">
        <f t="shared" si="25"/>
        <v>14.000000000000002</v>
      </c>
      <c r="AL281" s="31">
        <f t="shared" si="24"/>
        <v>7</v>
      </c>
    </row>
    <row r="282" spans="16:38">
      <c r="P282" s="53">
        <v>279</v>
      </c>
      <c r="Q282" s="54">
        <v>0</v>
      </c>
      <c r="R282" s="54">
        <v>2</v>
      </c>
      <c r="W282" s="31">
        <v>279</v>
      </c>
      <c r="X282" s="56">
        <v>0.5</v>
      </c>
      <c r="Y282" s="31">
        <v>2</v>
      </c>
      <c r="AB282" s="58">
        <f t="shared" si="22"/>
        <v>0.5</v>
      </c>
      <c r="AC282" s="54">
        <f t="shared" si="23"/>
        <v>2</v>
      </c>
      <c r="AF282" s="51">
        <v>279</v>
      </c>
      <c r="AG282" s="6">
        <v>14.000000000000002</v>
      </c>
      <c r="AH282" s="6">
        <v>2</v>
      </c>
      <c r="AK282" s="31">
        <f t="shared" si="25"/>
        <v>14.000000000000002</v>
      </c>
      <c r="AL282" s="31">
        <f t="shared" si="24"/>
        <v>2</v>
      </c>
    </row>
    <row r="283" spans="16:38">
      <c r="P283" s="53">
        <v>280</v>
      </c>
      <c r="Q283" s="54">
        <v>0</v>
      </c>
      <c r="R283" s="54">
        <v>2</v>
      </c>
      <c r="W283" s="31">
        <v>280</v>
      </c>
      <c r="X283" s="56">
        <v>0.5</v>
      </c>
      <c r="Y283" s="31">
        <v>2</v>
      </c>
      <c r="AB283" s="58">
        <f t="shared" si="22"/>
        <v>0.5</v>
      </c>
      <c r="AC283" s="54">
        <f t="shared" si="23"/>
        <v>2</v>
      </c>
      <c r="AF283" s="51">
        <v>280</v>
      </c>
      <c r="AG283" s="6">
        <v>14.000000000000002</v>
      </c>
      <c r="AH283" s="6">
        <v>2</v>
      </c>
      <c r="AK283" s="31">
        <f t="shared" si="25"/>
        <v>14.000000000000002</v>
      </c>
      <c r="AL283" s="31">
        <f t="shared" si="24"/>
        <v>2</v>
      </c>
    </row>
    <row r="284" spans="16:38">
      <c r="P284" s="53">
        <v>281</v>
      </c>
      <c r="Q284" s="54">
        <v>0</v>
      </c>
      <c r="R284" s="54">
        <v>3</v>
      </c>
      <c r="W284" s="31">
        <v>281</v>
      </c>
      <c r="X284" s="56">
        <v>0.5</v>
      </c>
      <c r="Y284" s="31">
        <v>3</v>
      </c>
      <c r="AB284" s="58">
        <f t="shared" si="22"/>
        <v>0.5</v>
      </c>
      <c r="AC284" s="54">
        <f t="shared" si="23"/>
        <v>3</v>
      </c>
      <c r="AF284" s="51">
        <v>281</v>
      </c>
      <c r="AG284" s="6">
        <v>14.000000000000002</v>
      </c>
      <c r="AH284" s="6">
        <v>3</v>
      </c>
      <c r="AK284" s="31">
        <f t="shared" si="25"/>
        <v>14.000000000000002</v>
      </c>
      <c r="AL284" s="31">
        <f t="shared" si="24"/>
        <v>3</v>
      </c>
    </row>
    <row r="285" spans="16:38">
      <c r="P285" s="53">
        <v>282</v>
      </c>
      <c r="Q285" s="54">
        <v>0</v>
      </c>
      <c r="R285" s="54">
        <v>4</v>
      </c>
      <c r="W285" s="31">
        <v>282</v>
      </c>
      <c r="X285" s="56">
        <v>0.5</v>
      </c>
      <c r="Y285" s="31">
        <v>4</v>
      </c>
      <c r="AB285" s="58">
        <f t="shared" si="22"/>
        <v>0.5</v>
      </c>
      <c r="AC285" s="54">
        <f t="shared" si="23"/>
        <v>4</v>
      </c>
      <c r="AF285" s="51">
        <v>282</v>
      </c>
      <c r="AG285" s="6">
        <v>14.000000000000002</v>
      </c>
      <c r="AH285" s="6">
        <v>4</v>
      </c>
      <c r="AK285" s="31">
        <f t="shared" si="25"/>
        <v>14.000000000000002</v>
      </c>
      <c r="AL285" s="31">
        <f t="shared" si="24"/>
        <v>4</v>
      </c>
    </row>
    <row r="286" spans="16:38">
      <c r="P286" s="53">
        <v>283</v>
      </c>
      <c r="Q286" s="54">
        <v>0</v>
      </c>
      <c r="R286" s="54">
        <v>3</v>
      </c>
      <c r="W286" s="31">
        <v>283</v>
      </c>
      <c r="X286" s="56">
        <v>0.5</v>
      </c>
      <c r="Y286" s="31">
        <v>3</v>
      </c>
      <c r="AB286" s="58">
        <f t="shared" si="22"/>
        <v>0.5</v>
      </c>
      <c r="AC286" s="54">
        <f t="shared" si="23"/>
        <v>3</v>
      </c>
      <c r="AF286" s="51">
        <v>283</v>
      </c>
      <c r="AG286" s="6">
        <v>14.000000000000002</v>
      </c>
      <c r="AH286" s="6">
        <v>3</v>
      </c>
      <c r="AK286" s="31">
        <f t="shared" si="25"/>
        <v>14.000000000000002</v>
      </c>
      <c r="AL286" s="31">
        <f t="shared" si="24"/>
        <v>3</v>
      </c>
    </row>
    <row r="287" spans="16:38">
      <c r="P287" s="53">
        <v>284</v>
      </c>
      <c r="Q287" s="54">
        <v>0</v>
      </c>
      <c r="R287" s="54">
        <v>28</v>
      </c>
      <c r="W287" s="31">
        <v>284</v>
      </c>
      <c r="X287" s="56">
        <v>0.54</v>
      </c>
      <c r="Y287" s="31">
        <v>28</v>
      </c>
      <c r="AB287" s="58">
        <f t="shared" si="22"/>
        <v>0.54</v>
      </c>
      <c r="AC287" s="54">
        <f t="shared" si="23"/>
        <v>28</v>
      </c>
      <c r="AF287" s="51">
        <v>284</v>
      </c>
      <c r="AG287" s="6">
        <v>12</v>
      </c>
      <c r="AH287" s="6">
        <v>28</v>
      </c>
      <c r="AK287" s="31">
        <f t="shared" si="25"/>
        <v>12</v>
      </c>
      <c r="AL287" s="31">
        <f t="shared" si="24"/>
        <v>28</v>
      </c>
    </row>
    <row r="288" spans="16:38">
      <c r="P288" s="53">
        <v>285</v>
      </c>
      <c r="Q288" s="54">
        <v>0</v>
      </c>
      <c r="R288" s="54">
        <v>72</v>
      </c>
      <c r="W288" s="31">
        <v>285</v>
      </c>
      <c r="X288" s="56">
        <v>0.54</v>
      </c>
      <c r="Y288" s="31">
        <v>72</v>
      </c>
      <c r="AB288" s="58">
        <f t="shared" si="22"/>
        <v>0.54</v>
      </c>
      <c r="AC288" s="54">
        <f t="shared" si="23"/>
        <v>72</v>
      </c>
      <c r="AF288" s="51">
        <v>285</v>
      </c>
      <c r="AG288" s="6">
        <v>12</v>
      </c>
      <c r="AH288" s="6">
        <v>72</v>
      </c>
      <c r="AK288" s="31">
        <f t="shared" si="25"/>
        <v>12</v>
      </c>
      <c r="AL288" s="31">
        <f t="shared" si="24"/>
        <v>72</v>
      </c>
    </row>
    <row r="289" spans="16:38">
      <c r="P289" s="53">
        <v>286</v>
      </c>
      <c r="Q289" s="54">
        <v>5</v>
      </c>
      <c r="R289" s="54">
        <v>197</v>
      </c>
      <c r="W289" s="31">
        <v>286</v>
      </c>
      <c r="X289" s="56">
        <v>0.5</v>
      </c>
      <c r="Y289" s="31">
        <v>202</v>
      </c>
      <c r="AB289" s="58">
        <f t="shared" si="22"/>
        <v>0.5</v>
      </c>
      <c r="AC289" s="54">
        <f t="shared" si="23"/>
        <v>202</v>
      </c>
      <c r="AF289" s="51">
        <v>286</v>
      </c>
      <c r="AG289" s="6">
        <v>14.000000000000002</v>
      </c>
      <c r="AH289" s="6">
        <v>202</v>
      </c>
      <c r="AK289" s="31">
        <f t="shared" si="25"/>
        <v>14.000000000000002</v>
      </c>
      <c r="AL289" s="31">
        <f t="shared" si="24"/>
        <v>202</v>
      </c>
    </row>
    <row r="290" spans="16:38">
      <c r="P290" s="53">
        <v>287</v>
      </c>
      <c r="Q290" s="54">
        <v>2</v>
      </c>
      <c r="R290" s="54">
        <v>137</v>
      </c>
      <c r="W290" s="31">
        <v>287</v>
      </c>
      <c r="X290" s="56">
        <v>0.5</v>
      </c>
      <c r="Y290" s="31">
        <v>139</v>
      </c>
      <c r="AB290" s="58">
        <f t="shared" si="22"/>
        <v>0.5</v>
      </c>
      <c r="AC290" s="54">
        <f t="shared" si="23"/>
        <v>139</v>
      </c>
      <c r="AF290" s="51">
        <v>287</v>
      </c>
      <c r="AG290" s="6">
        <v>14.000000000000002</v>
      </c>
      <c r="AH290" s="6">
        <v>139</v>
      </c>
      <c r="AK290" s="31">
        <f t="shared" si="25"/>
        <v>14.000000000000002</v>
      </c>
      <c r="AL290" s="31">
        <f t="shared" si="24"/>
        <v>139</v>
      </c>
    </row>
    <row r="291" spans="16:38">
      <c r="P291" s="53">
        <v>288</v>
      </c>
      <c r="Q291" s="54">
        <v>2</v>
      </c>
      <c r="R291" s="54">
        <v>36</v>
      </c>
      <c r="W291" s="31">
        <v>288</v>
      </c>
      <c r="X291" s="56">
        <v>0.5</v>
      </c>
      <c r="Y291" s="31">
        <v>38</v>
      </c>
      <c r="AB291" s="58">
        <f t="shared" si="22"/>
        <v>0.5</v>
      </c>
      <c r="AC291" s="54">
        <f t="shared" si="23"/>
        <v>38</v>
      </c>
      <c r="AF291" s="51">
        <v>288</v>
      </c>
      <c r="AG291" s="6">
        <v>16</v>
      </c>
      <c r="AH291" s="6">
        <v>38</v>
      </c>
      <c r="AK291" s="31">
        <f t="shared" si="25"/>
        <v>16</v>
      </c>
      <c r="AL291" s="31">
        <f t="shared" si="24"/>
        <v>38</v>
      </c>
    </row>
    <row r="292" spans="16:38">
      <c r="P292" s="53">
        <v>289</v>
      </c>
      <c r="Q292" s="54">
        <v>4</v>
      </c>
      <c r="R292" s="54">
        <v>33</v>
      </c>
      <c r="W292" s="31">
        <v>289</v>
      </c>
      <c r="X292" s="56">
        <v>0.44</v>
      </c>
      <c r="Y292" s="31">
        <v>37</v>
      </c>
      <c r="AB292" s="58">
        <f t="shared" si="22"/>
        <v>0.44</v>
      </c>
      <c r="AC292" s="54">
        <f t="shared" si="23"/>
        <v>37</v>
      </c>
      <c r="AF292" s="51">
        <v>289</v>
      </c>
      <c r="AG292" s="6">
        <v>20</v>
      </c>
      <c r="AH292" s="6">
        <v>37</v>
      </c>
      <c r="AK292" s="31">
        <f t="shared" si="25"/>
        <v>20</v>
      </c>
      <c r="AL292" s="31">
        <f t="shared" si="24"/>
        <v>37</v>
      </c>
    </row>
    <row r="293" spans="16:38">
      <c r="P293" s="53">
        <v>290</v>
      </c>
      <c r="Q293" s="54">
        <v>3</v>
      </c>
      <c r="R293" s="54">
        <v>49</v>
      </c>
      <c r="W293" s="31">
        <v>290</v>
      </c>
      <c r="X293" s="56">
        <v>0.44</v>
      </c>
      <c r="Y293" s="31">
        <v>52</v>
      </c>
      <c r="AB293" s="58">
        <f t="shared" si="22"/>
        <v>0.44</v>
      </c>
      <c r="AC293" s="54">
        <f t="shared" si="23"/>
        <v>52</v>
      </c>
      <c r="AF293" s="51">
        <v>290</v>
      </c>
      <c r="AG293" s="6">
        <v>20</v>
      </c>
      <c r="AH293" s="6">
        <v>52</v>
      </c>
      <c r="AK293" s="31">
        <f t="shared" si="25"/>
        <v>20</v>
      </c>
      <c r="AL293" s="31">
        <f t="shared" si="24"/>
        <v>52</v>
      </c>
    </row>
    <row r="294" spans="16:38">
      <c r="P294" s="53">
        <v>291</v>
      </c>
      <c r="Q294" s="54">
        <v>2</v>
      </c>
      <c r="R294" s="54">
        <v>81</v>
      </c>
      <c r="W294" s="31">
        <v>291</v>
      </c>
      <c r="X294" s="56">
        <v>0.41</v>
      </c>
      <c r="Y294" s="31">
        <v>83</v>
      </c>
      <c r="AB294" s="58">
        <f t="shared" si="22"/>
        <v>0.41</v>
      </c>
      <c r="AC294" s="54">
        <f t="shared" si="23"/>
        <v>83</v>
      </c>
      <c r="AF294" s="51">
        <v>291</v>
      </c>
      <c r="AG294" s="6">
        <v>22</v>
      </c>
      <c r="AH294" s="6">
        <v>83</v>
      </c>
      <c r="AK294" s="31">
        <f t="shared" si="25"/>
        <v>22</v>
      </c>
      <c r="AL294" s="31">
        <f t="shared" si="24"/>
        <v>83</v>
      </c>
    </row>
    <row r="295" spans="16:38">
      <c r="P295" s="53">
        <v>292</v>
      </c>
      <c r="Q295" s="54">
        <v>3</v>
      </c>
      <c r="R295" s="54">
        <v>39</v>
      </c>
      <c r="W295" s="31">
        <v>292</v>
      </c>
      <c r="X295" s="56">
        <v>0.41</v>
      </c>
      <c r="Y295" s="31">
        <v>42</v>
      </c>
      <c r="AB295" s="58">
        <f t="shared" si="22"/>
        <v>0.41</v>
      </c>
      <c r="AC295" s="54">
        <f t="shared" si="23"/>
        <v>42</v>
      </c>
      <c r="AF295" s="51">
        <v>292</v>
      </c>
      <c r="AG295" s="6">
        <v>22</v>
      </c>
      <c r="AH295" s="6">
        <v>42</v>
      </c>
      <c r="AK295" s="31">
        <f t="shared" si="25"/>
        <v>22</v>
      </c>
      <c r="AL295" s="31">
        <f t="shared" si="24"/>
        <v>42</v>
      </c>
    </row>
    <row r="296" spans="16:38">
      <c r="P296" s="53">
        <v>293</v>
      </c>
      <c r="Q296" s="54">
        <v>5</v>
      </c>
      <c r="R296" s="54">
        <v>55</v>
      </c>
      <c r="W296" s="31">
        <v>293</v>
      </c>
      <c r="X296" s="56">
        <v>0.38</v>
      </c>
      <c r="Y296" s="31">
        <v>60</v>
      </c>
      <c r="AB296" s="58">
        <f t="shared" si="22"/>
        <v>0.38</v>
      </c>
      <c r="AC296" s="54">
        <f t="shared" si="23"/>
        <v>60</v>
      </c>
      <c r="AF296" s="51">
        <v>293</v>
      </c>
      <c r="AG296" s="6">
        <v>24</v>
      </c>
      <c r="AH296" s="6">
        <v>60</v>
      </c>
      <c r="AK296" s="31">
        <f t="shared" si="25"/>
        <v>24</v>
      </c>
      <c r="AL296" s="31">
        <f t="shared" si="24"/>
        <v>60</v>
      </c>
    </row>
    <row r="297" spans="16:38">
      <c r="P297" s="53">
        <v>294</v>
      </c>
      <c r="Q297" s="54">
        <v>2</v>
      </c>
      <c r="R297" s="54">
        <v>76</v>
      </c>
      <c r="W297" s="31">
        <v>294</v>
      </c>
      <c r="X297" s="56">
        <v>0.38</v>
      </c>
      <c r="Y297" s="31">
        <v>78</v>
      </c>
      <c r="AB297" s="58">
        <f t="shared" si="22"/>
        <v>0.38</v>
      </c>
      <c r="AC297" s="54">
        <f t="shared" si="23"/>
        <v>78</v>
      </c>
      <c r="AF297" s="51">
        <v>294</v>
      </c>
      <c r="AG297" s="6">
        <v>24</v>
      </c>
      <c r="AH297" s="6">
        <v>78</v>
      </c>
      <c r="AK297" s="31">
        <f t="shared" si="25"/>
        <v>24</v>
      </c>
      <c r="AL297" s="31">
        <f t="shared" si="24"/>
        <v>78</v>
      </c>
    </row>
    <row r="298" spans="16:38">
      <c r="P298" s="53">
        <v>295</v>
      </c>
      <c r="Q298" s="54">
        <v>4</v>
      </c>
      <c r="R298" s="54">
        <v>158</v>
      </c>
      <c r="W298" s="31">
        <v>295</v>
      </c>
      <c r="X298" s="56">
        <v>0.4</v>
      </c>
      <c r="Y298" s="31">
        <v>162</v>
      </c>
      <c r="AB298" s="58">
        <f t="shared" si="22"/>
        <v>0.4</v>
      </c>
      <c r="AC298" s="54">
        <f t="shared" si="23"/>
        <v>162</v>
      </c>
      <c r="AF298" s="51">
        <v>295</v>
      </c>
      <c r="AG298" s="6">
        <v>20</v>
      </c>
      <c r="AH298" s="6">
        <v>162</v>
      </c>
      <c r="AK298" s="31">
        <f t="shared" si="25"/>
        <v>20</v>
      </c>
      <c r="AL298" s="31">
        <f t="shared" si="24"/>
        <v>162</v>
      </c>
    </row>
    <row r="299" spans="16:38">
      <c r="P299" s="53">
        <v>296</v>
      </c>
      <c r="Q299" s="54">
        <v>3</v>
      </c>
      <c r="R299" s="54">
        <v>141</v>
      </c>
      <c r="W299" s="31">
        <v>296</v>
      </c>
      <c r="X299" s="56">
        <v>0.4</v>
      </c>
      <c r="Y299" s="31">
        <v>144</v>
      </c>
      <c r="AB299" s="58">
        <f t="shared" si="22"/>
        <v>0.4</v>
      </c>
      <c r="AC299" s="54">
        <f t="shared" si="23"/>
        <v>144</v>
      </c>
      <c r="AF299" s="51">
        <v>296</v>
      </c>
      <c r="AG299" s="6">
        <v>20</v>
      </c>
      <c r="AH299" s="6">
        <v>144</v>
      </c>
      <c r="AK299" s="31">
        <f t="shared" si="25"/>
        <v>20</v>
      </c>
      <c r="AL299" s="31">
        <f t="shared" si="24"/>
        <v>144</v>
      </c>
    </row>
    <row r="300" spans="16:38">
      <c r="P300" s="53">
        <v>297</v>
      </c>
      <c r="Q300" s="54">
        <v>1</v>
      </c>
      <c r="R300" s="54">
        <v>98</v>
      </c>
      <c r="W300" s="31">
        <v>297</v>
      </c>
      <c r="X300" s="56">
        <v>0.47</v>
      </c>
      <c r="Y300" s="31">
        <v>99</v>
      </c>
      <c r="AB300" s="58">
        <f t="shared" si="22"/>
        <v>0.47</v>
      </c>
      <c r="AC300" s="54">
        <f t="shared" si="23"/>
        <v>99</v>
      </c>
      <c r="AF300" s="51">
        <v>297</v>
      </c>
      <c r="AG300" s="6">
        <v>16</v>
      </c>
      <c r="AH300" s="6">
        <v>99</v>
      </c>
      <c r="AK300" s="31">
        <f t="shared" si="25"/>
        <v>16</v>
      </c>
      <c r="AL300" s="31">
        <f t="shared" si="24"/>
        <v>99</v>
      </c>
    </row>
    <row r="301" spans="16:38">
      <c r="P301" s="53">
        <v>298</v>
      </c>
      <c r="Q301" s="54">
        <v>0</v>
      </c>
      <c r="R301" s="54">
        <v>64</v>
      </c>
      <c r="W301" s="31">
        <v>298</v>
      </c>
      <c r="X301" s="56">
        <v>0.47</v>
      </c>
      <c r="Y301" s="31">
        <v>64</v>
      </c>
      <c r="AB301" s="58">
        <f t="shared" si="22"/>
        <v>0.47</v>
      </c>
      <c r="AC301" s="54">
        <f t="shared" si="23"/>
        <v>64</v>
      </c>
      <c r="AF301" s="51">
        <v>298</v>
      </c>
      <c r="AG301" s="6">
        <v>16</v>
      </c>
      <c r="AH301" s="6">
        <v>64</v>
      </c>
      <c r="AK301" s="31">
        <f t="shared" si="25"/>
        <v>16</v>
      </c>
      <c r="AL301" s="31">
        <f t="shared" si="24"/>
        <v>64</v>
      </c>
    </row>
    <row r="302" spans="16:38">
      <c r="P302" s="53">
        <v>299</v>
      </c>
      <c r="Q302" s="54">
        <v>0</v>
      </c>
      <c r="R302" s="54">
        <v>40</v>
      </c>
      <c r="W302" s="31">
        <v>299</v>
      </c>
      <c r="X302" s="56">
        <v>0.46</v>
      </c>
      <c r="Y302" s="31">
        <v>40</v>
      </c>
      <c r="AB302" s="58">
        <f t="shared" si="22"/>
        <v>0.46</v>
      </c>
      <c r="AC302" s="54">
        <f t="shared" si="23"/>
        <v>40</v>
      </c>
      <c r="AF302" s="51">
        <v>299</v>
      </c>
      <c r="AG302" s="6">
        <v>14.000000000000002</v>
      </c>
      <c r="AH302" s="6">
        <v>40</v>
      </c>
      <c r="AK302" s="31">
        <f t="shared" si="25"/>
        <v>14.000000000000002</v>
      </c>
      <c r="AL302" s="31">
        <f t="shared" si="24"/>
        <v>40</v>
      </c>
    </row>
    <row r="303" spans="16:38">
      <c r="P303" s="53">
        <v>300</v>
      </c>
      <c r="Q303" s="54">
        <v>0</v>
      </c>
      <c r="R303" s="54">
        <v>30</v>
      </c>
      <c r="W303" s="31">
        <v>300</v>
      </c>
      <c r="X303" s="56">
        <v>0.46</v>
      </c>
      <c r="Y303" s="31">
        <v>30</v>
      </c>
      <c r="AB303" s="58">
        <f t="shared" si="22"/>
        <v>0.46</v>
      </c>
      <c r="AC303" s="54">
        <f t="shared" si="23"/>
        <v>30</v>
      </c>
      <c r="AF303" s="51">
        <v>300</v>
      </c>
      <c r="AG303" s="6">
        <v>14.000000000000002</v>
      </c>
      <c r="AH303" s="6">
        <v>30</v>
      </c>
      <c r="AK303" s="31">
        <f t="shared" si="25"/>
        <v>14.000000000000002</v>
      </c>
      <c r="AL303" s="31">
        <f t="shared" si="24"/>
        <v>30</v>
      </c>
    </row>
    <row r="304" spans="16:38">
      <c r="P304" s="53">
        <v>301</v>
      </c>
      <c r="Q304" s="54">
        <v>1</v>
      </c>
      <c r="R304" s="54">
        <v>14</v>
      </c>
      <c r="W304" s="31">
        <v>301</v>
      </c>
      <c r="X304" s="56">
        <v>0.5</v>
      </c>
      <c r="Y304" s="31">
        <v>15</v>
      </c>
      <c r="AB304" s="58">
        <f t="shared" si="22"/>
        <v>0.5</v>
      </c>
      <c r="AC304" s="54">
        <f t="shared" si="23"/>
        <v>15</v>
      </c>
      <c r="AF304" s="51">
        <v>301</v>
      </c>
      <c r="AG304" s="6">
        <v>12</v>
      </c>
      <c r="AH304" s="6">
        <v>15</v>
      </c>
      <c r="AK304" s="31">
        <f t="shared" si="25"/>
        <v>12</v>
      </c>
      <c r="AL304" s="31">
        <f t="shared" si="24"/>
        <v>15</v>
      </c>
    </row>
    <row r="305" spans="16:38">
      <c r="P305" s="53">
        <v>302</v>
      </c>
      <c r="Q305" s="54">
        <v>0</v>
      </c>
      <c r="R305" s="54">
        <v>14</v>
      </c>
      <c r="W305" s="31">
        <v>302</v>
      </c>
      <c r="X305" s="56">
        <v>0.5</v>
      </c>
      <c r="Y305" s="31">
        <v>14</v>
      </c>
      <c r="AB305" s="58">
        <f t="shared" si="22"/>
        <v>0.5</v>
      </c>
      <c r="AC305" s="54">
        <f t="shared" si="23"/>
        <v>14</v>
      </c>
      <c r="AF305" s="51">
        <v>302</v>
      </c>
      <c r="AG305" s="6">
        <v>12</v>
      </c>
      <c r="AH305" s="6">
        <v>14</v>
      </c>
      <c r="AK305" s="31">
        <f t="shared" si="25"/>
        <v>12</v>
      </c>
      <c r="AL305" s="31">
        <f t="shared" si="24"/>
        <v>14</v>
      </c>
    </row>
    <row r="306" spans="16:38">
      <c r="P306" s="53">
        <v>303</v>
      </c>
      <c r="Q306" s="54">
        <v>0</v>
      </c>
      <c r="R306" s="54">
        <v>5</v>
      </c>
      <c r="W306" s="31">
        <v>303</v>
      </c>
      <c r="X306" s="56">
        <v>0.54</v>
      </c>
      <c r="Y306" s="31">
        <v>5</v>
      </c>
      <c r="AB306" s="58">
        <f t="shared" si="22"/>
        <v>0.54</v>
      </c>
      <c r="AC306" s="54">
        <f t="shared" si="23"/>
        <v>5</v>
      </c>
      <c r="AF306" s="51">
        <v>303</v>
      </c>
      <c r="AG306" s="6">
        <v>10</v>
      </c>
      <c r="AH306" s="6">
        <v>5</v>
      </c>
      <c r="AK306" s="31">
        <f t="shared" si="25"/>
        <v>10</v>
      </c>
      <c r="AL306" s="31">
        <f t="shared" si="24"/>
        <v>5</v>
      </c>
    </row>
    <row r="307" spans="16:38">
      <c r="P307" s="53">
        <v>304</v>
      </c>
      <c r="Q307" s="54">
        <v>0</v>
      </c>
      <c r="R307" s="54">
        <v>1</v>
      </c>
      <c r="W307" s="31">
        <v>304</v>
      </c>
      <c r="X307" s="56">
        <v>0.54</v>
      </c>
      <c r="Y307" s="31">
        <v>1</v>
      </c>
      <c r="AB307" s="58">
        <f t="shared" si="22"/>
        <v>0.54</v>
      </c>
      <c r="AC307" s="54">
        <f t="shared" si="23"/>
        <v>1</v>
      </c>
      <c r="AF307" s="51">
        <v>304</v>
      </c>
      <c r="AG307" s="6">
        <v>10</v>
      </c>
      <c r="AH307" s="6">
        <v>1</v>
      </c>
      <c r="AK307" s="31">
        <f t="shared" si="25"/>
        <v>10</v>
      </c>
      <c r="AL307" s="31">
        <f t="shared" si="24"/>
        <v>1</v>
      </c>
    </row>
    <row r="308" spans="16:38">
      <c r="P308" s="53">
        <v>305</v>
      </c>
      <c r="Q308" s="54">
        <v>0</v>
      </c>
      <c r="R308" s="54">
        <v>1</v>
      </c>
      <c r="W308" s="31">
        <v>305</v>
      </c>
      <c r="X308" s="56">
        <v>0.54</v>
      </c>
      <c r="Y308" s="31">
        <v>1</v>
      </c>
      <c r="AB308" s="58">
        <f t="shared" si="22"/>
        <v>0.54</v>
      </c>
      <c r="AC308" s="54">
        <f t="shared" si="23"/>
        <v>1</v>
      </c>
      <c r="AF308" s="51">
        <v>305</v>
      </c>
      <c r="AG308" s="6">
        <v>10</v>
      </c>
      <c r="AH308" s="6">
        <v>1</v>
      </c>
      <c r="AK308" s="31">
        <f t="shared" si="25"/>
        <v>10</v>
      </c>
      <c r="AL308" s="31">
        <f t="shared" si="24"/>
        <v>1</v>
      </c>
    </row>
    <row r="309" spans="16:38">
      <c r="P309" s="53">
        <v>306</v>
      </c>
      <c r="Q309" s="54">
        <v>0</v>
      </c>
      <c r="R309" s="54">
        <v>8</v>
      </c>
      <c r="W309" s="31">
        <v>306</v>
      </c>
      <c r="X309" s="56">
        <v>0.54</v>
      </c>
      <c r="Y309" s="31">
        <v>8</v>
      </c>
      <c r="AB309" s="58">
        <f t="shared" si="22"/>
        <v>0.54</v>
      </c>
      <c r="AC309" s="54">
        <f t="shared" si="23"/>
        <v>8</v>
      </c>
      <c r="AF309" s="51">
        <v>306</v>
      </c>
      <c r="AG309" s="6">
        <v>10</v>
      </c>
      <c r="AH309" s="6">
        <v>8</v>
      </c>
      <c r="AK309" s="31">
        <f t="shared" si="25"/>
        <v>10</v>
      </c>
      <c r="AL309" s="31">
        <f t="shared" si="24"/>
        <v>8</v>
      </c>
    </row>
    <row r="310" spans="16:38">
      <c r="P310" s="53">
        <v>307</v>
      </c>
      <c r="Q310" s="54">
        <v>0</v>
      </c>
      <c r="R310" s="54">
        <v>17</v>
      </c>
      <c r="W310" s="31">
        <v>307</v>
      </c>
      <c r="X310" s="56">
        <v>0.54</v>
      </c>
      <c r="Y310" s="31">
        <v>17</v>
      </c>
      <c r="AB310" s="58">
        <f t="shared" si="22"/>
        <v>0.54</v>
      </c>
      <c r="AC310" s="54">
        <f t="shared" si="23"/>
        <v>17</v>
      </c>
      <c r="AF310" s="51">
        <v>307</v>
      </c>
      <c r="AG310" s="6">
        <v>10</v>
      </c>
      <c r="AH310" s="6">
        <v>17</v>
      </c>
      <c r="AK310" s="31">
        <f t="shared" si="25"/>
        <v>10</v>
      </c>
      <c r="AL310" s="31">
        <f t="shared" si="24"/>
        <v>17</v>
      </c>
    </row>
    <row r="311" spans="16:38">
      <c r="P311" s="53">
        <v>308</v>
      </c>
      <c r="Q311" s="54">
        <v>0</v>
      </c>
      <c r="R311" s="54">
        <v>70</v>
      </c>
      <c r="W311" s="31">
        <v>308</v>
      </c>
      <c r="X311" s="56">
        <v>0.74</v>
      </c>
      <c r="Y311" s="31">
        <v>70</v>
      </c>
      <c r="AB311" s="58">
        <f t="shared" si="22"/>
        <v>0.74</v>
      </c>
      <c r="AC311" s="54">
        <f t="shared" si="23"/>
        <v>70</v>
      </c>
      <c r="AF311" s="51">
        <v>308</v>
      </c>
      <c r="AG311" s="6">
        <v>10</v>
      </c>
      <c r="AH311" s="6">
        <v>70</v>
      </c>
      <c r="AK311" s="31">
        <f t="shared" si="25"/>
        <v>10</v>
      </c>
      <c r="AL311" s="31">
        <f t="shared" si="24"/>
        <v>70</v>
      </c>
    </row>
    <row r="312" spans="16:38">
      <c r="P312" s="53">
        <v>309</v>
      </c>
      <c r="Q312" s="54">
        <v>2</v>
      </c>
      <c r="R312" s="54">
        <v>156</v>
      </c>
      <c r="W312" s="31">
        <v>309</v>
      </c>
      <c r="X312" s="56">
        <v>0.68</v>
      </c>
      <c r="Y312" s="31">
        <v>158</v>
      </c>
      <c r="AB312" s="58">
        <f t="shared" si="22"/>
        <v>0.68</v>
      </c>
      <c r="AC312" s="54">
        <f t="shared" si="23"/>
        <v>158</v>
      </c>
      <c r="AF312" s="51">
        <v>309</v>
      </c>
      <c r="AG312" s="6">
        <v>12</v>
      </c>
      <c r="AH312" s="6">
        <v>158</v>
      </c>
      <c r="AK312" s="31">
        <f t="shared" si="25"/>
        <v>12</v>
      </c>
      <c r="AL312" s="31">
        <f t="shared" si="24"/>
        <v>158</v>
      </c>
    </row>
    <row r="313" spans="16:38">
      <c r="P313" s="53">
        <v>310</v>
      </c>
      <c r="Q313" s="54">
        <v>0</v>
      </c>
      <c r="R313" s="54">
        <v>117</v>
      </c>
      <c r="W313" s="31">
        <v>310</v>
      </c>
      <c r="X313" s="56">
        <v>0.69</v>
      </c>
      <c r="Y313" s="31">
        <v>117</v>
      </c>
      <c r="AB313" s="58">
        <f t="shared" si="22"/>
        <v>0.69</v>
      </c>
      <c r="AC313" s="54">
        <f t="shared" si="23"/>
        <v>117</v>
      </c>
      <c r="AF313" s="51">
        <v>310</v>
      </c>
      <c r="AG313" s="6">
        <v>14.000000000000002</v>
      </c>
      <c r="AH313" s="6">
        <v>117</v>
      </c>
      <c r="AK313" s="31">
        <f t="shared" si="25"/>
        <v>14.000000000000002</v>
      </c>
      <c r="AL313" s="31">
        <f t="shared" si="24"/>
        <v>117</v>
      </c>
    </row>
    <row r="314" spans="16:38">
      <c r="P314" s="53">
        <v>311</v>
      </c>
      <c r="Q314" s="54">
        <v>4</v>
      </c>
      <c r="R314" s="54">
        <v>40</v>
      </c>
      <c r="W314" s="31">
        <v>311</v>
      </c>
      <c r="X314" s="56">
        <v>0.55000000000000004</v>
      </c>
      <c r="Y314" s="31">
        <v>44</v>
      </c>
      <c r="AB314" s="58">
        <f t="shared" si="22"/>
        <v>0.55000000000000004</v>
      </c>
      <c r="AC314" s="54">
        <f t="shared" si="23"/>
        <v>44</v>
      </c>
      <c r="AF314" s="51">
        <v>311</v>
      </c>
      <c r="AG314" s="6">
        <v>18</v>
      </c>
      <c r="AH314" s="6">
        <v>44</v>
      </c>
      <c r="AK314" s="31">
        <f t="shared" si="25"/>
        <v>18</v>
      </c>
      <c r="AL314" s="31">
        <f t="shared" si="24"/>
        <v>44</v>
      </c>
    </row>
    <row r="315" spans="16:38">
      <c r="P315" s="53">
        <v>312</v>
      </c>
      <c r="Q315" s="54">
        <v>6</v>
      </c>
      <c r="R315" s="54">
        <v>47</v>
      </c>
      <c r="W315" s="31">
        <v>312</v>
      </c>
      <c r="X315" s="56">
        <v>0.51</v>
      </c>
      <c r="Y315" s="31">
        <v>53</v>
      </c>
      <c r="AB315" s="58">
        <f t="shared" si="22"/>
        <v>0.51</v>
      </c>
      <c r="AC315" s="54">
        <f t="shared" si="23"/>
        <v>53</v>
      </c>
      <c r="AF315" s="51">
        <v>312</v>
      </c>
      <c r="AG315" s="6">
        <v>18</v>
      </c>
      <c r="AH315" s="6">
        <v>53</v>
      </c>
      <c r="AK315" s="31">
        <f t="shared" si="25"/>
        <v>18</v>
      </c>
      <c r="AL315" s="31">
        <f t="shared" si="24"/>
        <v>53</v>
      </c>
    </row>
    <row r="316" spans="16:38">
      <c r="P316" s="53">
        <v>313</v>
      </c>
      <c r="Q316" s="54">
        <v>2</v>
      </c>
      <c r="R316" s="54">
        <v>59</v>
      </c>
      <c r="W316" s="31">
        <v>313</v>
      </c>
      <c r="X316" s="56">
        <v>0.44</v>
      </c>
      <c r="Y316" s="31">
        <v>61</v>
      </c>
      <c r="AB316" s="58">
        <f t="shared" si="22"/>
        <v>0.44</v>
      </c>
      <c r="AC316" s="54">
        <f t="shared" si="23"/>
        <v>61</v>
      </c>
      <c r="AF316" s="51">
        <v>313</v>
      </c>
      <c r="AG316" s="6">
        <v>20</v>
      </c>
      <c r="AH316" s="6">
        <v>61</v>
      </c>
      <c r="AK316" s="31">
        <f t="shared" si="25"/>
        <v>20</v>
      </c>
      <c r="AL316" s="31">
        <f t="shared" si="24"/>
        <v>61</v>
      </c>
    </row>
    <row r="317" spans="16:38">
      <c r="P317" s="53">
        <v>314</v>
      </c>
      <c r="Q317" s="54">
        <v>4</v>
      </c>
      <c r="R317" s="54">
        <v>73</v>
      </c>
      <c r="W317" s="31">
        <v>314</v>
      </c>
      <c r="X317" s="56">
        <v>0.37</v>
      </c>
      <c r="Y317" s="31">
        <v>77</v>
      </c>
      <c r="AB317" s="58">
        <f t="shared" si="22"/>
        <v>0.37</v>
      </c>
      <c r="AC317" s="54">
        <f t="shared" si="23"/>
        <v>77</v>
      </c>
      <c r="AF317" s="51">
        <v>314</v>
      </c>
      <c r="AG317" s="6">
        <v>22</v>
      </c>
      <c r="AH317" s="6">
        <v>77</v>
      </c>
      <c r="AK317" s="31">
        <f t="shared" si="25"/>
        <v>22</v>
      </c>
      <c r="AL317" s="31">
        <f t="shared" si="24"/>
        <v>77</v>
      </c>
    </row>
    <row r="318" spans="16:38">
      <c r="P318" s="53">
        <v>315</v>
      </c>
      <c r="Q318" s="54">
        <v>5</v>
      </c>
      <c r="R318" s="54">
        <v>59</v>
      </c>
      <c r="W318" s="31">
        <v>315</v>
      </c>
      <c r="X318" s="56">
        <v>0.41</v>
      </c>
      <c r="Y318" s="31">
        <v>64</v>
      </c>
      <c r="AB318" s="58">
        <f t="shared" si="22"/>
        <v>0.41</v>
      </c>
      <c r="AC318" s="54">
        <f t="shared" si="23"/>
        <v>64</v>
      </c>
      <c r="AF318" s="51">
        <v>315</v>
      </c>
      <c r="AG318" s="6">
        <v>22</v>
      </c>
      <c r="AH318" s="6">
        <v>64</v>
      </c>
      <c r="AK318" s="31">
        <f t="shared" si="25"/>
        <v>22</v>
      </c>
      <c r="AL318" s="31">
        <f t="shared" si="24"/>
        <v>64</v>
      </c>
    </row>
    <row r="319" spans="16:38">
      <c r="P319" s="53">
        <v>316</v>
      </c>
      <c r="Q319" s="54">
        <v>9</v>
      </c>
      <c r="R319" s="54">
        <v>59</v>
      </c>
      <c r="W319" s="31">
        <v>316</v>
      </c>
      <c r="X319" s="56">
        <v>0.38</v>
      </c>
      <c r="Y319" s="31">
        <v>68</v>
      </c>
      <c r="AB319" s="58">
        <f t="shared" si="22"/>
        <v>0.38</v>
      </c>
      <c r="AC319" s="54">
        <f t="shared" si="23"/>
        <v>68</v>
      </c>
      <c r="AF319" s="51">
        <v>316</v>
      </c>
      <c r="AG319" s="6">
        <v>24</v>
      </c>
      <c r="AH319" s="6">
        <v>68</v>
      </c>
      <c r="AK319" s="31">
        <f t="shared" si="25"/>
        <v>24</v>
      </c>
      <c r="AL319" s="31">
        <f t="shared" si="24"/>
        <v>68</v>
      </c>
    </row>
    <row r="320" spans="16:38">
      <c r="P320" s="53">
        <v>317</v>
      </c>
      <c r="Q320" s="54">
        <v>3</v>
      </c>
      <c r="R320" s="54">
        <v>87</v>
      </c>
      <c r="W320" s="31">
        <v>317</v>
      </c>
      <c r="X320" s="56">
        <v>0.41</v>
      </c>
      <c r="Y320" s="31">
        <v>90</v>
      </c>
      <c r="AB320" s="58">
        <f t="shared" si="22"/>
        <v>0.41</v>
      </c>
      <c r="AC320" s="54">
        <f t="shared" si="23"/>
        <v>90</v>
      </c>
      <c r="AF320" s="51">
        <v>317</v>
      </c>
      <c r="AG320" s="6">
        <v>22</v>
      </c>
      <c r="AH320" s="6">
        <v>90</v>
      </c>
      <c r="AK320" s="31">
        <f t="shared" si="25"/>
        <v>22</v>
      </c>
      <c r="AL320" s="31">
        <f t="shared" si="24"/>
        <v>90</v>
      </c>
    </row>
    <row r="321" spans="16:38">
      <c r="P321" s="53">
        <v>318</v>
      </c>
      <c r="Q321" s="54">
        <v>4</v>
      </c>
      <c r="R321" s="54">
        <v>155</v>
      </c>
      <c r="W321" s="31">
        <v>318</v>
      </c>
      <c r="X321" s="56">
        <v>0.41</v>
      </c>
      <c r="Y321" s="31">
        <v>159</v>
      </c>
      <c r="AB321" s="58">
        <f t="shared" si="22"/>
        <v>0.41</v>
      </c>
      <c r="AC321" s="54">
        <f t="shared" si="23"/>
        <v>159</v>
      </c>
      <c r="AF321" s="51">
        <v>318</v>
      </c>
      <c r="AG321" s="6">
        <v>22</v>
      </c>
      <c r="AH321" s="6">
        <v>159</v>
      </c>
      <c r="AK321" s="31">
        <f t="shared" si="25"/>
        <v>22</v>
      </c>
      <c r="AL321" s="31">
        <f t="shared" si="24"/>
        <v>159</v>
      </c>
    </row>
    <row r="322" spans="16:38">
      <c r="P322" s="53">
        <v>319</v>
      </c>
      <c r="Q322" s="54">
        <v>5</v>
      </c>
      <c r="R322" s="54">
        <v>134</v>
      </c>
      <c r="W322" s="31">
        <v>319</v>
      </c>
      <c r="X322" s="56">
        <v>0.47</v>
      </c>
      <c r="Y322" s="31">
        <v>139</v>
      </c>
      <c r="AB322" s="58">
        <f t="shared" si="22"/>
        <v>0.47</v>
      </c>
      <c r="AC322" s="54">
        <f t="shared" si="23"/>
        <v>139</v>
      </c>
      <c r="AF322" s="51">
        <v>319</v>
      </c>
      <c r="AG322" s="6">
        <v>20</v>
      </c>
      <c r="AH322" s="6">
        <v>139</v>
      </c>
      <c r="AK322" s="31">
        <f t="shared" si="25"/>
        <v>20</v>
      </c>
      <c r="AL322" s="31">
        <f t="shared" si="24"/>
        <v>139</v>
      </c>
    </row>
    <row r="323" spans="16:38">
      <c r="P323" s="53">
        <v>320</v>
      </c>
      <c r="Q323" s="54">
        <v>3</v>
      </c>
      <c r="R323" s="54">
        <v>89</v>
      </c>
      <c r="W323" s="31">
        <v>320</v>
      </c>
      <c r="X323" s="56">
        <v>0.59</v>
      </c>
      <c r="Y323" s="31">
        <v>92</v>
      </c>
      <c r="AB323" s="58">
        <f t="shared" si="22"/>
        <v>0.59</v>
      </c>
      <c r="AC323" s="54">
        <f t="shared" si="23"/>
        <v>92</v>
      </c>
      <c r="AF323" s="51">
        <v>320</v>
      </c>
      <c r="AG323" s="6">
        <v>16</v>
      </c>
      <c r="AH323" s="6">
        <v>92</v>
      </c>
      <c r="AK323" s="31">
        <f t="shared" si="25"/>
        <v>16</v>
      </c>
      <c r="AL323" s="31">
        <f t="shared" si="24"/>
        <v>92</v>
      </c>
    </row>
    <row r="324" spans="16:38">
      <c r="P324" s="53">
        <v>321</v>
      </c>
      <c r="Q324" s="54">
        <v>0</v>
      </c>
      <c r="R324" s="54">
        <v>68</v>
      </c>
      <c r="W324" s="31">
        <v>321</v>
      </c>
      <c r="X324" s="56">
        <v>0.59</v>
      </c>
      <c r="Y324" s="31">
        <v>68</v>
      </c>
      <c r="AB324" s="58">
        <f t="shared" si="22"/>
        <v>0.59</v>
      </c>
      <c r="AC324" s="54">
        <f t="shared" si="23"/>
        <v>68</v>
      </c>
      <c r="AF324" s="51">
        <v>321</v>
      </c>
      <c r="AG324" s="6">
        <v>18</v>
      </c>
      <c r="AH324" s="6">
        <v>68</v>
      </c>
      <c r="AK324" s="31">
        <f t="shared" si="25"/>
        <v>18</v>
      </c>
      <c r="AL324" s="31">
        <f t="shared" si="24"/>
        <v>68</v>
      </c>
    </row>
    <row r="325" spans="16:38">
      <c r="P325" s="53">
        <v>322</v>
      </c>
      <c r="Q325" s="54">
        <v>4</v>
      </c>
      <c r="R325" s="54">
        <v>48</v>
      </c>
      <c r="W325" s="31">
        <v>322</v>
      </c>
      <c r="X325" s="56">
        <v>0.69</v>
      </c>
      <c r="Y325" s="31">
        <v>52</v>
      </c>
      <c r="AB325" s="58">
        <f t="shared" ref="AB325:AB388" si="26">X325</f>
        <v>0.69</v>
      </c>
      <c r="AC325" s="54">
        <f t="shared" ref="AC325:AC388" si="27">Y325</f>
        <v>52</v>
      </c>
      <c r="AF325" s="51">
        <v>322</v>
      </c>
      <c r="AG325" s="6">
        <v>16</v>
      </c>
      <c r="AH325" s="6">
        <v>52</v>
      </c>
      <c r="AK325" s="31">
        <f t="shared" si="25"/>
        <v>16</v>
      </c>
      <c r="AL325" s="31">
        <f t="shared" si="25"/>
        <v>52</v>
      </c>
    </row>
    <row r="326" spans="16:38">
      <c r="P326" s="53">
        <v>323</v>
      </c>
      <c r="Q326" s="54">
        <v>2</v>
      </c>
      <c r="R326" s="54">
        <v>34</v>
      </c>
      <c r="W326" s="31">
        <v>323</v>
      </c>
      <c r="X326" s="56">
        <v>0.69</v>
      </c>
      <c r="Y326" s="31">
        <v>36</v>
      </c>
      <c r="AB326" s="58">
        <f t="shared" si="26"/>
        <v>0.69</v>
      </c>
      <c r="AC326" s="54">
        <f t="shared" si="27"/>
        <v>36</v>
      </c>
      <c r="AF326" s="51">
        <v>323</v>
      </c>
      <c r="AG326" s="6">
        <v>16</v>
      </c>
      <c r="AH326" s="6">
        <v>36</v>
      </c>
      <c r="AK326" s="31">
        <f t="shared" si="25"/>
        <v>16</v>
      </c>
      <c r="AL326" s="31">
        <f t="shared" si="25"/>
        <v>36</v>
      </c>
    </row>
    <row r="327" spans="16:38">
      <c r="P327" s="53">
        <v>324</v>
      </c>
      <c r="Q327" s="54">
        <v>1</v>
      </c>
      <c r="R327" s="54">
        <v>26</v>
      </c>
      <c r="W327" s="31">
        <v>324</v>
      </c>
      <c r="X327" s="56">
        <v>0.55000000000000004</v>
      </c>
      <c r="Y327" s="31">
        <v>27</v>
      </c>
      <c r="AB327" s="58">
        <f t="shared" si="26"/>
        <v>0.55000000000000004</v>
      </c>
      <c r="AC327" s="54">
        <f t="shared" si="27"/>
        <v>27</v>
      </c>
      <c r="AF327" s="51">
        <v>324</v>
      </c>
      <c r="AG327" s="6">
        <v>18</v>
      </c>
      <c r="AH327" s="6">
        <v>27</v>
      </c>
      <c r="AK327" s="31">
        <f t="shared" si="25"/>
        <v>18</v>
      </c>
      <c r="AL327" s="31">
        <f t="shared" si="25"/>
        <v>27</v>
      </c>
    </row>
    <row r="328" spans="16:38">
      <c r="P328" s="53">
        <v>325</v>
      </c>
      <c r="Q328" s="54">
        <v>3</v>
      </c>
      <c r="R328" s="54">
        <v>25</v>
      </c>
      <c r="W328" s="31">
        <v>325</v>
      </c>
      <c r="X328" s="56">
        <v>0.55000000000000004</v>
      </c>
      <c r="Y328" s="31">
        <v>28</v>
      </c>
      <c r="AB328" s="58">
        <f t="shared" si="26"/>
        <v>0.55000000000000004</v>
      </c>
      <c r="AC328" s="54">
        <f t="shared" si="27"/>
        <v>28</v>
      </c>
      <c r="AF328" s="51">
        <v>325</v>
      </c>
      <c r="AG328" s="6">
        <v>18</v>
      </c>
      <c r="AH328" s="6">
        <v>28</v>
      </c>
      <c r="AK328" s="31">
        <f t="shared" si="25"/>
        <v>18</v>
      </c>
      <c r="AL328" s="31">
        <f t="shared" si="25"/>
        <v>28</v>
      </c>
    </row>
    <row r="329" spans="16:38">
      <c r="P329" s="53">
        <v>326</v>
      </c>
      <c r="Q329" s="54">
        <v>2</v>
      </c>
      <c r="R329" s="54">
        <v>18</v>
      </c>
      <c r="W329" s="31">
        <v>326</v>
      </c>
      <c r="X329" s="56">
        <v>0.59</v>
      </c>
      <c r="Y329" s="31">
        <v>20</v>
      </c>
      <c r="AB329" s="58">
        <f t="shared" si="26"/>
        <v>0.59</v>
      </c>
      <c r="AC329" s="54">
        <f t="shared" si="27"/>
        <v>20</v>
      </c>
      <c r="AF329" s="51">
        <v>326</v>
      </c>
      <c r="AG329" s="6">
        <v>16</v>
      </c>
      <c r="AH329" s="6">
        <v>20</v>
      </c>
      <c r="AK329" s="31">
        <f t="shared" si="25"/>
        <v>16</v>
      </c>
      <c r="AL329" s="31">
        <f t="shared" si="25"/>
        <v>20</v>
      </c>
    </row>
    <row r="330" spans="16:38">
      <c r="P330" s="53">
        <v>327</v>
      </c>
      <c r="Q330" s="54">
        <v>0</v>
      </c>
      <c r="R330" s="54">
        <v>12</v>
      </c>
      <c r="W330" s="31">
        <v>327</v>
      </c>
      <c r="X330" s="56">
        <v>0.59</v>
      </c>
      <c r="Y330" s="31">
        <v>12</v>
      </c>
      <c r="AB330" s="58">
        <f t="shared" si="26"/>
        <v>0.59</v>
      </c>
      <c r="AC330" s="54">
        <f t="shared" si="27"/>
        <v>12</v>
      </c>
      <c r="AF330" s="51">
        <v>327</v>
      </c>
      <c r="AG330" s="6">
        <v>16</v>
      </c>
      <c r="AH330" s="6">
        <v>12</v>
      </c>
      <c r="AK330" s="31">
        <f t="shared" si="25"/>
        <v>16</v>
      </c>
      <c r="AL330" s="31">
        <f t="shared" si="25"/>
        <v>12</v>
      </c>
    </row>
    <row r="331" spans="16:38">
      <c r="P331" s="53">
        <v>328</v>
      </c>
      <c r="Q331" s="54">
        <v>1</v>
      </c>
      <c r="R331" s="54">
        <v>7</v>
      </c>
      <c r="W331" s="31">
        <v>328</v>
      </c>
      <c r="X331" s="56">
        <v>0.59</v>
      </c>
      <c r="Y331" s="31">
        <v>8</v>
      </c>
      <c r="AB331" s="58">
        <f t="shared" si="26"/>
        <v>0.59</v>
      </c>
      <c r="AC331" s="54">
        <f t="shared" si="27"/>
        <v>8</v>
      </c>
      <c r="AF331" s="51">
        <v>328</v>
      </c>
      <c r="AG331" s="6">
        <v>16</v>
      </c>
      <c r="AH331" s="6">
        <v>8</v>
      </c>
      <c r="AK331" s="31">
        <f t="shared" si="25"/>
        <v>16</v>
      </c>
      <c r="AL331" s="31">
        <f t="shared" si="25"/>
        <v>8</v>
      </c>
    </row>
    <row r="332" spans="16:38">
      <c r="P332" s="53">
        <v>329</v>
      </c>
      <c r="Q332" s="54">
        <v>0</v>
      </c>
      <c r="R332" s="54">
        <v>5</v>
      </c>
      <c r="W332" s="31">
        <v>329</v>
      </c>
      <c r="X332" s="56">
        <v>0.59</v>
      </c>
      <c r="Y332" s="31">
        <v>5</v>
      </c>
      <c r="AB332" s="58">
        <f t="shared" si="26"/>
        <v>0.59</v>
      </c>
      <c r="AC332" s="54">
        <f t="shared" si="27"/>
        <v>5</v>
      </c>
      <c r="AF332" s="51">
        <v>329</v>
      </c>
      <c r="AG332" s="6">
        <v>16</v>
      </c>
      <c r="AH332" s="6">
        <v>5</v>
      </c>
      <c r="AK332" s="31">
        <f t="shared" si="25"/>
        <v>16</v>
      </c>
      <c r="AL332" s="31">
        <f t="shared" si="25"/>
        <v>5</v>
      </c>
    </row>
    <row r="333" spans="16:38">
      <c r="P333" s="53">
        <v>330</v>
      </c>
      <c r="Q333" s="54">
        <v>0</v>
      </c>
      <c r="R333" s="54">
        <v>1</v>
      </c>
      <c r="W333" s="31">
        <v>330</v>
      </c>
      <c r="X333" s="56">
        <v>0.59</v>
      </c>
      <c r="Y333" s="31">
        <v>1</v>
      </c>
      <c r="AB333" s="58">
        <f t="shared" si="26"/>
        <v>0.59</v>
      </c>
      <c r="AC333" s="54">
        <f t="shared" si="27"/>
        <v>1</v>
      </c>
      <c r="AF333" s="51">
        <v>330</v>
      </c>
      <c r="AG333" s="6">
        <v>16</v>
      </c>
      <c r="AH333" s="6">
        <v>1</v>
      </c>
      <c r="AK333" s="31">
        <f t="shared" si="25"/>
        <v>16</v>
      </c>
      <c r="AL333" s="31">
        <f t="shared" si="25"/>
        <v>1</v>
      </c>
    </row>
    <row r="334" spans="16:38">
      <c r="P334" s="53">
        <v>331</v>
      </c>
      <c r="Q334" s="54">
        <v>1</v>
      </c>
      <c r="R334" s="54">
        <v>2</v>
      </c>
      <c r="W334" s="31">
        <v>331</v>
      </c>
      <c r="X334" s="56">
        <v>0.63</v>
      </c>
      <c r="Y334" s="31">
        <v>3</v>
      </c>
      <c r="AB334" s="58">
        <f t="shared" si="26"/>
        <v>0.63</v>
      </c>
      <c r="AC334" s="54">
        <f t="shared" si="27"/>
        <v>3</v>
      </c>
      <c r="AF334" s="51">
        <v>331</v>
      </c>
      <c r="AG334" s="6">
        <v>14.000000000000002</v>
      </c>
      <c r="AH334" s="6">
        <v>3</v>
      </c>
      <c r="AK334" s="31">
        <f t="shared" si="25"/>
        <v>14.000000000000002</v>
      </c>
      <c r="AL334" s="31">
        <f t="shared" si="25"/>
        <v>3</v>
      </c>
    </row>
    <row r="335" spans="16:38">
      <c r="P335" s="53">
        <v>332</v>
      </c>
      <c r="Q335" s="54">
        <v>1</v>
      </c>
      <c r="R335" s="54">
        <v>9</v>
      </c>
      <c r="W335" s="31">
        <v>332</v>
      </c>
      <c r="X335" s="56">
        <v>0.63</v>
      </c>
      <c r="Y335" s="31">
        <v>10</v>
      </c>
      <c r="AB335" s="58">
        <f t="shared" si="26"/>
        <v>0.63</v>
      </c>
      <c r="AC335" s="54">
        <f t="shared" si="27"/>
        <v>10</v>
      </c>
      <c r="AF335" s="51">
        <v>332</v>
      </c>
      <c r="AG335" s="6">
        <v>14.000000000000002</v>
      </c>
      <c r="AH335" s="6">
        <v>10</v>
      </c>
      <c r="AK335" s="31">
        <f t="shared" si="25"/>
        <v>14.000000000000002</v>
      </c>
      <c r="AL335" s="31">
        <f t="shared" si="25"/>
        <v>10</v>
      </c>
    </row>
    <row r="336" spans="16:38">
      <c r="P336" s="53">
        <v>333</v>
      </c>
      <c r="Q336" s="54">
        <v>1</v>
      </c>
      <c r="R336" s="54">
        <v>22</v>
      </c>
      <c r="W336" s="31">
        <v>333</v>
      </c>
      <c r="X336" s="56">
        <v>0.63</v>
      </c>
      <c r="Y336" s="31">
        <v>23</v>
      </c>
      <c r="AB336" s="58">
        <f t="shared" si="26"/>
        <v>0.63</v>
      </c>
      <c r="AC336" s="54">
        <f t="shared" si="27"/>
        <v>23</v>
      </c>
      <c r="AF336" s="51">
        <v>333</v>
      </c>
      <c r="AG336" s="6">
        <v>14.000000000000002</v>
      </c>
      <c r="AH336" s="6">
        <v>23</v>
      </c>
      <c r="AK336" s="31">
        <f t="shared" si="25"/>
        <v>14.000000000000002</v>
      </c>
      <c r="AL336" s="31">
        <f t="shared" si="25"/>
        <v>23</v>
      </c>
    </row>
    <row r="337" spans="16:38">
      <c r="P337" s="53">
        <v>334</v>
      </c>
      <c r="Q337" s="54">
        <v>2</v>
      </c>
      <c r="R337" s="54">
        <v>31</v>
      </c>
      <c r="W337" s="31">
        <v>334</v>
      </c>
      <c r="X337" s="56">
        <v>0.64</v>
      </c>
      <c r="Y337" s="31">
        <v>33</v>
      </c>
      <c r="AB337" s="58">
        <f t="shared" si="26"/>
        <v>0.64</v>
      </c>
      <c r="AC337" s="54">
        <f t="shared" si="27"/>
        <v>33</v>
      </c>
      <c r="AF337" s="51">
        <v>334</v>
      </c>
      <c r="AG337" s="6">
        <v>16</v>
      </c>
      <c r="AH337" s="6">
        <v>33</v>
      </c>
      <c r="AK337" s="31">
        <f t="shared" si="25"/>
        <v>16</v>
      </c>
      <c r="AL337" s="31">
        <f t="shared" si="25"/>
        <v>33</v>
      </c>
    </row>
    <row r="338" spans="16:38">
      <c r="P338" s="53">
        <v>335</v>
      </c>
      <c r="Q338" s="54">
        <v>2</v>
      </c>
      <c r="R338" s="54">
        <v>57</v>
      </c>
      <c r="W338" s="31">
        <v>335</v>
      </c>
      <c r="X338" s="56">
        <v>0.59</v>
      </c>
      <c r="Y338" s="31">
        <v>59</v>
      </c>
      <c r="AB338" s="58">
        <f t="shared" si="26"/>
        <v>0.59</v>
      </c>
      <c r="AC338" s="54">
        <f t="shared" si="27"/>
        <v>59</v>
      </c>
      <c r="AF338" s="51">
        <v>335</v>
      </c>
      <c r="AG338" s="6">
        <v>18</v>
      </c>
      <c r="AH338" s="6">
        <v>59</v>
      </c>
      <c r="AK338" s="31">
        <f t="shared" si="25"/>
        <v>18</v>
      </c>
      <c r="AL338" s="31">
        <f t="shared" si="25"/>
        <v>59</v>
      </c>
    </row>
    <row r="339" spans="16:38">
      <c r="P339" s="53">
        <v>336</v>
      </c>
      <c r="Q339" s="54">
        <v>18</v>
      </c>
      <c r="R339" s="54">
        <v>54</v>
      </c>
      <c r="W339" s="31">
        <v>336</v>
      </c>
      <c r="X339" s="56">
        <v>0.55000000000000004</v>
      </c>
      <c r="Y339" s="31">
        <v>72</v>
      </c>
      <c r="AB339" s="58">
        <f t="shared" si="26"/>
        <v>0.55000000000000004</v>
      </c>
      <c r="AC339" s="54">
        <f t="shared" si="27"/>
        <v>72</v>
      </c>
      <c r="AF339" s="51">
        <v>336</v>
      </c>
      <c r="AG339" s="6">
        <v>20</v>
      </c>
      <c r="AH339" s="6">
        <v>72</v>
      </c>
      <c r="AK339" s="31">
        <f t="shared" si="25"/>
        <v>20</v>
      </c>
      <c r="AL339" s="31">
        <f t="shared" si="25"/>
        <v>72</v>
      </c>
    </row>
    <row r="340" spans="16:38">
      <c r="P340" s="53">
        <v>337</v>
      </c>
      <c r="Q340" s="54">
        <v>15</v>
      </c>
      <c r="R340" s="54">
        <v>74</v>
      </c>
      <c r="W340" s="31">
        <v>337</v>
      </c>
      <c r="X340" s="56">
        <v>0.48</v>
      </c>
      <c r="Y340" s="31">
        <v>89</v>
      </c>
      <c r="AB340" s="58">
        <f t="shared" si="26"/>
        <v>0.48</v>
      </c>
      <c r="AC340" s="54">
        <f t="shared" si="27"/>
        <v>89</v>
      </c>
      <c r="AF340" s="51">
        <v>337</v>
      </c>
      <c r="AG340" s="6">
        <v>24</v>
      </c>
      <c r="AH340" s="6">
        <v>89</v>
      </c>
      <c r="AK340" s="31">
        <f t="shared" si="25"/>
        <v>24</v>
      </c>
      <c r="AL340" s="31">
        <f t="shared" si="25"/>
        <v>89</v>
      </c>
    </row>
    <row r="341" spans="16:38">
      <c r="P341" s="53">
        <v>338</v>
      </c>
      <c r="Q341" s="54">
        <v>21</v>
      </c>
      <c r="R341" s="54">
        <v>80</v>
      </c>
      <c r="W341" s="31">
        <v>338</v>
      </c>
      <c r="X341" s="56">
        <v>0.38</v>
      </c>
      <c r="Y341" s="31">
        <v>101</v>
      </c>
      <c r="AB341" s="58">
        <f t="shared" si="26"/>
        <v>0.38</v>
      </c>
      <c r="AC341" s="54">
        <f t="shared" si="27"/>
        <v>101</v>
      </c>
      <c r="AF341" s="51">
        <v>338</v>
      </c>
      <c r="AG341" s="6">
        <v>28.000000000000004</v>
      </c>
      <c r="AH341" s="6">
        <v>101</v>
      </c>
      <c r="AK341" s="31">
        <f t="shared" ref="AK341:AL404" si="28">AG341</f>
        <v>28.000000000000004</v>
      </c>
      <c r="AL341" s="31">
        <f t="shared" si="28"/>
        <v>101</v>
      </c>
    </row>
    <row r="342" spans="16:38">
      <c r="P342" s="53">
        <v>339</v>
      </c>
      <c r="Q342" s="54">
        <v>26</v>
      </c>
      <c r="R342" s="54">
        <v>92</v>
      </c>
      <c r="W342" s="31">
        <v>339</v>
      </c>
      <c r="X342" s="56">
        <v>0.39</v>
      </c>
      <c r="Y342" s="31">
        <v>118</v>
      </c>
      <c r="AB342" s="58">
        <f t="shared" si="26"/>
        <v>0.39</v>
      </c>
      <c r="AC342" s="54">
        <f t="shared" si="27"/>
        <v>118</v>
      </c>
      <c r="AF342" s="51">
        <v>339</v>
      </c>
      <c r="AG342" s="6">
        <v>30</v>
      </c>
      <c r="AH342" s="6">
        <v>118</v>
      </c>
      <c r="AK342" s="31">
        <f t="shared" si="28"/>
        <v>30</v>
      </c>
      <c r="AL342" s="31">
        <f t="shared" si="28"/>
        <v>118</v>
      </c>
    </row>
    <row r="343" spans="16:38">
      <c r="P343" s="53">
        <v>340</v>
      </c>
      <c r="Q343" s="54">
        <v>21</v>
      </c>
      <c r="R343" s="54">
        <v>108</v>
      </c>
      <c r="W343" s="31">
        <v>340</v>
      </c>
      <c r="X343" s="56">
        <v>0.36</v>
      </c>
      <c r="Y343" s="31">
        <v>129</v>
      </c>
      <c r="AB343" s="58">
        <f t="shared" si="26"/>
        <v>0.36</v>
      </c>
      <c r="AC343" s="54">
        <f t="shared" si="27"/>
        <v>129</v>
      </c>
      <c r="AF343" s="51">
        <v>340</v>
      </c>
      <c r="AG343" s="6">
        <v>32</v>
      </c>
      <c r="AH343" s="6">
        <v>129</v>
      </c>
      <c r="AK343" s="31">
        <f t="shared" si="28"/>
        <v>32</v>
      </c>
      <c r="AL343" s="31">
        <f t="shared" si="28"/>
        <v>129</v>
      </c>
    </row>
    <row r="344" spans="16:38">
      <c r="P344" s="53">
        <v>341</v>
      </c>
      <c r="Q344" s="54">
        <v>33</v>
      </c>
      <c r="R344" s="54">
        <v>95</v>
      </c>
      <c r="W344" s="31">
        <v>341</v>
      </c>
      <c r="X344" s="56">
        <v>0.34</v>
      </c>
      <c r="Y344" s="31">
        <v>128</v>
      </c>
      <c r="AB344" s="58">
        <f t="shared" si="26"/>
        <v>0.34</v>
      </c>
      <c r="AC344" s="54">
        <f t="shared" si="27"/>
        <v>128</v>
      </c>
      <c r="AF344" s="51">
        <v>341</v>
      </c>
      <c r="AG344" s="6">
        <v>34</v>
      </c>
      <c r="AH344" s="6">
        <v>128</v>
      </c>
      <c r="AK344" s="31">
        <f t="shared" si="28"/>
        <v>34</v>
      </c>
      <c r="AL344" s="31">
        <f t="shared" si="28"/>
        <v>128</v>
      </c>
    </row>
    <row r="345" spans="16:38">
      <c r="P345" s="53">
        <v>342</v>
      </c>
      <c r="Q345" s="54">
        <v>29</v>
      </c>
      <c r="R345" s="54">
        <v>54</v>
      </c>
      <c r="W345" s="31">
        <v>342</v>
      </c>
      <c r="X345" s="56">
        <v>0.36</v>
      </c>
      <c r="Y345" s="31">
        <v>83</v>
      </c>
      <c r="AB345" s="58">
        <f t="shared" si="26"/>
        <v>0.36</v>
      </c>
      <c r="AC345" s="54">
        <f t="shared" si="27"/>
        <v>83</v>
      </c>
      <c r="AF345" s="51">
        <v>342</v>
      </c>
      <c r="AG345" s="6">
        <v>32</v>
      </c>
      <c r="AH345" s="6">
        <v>83</v>
      </c>
      <c r="AK345" s="31">
        <f t="shared" si="28"/>
        <v>32</v>
      </c>
      <c r="AL345" s="31">
        <f t="shared" si="28"/>
        <v>83</v>
      </c>
    </row>
    <row r="346" spans="16:38">
      <c r="P346" s="53">
        <v>343</v>
      </c>
      <c r="Q346" s="54">
        <v>15</v>
      </c>
      <c r="R346" s="54">
        <v>69</v>
      </c>
      <c r="W346" s="31">
        <v>343</v>
      </c>
      <c r="X346" s="56">
        <v>0.45</v>
      </c>
      <c r="Y346" s="31">
        <v>84</v>
      </c>
      <c r="AB346" s="58">
        <f t="shared" si="26"/>
        <v>0.45</v>
      </c>
      <c r="AC346" s="54">
        <f t="shared" si="27"/>
        <v>84</v>
      </c>
      <c r="AF346" s="51">
        <v>343</v>
      </c>
      <c r="AG346" s="6">
        <v>30</v>
      </c>
      <c r="AH346" s="6">
        <v>84</v>
      </c>
      <c r="AK346" s="31">
        <f t="shared" si="28"/>
        <v>30</v>
      </c>
      <c r="AL346" s="31">
        <f t="shared" si="28"/>
        <v>84</v>
      </c>
    </row>
    <row r="347" spans="16:38">
      <c r="P347" s="53">
        <v>344</v>
      </c>
      <c r="Q347" s="54">
        <v>14</v>
      </c>
      <c r="R347" s="54">
        <v>60</v>
      </c>
      <c r="W347" s="31">
        <v>344</v>
      </c>
      <c r="X347" s="56">
        <v>0.39</v>
      </c>
      <c r="Y347" s="31">
        <v>74</v>
      </c>
      <c r="AB347" s="58">
        <f t="shared" si="26"/>
        <v>0.39</v>
      </c>
      <c r="AC347" s="54">
        <f t="shared" si="27"/>
        <v>74</v>
      </c>
      <c r="AF347" s="51">
        <v>344</v>
      </c>
      <c r="AG347" s="6">
        <v>32</v>
      </c>
      <c r="AH347" s="6">
        <v>74</v>
      </c>
      <c r="AK347" s="31">
        <f t="shared" si="28"/>
        <v>32</v>
      </c>
      <c r="AL347" s="31">
        <f t="shared" si="28"/>
        <v>74</v>
      </c>
    </row>
    <row r="348" spans="16:38">
      <c r="P348" s="53">
        <v>345</v>
      </c>
      <c r="Q348" s="54">
        <v>6</v>
      </c>
      <c r="R348" s="54">
        <v>35</v>
      </c>
      <c r="W348" s="31">
        <v>345</v>
      </c>
      <c r="X348" s="56">
        <v>0.39</v>
      </c>
      <c r="Y348" s="31">
        <v>41</v>
      </c>
      <c r="AB348" s="58">
        <f t="shared" si="26"/>
        <v>0.39</v>
      </c>
      <c r="AC348" s="54">
        <f t="shared" si="27"/>
        <v>41</v>
      </c>
      <c r="AF348" s="51">
        <v>345</v>
      </c>
      <c r="AG348" s="6">
        <v>32</v>
      </c>
      <c r="AH348" s="6">
        <v>41</v>
      </c>
      <c r="AK348" s="31">
        <f t="shared" si="28"/>
        <v>32</v>
      </c>
      <c r="AL348" s="31">
        <f t="shared" si="28"/>
        <v>41</v>
      </c>
    </row>
    <row r="349" spans="16:38">
      <c r="P349" s="53">
        <v>346</v>
      </c>
      <c r="Q349" s="54">
        <v>6</v>
      </c>
      <c r="R349" s="54">
        <v>51</v>
      </c>
      <c r="W349" s="31">
        <v>346</v>
      </c>
      <c r="X349" s="56">
        <v>0.39</v>
      </c>
      <c r="Y349" s="31">
        <v>57</v>
      </c>
      <c r="AB349" s="58">
        <f t="shared" si="26"/>
        <v>0.39</v>
      </c>
      <c r="AC349" s="54">
        <f t="shared" si="27"/>
        <v>57</v>
      </c>
      <c r="AF349" s="51">
        <v>346</v>
      </c>
      <c r="AG349" s="6">
        <v>32</v>
      </c>
      <c r="AH349" s="6">
        <v>57</v>
      </c>
      <c r="AK349" s="31">
        <f t="shared" si="28"/>
        <v>32</v>
      </c>
      <c r="AL349" s="31">
        <f t="shared" si="28"/>
        <v>57</v>
      </c>
    </row>
    <row r="350" spans="16:38">
      <c r="P350" s="53">
        <v>347</v>
      </c>
      <c r="Q350" s="54">
        <v>0</v>
      </c>
      <c r="R350" s="54">
        <v>26</v>
      </c>
      <c r="W350" s="31">
        <v>347</v>
      </c>
      <c r="X350" s="56">
        <v>0.42</v>
      </c>
      <c r="Y350" s="31">
        <v>26</v>
      </c>
      <c r="AB350" s="58">
        <f t="shared" si="26"/>
        <v>0.42</v>
      </c>
      <c r="AC350" s="54">
        <f t="shared" si="27"/>
        <v>26</v>
      </c>
      <c r="AF350" s="51">
        <v>347</v>
      </c>
      <c r="AG350" s="6">
        <v>30</v>
      </c>
      <c r="AH350" s="6">
        <v>26</v>
      </c>
      <c r="AK350" s="31">
        <f t="shared" si="28"/>
        <v>30</v>
      </c>
      <c r="AL350" s="31">
        <f t="shared" si="28"/>
        <v>26</v>
      </c>
    </row>
    <row r="351" spans="16:38">
      <c r="P351" s="53">
        <v>348</v>
      </c>
      <c r="Q351" s="54">
        <v>5</v>
      </c>
      <c r="R351" s="54">
        <v>39</v>
      </c>
      <c r="W351" s="31">
        <v>348</v>
      </c>
      <c r="X351" s="56">
        <v>0.45</v>
      </c>
      <c r="Y351" s="31">
        <v>44</v>
      </c>
      <c r="AB351" s="58">
        <f t="shared" si="26"/>
        <v>0.45</v>
      </c>
      <c r="AC351" s="54">
        <f t="shared" si="27"/>
        <v>44</v>
      </c>
      <c r="AF351" s="51">
        <v>348</v>
      </c>
      <c r="AG351" s="6">
        <v>30</v>
      </c>
      <c r="AH351" s="6">
        <v>44</v>
      </c>
      <c r="AK351" s="31">
        <f t="shared" si="28"/>
        <v>30</v>
      </c>
      <c r="AL351" s="31">
        <f t="shared" si="28"/>
        <v>44</v>
      </c>
    </row>
    <row r="352" spans="16:38">
      <c r="P352" s="53">
        <v>349</v>
      </c>
      <c r="Q352" s="54">
        <v>6</v>
      </c>
      <c r="R352" s="54">
        <v>33</v>
      </c>
      <c r="W352" s="31">
        <v>349</v>
      </c>
      <c r="X352" s="56">
        <v>0.56000000000000005</v>
      </c>
      <c r="Y352" s="31">
        <v>39</v>
      </c>
      <c r="AB352" s="58">
        <f t="shared" si="26"/>
        <v>0.56000000000000005</v>
      </c>
      <c r="AC352" s="54">
        <f t="shared" si="27"/>
        <v>39</v>
      </c>
      <c r="AF352" s="51">
        <v>349</v>
      </c>
      <c r="AG352" s="6">
        <v>26</v>
      </c>
      <c r="AH352" s="6">
        <v>39</v>
      </c>
      <c r="AK352" s="31">
        <f t="shared" si="28"/>
        <v>26</v>
      </c>
      <c r="AL352" s="31">
        <f t="shared" si="28"/>
        <v>39</v>
      </c>
    </row>
    <row r="353" spans="16:38">
      <c r="P353" s="53">
        <v>350</v>
      </c>
      <c r="Q353" s="54">
        <v>4</v>
      </c>
      <c r="R353" s="54">
        <v>19</v>
      </c>
      <c r="W353" s="31">
        <v>350</v>
      </c>
      <c r="X353" s="56">
        <v>0.56000000000000005</v>
      </c>
      <c r="Y353" s="31">
        <v>23</v>
      </c>
      <c r="AB353" s="58">
        <f t="shared" si="26"/>
        <v>0.56000000000000005</v>
      </c>
      <c r="AC353" s="54">
        <f t="shared" si="27"/>
        <v>23</v>
      </c>
      <c r="AF353" s="51">
        <v>350</v>
      </c>
      <c r="AG353" s="6">
        <v>26</v>
      </c>
      <c r="AH353" s="6">
        <v>23</v>
      </c>
      <c r="AK353" s="31">
        <f t="shared" si="28"/>
        <v>26</v>
      </c>
      <c r="AL353" s="31">
        <f t="shared" si="28"/>
        <v>23</v>
      </c>
    </row>
    <row r="354" spans="16:38">
      <c r="P354" s="53">
        <v>351</v>
      </c>
      <c r="Q354" s="54">
        <v>3</v>
      </c>
      <c r="R354" s="54">
        <v>13</v>
      </c>
      <c r="W354" s="31">
        <v>351</v>
      </c>
      <c r="X354" s="56">
        <v>0.56000000000000005</v>
      </c>
      <c r="Y354" s="31">
        <v>16</v>
      </c>
      <c r="AB354" s="58">
        <f t="shared" si="26"/>
        <v>0.56000000000000005</v>
      </c>
      <c r="AC354" s="54">
        <f t="shared" si="27"/>
        <v>16</v>
      </c>
      <c r="AF354" s="51">
        <v>351</v>
      </c>
      <c r="AG354" s="6">
        <v>26</v>
      </c>
      <c r="AH354" s="6">
        <v>16</v>
      </c>
      <c r="AK354" s="31">
        <f t="shared" si="28"/>
        <v>26</v>
      </c>
      <c r="AL354" s="31">
        <f t="shared" si="28"/>
        <v>16</v>
      </c>
    </row>
    <row r="355" spans="16:38">
      <c r="P355" s="53">
        <v>352</v>
      </c>
      <c r="Q355" s="54">
        <v>9</v>
      </c>
      <c r="R355" s="54">
        <v>6</v>
      </c>
      <c r="W355" s="31">
        <v>352</v>
      </c>
      <c r="X355" s="56">
        <v>0.69</v>
      </c>
      <c r="Y355" s="31">
        <v>15</v>
      </c>
      <c r="AB355" s="58">
        <f t="shared" si="26"/>
        <v>0.69</v>
      </c>
      <c r="AC355" s="54">
        <f t="shared" si="27"/>
        <v>15</v>
      </c>
      <c r="AF355" s="51">
        <v>352</v>
      </c>
      <c r="AG355" s="6">
        <v>22</v>
      </c>
      <c r="AH355" s="6">
        <v>15</v>
      </c>
      <c r="AK355" s="31">
        <f t="shared" si="28"/>
        <v>22</v>
      </c>
      <c r="AL355" s="31">
        <f t="shared" si="28"/>
        <v>15</v>
      </c>
    </row>
    <row r="356" spans="16:38">
      <c r="P356" s="53">
        <v>353</v>
      </c>
      <c r="Q356" s="54">
        <v>0</v>
      </c>
      <c r="R356" s="54">
        <v>1</v>
      </c>
      <c r="W356" s="31">
        <v>353</v>
      </c>
      <c r="X356" s="56">
        <v>0.56000000000000005</v>
      </c>
      <c r="Y356" s="31">
        <v>1</v>
      </c>
      <c r="AB356" s="58">
        <f t="shared" si="26"/>
        <v>0.56000000000000005</v>
      </c>
      <c r="AC356" s="54">
        <f t="shared" si="27"/>
        <v>1</v>
      </c>
      <c r="AF356" s="51">
        <v>353</v>
      </c>
      <c r="AG356" s="6">
        <v>26</v>
      </c>
      <c r="AH356" s="6">
        <v>1</v>
      </c>
      <c r="AK356" s="31">
        <f t="shared" si="28"/>
        <v>26</v>
      </c>
      <c r="AL356" s="31">
        <f t="shared" si="28"/>
        <v>1</v>
      </c>
    </row>
    <row r="357" spans="16:38">
      <c r="P357" s="53">
        <v>354</v>
      </c>
      <c r="Q357" s="54">
        <v>1</v>
      </c>
      <c r="R357" s="54">
        <v>1</v>
      </c>
      <c r="W357" s="31">
        <v>354</v>
      </c>
      <c r="X357" s="56">
        <v>0.56000000000000005</v>
      </c>
      <c r="Y357" s="31">
        <v>2</v>
      </c>
      <c r="AB357" s="58">
        <f t="shared" si="26"/>
        <v>0.56000000000000005</v>
      </c>
      <c r="AC357" s="54">
        <f t="shared" si="27"/>
        <v>2</v>
      </c>
      <c r="AF357" s="51">
        <v>354</v>
      </c>
      <c r="AG357" s="6">
        <v>26</v>
      </c>
      <c r="AH357" s="6">
        <v>2</v>
      </c>
      <c r="AK357" s="31">
        <f t="shared" si="28"/>
        <v>26</v>
      </c>
      <c r="AL357" s="31">
        <f t="shared" si="28"/>
        <v>2</v>
      </c>
    </row>
    <row r="358" spans="16:38">
      <c r="P358" s="53">
        <v>355</v>
      </c>
      <c r="Q358" s="54">
        <v>0</v>
      </c>
      <c r="R358" s="54">
        <v>1</v>
      </c>
      <c r="W358" s="31">
        <v>355</v>
      </c>
      <c r="X358" s="56">
        <v>0.56000000000000005</v>
      </c>
      <c r="Y358" s="31">
        <v>1</v>
      </c>
      <c r="AB358" s="58">
        <f t="shared" si="26"/>
        <v>0.56000000000000005</v>
      </c>
      <c r="AC358" s="54">
        <f t="shared" si="27"/>
        <v>1</v>
      </c>
      <c r="AF358" s="51">
        <v>355</v>
      </c>
      <c r="AG358" s="6">
        <v>26</v>
      </c>
      <c r="AH358" s="6">
        <v>1</v>
      </c>
      <c r="AK358" s="31">
        <f t="shared" si="28"/>
        <v>26</v>
      </c>
      <c r="AL358" s="31">
        <f t="shared" si="28"/>
        <v>1</v>
      </c>
    </row>
    <row r="359" spans="16:38">
      <c r="P359" s="53">
        <v>356</v>
      </c>
      <c r="Q359" s="54">
        <v>0</v>
      </c>
      <c r="R359" s="54">
        <v>3</v>
      </c>
      <c r="W359" s="31">
        <v>356</v>
      </c>
      <c r="X359" s="56">
        <v>0.56000000000000005</v>
      </c>
      <c r="Y359" s="31">
        <v>3</v>
      </c>
      <c r="AB359" s="58">
        <f t="shared" si="26"/>
        <v>0.56000000000000005</v>
      </c>
      <c r="AC359" s="54">
        <f t="shared" si="27"/>
        <v>3</v>
      </c>
      <c r="AF359" s="51">
        <v>356</v>
      </c>
      <c r="AG359" s="6">
        <v>24</v>
      </c>
      <c r="AH359" s="6">
        <v>3</v>
      </c>
      <c r="AK359" s="31">
        <f t="shared" si="28"/>
        <v>24</v>
      </c>
      <c r="AL359" s="31">
        <f t="shared" si="28"/>
        <v>3</v>
      </c>
    </row>
    <row r="360" spans="16:38">
      <c r="P360" s="53">
        <v>357</v>
      </c>
      <c r="Q360" s="54">
        <v>0</v>
      </c>
      <c r="R360" s="54">
        <v>18</v>
      </c>
      <c r="W360" s="31">
        <v>357</v>
      </c>
      <c r="X360" s="56">
        <v>0.55000000000000004</v>
      </c>
      <c r="Y360" s="31">
        <v>18</v>
      </c>
      <c r="AB360" s="58">
        <f t="shared" si="26"/>
        <v>0.55000000000000004</v>
      </c>
      <c r="AC360" s="54">
        <f t="shared" si="27"/>
        <v>18</v>
      </c>
      <c r="AF360" s="51">
        <v>357</v>
      </c>
      <c r="AG360" s="6">
        <v>22</v>
      </c>
      <c r="AH360" s="6">
        <v>18</v>
      </c>
      <c r="AK360" s="31">
        <f t="shared" si="28"/>
        <v>22</v>
      </c>
      <c r="AL360" s="31">
        <f t="shared" si="28"/>
        <v>18</v>
      </c>
    </row>
    <row r="361" spans="16:38">
      <c r="P361" s="53">
        <v>358</v>
      </c>
      <c r="Q361" s="54">
        <v>3</v>
      </c>
      <c r="R361" s="54">
        <v>29</v>
      </c>
      <c r="W361" s="31">
        <v>358</v>
      </c>
      <c r="X361" s="56">
        <v>0.51</v>
      </c>
      <c r="Y361" s="31">
        <v>32</v>
      </c>
      <c r="AB361" s="58">
        <f t="shared" si="26"/>
        <v>0.51</v>
      </c>
      <c r="AC361" s="54">
        <f t="shared" si="27"/>
        <v>32</v>
      </c>
      <c r="AF361" s="51">
        <v>358</v>
      </c>
      <c r="AG361" s="6">
        <v>22</v>
      </c>
      <c r="AH361" s="6">
        <v>32</v>
      </c>
      <c r="AK361" s="31">
        <f t="shared" si="28"/>
        <v>22</v>
      </c>
      <c r="AL361" s="31">
        <f t="shared" si="28"/>
        <v>32</v>
      </c>
    </row>
    <row r="362" spans="16:38">
      <c r="P362" s="53">
        <v>359</v>
      </c>
      <c r="Q362" s="54">
        <v>8</v>
      </c>
      <c r="R362" s="54">
        <v>71</v>
      </c>
      <c r="W362" s="31">
        <v>359</v>
      </c>
      <c r="X362" s="56">
        <v>0.51</v>
      </c>
      <c r="Y362" s="31">
        <v>79</v>
      </c>
      <c r="AB362" s="58">
        <f t="shared" si="26"/>
        <v>0.51</v>
      </c>
      <c r="AC362" s="54">
        <f t="shared" si="27"/>
        <v>79</v>
      </c>
      <c r="AF362" s="51">
        <v>359</v>
      </c>
      <c r="AG362" s="6">
        <v>22</v>
      </c>
      <c r="AH362" s="6">
        <v>79</v>
      </c>
      <c r="AK362" s="31">
        <f t="shared" si="28"/>
        <v>22</v>
      </c>
      <c r="AL362" s="31">
        <f t="shared" si="28"/>
        <v>79</v>
      </c>
    </row>
    <row r="363" spans="16:38">
      <c r="P363" s="53">
        <v>360</v>
      </c>
      <c r="Q363" s="54">
        <v>23</v>
      </c>
      <c r="R363" s="54">
        <v>70</v>
      </c>
      <c r="W363" s="31">
        <v>360</v>
      </c>
      <c r="X363" s="56">
        <v>0.44</v>
      </c>
      <c r="Y363" s="31">
        <v>93</v>
      </c>
      <c r="AB363" s="58">
        <f t="shared" si="26"/>
        <v>0.44</v>
      </c>
      <c r="AC363" s="54">
        <f t="shared" si="27"/>
        <v>93</v>
      </c>
      <c r="AF363" s="51">
        <v>360</v>
      </c>
      <c r="AG363" s="6">
        <v>24</v>
      </c>
      <c r="AH363" s="6">
        <v>93</v>
      </c>
      <c r="AK363" s="31">
        <f t="shared" si="28"/>
        <v>24</v>
      </c>
      <c r="AL363" s="31">
        <f t="shared" si="28"/>
        <v>93</v>
      </c>
    </row>
    <row r="364" spans="16:38">
      <c r="P364" s="53">
        <v>361</v>
      </c>
      <c r="Q364" s="54">
        <v>29</v>
      </c>
      <c r="R364" s="54">
        <v>75</v>
      </c>
      <c r="W364" s="31">
        <v>361</v>
      </c>
      <c r="X364" s="56">
        <v>0.41</v>
      </c>
      <c r="Y364" s="31">
        <v>104</v>
      </c>
      <c r="AB364" s="58">
        <f t="shared" si="26"/>
        <v>0.41</v>
      </c>
      <c r="AC364" s="54">
        <f t="shared" si="27"/>
        <v>104</v>
      </c>
      <c r="AF364" s="51">
        <v>361</v>
      </c>
      <c r="AG364" s="6">
        <v>24</v>
      </c>
      <c r="AH364" s="6">
        <v>104</v>
      </c>
      <c r="AK364" s="31">
        <f t="shared" si="28"/>
        <v>24</v>
      </c>
      <c r="AL364" s="31">
        <f t="shared" si="28"/>
        <v>104</v>
      </c>
    </row>
    <row r="365" spans="16:38">
      <c r="P365" s="53">
        <v>362</v>
      </c>
      <c r="Q365" s="54">
        <v>23</v>
      </c>
      <c r="R365" s="54">
        <v>95</v>
      </c>
      <c r="W365" s="31">
        <v>362</v>
      </c>
      <c r="X365" s="56">
        <v>0.35</v>
      </c>
      <c r="Y365" s="31">
        <v>118</v>
      </c>
      <c r="AB365" s="58">
        <f t="shared" si="26"/>
        <v>0.35</v>
      </c>
      <c r="AC365" s="54">
        <f t="shared" si="27"/>
        <v>118</v>
      </c>
      <c r="AF365" s="51">
        <v>362</v>
      </c>
      <c r="AG365" s="6">
        <v>26</v>
      </c>
      <c r="AH365" s="6">
        <v>118</v>
      </c>
      <c r="AK365" s="31">
        <f t="shared" si="28"/>
        <v>26</v>
      </c>
      <c r="AL365" s="31">
        <f t="shared" si="28"/>
        <v>118</v>
      </c>
    </row>
    <row r="366" spans="16:38">
      <c r="P366" s="53">
        <v>363</v>
      </c>
      <c r="Q366" s="54">
        <v>22</v>
      </c>
      <c r="R366" s="54">
        <v>69</v>
      </c>
      <c r="W366" s="31">
        <v>363</v>
      </c>
      <c r="X366" s="56">
        <v>0.36</v>
      </c>
      <c r="Y366" s="31">
        <v>91</v>
      </c>
      <c r="AB366" s="58">
        <f t="shared" si="26"/>
        <v>0.36</v>
      </c>
      <c r="AC366" s="54">
        <f t="shared" si="27"/>
        <v>91</v>
      </c>
      <c r="AF366" s="51">
        <v>363</v>
      </c>
      <c r="AG366" s="6">
        <v>28.000000000000004</v>
      </c>
      <c r="AH366" s="6">
        <v>91</v>
      </c>
      <c r="AK366" s="31">
        <f t="shared" si="28"/>
        <v>28.000000000000004</v>
      </c>
      <c r="AL366" s="31">
        <f t="shared" si="28"/>
        <v>91</v>
      </c>
    </row>
    <row r="367" spans="16:38">
      <c r="P367" s="53">
        <v>364</v>
      </c>
      <c r="Q367" s="54">
        <v>35</v>
      </c>
      <c r="R367" s="54">
        <v>78</v>
      </c>
      <c r="W367" s="31">
        <v>364</v>
      </c>
      <c r="X367" s="56">
        <v>0.38</v>
      </c>
      <c r="Y367" s="31">
        <v>113</v>
      </c>
      <c r="AB367" s="58">
        <f t="shared" si="26"/>
        <v>0.38</v>
      </c>
      <c r="AC367" s="54">
        <f t="shared" si="27"/>
        <v>113</v>
      </c>
      <c r="AF367" s="51">
        <v>364</v>
      </c>
      <c r="AG367" s="6">
        <v>26</v>
      </c>
      <c r="AH367" s="6">
        <v>113</v>
      </c>
      <c r="AK367" s="31">
        <f t="shared" si="28"/>
        <v>26</v>
      </c>
      <c r="AL367" s="31">
        <f t="shared" si="28"/>
        <v>113</v>
      </c>
    </row>
    <row r="368" spans="16:38">
      <c r="P368" s="53">
        <v>365</v>
      </c>
      <c r="Q368" s="54">
        <v>22</v>
      </c>
      <c r="R368" s="54">
        <v>77</v>
      </c>
      <c r="W368" s="31">
        <v>365</v>
      </c>
      <c r="X368" s="56">
        <v>0.38</v>
      </c>
      <c r="Y368" s="31">
        <v>99</v>
      </c>
      <c r="AB368" s="58">
        <f t="shared" si="26"/>
        <v>0.38</v>
      </c>
      <c r="AC368" s="54">
        <f t="shared" si="27"/>
        <v>99</v>
      </c>
      <c r="AF368" s="51">
        <v>365</v>
      </c>
      <c r="AG368" s="6">
        <v>24</v>
      </c>
      <c r="AH368" s="6">
        <v>99</v>
      </c>
      <c r="AK368" s="31">
        <f t="shared" si="28"/>
        <v>24</v>
      </c>
      <c r="AL368" s="31">
        <f t="shared" si="28"/>
        <v>99</v>
      </c>
    </row>
    <row r="369" spans="16:38">
      <c r="P369" s="53">
        <v>366</v>
      </c>
      <c r="Q369" s="54">
        <v>23</v>
      </c>
      <c r="R369" s="54">
        <v>82</v>
      </c>
      <c r="W369" s="31">
        <v>366</v>
      </c>
      <c r="X369" s="56">
        <v>0.37</v>
      </c>
      <c r="Y369" s="31">
        <v>105</v>
      </c>
      <c r="AB369" s="58">
        <f t="shared" si="26"/>
        <v>0.37</v>
      </c>
      <c r="AC369" s="54">
        <f t="shared" si="27"/>
        <v>105</v>
      </c>
      <c r="AF369" s="51">
        <v>366</v>
      </c>
      <c r="AG369" s="6">
        <v>22</v>
      </c>
      <c r="AH369" s="6">
        <v>105</v>
      </c>
      <c r="AK369" s="31">
        <f t="shared" si="28"/>
        <v>22</v>
      </c>
      <c r="AL369" s="31">
        <f t="shared" si="28"/>
        <v>105</v>
      </c>
    </row>
    <row r="370" spans="16:38">
      <c r="P370" s="53">
        <v>367</v>
      </c>
      <c r="Q370" s="54">
        <v>11</v>
      </c>
      <c r="R370" s="54">
        <v>56</v>
      </c>
      <c r="W370" s="31">
        <v>367</v>
      </c>
      <c r="X370" s="56">
        <v>0.4</v>
      </c>
      <c r="Y370" s="31">
        <v>67</v>
      </c>
      <c r="AB370" s="58">
        <f t="shared" si="26"/>
        <v>0.4</v>
      </c>
      <c r="AC370" s="54">
        <f t="shared" si="27"/>
        <v>67</v>
      </c>
      <c r="AF370" s="51">
        <v>367</v>
      </c>
      <c r="AG370" s="6">
        <v>20</v>
      </c>
      <c r="AH370" s="6">
        <v>67</v>
      </c>
      <c r="AK370" s="31">
        <f t="shared" si="28"/>
        <v>20</v>
      </c>
      <c r="AL370" s="31">
        <f t="shared" si="28"/>
        <v>67</v>
      </c>
    </row>
    <row r="371" spans="16:38">
      <c r="P371" s="53">
        <v>368</v>
      </c>
      <c r="Q371" s="54">
        <v>14</v>
      </c>
      <c r="R371" s="54">
        <v>47</v>
      </c>
      <c r="W371" s="31">
        <v>368</v>
      </c>
      <c r="X371" s="56">
        <v>0.47</v>
      </c>
      <c r="Y371" s="31">
        <v>61</v>
      </c>
      <c r="AB371" s="58">
        <f t="shared" si="26"/>
        <v>0.47</v>
      </c>
      <c r="AC371" s="54">
        <f t="shared" si="27"/>
        <v>61</v>
      </c>
      <c r="AF371" s="51">
        <v>368</v>
      </c>
      <c r="AG371" s="6">
        <v>18</v>
      </c>
      <c r="AH371" s="6">
        <v>61</v>
      </c>
      <c r="AK371" s="31">
        <f t="shared" si="28"/>
        <v>18</v>
      </c>
      <c r="AL371" s="31">
        <f t="shared" si="28"/>
        <v>61</v>
      </c>
    </row>
    <row r="372" spans="16:38">
      <c r="P372" s="53">
        <v>369</v>
      </c>
      <c r="Q372" s="54">
        <v>7</v>
      </c>
      <c r="R372" s="54">
        <v>50</v>
      </c>
      <c r="W372" s="31">
        <v>369</v>
      </c>
      <c r="X372" s="56">
        <v>0.47</v>
      </c>
      <c r="Y372" s="31">
        <v>57</v>
      </c>
      <c r="AB372" s="58">
        <f t="shared" si="26"/>
        <v>0.47</v>
      </c>
      <c r="AC372" s="54">
        <f t="shared" si="27"/>
        <v>57</v>
      </c>
      <c r="AF372" s="51">
        <v>369</v>
      </c>
      <c r="AG372" s="6">
        <v>18</v>
      </c>
      <c r="AH372" s="6">
        <v>57</v>
      </c>
      <c r="AK372" s="31">
        <f t="shared" si="28"/>
        <v>18</v>
      </c>
      <c r="AL372" s="31">
        <f t="shared" si="28"/>
        <v>57</v>
      </c>
    </row>
    <row r="373" spans="16:38">
      <c r="P373" s="53">
        <v>370</v>
      </c>
      <c r="Q373" s="54">
        <v>6</v>
      </c>
      <c r="R373" s="54">
        <v>22</v>
      </c>
      <c r="W373" s="31">
        <v>370</v>
      </c>
      <c r="X373" s="56">
        <v>0.51</v>
      </c>
      <c r="Y373" s="31">
        <v>28</v>
      </c>
      <c r="AB373" s="58">
        <f t="shared" si="26"/>
        <v>0.51</v>
      </c>
      <c r="AC373" s="54">
        <f t="shared" si="27"/>
        <v>28</v>
      </c>
      <c r="AF373" s="51">
        <v>370</v>
      </c>
      <c r="AG373" s="6">
        <v>18</v>
      </c>
      <c r="AH373" s="6">
        <v>28</v>
      </c>
      <c r="AK373" s="31">
        <f t="shared" si="28"/>
        <v>18</v>
      </c>
      <c r="AL373" s="31">
        <f t="shared" si="28"/>
        <v>28</v>
      </c>
    </row>
    <row r="374" spans="16:38">
      <c r="P374" s="53">
        <v>371</v>
      </c>
      <c r="Q374" s="54">
        <v>2</v>
      </c>
      <c r="R374" s="54">
        <v>19</v>
      </c>
      <c r="W374" s="31">
        <v>371</v>
      </c>
      <c r="X374" s="56">
        <v>0.49</v>
      </c>
      <c r="Y374" s="31">
        <v>21</v>
      </c>
      <c r="AB374" s="58">
        <f t="shared" si="26"/>
        <v>0.49</v>
      </c>
      <c r="AC374" s="54">
        <f t="shared" si="27"/>
        <v>21</v>
      </c>
      <c r="AF374" s="51">
        <v>371</v>
      </c>
      <c r="AG374" s="6">
        <v>20</v>
      </c>
      <c r="AH374" s="6">
        <v>21</v>
      </c>
      <c r="AK374" s="31">
        <f t="shared" si="28"/>
        <v>20</v>
      </c>
      <c r="AL374" s="31">
        <f t="shared" si="28"/>
        <v>21</v>
      </c>
    </row>
    <row r="375" spans="16:38">
      <c r="P375" s="53">
        <v>372</v>
      </c>
      <c r="Q375" s="54">
        <v>0</v>
      </c>
      <c r="R375" s="54">
        <v>18</v>
      </c>
      <c r="W375" s="31">
        <v>372</v>
      </c>
      <c r="X375" s="56">
        <v>0.4</v>
      </c>
      <c r="Y375" s="31">
        <v>18</v>
      </c>
      <c r="AB375" s="58">
        <f t="shared" si="26"/>
        <v>0.4</v>
      </c>
      <c r="AC375" s="54">
        <f t="shared" si="27"/>
        <v>18</v>
      </c>
      <c r="AF375" s="51">
        <v>372</v>
      </c>
      <c r="AG375" s="6">
        <v>20</v>
      </c>
      <c r="AH375" s="6">
        <v>18</v>
      </c>
      <c r="AK375" s="31">
        <f t="shared" si="28"/>
        <v>20</v>
      </c>
      <c r="AL375" s="31">
        <f t="shared" si="28"/>
        <v>18</v>
      </c>
    </row>
    <row r="376" spans="16:38">
      <c r="P376" s="53">
        <v>373</v>
      </c>
      <c r="Q376" s="54">
        <v>1</v>
      </c>
      <c r="R376" s="54">
        <v>16</v>
      </c>
      <c r="W376" s="31">
        <v>373</v>
      </c>
      <c r="X376" s="56">
        <v>0.47</v>
      </c>
      <c r="Y376" s="31">
        <v>17</v>
      </c>
      <c r="AB376" s="58">
        <f t="shared" si="26"/>
        <v>0.47</v>
      </c>
      <c r="AC376" s="54">
        <f t="shared" si="27"/>
        <v>17</v>
      </c>
      <c r="AF376" s="51">
        <v>373</v>
      </c>
      <c r="AG376" s="6">
        <v>20</v>
      </c>
      <c r="AH376" s="6">
        <v>17</v>
      </c>
      <c r="AK376" s="31">
        <f t="shared" si="28"/>
        <v>20</v>
      </c>
      <c r="AL376" s="31">
        <f t="shared" si="28"/>
        <v>17</v>
      </c>
    </row>
    <row r="377" spans="16:38">
      <c r="P377" s="53">
        <v>374</v>
      </c>
      <c r="Q377" s="54">
        <v>1</v>
      </c>
      <c r="R377" s="54">
        <v>15</v>
      </c>
      <c r="W377" s="31">
        <v>374</v>
      </c>
      <c r="X377" s="56">
        <v>0.44</v>
      </c>
      <c r="Y377" s="31">
        <v>16</v>
      </c>
      <c r="AB377" s="58">
        <f t="shared" si="26"/>
        <v>0.44</v>
      </c>
      <c r="AC377" s="54">
        <f t="shared" si="27"/>
        <v>16</v>
      </c>
      <c r="AF377" s="51">
        <v>374</v>
      </c>
      <c r="AG377" s="6">
        <v>20</v>
      </c>
      <c r="AH377" s="6">
        <v>16</v>
      </c>
      <c r="AK377" s="31">
        <f t="shared" si="28"/>
        <v>20</v>
      </c>
      <c r="AL377" s="31">
        <f t="shared" si="28"/>
        <v>16</v>
      </c>
    </row>
    <row r="378" spans="16:38">
      <c r="P378" s="53">
        <v>375</v>
      </c>
      <c r="Q378" s="54">
        <v>0</v>
      </c>
      <c r="R378" s="54">
        <v>8</v>
      </c>
      <c r="W378" s="31">
        <v>375</v>
      </c>
      <c r="X378" s="56">
        <v>0.43</v>
      </c>
      <c r="Y378" s="31">
        <v>8</v>
      </c>
      <c r="AB378" s="58">
        <f t="shared" si="26"/>
        <v>0.43</v>
      </c>
      <c r="AC378" s="54">
        <f t="shared" si="27"/>
        <v>8</v>
      </c>
      <c r="AF378" s="51">
        <v>375</v>
      </c>
      <c r="AG378" s="6">
        <v>18</v>
      </c>
      <c r="AH378" s="6">
        <v>8</v>
      </c>
      <c r="AK378" s="31">
        <f t="shared" si="28"/>
        <v>18</v>
      </c>
      <c r="AL378" s="31">
        <f t="shared" si="28"/>
        <v>8</v>
      </c>
    </row>
    <row r="379" spans="16:38">
      <c r="P379" s="53">
        <v>376</v>
      </c>
      <c r="Q379" s="54">
        <v>0</v>
      </c>
      <c r="R379" s="54">
        <v>2</v>
      </c>
      <c r="W379" s="31">
        <v>376</v>
      </c>
      <c r="X379" s="56">
        <v>0.43</v>
      </c>
      <c r="Y379" s="31">
        <v>2</v>
      </c>
      <c r="AB379" s="58">
        <f t="shared" si="26"/>
        <v>0.43</v>
      </c>
      <c r="AC379" s="54">
        <f t="shared" si="27"/>
        <v>2</v>
      </c>
      <c r="AF379" s="51">
        <v>376</v>
      </c>
      <c r="AG379" s="6">
        <v>18</v>
      </c>
      <c r="AH379" s="6">
        <v>2</v>
      </c>
      <c r="AK379" s="31">
        <f t="shared" si="28"/>
        <v>18</v>
      </c>
      <c r="AL379" s="31">
        <f t="shared" si="28"/>
        <v>2</v>
      </c>
    </row>
    <row r="380" spans="16:38">
      <c r="P380" s="53">
        <v>377</v>
      </c>
      <c r="Q380" s="54">
        <v>1</v>
      </c>
      <c r="R380" s="54">
        <v>2</v>
      </c>
      <c r="W380" s="31">
        <v>377</v>
      </c>
      <c r="X380" s="56">
        <v>0.43</v>
      </c>
      <c r="Y380" s="31">
        <v>3</v>
      </c>
      <c r="AB380" s="58">
        <f t="shared" si="26"/>
        <v>0.43</v>
      </c>
      <c r="AC380" s="54">
        <f t="shared" si="27"/>
        <v>3</v>
      </c>
      <c r="AF380" s="51">
        <v>377</v>
      </c>
      <c r="AG380" s="6">
        <v>18</v>
      </c>
      <c r="AH380" s="6">
        <v>3</v>
      </c>
      <c r="AK380" s="31">
        <f t="shared" si="28"/>
        <v>18</v>
      </c>
      <c r="AL380" s="31">
        <f t="shared" si="28"/>
        <v>3</v>
      </c>
    </row>
    <row r="381" spans="16:38">
      <c r="P381" s="53">
        <v>378</v>
      </c>
      <c r="Q381" s="54">
        <v>0</v>
      </c>
      <c r="R381" s="54">
        <v>1</v>
      </c>
      <c r="W381" s="31">
        <v>378</v>
      </c>
      <c r="X381" s="56">
        <v>0.43</v>
      </c>
      <c r="Y381" s="31">
        <v>1</v>
      </c>
      <c r="AB381" s="58">
        <f t="shared" si="26"/>
        <v>0.43</v>
      </c>
      <c r="AC381" s="54">
        <f t="shared" si="27"/>
        <v>1</v>
      </c>
      <c r="AF381" s="51">
        <v>378</v>
      </c>
      <c r="AG381" s="6">
        <v>18</v>
      </c>
      <c r="AH381" s="6">
        <v>1</v>
      </c>
      <c r="AK381" s="31">
        <f t="shared" si="28"/>
        <v>18</v>
      </c>
      <c r="AL381" s="31">
        <f t="shared" si="28"/>
        <v>1</v>
      </c>
    </row>
    <row r="382" spans="16:38">
      <c r="P382" s="53">
        <v>379</v>
      </c>
      <c r="Q382" s="54">
        <v>0</v>
      </c>
      <c r="R382" s="54">
        <v>5</v>
      </c>
      <c r="W382" s="31">
        <v>379</v>
      </c>
      <c r="X382" s="56">
        <v>0.43</v>
      </c>
      <c r="Y382" s="31">
        <v>5</v>
      </c>
      <c r="AB382" s="58">
        <f t="shared" si="26"/>
        <v>0.43</v>
      </c>
      <c r="AC382" s="54">
        <f t="shared" si="27"/>
        <v>5</v>
      </c>
      <c r="AF382" s="51">
        <v>379</v>
      </c>
      <c r="AG382" s="6">
        <v>18</v>
      </c>
      <c r="AH382" s="6">
        <v>5</v>
      </c>
      <c r="AK382" s="31">
        <f t="shared" si="28"/>
        <v>18</v>
      </c>
      <c r="AL382" s="31">
        <f t="shared" si="28"/>
        <v>5</v>
      </c>
    </row>
    <row r="383" spans="16:38">
      <c r="P383" s="53">
        <v>380</v>
      </c>
      <c r="Q383" s="54">
        <v>4</v>
      </c>
      <c r="R383" s="54">
        <v>9</v>
      </c>
      <c r="W383" s="31">
        <v>380</v>
      </c>
      <c r="X383" s="56">
        <v>0.5</v>
      </c>
      <c r="Y383" s="31">
        <v>13</v>
      </c>
      <c r="AB383" s="58">
        <f t="shared" si="26"/>
        <v>0.5</v>
      </c>
      <c r="AC383" s="54">
        <f t="shared" si="27"/>
        <v>13</v>
      </c>
      <c r="AF383" s="51">
        <v>380</v>
      </c>
      <c r="AG383" s="6">
        <v>16</v>
      </c>
      <c r="AH383" s="6">
        <v>13</v>
      </c>
      <c r="AK383" s="31">
        <f t="shared" si="28"/>
        <v>16</v>
      </c>
      <c r="AL383" s="31">
        <f t="shared" si="28"/>
        <v>13</v>
      </c>
    </row>
    <row r="384" spans="16:38">
      <c r="P384" s="53">
        <v>381</v>
      </c>
      <c r="Q384" s="54">
        <v>3</v>
      </c>
      <c r="R384" s="54">
        <v>30</v>
      </c>
      <c r="W384" s="31">
        <v>381</v>
      </c>
      <c r="X384" s="56">
        <v>0.47</v>
      </c>
      <c r="Y384" s="31">
        <v>33</v>
      </c>
      <c r="AB384" s="58">
        <f t="shared" si="26"/>
        <v>0.47</v>
      </c>
      <c r="AC384" s="54">
        <f t="shared" si="27"/>
        <v>33</v>
      </c>
      <c r="AF384" s="51">
        <v>381</v>
      </c>
      <c r="AG384" s="6">
        <v>16</v>
      </c>
      <c r="AH384" s="6">
        <v>33</v>
      </c>
      <c r="AK384" s="31">
        <f t="shared" si="28"/>
        <v>16</v>
      </c>
      <c r="AL384" s="31">
        <f t="shared" si="28"/>
        <v>33</v>
      </c>
    </row>
    <row r="385" spans="16:38">
      <c r="P385" s="53">
        <v>382</v>
      </c>
      <c r="Q385" s="54">
        <v>8</v>
      </c>
      <c r="R385" s="54">
        <v>39</v>
      </c>
      <c r="W385" s="31">
        <v>382</v>
      </c>
      <c r="X385" s="56">
        <v>0.47</v>
      </c>
      <c r="Y385" s="31">
        <v>47</v>
      </c>
      <c r="AB385" s="58">
        <f t="shared" si="26"/>
        <v>0.47</v>
      </c>
      <c r="AC385" s="54">
        <f t="shared" si="27"/>
        <v>47</v>
      </c>
      <c r="AF385" s="51">
        <v>382</v>
      </c>
      <c r="AG385" s="6">
        <v>16</v>
      </c>
      <c r="AH385" s="6">
        <v>47</v>
      </c>
      <c r="AK385" s="31">
        <f t="shared" si="28"/>
        <v>16</v>
      </c>
      <c r="AL385" s="31">
        <f t="shared" si="28"/>
        <v>47</v>
      </c>
    </row>
    <row r="386" spans="16:38">
      <c r="P386" s="53">
        <v>383</v>
      </c>
      <c r="Q386" s="54">
        <v>7</v>
      </c>
      <c r="R386" s="54">
        <v>50</v>
      </c>
      <c r="W386" s="31">
        <v>383</v>
      </c>
      <c r="X386" s="56">
        <v>0.5</v>
      </c>
      <c r="Y386" s="31">
        <v>57</v>
      </c>
      <c r="AB386" s="58">
        <f t="shared" si="26"/>
        <v>0.5</v>
      </c>
      <c r="AC386" s="54">
        <f t="shared" si="27"/>
        <v>57</v>
      </c>
      <c r="AF386" s="51">
        <v>383</v>
      </c>
      <c r="AG386" s="6">
        <v>16</v>
      </c>
      <c r="AH386" s="6">
        <v>57</v>
      </c>
      <c r="AK386" s="31">
        <f t="shared" si="28"/>
        <v>16</v>
      </c>
      <c r="AL386" s="31">
        <f t="shared" si="28"/>
        <v>57</v>
      </c>
    </row>
    <row r="387" spans="16:38">
      <c r="P387" s="53">
        <v>384</v>
      </c>
      <c r="Q387" s="54">
        <v>9</v>
      </c>
      <c r="R387" s="54">
        <v>55</v>
      </c>
      <c r="W387" s="31">
        <v>384</v>
      </c>
      <c r="X387" s="56">
        <v>0.55000000000000004</v>
      </c>
      <c r="Y387" s="31">
        <v>64</v>
      </c>
      <c r="AB387" s="58">
        <f t="shared" si="26"/>
        <v>0.55000000000000004</v>
      </c>
      <c r="AC387" s="54">
        <f t="shared" si="27"/>
        <v>64</v>
      </c>
      <c r="AF387" s="51">
        <v>384</v>
      </c>
      <c r="AG387" s="6">
        <v>16</v>
      </c>
      <c r="AH387" s="6">
        <v>64</v>
      </c>
      <c r="AK387" s="31">
        <f t="shared" si="28"/>
        <v>16</v>
      </c>
      <c r="AL387" s="31">
        <f t="shared" si="28"/>
        <v>64</v>
      </c>
    </row>
    <row r="388" spans="16:38">
      <c r="P388" s="53">
        <v>385</v>
      </c>
      <c r="Q388" s="54">
        <v>10</v>
      </c>
      <c r="R388" s="54">
        <v>70</v>
      </c>
      <c r="W388" s="31">
        <v>385</v>
      </c>
      <c r="X388" s="56">
        <v>0.47</v>
      </c>
      <c r="Y388" s="31">
        <v>80</v>
      </c>
      <c r="AB388" s="58">
        <f t="shared" si="26"/>
        <v>0.47</v>
      </c>
      <c r="AC388" s="54">
        <f t="shared" si="27"/>
        <v>80</v>
      </c>
      <c r="AF388" s="51">
        <v>385</v>
      </c>
      <c r="AG388" s="6">
        <v>18</v>
      </c>
      <c r="AH388" s="6">
        <v>80</v>
      </c>
      <c r="AK388" s="31">
        <f t="shared" si="28"/>
        <v>18</v>
      </c>
      <c r="AL388" s="31">
        <f t="shared" si="28"/>
        <v>80</v>
      </c>
    </row>
    <row r="389" spans="16:38">
      <c r="P389" s="53">
        <v>386</v>
      </c>
      <c r="Q389" s="54">
        <v>13</v>
      </c>
      <c r="R389" s="54">
        <v>80</v>
      </c>
      <c r="W389" s="31">
        <v>386</v>
      </c>
      <c r="X389" s="56">
        <v>0.47</v>
      </c>
      <c r="Y389" s="31">
        <v>93</v>
      </c>
      <c r="AB389" s="58">
        <f t="shared" ref="AB389:AB452" si="29">X389</f>
        <v>0.47</v>
      </c>
      <c r="AC389" s="54">
        <f t="shared" ref="AC389:AC452" si="30">Y389</f>
        <v>93</v>
      </c>
      <c r="AF389" s="51">
        <v>386</v>
      </c>
      <c r="AG389" s="6">
        <v>18</v>
      </c>
      <c r="AH389" s="6">
        <v>93</v>
      </c>
      <c r="AK389" s="31">
        <f t="shared" si="28"/>
        <v>18</v>
      </c>
      <c r="AL389" s="31">
        <f t="shared" si="28"/>
        <v>93</v>
      </c>
    </row>
    <row r="390" spans="16:38">
      <c r="P390" s="53">
        <v>387</v>
      </c>
      <c r="Q390" s="54">
        <v>12</v>
      </c>
      <c r="R390" s="54">
        <v>74</v>
      </c>
      <c r="W390" s="31">
        <v>387</v>
      </c>
      <c r="X390" s="56">
        <v>0.43</v>
      </c>
      <c r="Y390" s="31">
        <v>86</v>
      </c>
      <c r="AB390" s="58">
        <f t="shared" si="29"/>
        <v>0.43</v>
      </c>
      <c r="AC390" s="54">
        <f t="shared" si="30"/>
        <v>86</v>
      </c>
      <c r="AF390" s="51">
        <v>387</v>
      </c>
      <c r="AG390" s="6">
        <v>18</v>
      </c>
      <c r="AH390" s="6">
        <v>86</v>
      </c>
      <c r="AK390" s="31">
        <f t="shared" si="28"/>
        <v>18</v>
      </c>
      <c r="AL390" s="31">
        <f t="shared" si="28"/>
        <v>86</v>
      </c>
    </row>
    <row r="391" spans="16:38">
      <c r="P391" s="53">
        <v>388</v>
      </c>
      <c r="Q391" s="54">
        <v>21</v>
      </c>
      <c r="R391" s="54">
        <v>72</v>
      </c>
      <c r="W391" s="31">
        <v>388</v>
      </c>
      <c r="X391" s="56">
        <v>0.47</v>
      </c>
      <c r="Y391" s="31">
        <v>93</v>
      </c>
      <c r="AB391" s="58">
        <f t="shared" si="29"/>
        <v>0.47</v>
      </c>
      <c r="AC391" s="54">
        <f t="shared" si="30"/>
        <v>93</v>
      </c>
      <c r="AF391" s="51">
        <v>388</v>
      </c>
      <c r="AG391" s="6">
        <v>20</v>
      </c>
      <c r="AH391" s="6">
        <v>93</v>
      </c>
      <c r="AK391" s="31">
        <f t="shared" si="28"/>
        <v>20</v>
      </c>
      <c r="AL391" s="31">
        <f t="shared" si="28"/>
        <v>93</v>
      </c>
    </row>
    <row r="392" spans="16:38">
      <c r="P392" s="53">
        <v>389</v>
      </c>
      <c r="Q392" s="54">
        <v>6</v>
      </c>
      <c r="R392" s="54">
        <v>76</v>
      </c>
      <c r="W392" s="31">
        <v>389</v>
      </c>
      <c r="X392" s="56">
        <v>0.47</v>
      </c>
      <c r="Y392" s="31">
        <v>82</v>
      </c>
      <c r="AB392" s="58">
        <f t="shared" si="29"/>
        <v>0.47</v>
      </c>
      <c r="AC392" s="54">
        <f t="shared" si="30"/>
        <v>82</v>
      </c>
      <c r="AF392" s="51">
        <v>389</v>
      </c>
      <c r="AG392" s="6">
        <v>20</v>
      </c>
      <c r="AH392" s="6">
        <v>82</v>
      </c>
      <c r="AK392" s="31">
        <f t="shared" si="28"/>
        <v>20</v>
      </c>
      <c r="AL392" s="31">
        <f t="shared" si="28"/>
        <v>82</v>
      </c>
    </row>
    <row r="393" spans="16:38">
      <c r="P393" s="53">
        <v>390</v>
      </c>
      <c r="Q393" s="54">
        <v>4</v>
      </c>
      <c r="R393" s="54">
        <v>67</v>
      </c>
      <c r="W393" s="31">
        <v>390</v>
      </c>
      <c r="X393" s="56">
        <v>0.51</v>
      </c>
      <c r="Y393" s="31">
        <v>71</v>
      </c>
      <c r="AB393" s="58">
        <f t="shared" si="29"/>
        <v>0.51</v>
      </c>
      <c r="AC393" s="54">
        <f t="shared" si="30"/>
        <v>71</v>
      </c>
      <c r="AF393" s="51">
        <v>390</v>
      </c>
      <c r="AG393" s="6">
        <v>20</v>
      </c>
      <c r="AH393" s="6">
        <v>71</v>
      </c>
      <c r="AK393" s="31">
        <f t="shared" si="28"/>
        <v>20</v>
      </c>
      <c r="AL393" s="31">
        <f t="shared" si="28"/>
        <v>71</v>
      </c>
    </row>
    <row r="394" spans="16:38">
      <c r="P394" s="53">
        <v>391</v>
      </c>
      <c r="Q394" s="54">
        <v>7</v>
      </c>
      <c r="R394" s="54">
        <v>85</v>
      </c>
      <c r="W394" s="31">
        <v>391</v>
      </c>
      <c r="X394" s="56">
        <v>0.55000000000000004</v>
      </c>
      <c r="Y394" s="31">
        <v>92</v>
      </c>
      <c r="AB394" s="58">
        <f t="shared" si="29"/>
        <v>0.55000000000000004</v>
      </c>
      <c r="AC394" s="54">
        <f t="shared" si="30"/>
        <v>92</v>
      </c>
      <c r="AF394" s="51">
        <v>391</v>
      </c>
      <c r="AG394" s="6">
        <v>18</v>
      </c>
      <c r="AH394" s="6">
        <v>92</v>
      </c>
      <c r="AK394" s="31">
        <f t="shared" si="28"/>
        <v>18</v>
      </c>
      <c r="AL394" s="31">
        <f t="shared" si="28"/>
        <v>92</v>
      </c>
    </row>
    <row r="395" spans="16:38">
      <c r="P395" s="53">
        <v>392</v>
      </c>
      <c r="Q395" s="54">
        <v>2</v>
      </c>
      <c r="R395" s="54">
        <v>58</v>
      </c>
      <c r="W395" s="31">
        <v>392</v>
      </c>
      <c r="X395" s="56">
        <v>0.59</v>
      </c>
      <c r="Y395" s="31">
        <v>60</v>
      </c>
      <c r="AB395" s="58">
        <f t="shared" si="29"/>
        <v>0.59</v>
      </c>
      <c r="AC395" s="54">
        <f t="shared" si="30"/>
        <v>60</v>
      </c>
      <c r="AF395" s="51">
        <v>392</v>
      </c>
      <c r="AG395" s="6">
        <v>18</v>
      </c>
      <c r="AH395" s="6">
        <v>60</v>
      </c>
      <c r="AK395" s="31">
        <f t="shared" si="28"/>
        <v>18</v>
      </c>
      <c r="AL395" s="31">
        <f t="shared" si="28"/>
        <v>60</v>
      </c>
    </row>
    <row r="396" spans="16:38">
      <c r="P396" s="53">
        <v>393</v>
      </c>
      <c r="Q396" s="54">
        <v>4</v>
      </c>
      <c r="R396" s="54">
        <v>29</v>
      </c>
      <c r="W396" s="31">
        <v>393</v>
      </c>
      <c r="X396" s="56">
        <v>0.8</v>
      </c>
      <c r="Y396" s="31">
        <v>33</v>
      </c>
      <c r="AB396" s="58">
        <f t="shared" si="29"/>
        <v>0.8</v>
      </c>
      <c r="AC396" s="54">
        <f t="shared" si="30"/>
        <v>33</v>
      </c>
      <c r="AF396" s="51">
        <v>393</v>
      </c>
      <c r="AG396" s="6">
        <v>16</v>
      </c>
      <c r="AH396" s="6">
        <v>33</v>
      </c>
      <c r="AK396" s="31">
        <f t="shared" si="28"/>
        <v>16</v>
      </c>
      <c r="AL396" s="31">
        <f t="shared" si="28"/>
        <v>33</v>
      </c>
    </row>
    <row r="397" spans="16:38">
      <c r="P397" s="53">
        <v>394</v>
      </c>
      <c r="Q397" s="54">
        <v>3</v>
      </c>
      <c r="R397" s="54">
        <v>24</v>
      </c>
      <c r="W397" s="31">
        <v>394</v>
      </c>
      <c r="X397" s="56">
        <v>0.8</v>
      </c>
      <c r="Y397" s="31">
        <v>27</v>
      </c>
      <c r="AB397" s="58">
        <f t="shared" si="29"/>
        <v>0.8</v>
      </c>
      <c r="AC397" s="54">
        <f t="shared" si="30"/>
        <v>27</v>
      </c>
      <c r="AF397" s="51">
        <v>394</v>
      </c>
      <c r="AG397" s="6">
        <v>16</v>
      </c>
      <c r="AH397" s="6">
        <v>27</v>
      </c>
      <c r="AK397" s="31">
        <f t="shared" si="28"/>
        <v>16</v>
      </c>
      <c r="AL397" s="31">
        <f t="shared" si="28"/>
        <v>27</v>
      </c>
    </row>
    <row r="398" spans="16:38">
      <c r="P398" s="53">
        <v>395</v>
      </c>
      <c r="Q398" s="54">
        <v>0</v>
      </c>
      <c r="R398" s="54">
        <v>13</v>
      </c>
      <c r="W398" s="31">
        <v>395</v>
      </c>
      <c r="X398" s="56">
        <v>0.93</v>
      </c>
      <c r="Y398" s="31">
        <v>13</v>
      </c>
      <c r="AB398" s="58">
        <f t="shared" si="29"/>
        <v>0.93</v>
      </c>
      <c r="AC398" s="54">
        <f t="shared" si="30"/>
        <v>13</v>
      </c>
      <c r="AF398" s="51">
        <v>395</v>
      </c>
      <c r="AG398" s="6">
        <v>14.000000000000002</v>
      </c>
      <c r="AH398" s="6">
        <v>13</v>
      </c>
      <c r="AK398" s="31">
        <f t="shared" si="28"/>
        <v>14.000000000000002</v>
      </c>
      <c r="AL398" s="31">
        <f t="shared" si="28"/>
        <v>13</v>
      </c>
    </row>
    <row r="399" spans="16:38">
      <c r="P399" s="53">
        <v>396</v>
      </c>
      <c r="Q399" s="54">
        <v>1</v>
      </c>
      <c r="R399" s="54">
        <v>3</v>
      </c>
      <c r="W399" s="31">
        <v>396</v>
      </c>
      <c r="X399" s="56">
        <v>0.86</v>
      </c>
      <c r="Y399" s="31">
        <v>4</v>
      </c>
      <c r="AB399" s="58">
        <f t="shared" si="29"/>
        <v>0.86</v>
      </c>
      <c r="AC399" s="54">
        <f t="shared" si="30"/>
        <v>4</v>
      </c>
      <c r="AF399" s="51">
        <v>396</v>
      </c>
      <c r="AG399" s="6">
        <v>16</v>
      </c>
      <c r="AH399" s="6">
        <v>4</v>
      </c>
      <c r="AK399" s="31">
        <f t="shared" si="28"/>
        <v>16</v>
      </c>
      <c r="AL399" s="31">
        <f t="shared" si="28"/>
        <v>4</v>
      </c>
    </row>
    <row r="400" spans="16:38">
      <c r="P400" s="53">
        <v>397</v>
      </c>
      <c r="Q400" s="54">
        <v>0</v>
      </c>
      <c r="R400" s="54">
        <v>3</v>
      </c>
      <c r="W400" s="31">
        <v>397</v>
      </c>
      <c r="X400" s="56">
        <v>0.86</v>
      </c>
      <c r="Y400" s="31">
        <v>3</v>
      </c>
      <c r="AB400" s="58">
        <f t="shared" si="29"/>
        <v>0.86</v>
      </c>
      <c r="AC400" s="54">
        <f t="shared" si="30"/>
        <v>3</v>
      </c>
      <c r="AF400" s="51">
        <v>397</v>
      </c>
      <c r="AG400" s="6">
        <v>20</v>
      </c>
      <c r="AH400" s="6">
        <v>3</v>
      </c>
      <c r="AK400" s="31">
        <f t="shared" si="28"/>
        <v>20</v>
      </c>
      <c r="AL400" s="31">
        <f t="shared" si="28"/>
        <v>3</v>
      </c>
    </row>
    <row r="401" spans="16:38">
      <c r="P401" s="53">
        <v>398</v>
      </c>
      <c r="Q401" s="54">
        <v>0</v>
      </c>
      <c r="R401" s="54">
        <v>22</v>
      </c>
      <c r="W401" s="31">
        <v>398</v>
      </c>
      <c r="X401" s="56">
        <v>0.86</v>
      </c>
      <c r="Y401" s="31">
        <v>22</v>
      </c>
      <c r="AB401" s="58">
        <f t="shared" si="29"/>
        <v>0.86</v>
      </c>
      <c r="AC401" s="54">
        <f t="shared" si="30"/>
        <v>22</v>
      </c>
      <c r="AF401" s="51">
        <v>398</v>
      </c>
      <c r="AG401" s="6">
        <v>20</v>
      </c>
      <c r="AH401" s="6">
        <v>22</v>
      </c>
      <c r="AK401" s="31">
        <f t="shared" si="28"/>
        <v>20</v>
      </c>
      <c r="AL401" s="31">
        <f t="shared" si="28"/>
        <v>22</v>
      </c>
    </row>
    <row r="402" spans="16:38">
      <c r="P402" s="53">
        <v>399</v>
      </c>
      <c r="Q402" s="54">
        <v>2</v>
      </c>
      <c r="R402" s="54">
        <v>26</v>
      </c>
      <c r="W402" s="31">
        <v>399</v>
      </c>
      <c r="X402" s="56">
        <v>0.8</v>
      </c>
      <c r="Y402" s="31">
        <v>28</v>
      </c>
      <c r="AB402" s="58">
        <f t="shared" si="29"/>
        <v>0.8</v>
      </c>
      <c r="AC402" s="54">
        <f t="shared" si="30"/>
        <v>28</v>
      </c>
      <c r="AF402" s="51">
        <v>399</v>
      </c>
      <c r="AG402" s="6">
        <v>22</v>
      </c>
      <c r="AH402" s="6">
        <v>28</v>
      </c>
      <c r="AK402" s="31">
        <f t="shared" si="28"/>
        <v>22</v>
      </c>
      <c r="AL402" s="31">
        <f t="shared" si="28"/>
        <v>28</v>
      </c>
    </row>
    <row r="403" spans="16:38">
      <c r="P403" s="53">
        <v>400</v>
      </c>
      <c r="Q403" s="54">
        <v>3</v>
      </c>
      <c r="R403" s="54">
        <v>32</v>
      </c>
      <c r="W403" s="31">
        <v>400</v>
      </c>
      <c r="X403" s="56">
        <v>0.87</v>
      </c>
      <c r="Y403" s="31">
        <v>35</v>
      </c>
      <c r="AB403" s="58">
        <f t="shared" si="29"/>
        <v>0.87</v>
      </c>
      <c r="AC403" s="54">
        <f t="shared" si="30"/>
        <v>35</v>
      </c>
      <c r="AF403" s="51">
        <v>400</v>
      </c>
      <c r="AG403" s="6">
        <v>22</v>
      </c>
      <c r="AH403" s="6">
        <v>35</v>
      </c>
      <c r="AK403" s="31">
        <f t="shared" si="28"/>
        <v>22</v>
      </c>
      <c r="AL403" s="31">
        <f t="shared" si="28"/>
        <v>35</v>
      </c>
    </row>
    <row r="404" spans="16:38">
      <c r="P404" s="53">
        <v>401</v>
      </c>
      <c r="Q404" s="54">
        <v>0</v>
      </c>
      <c r="R404" s="54">
        <v>61</v>
      </c>
      <c r="W404" s="31">
        <v>401</v>
      </c>
      <c r="X404" s="56">
        <v>0.87</v>
      </c>
      <c r="Y404" s="31">
        <v>61</v>
      </c>
      <c r="AB404" s="58">
        <f t="shared" si="29"/>
        <v>0.87</v>
      </c>
      <c r="AC404" s="54">
        <f t="shared" si="30"/>
        <v>61</v>
      </c>
      <c r="AF404" s="51">
        <v>401</v>
      </c>
      <c r="AG404" s="6">
        <v>22</v>
      </c>
      <c r="AH404" s="6">
        <v>61</v>
      </c>
      <c r="AK404" s="31">
        <f t="shared" si="28"/>
        <v>22</v>
      </c>
      <c r="AL404" s="31">
        <f t="shared" si="28"/>
        <v>61</v>
      </c>
    </row>
    <row r="405" spans="16:38">
      <c r="P405" s="53">
        <v>402</v>
      </c>
      <c r="Q405" s="54">
        <v>1</v>
      </c>
      <c r="R405" s="54">
        <v>124</v>
      </c>
      <c r="W405" s="31">
        <v>402</v>
      </c>
      <c r="X405" s="56">
        <v>0.82</v>
      </c>
      <c r="Y405" s="31">
        <v>125</v>
      </c>
      <c r="AB405" s="58">
        <f t="shared" si="29"/>
        <v>0.82</v>
      </c>
      <c r="AC405" s="54">
        <f t="shared" si="30"/>
        <v>125</v>
      </c>
      <c r="AF405" s="51">
        <v>402</v>
      </c>
      <c r="AG405" s="6">
        <v>22</v>
      </c>
      <c r="AH405" s="6">
        <v>125</v>
      </c>
      <c r="AK405" s="31">
        <f t="shared" ref="AK405:AL468" si="31">AG405</f>
        <v>22</v>
      </c>
      <c r="AL405" s="31">
        <f t="shared" si="31"/>
        <v>125</v>
      </c>
    </row>
    <row r="406" spans="16:38">
      <c r="P406" s="53">
        <v>403</v>
      </c>
      <c r="Q406" s="54">
        <v>1</v>
      </c>
      <c r="R406" s="54">
        <v>132</v>
      </c>
      <c r="W406" s="31">
        <v>403</v>
      </c>
      <c r="X406" s="56">
        <v>0.8</v>
      </c>
      <c r="Y406" s="31">
        <v>133</v>
      </c>
      <c r="AB406" s="58">
        <f t="shared" si="29"/>
        <v>0.8</v>
      </c>
      <c r="AC406" s="54">
        <f t="shared" si="30"/>
        <v>133</v>
      </c>
      <c r="AF406" s="51">
        <v>403</v>
      </c>
      <c r="AG406" s="6">
        <v>22</v>
      </c>
      <c r="AH406" s="6">
        <v>133</v>
      </c>
      <c r="AK406" s="31">
        <f t="shared" si="31"/>
        <v>22</v>
      </c>
      <c r="AL406" s="31">
        <f t="shared" si="31"/>
        <v>133</v>
      </c>
    </row>
    <row r="407" spans="16:38">
      <c r="P407" s="53">
        <v>404</v>
      </c>
      <c r="Q407" s="54">
        <v>1</v>
      </c>
      <c r="R407" s="54">
        <v>98</v>
      </c>
      <c r="W407" s="31">
        <v>404</v>
      </c>
      <c r="X407" s="56">
        <v>0.8</v>
      </c>
      <c r="Y407" s="31">
        <v>99</v>
      </c>
      <c r="AB407" s="58">
        <f t="shared" si="29"/>
        <v>0.8</v>
      </c>
      <c r="AC407" s="54">
        <f t="shared" si="30"/>
        <v>99</v>
      </c>
      <c r="AF407" s="51">
        <v>404</v>
      </c>
      <c r="AG407" s="6">
        <v>22</v>
      </c>
      <c r="AH407" s="6">
        <v>99</v>
      </c>
      <c r="AK407" s="31">
        <f t="shared" si="31"/>
        <v>22</v>
      </c>
      <c r="AL407" s="31">
        <f t="shared" si="31"/>
        <v>99</v>
      </c>
    </row>
    <row r="408" spans="16:38">
      <c r="P408" s="53">
        <v>405</v>
      </c>
      <c r="Q408" s="54">
        <v>0</v>
      </c>
      <c r="R408" s="54">
        <v>83</v>
      </c>
      <c r="W408" s="31">
        <v>405</v>
      </c>
      <c r="X408" s="56">
        <v>0.87</v>
      </c>
      <c r="Y408" s="31">
        <v>83</v>
      </c>
      <c r="AB408" s="58">
        <f t="shared" si="29"/>
        <v>0.87</v>
      </c>
      <c r="AC408" s="54">
        <f t="shared" si="30"/>
        <v>83</v>
      </c>
      <c r="AF408" s="51">
        <v>405</v>
      </c>
      <c r="AG408" s="6">
        <v>22</v>
      </c>
      <c r="AH408" s="6">
        <v>83</v>
      </c>
      <c r="AK408" s="31">
        <f t="shared" si="31"/>
        <v>22</v>
      </c>
      <c r="AL408" s="31">
        <f t="shared" si="31"/>
        <v>83</v>
      </c>
    </row>
    <row r="409" spans="16:38">
      <c r="P409" s="53">
        <v>406</v>
      </c>
      <c r="Q409" s="54">
        <v>0</v>
      </c>
      <c r="R409" s="54">
        <v>41</v>
      </c>
      <c r="W409" s="31">
        <v>406</v>
      </c>
      <c r="X409" s="56">
        <v>0.93</v>
      </c>
      <c r="Y409" s="31">
        <v>41</v>
      </c>
      <c r="AB409" s="58">
        <f t="shared" si="29"/>
        <v>0.93</v>
      </c>
      <c r="AC409" s="54">
        <f t="shared" si="30"/>
        <v>41</v>
      </c>
      <c r="AF409" s="51">
        <v>406</v>
      </c>
      <c r="AG409" s="6">
        <v>22</v>
      </c>
      <c r="AH409" s="6">
        <v>41</v>
      </c>
      <c r="AK409" s="31">
        <f t="shared" si="31"/>
        <v>22</v>
      </c>
      <c r="AL409" s="31">
        <f t="shared" si="31"/>
        <v>41</v>
      </c>
    </row>
    <row r="410" spans="16:38">
      <c r="P410" s="53">
        <v>407</v>
      </c>
      <c r="Q410" s="54">
        <v>0</v>
      </c>
      <c r="R410" s="54">
        <v>33</v>
      </c>
      <c r="W410" s="31">
        <v>407</v>
      </c>
      <c r="X410" s="56">
        <v>0.93</v>
      </c>
      <c r="Y410" s="31">
        <v>33</v>
      </c>
      <c r="AB410" s="58">
        <f t="shared" si="29"/>
        <v>0.93</v>
      </c>
      <c r="AC410" s="54">
        <f t="shared" si="30"/>
        <v>33</v>
      </c>
      <c r="AF410" s="51">
        <v>407</v>
      </c>
      <c r="AG410" s="6">
        <v>22</v>
      </c>
      <c r="AH410" s="6">
        <v>33</v>
      </c>
      <c r="AK410" s="31">
        <f t="shared" si="31"/>
        <v>22</v>
      </c>
      <c r="AL410" s="31">
        <f t="shared" si="31"/>
        <v>33</v>
      </c>
    </row>
    <row r="411" spans="16:38">
      <c r="P411" s="53">
        <v>408</v>
      </c>
      <c r="Q411" s="54">
        <v>1</v>
      </c>
      <c r="R411" s="54">
        <v>19</v>
      </c>
      <c r="W411" s="31">
        <v>408</v>
      </c>
      <c r="X411" s="56">
        <v>0.93</v>
      </c>
      <c r="Y411" s="31">
        <v>20</v>
      </c>
      <c r="AB411" s="58">
        <f t="shared" si="29"/>
        <v>0.93</v>
      </c>
      <c r="AC411" s="54">
        <f t="shared" si="30"/>
        <v>20</v>
      </c>
      <c r="AF411" s="51">
        <v>408</v>
      </c>
      <c r="AG411" s="6">
        <v>22</v>
      </c>
      <c r="AH411" s="6">
        <v>20</v>
      </c>
      <c r="AK411" s="31">
        <f t="shared" si="31"/>
        <v>22</v>
      </c>
      <c r="AL411" s="31">
        <f t="shared" si="31"/>
        <v>20</v>
      </c>
    </row>
    <row r="412" spans="16:38">
      <c r="P412" s="53">
        <v>409</v>
      </c>
      <c r="Q412" s="54">
        <v>0</v>
      </c>
      <c r="R412" s="54">
        <v>3</v>
      </c>
      <c r="W412" s="31">
        <v>409</v>
      </c>
      <c r="X412" s="56">
        <v>0.93</v>
      </c>
      <c r="Y412" s="31">
        <v>3</v>
      </c>
      <c r="AB412" s="58">
        <f t="shared" si="29"/>
        <v>0.93</v>
      </c>
      <c r="AC412" s="54">
        <f t="shared" si="30"/>
        <v>3</v>
      </c>
      <c r="AF412" s="51">
        <v>409</v>
      </c>
      <c r="AG412" s="6">
        <v>22</v>
      </c>
      <c r="AH412" s="6">
        <v>3</v>
      </c>
      <c r="AK412" s="31">
        <f t="shared" si="31"/>
        <v>22</v>
      </c>
      <c r="AL412" s="31">
        <f t="shared" si="31"/>
        <v>3</v>
      </c>
    </row>
    <row r="413" spans="16:38">
      <c r="P413" s="53">
        <v>410</v>
      </c>
      <c r="Q413" s="54">
        <v>1</v>
      </c>
      <c r="R413" s="54">
        <v>6</v>
      </c>
      <c r="W413" s="31">
        <v>410</v>
      </c>
      <c r="X413" s="56">
        <v>0.93</v>
      </c>
      <c r="Y413" s="31">
        <v>7</v>
      </c>
      <c r="AB413" s="58">
        <f t="shared" si="29"/>
        <v>0.93</v>
      </c>
      <c r="AC413" s="54">
        <f t="shared" si="30"/>
        <v>7</v>
      </c>
      <c r="AF413" s="51">
        <v>410</v>
      </c>
      <c r="AG413" s="6">
        <v>22</v>
      </c>
      <c r="AH413" s="6">
        <v>7</v>
      </c>
      <c r="AK413" s="31">
        <f t="shared" si="31"/>
        <v>22</v>
      </c>
      <c r="AL413" s="31">
        <f t="shared" si="31"/>
        <v>7</v>
      </c>
    </row>
    <row r="414" spans="16:38">
      <c r="P414" s="53">
        <v>411</v>
      </c>
      <c r="Q414" s="54">
        <v>0</v>
      </c>
      <c r="R414" s="54">
        <v>3</v>
      </c>
      <c r="W414" s="31">
        <v>411</v>
      </c>
      <c r="X414" s="56">
        <v>0.93</v>
      </c>
      <c r="Y414" s="31">
        <v>3</v>
      </c>
      <c r="AB414" s="58">
        <f t="shared" si="29"/>
        <v>0.93</v>
      </c>
      <c r="AC414" s="54">
        <f t="shared" si="30"/>
        <v>3</v>
      </c>
      <c r="AF414" s="51">
        <v>411</v>
      </c>
      <c r="AG414" s="6">
        <v>22</v>
      </c>
      <c r="AH414" s="6">
        <v>3</v>
      </c>
      <c r="AK414" s="31">
        <f t="shared" si="31"/>
        <v>22</v>
      </c>
      <c r="AL414" s="31">
        <f t="shared" si="31"/>
        <v>3</v>
      </c>
    </row>
    <row r="415" spans="16:38">
      <c r="P415" s="53">
        <v>412</v>
      </c>
      <c r="Q415" s="54">
        <v>1</v>
      </c>
      <c r="R415" s="54">
        <v>1</v>
      </c>
      <c r="W415" s="31">
        <v>412</v>
      </c>
      <c r="X415" s="56">
        <v>0.93</v>
      </c>
      <c r="Y415" s="31">
        <v>2</v>
      </c>
      <c r="AB415" s="58">
        <f t="shared" si="29"/>
        <v>0.93</v>
      </c>
      <c r="AC415" s="54">
        <f t="shared" si="30"/>
        <v>2</v>
      </c>
      <c r="AF415" s="51">
        <v>412</v>
      </c>
      <c r="AG415" s="6">
        <v>22</v>
      </c>
      <c r="AH415" s="6">
        <v>2</v>
      </c>
      <c r="AK415" s="31">
        <f t="shared" si="31"/>
        <v>22</v>
      </c>
      <c r="AL415" s="31">
        <f t="shared" si="31"/>
        <v>2</v>
      </c>
    </row>
    <row r="416" spans="16:38">
      <c r="P416" s="53">
        <v>413</v>
      </c>
      <c r="Q416" s="54">
        <v>0</v>
      </c>
      <c r="R416" s="54">
        <v>7</v>
      </c>
      <c r="W416" s="31">
        <v>413</v>
      </c>
      <c r="X416" s="56">
        <v>0.93</v>
      </c>
      <c r="Y416" s="31">
        <v>7</v>
      </c>
      <c r="AB416" s="58">
        <f t="shared" si="29"/>
        <v>0.93</v>
      </c>
      <c r="AC416" s="54">
        <f t="shared" si="30"/>
        <v>7</v>
      </c>
      <c r="AF416" s="51">
        <v>413</v>
      </c>
      <c r="AG416" s="6">
        <v>22</v>
      </c>
      <c r="AH416" s="6">
        <v>7</v>
      </c>
      <c r="AK416" s="31">
        <f t="shared" si="31"/>
        <v>22</v>
      </c>
      <c r="AL416" s="31">
        <f t="shared" si="31"/>
        <v>7</v>
      </c>
    </row>
    <row r="417" spans="16:38">
      <c r="P417" s="53">
        <v>414</v>
      </c>
      <c r="Q417" s="54">
        <v>0</v>
      </c>
      <c r="R417" s="54">
        <v>32</v>
      </c>
      <c r="W417" s="31">
        <v>414</v>
      </c>
      <c r="X417" s="56">
        <v>0.93</v>
      </c>
      <c r="Y417" s="31">
        <v>32</v>
      </c>
      <c r="AB417" s="58">
        <f t="shared" si="29"/>
        <v>0.93</v>
      </c>
      <c r="AC417" s="54">
        <f t="shared" si="30"/>
        <v>32</v>
      </c>
      <c r="AF417" s="51">
        <v>414</v>
      </c>
      <c r="AG417" s="6">
        <v>22</v>
      </c>
      <c r="AH417" s="6">
        <v>32</v>
      </c>
      <c r="AK417" s="31">
        <f t="shared" si="31"/>
        <v>22</v>
      </c>
      <c r="AL417" s="31">
        <f t="shared" si="31"/>
        <v>32</v>
      </c>
    </row>
    <row r="418" spans="16:38">
      <c r="P418" s="53">
        <v>415</v>
      </c>
      <c r="Q418" s="54">
        <v>1</v>
      </c>
      <c r="R418" s="54">
        <v>89</v>
      </c>
      <c r="W418" s="31">
        <v>415</v>
      </c>
      <c r="X418" s="56">
        <v>0.92</v>
      </c>
      <c r="Y418" s="31">
        <v>90</v>
      </c>
      <c r="AB418" s="58">
        <f t="shared" si="29"/>
        <v>0.92</v>
      </c>
      <c r="AC418" s="54">
        <f t="shared" si="30"/>
        <v>90</v>
      </c>
      <c r="AF418" s="51">
        <v>415</v>
      </c>
      <c r="AG418" s="6">
        <v>24</v>
      </c>
      <c r="AH418" s="6">
        <v>90</v>
      </c>
      <c r="AK418" s="31">
        <f t="shared" si="31"/>
        <v>24</v>
      </c>
      <c r="AL418" s="31">
        <f t="shared" si="31"/>
        <v>90</v>
      </c>
    </row>
    <row r="419" spans="16:38">
      <c r="P419" s="53">
        <v>416</v>
      </c>
      <c r="Q419" s="54">
        <v>1</v>
      </c>
      <c r="R419" s="54">
        <v>196</v>
      </c>
      <c r="W419" s="31">
        <v>416</v>
      </c>
      <c r="X419" s="56">
        <v>0.93</v>
      </c>
      <c r="Y419" s="31">
        <v>197</v>
      </c>
      <c r="AB419" s="58">
        <f t="shared" si="29"/>
        <v>0.93</v>
      </c>
      <c r="AC419" s="54">
        <f t="shared" si="30"/>
        <v>197</v>
      </c>
      <c r="AF419" s="51">
        <v>416</v>
      </c>
      <c r="AG419" s="6">
        <v>24</v>
      </c>
      <c r="AH419" s="6">
        <v>197</v>
      </c>
      <c r="AK419" s="31">
        <f t="shared" si="31"/>
        <v>24</v>
      </c>
      <c r="AL419" s="31">
        <f t="shared" si="31"/>
        <v>197</v>
      </c>
    </row>
    <row r="420" spans="16:38">
      <c r="P420" s="53">
        <v>417</v>
      </c>
      <c r="Q420" s="54">
        <v>2</v>
      </c>
      <c r="R420" s="54">
        <v>107</v>
      </c>
      <c r="W420" s="31">
        <v>417</v>
      </c>
      <c r="X420" s="56">
        <v>0.93</v>
      </c>
      <c r="Y420" s="31">
        <v>109</v>
      </c>
      <c r="AB420" s="58">
        <f t="shared" si="29"/>
        <v>0.93</v>
      </c>
      <c r="AC420" s="54">
        <f t="shared" si="30"/>
        <v>109</v>
      </c>
      <c r="AF420" s="51">
        <v>417</v>
      </c>
      <c r="AG420" s="6">
        <v>24</v>
      </c>
      <c r="AH420" s="6">
        <v>109</v>
      </c>
      <c r="AK420" s="31">
        <f t="shared" si="31"/>
        <v>24</v>
      </c>
      <c r="AL420" s="31">
        <f t="shared" si="31"/>
        <v>109</v>
      </c>
    </row>
    <row r="421" spans="16:38">
      <c r="P421" s="53">
        <v>418</v>
      </c>
      <c r="Q421" s="54">
        <v>1</v>
      </c>
      <c r="R421" s="54">
        <v>46</v>
      </c>
      <c r="W421" s="31">
        <v>418</v>
      </c>
      <c r="X421" s="56">
        <v>0.93</v>
      </c>
      <c r="Y421" s="31">
        <v>47</v>
      </c>
      <c r="AB421" s="58">
        <f t="shared" si="29"/>
        <v>0.93</v>
      </c>
      <c r="AC421" s="54">
        <f t="shared" si="30"/>
        <v>47</v>
      </c>
      <c r="AF421" s="51">
        <v>418</v>
      </c>
      <c r="AG421" s="6">
        <v>26</v>
      </c>
      <c r="AH421" s="6">
        <v>47</v>
      </c>
      <c r="AK421" s="31">
        <f t="shared" si="31"/>
        <v>26</v>
      </c>
      <c r="AL421" s="31">
        <f t="shared" si="31"/>
        <v>47</v>
      </c>
    </row>
    <row r="422" spans="16:38">
      <c r="P422" s="53">
        <v>419</v>
      </c>
      <c r="Q422" s="54">
        <v>5</v>
      </c>
      <c r="R422" s="54">
        <v>47</v>
      </c>
      <c r="W422" s="31">
        <v>419</v>
      </c>
      <c r="X422" s="56">
        <v>0.87</v>
      </c>
      <c r="Y422" s="31">
        <v>52</v>
      </c>
      <c r="AB422" s="58">
        <f t="shared" si="29"/>
        <v>0.87</v>
      </c>
      <c r="AC422" s="54">
        <f t="shared" si="30"/>
        <v>52</v>
      </c>
      <c r="AF422" s="51">
        <v>419</v>
      </c>
      <c r="AG422" s="6">
        <v>28.000000000000004</v>
      </c>
      <c r="AH422" s="6">
        <v>52</v>
      </c>
      <c r="AK422" s="31">
        <f t="shared" si="31"/>
        <v>28.000000000000004</v>
      </c>
      <c r="AL422" s="31">
        <f t="shared" si="31"/>
        <v>52</v>
      </c>
    </row>
    <row r="423" spans="16:38">
      <c r="P423" s="53">
        <v>420</v>
      </c>
      <c r="Q423" s="54">
        <v>5</v>
      </c>
      <c r="R423" s="54">
        <v>65</v>
      </c>
      <c r="W423" s="31">
        <v>420</v>
      </c>
      <c r="X423" s="56">
        <v>0.81</v>
      </c>
      <c r="Y423" s="31">
        <v>70</v>
      </c>
      <c r="AB423" s="58">
        <f t="shared" si="29"/>
        <v>0.81</v>
      </c>
      <c r="AC423" s="54">
        <f t="shared" si="30"/>
        <v>70</v>
      </c>
      <c r="AF423" s="51">
        <v>420</v>
      </c>
      <c r="AG423" s="6">
        <v>30</v>
      </c>
      <c r="AH423" s="6">
        <v>70</v>
      </c>
      <c r="AK423" s="31">
        <f t="shared" si="31"/>
        <v>30</v>
      </c>
      <c r="AL423" s="31">
        <f t="shared" si="31"/>
        <v>70</v>
      </c>
    </row>
    <row r="424" spans="16:38">
      <c r="P424" s="53">
        <v>421</v>
      </c>
      <c r="Q424" s="54">
        <v>11</v>
      </c>
      <c r="R424" s="54">
        <v>67</v>
      </c>
      <c r="W424" s="31">
        <v>421</v>
      </c>
      <c r="X424" s="56">
        <v>0.62</v>
      </c>
      <c r="Y424" s="31">
        <v>78</v>
      </c>
      <c r="AB424" s="58">
        <f t="shared" si="29"/>
        <v>0.62</v>
      </c>
      <c r="AC424" s="54">
        <f t="shared" si="30"/>
        <v>78</v>
      </c>
      <c r="AF424" s="51">
        <v>421</v>
      </c>
      <c r="AG424" s="6">
        <v>40</v>
      </c>
      <c r="AH424" s="6">
        <v>78</v>
      </c>
      <c r="AK424" s="31">
        <f t="shared" si="31"/>
        <v>40</v>
      </c>
      <c r="AL424" s="31">
        <f t="shared" si="31"/>
        <v>78</v>
      </c>
    </row>
    <row r="425" spans="16:38">
      <c r="P425" s="53">
        <v>422</v>
      </c>
      <c r="Q425" s="54">
        <v>7</v>
      </c>
      <c r="R425" s="54">
        <v>68</v>
      </c>
      <c r="W425" s="31">
        <v>422</v>
      </c>
      <c r="X425" s="56">
        <v>0.57999999999999996</v>
      </c>
      <c r="Y425" s="31">
        <v>75</v>
      </c>
      <c r="AB425" s="58">
        <f t="shared" si="29"/>
        <v>0.57999999999999996</v>
      </c>
      <c r="AC425" s="54">
        <f t="shared" si="30"/>
        <v>75</v>
      </c>
      <c r="AF425" s="51">
        <v>422</v>
      </c>
      <c r="AG425" s="6">
        <v>40</v>
      </c>
      <c r="AH425" s="6">
        <v>75</v>
      </c>
      <c r="AK425" s="31">
        <f t="shared" si="31"/>
        <v>40</v>
      </c>
      <c r="AL425" s="31">
        <f t="shared" si="31"/>
        <v>75</v>
      </c>
    </row>
    <row r="426" spans="16:38">
      <c r="P426" s="53">
        <v>423</v>
      </c>
      <c r="Q426" s="54">
        <v>4</v>
      </c>
      <c r="R426" s="54">
        <v>78</v>
      </c>
      <c r="W426" s="31">
        <v>423</v>
      </c>
      <c r="X426" s="56">
        <v>0.54</v>
      </c>
      <c r="Y426" s="31">
        <v>82</v>
      </c>
      <c r="AB426" s="58">
        <f t="shared" si="29"/>
        <v>0.54</v>
      </c>
      <c r="AC426" s="54">
        <f t="shared" si="30"/>
        <v>82</v>
      </c>
      <c r="AF426" s="51">
        <v>423</v>
      </c>
      <c r="AG426" s="6">
        <v>40</v>
      </c>
      <c r="AH426" s="6">
        <v>82</v>
      </c>
      <c r="AK426" s="31">
        <f t="shared" si="31"/>
        <v>40</v>
      </c>
      <c r="AL426" s="31">
        <f t="shared" si="31"/>
        <v>82</v>
      </c>
    </row>
    <row r="427" spans="16:38">
      <c r="P427" s="53">
        <v>424</v>
      </c>
      <c r="Q427" s="54">
        <v>10</v>
      </c>
      <c r="R427" s="54">
        <v>94</v>
      </c>
      <c r="W427" s="31">
        <v>424</v>
      </c>
      <c r="X427" s="56">
        <v>0.57999999999999996</v>
      </c>
      <c r="Y427" s="31">
        <v>104</v>
      </c>
      <c r="AB427" s="58">
        <f t="shared" si="29"/>
        <v>0.57999999999999996</v>
      </c>
      <c r="AC427" s="54">
        <f t="shared" si="30"/>
        <v>104</v>
      </c>
      <c r="AF427" s="51">
        <v>424</v>
      </c>
      <c r="AG427" s="6">
        <v>38</v>
      </c>
      <c r="AH427" s="6">
        <v>104</v>
      </c>
      <c r="AK427" s="31">
        <f t="shared" si="31"/>
        <v>38</v>
      </c>
      <c r="AL427" s="31">
        <f t="shared" si="31"/>
        <v>104</v>
      </c>
    </row>
    <row r="428" spans="16:38">
      <c r="P428" s="53">
        <v>425</v>
      </c>
      <c r="Q428" s="54">
        <v>7</v>
      </c>
      <c r="R428" s="54">
        <v>190</v>
      </c>
      <c r="W428" s="31">
        <v>425</v>
      </c>
      <c r="X428" s="56">
        <v>0.56999999999999995</v>
      </c>
      <c r="Y428" s="31">
        <v>197</v>
      </c>
      <c r="AB428" s="58">
        <f t="shared" si="29"/>
        <v>0.56999999999999995</v>
      </c>
      <c r="AC428" s="54">
        <f t="shared" si="30"/>
        <v>197</v>
      </c>
      <c r="AF428" s="51">
        <v>425</v>
      </c>
      <c r="AG428" s="6">
        <v>36</v>
      </c>
      <c r="AH428" s="6">
        <v>197</v>
      </c>
      <c r="AK428" s="31">
        <f t="shared" si="31"/>
        <v>36</v>
      </c>
      <c r="AL428" s="31">
        <f t="shared" si="31"/>
        <v>197</v>
      </c>
    </row>
    <row r="429" spans="16:38">
      <c r="P429" s="53">
        <v>426</v>
      </c>
      <c r="Q429" s="54">
        <v>5</v>
      </c>
      <c r="R429" s="54">
        <v>156</v>
      </c>
      <c r="W429" s="31">
        <v>426</v>
      </c>
      <c r="X429" s="56">
        <v>0.61</v>
      </c>
      <c r="Y429" s="31">
        <v>161</v>
      </c>
      <c r="AB429" s="58">
        <f t="shared" si="29"/>
        <v>0.61</v>
      </c>
      <c r="AC429" s="54">
        <f t="shared" si="30"/>
        <v>161</v>
      </c>
      <c r="AF429" s="51">
        <v>426</v>
      </c>
      <c r="AG429" s="6">
        <v>34</v>
      </c>
      <c r="AH429" s="6">
        <v>161</v>
      </c>
      <c r="AK429" s="31">
        <f t="shared" si="31"/>
        <v>34</v>
      </c>
      <c r="AL429" s="31">
        <f t="shared" si="31"/>
        <v>161</v>
      </c>
    </row>
    <row r="430" spans="16:38">
      <c r="P430" s="53">
        <v>427</v>
      </c>
      <c r="Q430" s="54">
        <v>4</v>
      </c>
      <c r="R430" s="54">
        <v>108</v>
      </c>
      <c r="W430" s="31">
        <v>427</v>
      </c>
      <c r="X430" s="56">
        <v>0.56999999999999995</v>
      </c>
      <c r="Y430" s="31">
        <v>112</v>
      </c>
      <c r="AB430" s="58">
        <f t="shared" si="29"/>
        <v>0.56999999999999995</v>
      </c>
      <c r="AC430" s="54">
        <f t="shared" si="30"/>
        <v>112</v>
      </c>
      <c r="AF430" s="51">
        <v>427</v>
      </c>
      <c r="AG430" s="6">
        <v>32</v>
      </c>
      <c r="AH430" s="6">
        <v>112</v>
      </c>
      <c r="AK430" s="31">
        <f t="shared" si="31"/>
        <v>32</v>
      </c>
      <c r="AL430" s="31">
        <f t="shared" si="31"/>
        <v>112</v>
      </c>
    </row>
    <row r="431" spans="16:38">
      <c r="P431" s="53">
        <v>428</v>
      </c>
      <c r="Q431" s="54">
        <v>2</v>
      </c>
      <c r="R431" s="54">
        <v>74</v>
      </c>
      <c r="W431" s="31">
        <v>428</v>
      </c>
      <c r="X431" s="56">
        <v>0.49</v>
      </c>
      <c r="Y431" s="31">
        <v>76</v>
      </c>
      <c r="AB431" s="58">
        <f t="shared" si="29"/>
        <v>0.49</v>
      </c>
      <c r="AC431" s="54">
        <f t="shared" si="30"/>
        <v>76</v>
      </c>
      <c r="AF431" s="51">
        <v>428</v>
      </c>
      <c r="AG431" s="6">
        <v>32</v>
      </c>
      <c r="AH431" s="6">
        <v>76</v>
      </c>
      <c r="AK431" s="31">
        <f t="shared" si="31"/>
        <v>32</v>
      </c>
      <c r="AL431" s="31">
        <f t="shared" si="31"/>
        <v>76</v>
      </c>
    </row>
    <row r="432" spans="16:38">
      <c r="P432" s="53">
        <v>429</v>
      </c>
      <c r="Q432" s="54">
        <v>4</v>
      </c>
      <c r="R432" s="54">
        <v>55</v>
      </c>
      <c r="W432" s="31">
        <v>429</v>
      </c>
      <c r="X432" s="56">
        <v>0.49</v>
      </c>
      <c r="Y432" s="31">
        <v>59</v>
      </c>
      <c r="AB432" s="58">
        <f t="shared" si="29"/>
        <v>0.49</v>
      </c>
      <c r="AC432" s="54">
        <f t="shared" si="30"/>
        <v>59</v>
      </c>
      <c r="AF432" s="51">
        <v>429</v>
      </c>
      <c r="AG432" s="6">
        <v>32</v>
      </c>
      <c r="AH432" s="6">
        <v>59</v>
      </c>
      <c r="AK432" s="31">
        <f t="shared" si="31"/>
        <v>32</v>
      </c>
      <c r="AL432" s="31">
        <f t="shared" si="31"/>
        <v>59</v>
      </c>
    </row>
    <row r="433" spans="16:38">
      <c r="P433" s="53">
        <v>430</v>
      </c>
      <c r="Q433" s="54">
        <v>6</v>
      </c>
      <c r="R433" s="54">
        <v>53</v>
      </c>
      <c r="W433" s="31">
        <v>430</v>
      </c>
      <c r="X433" s="56">
        <v>0.52</v>
      </c>
      <c r="Y433" s="31">
        <v>59</v>
      </c>
      <c r="AB433" s="58">
        <f t="shared" si="29"/>
        <v>0.52</v>
      </c>
      <c r="AC433" s="54">
        <f t="shared" si="30"/>
        <v>59</v>
      </c>
      <c r="AF433" s="51">
        <v>430</v>
      </c>
      <c r="AG433" s="6">
        <v>30</v>
      </c>
      <c r="AH433" s="6">
        <v>59</v>
      </c>
      <c r="AK433" s="31">
        <f t="shared" si="31"/>
        <v>30</v>
      </c>
      <c r="AL433" s="31">
        <f t="shared" si="31"/>
        <v>59</v>
      </c>
    </row>
    <row r="434" spans="16:38">
      <c r="P434" s="53">
        <v>431</v>
      </c>
      <c r="Q434" s="54">
        <v>1</v>
      </c>
      <c r="R434" s="54">
        <v>27</v>
      </c>
      <c r="W434" s="31">
        <v>431</v>
      </c>
      <c r="X434" s="56">
        <v>0.52</v>
      </c>
      <c r="Y434" s="31">
        <v>28</v>
      </c>
      <c r="AB434" s="58">
        <f t="shared" si="29"/>
        <v>0.52</v>
      </c>
      <c r="AC434" s="54">
        <f t="shared" si="30"/>
        <v>28</v>
      </c>
      <c r="AF434" s="51">
        <v>431</v>
      </c>
      <c r="AG434" s="6">
        <v>30</v>
      </c>
      <c r="AH434" s="6">
        <v>28</v>
      </c>
      <c r="AK434" s="31">
        <f t="shared" si="31"/>
        <v>30</v>
      </c>
      <c r="AL434" s="31">
        <f t="shared" si="31"/>
        <v>28</v>
      </c>
    </row>
    <row r="435" spans="16:38">
      <c r="P435" s="53">
        <v>432</v>
      </c>
      <c r="Q435" s="54">
        <v>5</v>
      </c>
      <c r="R435" s="54">
        <v>8</v>
      </c>
      <c r="W435" s="31">
        <v>432</v>
      </c>
      <c r="X435" s="56">
        <v>0.56000000000000005</v>
      </c>
      <c r="Y435" s="31">
        <v>13</v>
      </c>
      <c r="AB435" s="58">
        <f t="shared" si="29"/>
        <v>0.56000000000000005</v>
      </c>
      <c r="AC435" s="54">
        <f t="shared" si="30"/>
        <v>13</v>
      </c>
      <c r="AF435" s="51">
        <v>432</v>
      </c>
      <c r="AG435" s="6">
        <v>26</v>
      </c>
      <c r="AH435" s="6">
        <v>13</v>
      </c>
      <c r="AK435" s="31">
        <f t="shared" si="31"/>
        <v>26</v>
      </c>
      <c r="AL435" s="31">
        <f t="shared" si="31"/>
        <v>13</v>
      </c>
    </row>
    <row r="436" spans="16:38">
      <c r="P436" s="53">
        <v>433</v>
      </c>
      <c r="Q436" s="54">
        <v>2</v>
      </c>
      <c r="R436" s="54">
        <v>3</v>
      </c>
      <c r="W436" s="31">
        <v>433</v>
      </c>
      <c r="X436" s="56">
        <v>0.56000000000000005</v>
      </c>
      <c r="Y436" s="31">
        <v>5</v>
      </c>
      <c r="AB436" s="58">
        <f t="shared" si="29"/>
        <v>0.56000000000000005</v>
      </c>
      <c r="AC436" s="54">
        <f t="shared" si="30"/>
        <v>5</v>
      </c>
      <c r="AF436" s="51">
        <v>433</v>
      </c>
      <c r="AG436" s="6">
        <v>26</v>
      </c>
      <c r="AH436" s="6">
        <v>5</v>
      </c>
      <c r="AK436" s="31">
        <f t="shared" si="31"/>
        <v>26</v>
      </c>
      <c r="AL436" s="31">
        <f t="shared" si="31"/>
        <v>5</v>
      </c>
    </row>
    <row r="437" spans="16:38">
      <c r="P437" s="53">
        <v>434</v>
      </c>
      <c r="Q437" s="54">
        <v>0</v>
      </c>
      <c r="R437" s="54">
        <v>2</v>
      </c>
      <c r="W437" s="31">
        <v>434</v>
      </c>
      <c r="X437" s="56">
        <v>0.56000000000000005</v>
      </c>
      <c r="Y437" s="31">
        <v>2</v>
      </c>
      <c r="AB437" s="58">
        <f t="shared" si="29"/>
        <v>0.56000000000000005</v>
      </c>
      <c r="AC437" s="54">
        <f t="shared" si="30"/>
        <v>2</v>
      </c>
      <c r="AF437" s="51">
        <v>434</v>
      </c>
      <c r="AG437" s="6">
        <v>26</v>
      </c>
      <c r="AH437" s="6">
        <v>2</v>
      </c>
      <c r="AK437" s="31">
        <f t="shared" si="31"/>
        <v>26</v>
      </c>
      <c r="AL437" s="31">
        <f t="shared" si="31"/>
        <v>2</v>
      </c>
    </row>
    <row r="438" spans="16:38">
      <c r="P438" s="53">
        <v>435</v>
      </c>
      <c r="Q438" s="54">
        <v>0</v>
      </c>
      <c r="R438" s="54">
        <v>1</v>
      </c>
      <c r="W438" s="31">
        <v>435</v>
      </c>
      <c r="X438" s="56">
        <v>0.56000000000000005</v>
      </c>
      <c r="Y438" s="31">
        <v>1</v>
      </c>
      <c r="AB438" s="58">
        <f t="shared" si="29"/>
        <v>0.56000000000000005</v>
      </c>
      <c r="AC438" s="54">
        <f t="shared" si="30"/>
        <v>1</v>
      </c>
      <c r="AF438" s="51">
        <v>435</v>
      </c>
      <c r="AG438" s="6">
        <v>26</v>
      </c>
      <c r="AH438" s="6">
        <v>1</v>
      </c>
      <c r="AK438" s="31">
        <f t="shared" si="31"/>
        <v>26</v>
      </c>
      <c r="AL438" s="31">
        <f t="shared" si="31"/>
        <v>1</v>
      </c>
    </row>
    <row r="439" spans="16:38">
      <c r="P439" s="53">
        <v>436</v>
      </c>
      <c r="Q439" s="54">
        <v>0</v>
      </c>
      <c r="R439" s="54">
        <v>1</v>
      </c>
      <c r="W439" s="31">
        <v>436</v>
      </c>
      <c r="X439" s="56">
        <v>0.56000000000000005</v>
      </c>
      <c r="Y439" s="31">
        <v>1</v>
      </c>
      <c r="AB439" s="58">
        <f t="shared" si="29"/>
        <v>0.56000000000000005</v>
      </c>
      <c r="AC439" s="54">
        <f t="shared" si="30"/>
        <v>1</v>
      </c>
      <c r="AF439" s="51">
        <v>436</v>
      </c>
      <c r="AG439" s="6">
        <v>26</v>
      </c>
      <c r="AH439" s="6">
        <v>1</v>
      </c>
      <c r="AK439" s="31">
        <f t="shared" si="31"/>
        <v>26</v>
      </c>
      <c r="AL439" s="31">
        <f t="shared" si="31"/>
        <v>1</v>
      </c>
    </row>
    <row r="440" spans="16:38">
      <c r="P440" s="53">
        <v>437</v>
      </c>
      <c r="Q440" s="54">
        <v>0</v>
      </c>
      <c r="R440" s="54">
        <v>6</v>
      </c>
      <c r="W440" s="31">
        <v>437</v>
      </c>
      <c r="X440" s="56">
        <v>0.6</v>
      </c>
      <c r="Y440" s="31">
        <v>6</v>
      </c>
      <c r="AB440" s="58">
        <f t="shared" si="29"/>
        <v>0.6</v>
      </c>
      <c r="AC440" s="54">
        <f t="shared" si="30"/>
        <v>6</v>
      </c>
      <c r="AF440" s="51">
        <v>437</v>
      </c>
      <c r="AG440" s="6">
        <v>24</v>
      </c>
      <c r="AH440" s="6">
        <v>6</v>
      </c>
      <c r="AK440" s="31">
        <f t="shared" si="31"/>
        <v>24</v>
      </c>
      <c r="AL440" s="31">
        <f t="shared" si="31"/>
        <v>6</v>
      </c>
    </row>
    <row r="441" spans="16:38">
      <c r="P441" s="53">
        <v>438</v>
      </c>
      <c r="Q441" s="54">
        <v>0</v>
      </c>
      <c r="R441" s="54">
        <v>35</v>
      </c>
      <c r="W441" s="31">
        <v>438</v>
      </c>
      <c r="X441" s="56">
        <v>0.6</v>
      </c>
      <c r="Y441" s="31">
        <v>35</v>
      </c>
      <c r="AB441" s="58">
        <f t="shared" si="29"/>
        <v>0.6</v>
      </c>
      <c r="AC441" s="54">
        <f t="shared" si="30"/>
        <v>35</v>
      </c>
      <c r="AF441" s="51">
        <v>438</v>
      </c>
      <c r="AG441" s="6">
        <v>22</v>
      </c>
      <c r="AH441" s="6">
        <v>35</v>
      </c>
      <c r="AK441" s="31">
        <f t="shared" si="31"/>
        <v>22</v>
      </c>
      <c r="AL441" s="31">
        <f t="shared" si="31"/>
        <v>35</v>
      </c>
    </row>
    <row r="442" spans="16:38">
      <c r="P442" s="53">
        <v>439</v>
      </c>
      <c r="Q442" s="54">
        <v>1</v>
      </c>
      <c r="R442" s="54">
        <v>100</v>
      </c>
      <c r="W442" s="31">
        <v>439</v>
      </c>
      <c r="X442" s="56">
        <v>0.55000000000000004</v>
      </c>
      <c r="Y442" s="31">
        <v>101</v>
      </c>
      <c r="AB442" s="58">
        <f t="shared" si="29"/>
        <v>0.55000000000000004</v>
      </c>
      <c r="AC442" s="54">
        <f t="shared" si="30"/>
        <v>101</v>
      </c>
      <c r="AF442" s="51">
        <v>439</v>
      </c>
      <c r="AG442" s="6">
        <v>22</v>
      </c>
      <c r="AH442" s="6">
        <v>101</v>
      </c>
      <c r="AK442" s="31">
        <f t="shared" si="31"/>
        <v>22</v>
      </c>
      <c r="AL442" s="31">
        <f t="shared" si="31"/>
        <v>101</v>
      </c>
    </row>
    <row r="443" spans="16:38">
      <c r="P443" s="53">
        <v>440</v>
      </c>
      <c r="Q443" s="54">
        <v>2</v>
      </c>
      <c r="R443" s="54">
        <v>247</v>
      </c>
      <c r="W443" s="31">
        <v>440</v>
      </c>
      <c r="X443" s="56">
        <v>0.55000000000000004</v>
      </c>
      <c r="Y443" s="31">
        <v>249</v>
      </c>
      <c r="AB443" s="58">
        <f t="shared" si="29"/>
        <v>0.55000000000000004</v>
      </c>
      <c r="AC443" s="54">
        <f t="shared" si="30"/>
        <v>249</v>
      </c>
      <c r="AF443" s="51">
        <v>440</v>
      </c>
      <c r="AG443" s="6">
        <v>22</v>
      </c>
      <c r="AH443" s="6">
        <v>249</v>
      </c>
      <c r="AK443" s="31">
        <f t="shared" si="31"/>
        <v>22</v>
      </c>
      <c r="AL443" s="31">
        <f t="shared" si="31"/>
        <v>249</v>
      </c>
    </row>
    <row r="444" spans="16:38">
      <c r="P444" s="53">
        <v>441</v>
      </c>
      <c r="Q444" s="54">
        <v>3</v>
      </c>
      <c r="R444" s="54">
        <v>140</v>
      </c>
      <c r="W444" s="31">
        <v>441</v>
      </c>
      <c r="X444" s="56">
        <v>0.52</v>
      </c>
      <c r="Y444" s="31">
        <v>143</v>
      </c>
      <c r="AB444" s="58">
        <f t="shared" si="29"/>
        <v>0.52</v>
      </c>
      <c r="AC444" s="54">
        <f t="shared" si="30"/>
        <v>143</v>
      </c>
      <c r="AF444" s="51">
        <v>441</v>
      </c>
      <c r="AG444" s="6">
        <v>24</v>
      </c>
      <c r="AH444" s="6">
        <v>143</v>
      </c>
      <c r="AK444" s="31">
        <f t="shared" si="31"/>
        <v>24</v>
      </c>
      <c r="AL444" s="31">
        <f t="shared" si="31"/>
        <v>143</v>
      </c>
    </row>
    <row r="445" spans="16:38">
      <c r="P445" s="53">
        <v>442</v>
      </c>
      <c r="Q445" s="54">
        <v>1</v>
      </c>
      <c r="R445" s="54">
        <v>56</v>
      </c>
      <c r="W445" s="31">
        <v>442</v>
      </c>
      <c r="X445" s="56">
        <v>0.48</v>
      </c>
      <c r="Y445" s="31">
        <v>57</v>
      </c>
      <c r="AB445" s="58">
        <f t="shared" si="29"/>
        <v>0.48</v>
      </c>
      <c r="AC445" s="54">
        <f t="shared" si="30"/>
        <v>57</v>
      </c>
      <c r="AF445" s="51">
        <v>442</v>
      </c>
      <c r="AG445" s="6">
        <v>26</v>
      </c>
      <c r="AH445" s="6">
        <v>57</v>
      </c>
      <c r="AK445" s="31">
        <f t="shared" si="31"/>
        <v>26</v>
      </c>
      <c r="AL445" s="31">
        <f t="shared" si="31"/>
        <v>57</v>
      </c>
    </row>
    <row r="446" spans="16:38">
      <c r="P446" s="53">
        <v>443</v>
      </c>
      <c r="Q446" s="54">
        <v>5</v>
      </c>
      <c r="R446" s="54">
        <v>63</v>
      </c>
      <c r="W446" s="31">
        <v>443</v>
      </c>
      <c r="X446" s="56">
        <v>0.45</v>
      </c>
      <c r="Y446" s="31">
        <v>68</v>
      </c>
      <c r="AB446" s="58">
        <f t="shared" si="29"/>
        <v>0.45</v>
      </c>
      <c r="AC446" s="54">
        <f t="shared" si="30"/>
        <v>68</v>
      </c>
      <c r="AF446" s="51">
        <v>443</v>
      </c>
      <c r="AG446" s="6">
        <v>28.000000000000004</v>
      </c>
      <c r="AH446" s="6">
        <v>68</v>
      </c>
      <c r="AK446" s="31">
        <f t="shared" si="31"/>
        <v>28.000000000000004</v>
      </c>
      <c r="AL446" s="31">
        <f t="shared" si="31"/>
        <v>68</v>
      </c>
    </row>
    <row r="447" spans="16:38">
      <c r="P447" s="53">
        <v>444</v>
      </c>
      <c r="Q447" s="54">
        <v>7</v>
      </c>
      <c r="R447" s="54">
        <v>77</v>
      </c>
      <c r="W447" s="31">
        <v>444</v>
      </c>
      <c r="X447" s="56">
        <v>0.42</v>
      </c>
      <c r="Y447" s="31">
        <v>84</v>
      </c>
      <c r="AB447" s="58">
        <f t="shared" si="29"/>
        <v>0.42</v>
      </c>
      <c r="AC447" s="54">
        <f t="shared" si="30"/>
        <v>84</v>
      </c>
      <c r="AF447" s="51">
        <v>444</v>
      </c>
      <c r="AG447" s="6">
        <v>30</v>
      </c>
      <c r="AH447" s="6">
        <v>84</v>
      </c>
      <c r="AK447" s="31">
        <f t="shared" si="31"/>
        <v>30</v>
      </c>
      <c r="AL447" s="31">
        <f t="shared" si="31"/>
        <v>84</v>
      </c>
    </row>
    <row r="448" spans="16:38">
      <c r="P448" s="53">
        <v>445</v>
      </c>
      <c r="Q448" s="54">
        <v>12</v>
      </c>
      <c r="R448" s="54">
        <v>86</v>
      </c>
      <c r="W448" s="31">
        <v>445</v>
      </c>
      <c r="X448" s="56">
        <v>0.45</v>
      </c>
      <c r="Y448" s="31">
        <v>98</v>
      </c>
      <c r="AB448" s="58">
        <f t="shared" si="29"/>
        <v>0.45</v>
      </c>
      <c r="AC448" s="54">
        <f t="shared" si="30"/>
        <v>98</v>
      </c>
      <c r="AF448" s="51">
        <v>445</v>
      </c>
      <c r="AG448" s="6">
        <v>28.000000000000004</v>
      </c>
      <c r="AH448" s="6">
        <v>98</v>
      </c>
      <c r="AK448" s="31">
        <f t="shared" si="31"/>
        <v>28.000000000000004</v>
      </c>
      <c r="AL448" s="31">
        <f t="shared" si="31"/>
        <v>98</v>
      </c>
    </row>
    <row r="449" spans="16:38">
      <c r="P449" s="53">
        <v>446</v>
      </c>
      <c r="Q449" s="54">
        <v>6</v>
      </c>
      <c r="R449" s="54">
        <v>75</v>
      </c>
      <c r="W449" s="31">
        <v>446</v>
      </c>
      <c r="X449" s="56">
        <v>0.45</v>
      </c>
      <c r="Y449" s="31">
        <v>81</v>
      </c>
      <c r="AB449" s="58">
        <f t="shared" si="29"/>
        <v>0.45</v>
      </c>
      <c r="AC449" s="54">
        <f t="shared" si="30"/>
        <v>81</v>
      </c>
      <c r="AF449" s="51">
        <v>446</v>
      </c>
      <c r="AG449" s="6">
        <v>30</v>
      </c>
      <c r="AH449" s="6">
        <v>81</v>
      </c>
      <c r="AK449" s="31">
        <f t="shared" si="31"/>
        <v>30</v>
      </c>
      <c r="AL449" s="31">
        <f t="shared" si="31"/>
        <v>81</v>
      </c>
    </row>
    <row r="450" spans="16:38">
      <c r="P450" s="53">
        <v>447</v>
      </c>
      <c r="Q450" s="54">
        <v>8</v>
      </c>
      <c r="R450" s="54">
        <v>62</v>
      </c>
      <c r="W450" s="31">
        <v>447</v>
      </c>
      <c r="X450" s="56">
        <v>0.45</v>
      </c>
      <c r="Y450" s="31">
        <v>70</v>
      </c>
      <c r="AB450" s="58">
        <f t="shared" si="29"/>
        <v>0.45</v>
      </c>
      <c r="AC450" s="54">
        <f t="shared" si="30"/>
        <v>70</v>
      </c>
      <c r="AF450" s="51">
        <v>447</v>
      </c>
      <c r="AG450" s="6">
        <v>32</v>
      </c>
      <c r="AH450" s="6">
        <v>70</v>
      </c>
      <c r="AK450" s="31">
        <f t="shared" si="31"/>
        <v>32</v>
      </c>
      <c r="AL450" s="31">
        <f t="shared" si="31"/>
        <v>70</v>
      </c>
    </row>
    <row r="451" spans="16:38">
      <c r="P451" s="53">
        <v>448</v>
      </c>
      <c r="Q451" s="54">
        <v>8</v>
      </c>
      <c r="R451" s="54">
        <v>83</v>
      </c>
      <c r="W451" s="31">
        <v>448</v>
      </c>
      <c r="X451" s="56">
        <v>0.49</v>
      </c>
      <c r="Y451" s="31">
        <v>91</v>
      </c>
      <c r="AB451" s="58">
        <f t="shared" si="29"/>
        <v>0.49</v>
      </c>
      <c r="AC451" s="54">
        <f t="shared" si="30"/>
        <v>91</v>
      </c>
      <c r="AF451" s="51">
        <v>448</v>
      </c>
      <c r="AG451" s="6">
        <v>30</v>
      </c>
      <c r="AH451" s="6">
        <v>91</v>
      </c>
      <c r="AK451" s="31">
        <f t="shared" si="31"/>
        <v>30</v>
      </c>
      <c r="AL451" s="31">
        <f t="shared" si="31"/>
        <v>91</v>
      </c>
    </row>
    <row r="452" spans="16:38">
      <c r="P452" s="53">
        <v>449</v>
      </c>
      <c r="Q452" s="54">
        <v>8</v>
      </c>
      <c r="R452" s="54">
        <v>207</v>
      </c>
      <c r="W452" s="31">
        <v>449</v>
      </c>
      <c r="X452" s="56">
        <v>0.49</v>
      </c>
      <c r="Y452" s="31">
        <v>215</v>
      </c>
      <c r="AB452" s="58">
        <f t="shared" si="29"/>
        <v>0.49</v>
      </c>
      <c r="AC452" s="54">
        <f t="shared" si="30"/>
        <v>215</v>
      </c>
      <c r="AF452" s="51">
        <v>449</v>
      </c>
      <c r="AG452" s="6">
        <v>30</v>
      </c>
      <c r="AH452" s="6">
        <v>215</v>
      </c>
      <c r="AK452" s="31">
        <f t="shared" si="31"/>
        <v>30</v>
      </c>
      <c r="AL452" s="31">
        <f t="shared" si="31"/>
        <v>215</v>
      </c>
    </row>
    <row r="453" spans="16:38">
      <c r="P453" s="53">
        <v>450</v>
      </c>
      <c r="Q453" s="54">
        <v>1</v>
      </c>
      <c r="R453" s="54">
        <v>184</v>
      </c>
      <c r="W453" s="31">
        <v>450</v>
      </c>
      <c r="X453" s="56">
        <v>0.56000000000000005</v>
      </c>
      <c r="Y453" s="31">
        <v>185</v>
      </c>
      <c r="AB453" s="58">
        <f t="shared" ref="AB453:AB516" si="32">X453</f>
        <v>0.56000000000000005</v>
      </c>
      <c r="AC453" s="54">
        <f t="shared" ref="AC453:AC516" si="33">Y453</f>
        <v>185</v>
      </c>
      <c r="AF453" s="51">
        <v>450</v>
      </c>
      <c r="AG453" s="6">
        <v>26</v>
      </c>
      <c r="AH453" s="6">
        <v>185</v>
      </c>
      <c r="AK453" s="31">
        <f t="shared" si="31"/>
        <v>26</v>
      </c>
      <c r="AL453" s="31">
        <f t="shared" si="31"/>
        <v>185</v>
      </c>
    </row>
    <row r="454" spans="16:38">
      <c r="P454" s="53">
        <v>451</v>
      </c>
      <c r="Q454" s="54">
        <v>6</v>
      </c>
      <c r="R454" s="54">
        <v>146</v>
      </c>
      <c r="W454" s="31">
        <v>451</v>
      </c>
      <c r="X454" s="56">
        <v>0.56000000000000005</v>
      </c>
      <c r="Y454" s="31">
        <v>152</v>
      </c>
      <c r="AB454" s="58">
        <f t="shared" si="32"/>
        <v>0.56000000000000005</v>
      </c>
      <c r="AC454" s="54">
        <f t="shared" si="33"/>
        <v>152</v>
      </c>
      <c r="AF454" s="51">
        <v>451</v>
      </c>
      <c r="AG454" s="6">
        <v>26</v>
      </c>
      <c r="AH454" s="6">
        <v>152</v>
      </c>
      <c r="AK454" s="31">
        <f t="shared" si="31"/>
        <v>26</v>
      </c>
      <c r="AL454" s="31">
        <f t="shared" si="31"/>
        <v>152</v>
      </c>
    </row>
    <row r="455" spans="16:38">
      <c r="P455" s="53">
        <v>452</v>
      </c>
      <c r="Q455" s="54">
        <v>2</v>
      </c>
      <c r="R455" s="54">
        <v>124</v>
      </c>
      <c r="W455" s="31">
        <v>452</v>
      </c>
      <c r="X455" s="56">
        <v>0.6</v>
      </c>
      <c r="Y455" s="31">
        <v>126</v>
      </c>
      <c r="AB455" s="58">
        <f t="shared" si="32"/>
        <v>0.6</v>
      </c>
      <c r="AC455" s="54">
        <f t="shared" si="33"/>
        <v>126</v>
      </c>
      <c r="AF455" s="51">
        <v>452</v>
      </c>
      <c r="AG455" s="6">
        <v>26</v>
      </c>
      <c r="AH455" s="6">
        <v>126</v>
      </c>
      <c r="AK455" s="31">
        <f t="shared" si="31"/>
        <v>26</v>
      </c>
      <c r="AL455" s="31">
        <f t="shared" si="31"/>
        <v>126</v>
      </c>
    </row>
    <row r="456" spans="16:38">
      <c r="P456" s="53">
        <v>453</v>
      </c>
      <c r="Q456" s="54">
        <v>3</v>
      </c>
      <c r="R456" s="54">
        <v>54</v>
      </c>
      <c r="W456" s="31">
        <v>453</v>
      </c>
      <c r="X456" s="56">
        <v>0.6</v>
      </c>
      <c r="Y456" s="31">
        <v>57</v>
      </c>
      <c r="AB456" s="58">
        <f t="shared" si="32"/>
        <v>0.6</v>
      </c>
      <c r="AC456" s="54">
        <f t="shared" si="33"/>
        <v>57</v>
      </c>
      <c r="AF456" s="51">
        <v>453</v>
      </c>
      <c r="AG456" s="6">
        <v>24</v>
      </c>
      <c r="AH456" s="6">
        <v>57</v>
      </c>
      <c r="AK456" s="31">
        <f t="shared" si="31"/>
        <v>24</v>
      </c>
      <c r="AL456" s="31">
        <f t="shared" si="31"/>
        <v>57</v>
      </c>
    </row>
    <row r="457" spans="16:38">
      <c r="P457" s="53">
        <v>454</v>
      </c>
      <c r="Q457" s="54">
        <v>0</v>
      </c>
      <c r="R457" s="54">
        <v>56</v>
      </c>
      <c r="W457" s="31">
        <v>454</v>
      </c>
      <c r="X457" s="56">
        <v>0.65</v>
      </c>
      <c r="Y457" s="31">
        <v>56</v>
      </c>
      <c r="AB457" s="58">
        <f t="shared" si="32"/>
        <v>0.65</v>
      </c>
      <c r="AC457" s="54">
        <f t="shared" si="33"/>
        <v>56</v>
      </c>
      <c r="AF457" s="51">
        <v>454</v>
      </c>
      <c r="AG457" s="6">
        <v>24</v>
      </c>
      <c r="AH457" s="6">
        <v>56</v>
      </c>
      <c r="AK457" s="31">
        <f t="shared" si="31"/>
        <v>24</v>
      </c>
      <c r="AL457" s="31">
        <f t="shared" si="31"/>
        <v>56</v>
      </c>
    </row>
    <row r="458" spans="16:38">
      <c r="P458" s="53">
        <v>455</v>
      </c>
      <c r="Q458" s="54">
        <v>3</v>
      </c>
      <c r="R458" s="54">
        <v>28</v>
      </c>
      <c r="W458" s="31">
        <v>455</v>
      </c>
      <c r="X458" s="56">
        <v>0.65</v>
      </c>
      <c r="Y458" s="31">
        <v>31</v>
      </c>
      <c r="AB458" s="58">
        <f t="shared" si="32"/>
        <v>0.65</v>
      </c>
      <c r="AC458" s="54">
        <f t="shared" si="33"/>
        <v>31</v>
      </c>
      <c r="AF458" s="51">
        <v>455</v>
      </c>
      <c r="AG458" s="6">
        <v>24</v>
      </c>
      <c r="AH458" s="6">
        <v>31</v>
      </c>
      <c r="AK458" s="31">
        <f t="shared" si="31"/>
        <v>24</v>
      </c>
      <c r="AL458" s="31">
        <f t="shared" si="31"/>
        <v>31</v>
      </c>
    </row>
    <row r="459" spans="16:38">
      <c r="P459" s="53">
        <v>456</v>
      </c>
      <c r="Q459" s="54">
        <v>1</v>
      </c>
      <c r="R459" s="54">
        <v>20</v>
      </c>
      <c r="W459" s="31">
        <v>456</v>
      </c>
      <c r="X459" s="56">
        <v>0.7</v>
      </c>
      <c r="Y459" s="31">
        <v>21</v>
      </c>
      <c r="AB459" s="58">
        <f t="shared" si="32"/>
        <v>0.7</v>
      </c>
      <c r="AC459" s="54">
        <f t="shared" si="33"/>
        <v>21</v>
      </c>
      <c r="AF459" s="51">
        <v>456</v>
      </c>
      <c r="AG459" s="6">
        <v>24</v>
      </c>
      <c r="AH459" s="6">
        <v>21</v>
      </c>
      <c r="AK459" s="31">
        <f t="shared" si="31"/>
        <v>24</v>
      </c>
      <c r="AL459" s="31">
        <f t="shared" si="31"/>
        <v>21</v>
      </c>
    </row>
    <row r="460" spans="16:38">
      <c r="P460" s="53">
        <v>457</v>
      </c>
      <c r="Q460" s="54">
        <v>0</v>
      </c>
      <c r="R460" s="54">
        <v>6</v>
      </c>
      <c r="W460" s="31">
        <v>457</v>
      </c>
      <c r="X460" s="56">
        <v>0.7</v>
      </c>
      <c r="Y460" s="31">
        <v>6</v>
      </c>
      <c r="AB460" s="58">
        <f t="shared" si="32"/>
        <v>0.7</v>
      </c>
      <c r="AC460" s="54">
        <f t="shared" si="33"/>
        <v>6</v>
      </c>
      <c r="AF460" s="51">
        <v>457</v>
      </c>
      <c r="AG460" s="6">
        <v>24</v>
      </c>
      <c r="AH460" s="6">
        <v>6</v>
      </c>
      <c r="AK460" s="31">
        <f t="shared" si="31"/>
        <v>24</v>
      </c>
      <c r="AL460" s="31">
        <f t="shared" si="31"/>
        <v>6</v>
      </c>
    </row>
    <row r="461" spans="16:38">
      <c r="P461" s="53">
        <v>458</v>
      </c>
      <c r="Q461" s="54">
        <v>0</v>
      </c>
      <c r="R461" s="54">
        <v>2</v>
      </c>
      <c r="W461" s="31">
        <v>458</v>
      </c>
      <c r="X461" s="56">
        <v>0.75</v>
      </c>
      <c r="Y461" s="31">
        <v>2</v>
      </c>
      <c r="AB461" s="58">
        <f t="shared" si="32"/>
        <v>0.75</v>
      </c>
      <c r="AC461" s="54">
        <f t="shared" si="33"/>
        <v>2</v>
      </c>
      <c r="AF461" s="51">
        <v>458</v>
      </c>
      <c r="AG461" s="6">
        <v>24</v>
      </c>
      <c r="AH461" s="6">
        <v>2</v>
      </c>
      <c r="AK461" s="31">
        <f t="shared" si="31"/>
        <v>24</v>
      </c>
      <c r="AL461" s="31">
        <f t="shared" si="31"/>
        <v>2</v>
      </c>
    </row>
    <row r="462" spans="16:38">
      <c r="P462" s="53">
        <v>459</v>
      </c>
      <c r="Q462" s="54">
        <v>0</v>
      </c>
      <c r="R462" s="54">
        <v>1</v>
      </c>
      <c r="W462" s="31">
        <v>459</v>
      </c>
      <c r="X462" s="56">
        <v>0.8</v>
      </c>
      <c r="Y462" s="31">
        <v>1</v>
      </c>
      <c r="AB462" s="58">
        <f t="shared" si="32"/>
        <v>0.8</v>
      </c>
      <c r="AC462" s="54">
        <f t="shared" si="33"/>
        <v>1</v>
      </c>
      <c r="AF462" s="51">
        <v>459</v>
      </c>
      <c r="AG462" s="6">
        <v>22</v>
      </c>
      <c r="AH462" s="6">
        <v>1</v>
      </c>
      <c r="AK462" s="31">
        <f t="shared" si="31"/>
        <v>22</v>
      </c>
      <c r="AL462" s="31">
        <f t="shared" si="31"/>
        <v>1</v>
      </c>
    </row>
    <row r="463" spans="16:38">
      <c r="P463" s="53">
        <v>460</v>
      </c>
      <c r="Q463" s="54">
        <v>0</v>
      </c>
      <c r="R463" s="54">
        <v>1</v>
      </c>
      <c r="W463" s="31">
        <v>460</v>
      </c>
      <c r="X463" s="56">
        <v>0.87</v>
      </c>
      <c r="Y463" s="31">
        <v>1</v>
      </c>
      <c r="AB463" s="58">
        <f t="shared" si="32"/>
        <v>0.87</v>
      </c>
      <c r="AC463" s="54">
        <f t="shared" si="33"/>
        <v>1</v>
      </c>
      <c r="AF463" s="51">
        <v>460</v>
      </c>
      <c r="AG463" s="6">
        <v>22</v>
      </c>
      <c r="AH463" s="6">
        <v>1</v>
      </c>
      <c r="AK463" s="31">
        <f t="shared" si="31"/>
        <v>22</v>
      </c>
      <c r="AL463" s="31">
        <f t="shared" si="31"/>
        <v>1</v>
      </c>
    </row>
    <row r="464" spans="16:38">
      <c r="P464" s="53">
        <v>461</v>
      </c>
      <c r="Q464" s="54">
        <v>1</v>
      </c>
      <c r="R464" s="54">
        <v>4</v>
      </c>
      <c r="W464" s="31">
        <v>461</v>
      </c>
      <c r="X464" s="56">
        <v>0.6</v>
      </c>
      <c r="Y464" s="31">
        <v>5</v>
      </c>
      <c r="AB464" s="58">
        <f t="shared" si="32"/>
        <v>0.6</v>
      </c>
      <c r="AC464" s="54">
        <f t="shared" si="33"/>
        <v>5</v>
      </c>
      <c r="AF464" s="51">
        <v>461</v>
      </c>
      <c r="AG464" s="6">
        <v>24</v>
      </c>
      <c r="AH464" s="6">
        <v>5</v>
      </c>
      <c r="AK464" s="31">
        <f t="shared" si="31"/>
        <v>24</v>
      </c>
      <c r="AL464" s="31">
        <f t="shared" si="31"/>
        <v>5</v>
      </c>
    </row>
    <row r="465" spans="16:38">
      <c r="P465" s="53">
        <v>462</v>
      </c>
      <c r="Q465" s="54">
        <v>0</v>
      </c>
      <c r="R465" s="54">
        <v>27</v>
      </c>
      <c r="W465" s="31">
        <v>462</v>
      </c>
      <c r="X465" s="56">
        <v>0.55000000000000004</v>
      </c>
      <c r="Y465" s="31">
        <v>27</v>
      </c>
      <c r="AB465" s="58">
        <f t="shared" si="32"/>
        <v>0.55000000000000004</v>
      </c>
      <c r="AC465" s="54">
        <f t="shared" si="33"/>
        <v>27</v>
      </c>
      <c r="AF465" s="51">
        <v>462</v>
      </c>
      <c r="AG465" s="6">
        <v>22</v>
      </c>
      <c r="AH465" s="6">
        <v>27</v>
      </c>
      <c r="AK465" s="31">
        <f t="shared" si="31"/>
        <v>22</v>
      </c>
      <c r="AL465" s="31">
        <f t="shared" si="31"/>
        <v>27</v>
      </c>
    </row>
    <row r="466" spans="16:38">
      <c r="P466" s="53">
        <v>463</v>
      </c>
      <c r="Q466" s="54">
        <v>2</v>
      </c>
      <c r="R466" s="54">
        <v>66</v>
      </c>
      <c r="W466" s="31">
        <v>463</v>
      </c>
      <c r="X466" s="56">
        <v>0.51</v>
      </c>
      <c r="Y466" s="31">
        <v>68</v>
      </c>
      <c r="AB466" s="58">
        <f t="shared" si="32"/>
        <v>0.51</v>
      </c>
      <c r="AC466" s="54">
        <f t="shared" si="33"/>
        <v>68</v>
      </c>
      <c r="AF466" s="51">
        <v>463</v>
      </c>
      <c r="AG466" s="6">
        <v>20</v>
      </c>
      <c r="AH466" s="6">
        <v>68</v>
      </c>
      <c r="AK466" s="31">
        <f t="shared" si="31"/>
        <v>20</v>
      </c>
      <c r="AL466" s="31">
        <f t="shared" si="31"/>
        <v>68</v>
      </c>
    </row>
    <row r="467" spans="16:38">
      <c r="P467" s="53">
        <v>464</v>
      </c>
      <c r="Q467" s="54">
        <v>7</v>
      </c>
      <c r="R467" s="54">
        <v>210</v>
      </c>
      <c r="W467" s="31">
        <v>464</v>
      </c>
      <c r="X467" s="56">
        <v>0.47</v>
      </c>
      <c r="Y467" s="31">
        <v>217</v>
      </c>
      <c r="AB467" s="58">
        <f t="shared" si="32"/>
        <v>0.47</v>
      </c>
      <c r="AC467" s="54">
        <f t="shared" si="33"/>
        <v>217</v>
      </c>
      <c r="AF467" s="51">
        <v>464</v>
      </c>
      <c r="AG467" s="6">
        <v>20</v>
      </c>
      <c r="AH467" s="6">
        <v>217</v>
      </c>
      <c r="AK467" s="31">
        <f t="shared" si="31"/>
        <v>20</v>
      </c>
      <c r="AL467" s="31">
        <f t="shared" si="31"/>
        <v>217</v>
      </c>
    </row>
    <row r="468" spans="16:38">
      <c r="P468" s="53">
        <v>465</v>
      </c>
      <c r="Q468" s="54">
        <v>7</v>
      </c>
      <c r="R468" s="54">
        <v>159</v>
      </c>
      <c r="W468" s="31">
        <v>465</v>
      </c>
      <c r="X468" s="56">
        <v>0.51</v>
      </c>
      <c r="Y468" s="31">
        <v>166</v>
      </c>
      <c r="AB468" s="58">
        <f t="shared" si="32"/>
        <v>0.51</v>
      </c>
      <c r="AC468" s="54">
        <f t="shared" si="33"/>
        <v>166</v>
      </c>
      <c r="AF468" s="51">
        <v>465</v>
      </c>
      <c r="AG468" s="6">
        <v>20</v>
      </c>
      <c r="AH468" s="6">
        <v>166</v>
      </c>
      <c r="AK468" s="31">
        <f t="shared" si="31"/>
        <v>20</v>
      </c>
      <c r="AL468" s="31">
        <f t="shared" si="31"/>
        <v>166</v>
      </c>
    </row>
    <row r="469" spans="16:38">
      <c r="P469" s="53">
        <v>466</v>
      </c>
      <c r="Q469" s="54">
        <v>6</v>
      </c>
      <c r="R469" s="54">
        <v>57</v>
      </c>
      <c r="W469" s="31">
        <v>466</v>
      </c>
      <c r="X469" s="56">
        <v>0.47</v>
      </c>
      <c r="Y469" s="31">
        <v>63</v>
      </c>
      <c r="AB469" s="58">
        <f t="shared" si="32"/>
        <v>0.47</v>
      </c>
      <c r="AC469" s="54">
        <f t="shared" si="33"/>
        <v>63</v>
      </c>
      <c r="AF469" s="51">
        <v>466</v>
      </c>
      <c r="AG469" s="6">
        <v>20</v>
      </c>
      <c r="AH469" s="6">
        <v>63</v>
      </c>
      <c r="AK469" s="31">
        <f t="shared" ref="AK469:AL532" si="34">AG469</f>
        <v>20</v>
      </c>
      <c r="AL469" s="31">
        <f t="shared" si="34"/>
        <v>63</v>
      </c>
    </row>
    <row r="470" spans="16:38">
      <c r="P470" s="53">
        <v>467</v>
      </c>
      <c r="Q470" s="54">
        <v>6</v>
      </c>
      <c r="R470" s="54">
        <v>53</v>
      </c>
      <c r="W470" s="31">
        <v>467</v>
      </c>
      <c r="X470" s="56">
        <v>0.41</v>
      </c>
      <c r="Y470" s="31">
        <v>59</v>
      </c>
      <c r="AB470" s="58">
        <f t="shared" si="32"/>
        <v>0.41</v>
      </c>
      <c r="AC470" s="54">
        <f t="shared" si="33"/>
        <v>59</v>
      </c>
      <c r="AF470" s="51">
        <v>467</v>
      </c>
      <c r="AG470" s="6">
        <v>22</v>
      </c>
      <c r="AH470" s="6">
        <v>59</v>
      </c>
      <c r="AK470" s="31">
        <f t="shared" si="34"/>
        <v>22</v>
      </c>
      <c r="AL470" s="31">
        <f t="shared" si="34"/>
        <v>59</v>
      </c>
    </row>
    <row r="471" spans="16:38">
      <c r="P471" s="53">
        <v>468</v>
      </c>
      <c r="Q471" s="54">
        <v>11</v>
      </c>
      <c r="R471" s="54">
        <v>67</v>
      </c>
      <c r="W471" s="31">
        <v>468</v>
      </c>
      <c r="X471" s="56">
        <v>0.27</v>
      </c>
      <c r="Y471" s="31">
        <v>78</v>
      </c>
      <c r="AB471" s="58">
        <f t="shared" si="32"/>
        <v>0.27</v>
      </c>
      <c r="AC471" s="54">
        <f t="shared" si="33"/>
        <v>78</v>
      </c>
      <c r="AF471" s="51">
        <v>468</v>
      </c>
      <c r="AG471" s="6">
        <v>22</v>
      </c>
      <c r="AH471" s="6">
        <v>78</v>
      </c>
      <c r="AK471" s="31">
        <f t="shared" si="34"/>
        <v>22</v>
      </c>
      <c r="AL471" s="31">
        <f t="shared" si="34"/>
        <v>78</v>
      </c>
    </row>
    <row r="472" spans="16:38">
      <c r="P472" s="53">
        <v>469</v>
      </c>
      <c r="Q472" s="54">
        <v>8</v>
      </c>
      <c r="R472" s="54">
        <v>65</v>
      </c>
      <c r="W472" s="31">
        <v>469</v>
      </c>
      <c r="X472" s="56">
        <v>0.21</v>
      </c>
      <c r="Y472" s="31">
        <v>73</v>
      </c>
      <c r="AB472" s="58">
        <f t="shared" si="32"/>
        <v>0.21</v>
      </c>
      <c r="AC472" s="54">
        <f t="shared" si="33"/>
        <v>73</v>
      </c>
      <c r="AF472" s="51">
        <v>469</v>
      </c>
      <c r="AG472" s="6">
        <v>20</v>
      </c>
      <c r="AH472" s="6">
        <v>73</v>
      </c>
      <c r="AK472" s="31">
        <f t="shared" si="34"/>
        <v>20</v>
      </c>
      <c r="AL472" s="31">
        <f t="shared" si="34"/>
        <v>73</v>
      </c>
    </row>
    <row r="473" spans="16:38">
      <c r="P473" s="53">
        <v>470</v>
      </c>
      <c r="Q473" s="54">
        <v>6</v>
      </c>
      <c r="R473" s="54">
        <v>56</v>
      </c>
      <c r="W473" s="31">
        <v>470</v>
      </c>
      <c r="X473" s="56">
        <v>0.25</v>
      </c>
      <c r="Y473" s="31">
        <v>62</v>
      </c>
      <c r="AB473" s="58">
        <f t="shared" si="32"/>
        <v>0.25</v>
      </c>
      <c r="AC473" s="54">
        <f t="shared" si="33"/>
        <v>62</v>
      </c>
      <c r="AF473" s="51">
        <v>470</v>
      </c>
      <c r="AG473" s="6">
        <v>20</v>
      </c>
      <c r="AH473" s="6">
        <v>62</v>
      </c>
      <c r="AK473" s="31">
        <f t="shared" si="34"/>
        <v>20</v>
      </c>
      <c r="AL473" s="31">
        <f t="shared" si="34"/>
        <v>62</v>
      </c>
    </row>
    <row r="474" spans="16:38">
      <c r="P474" s="53">
        <v>471</v>
      </c>
      <c r="Q474" s="54">
        <v>4</v>
      </c>
      <c r="R474" s="54">
        <v>61</v>
      </c>
      <c r="W474" s="31">
        <v>471</v>
      </c>
      <c r="X474" s="56">
        <v>0.26</v>
      </c>
      <c r="Y474" s="31">
        <v>65</v>
      </c>
      <c r="AB474" s="58">
        <f t="shared" si="32"/>
        <v>0.26</v>
      </c>
      <c r="AC474" s="54">
        <f t="shared" si="33"/>
        <v>65</v>
      </c>
      <c r="AF474" s="51">
        <v>471</v>
      </c>
      <c r="AG474" s="6">
        <v>16</v>
      </c>
      <c r="AH474" s="6">
        <v>65</v>
      </c>
      <c r="AK474" s="31">
        <f t="shared" si="34"/>
        <v>16</v>
      </c>
      <c r="AL474" s="31">
        <f t="shared" si="34"/>
        <v>65</v>
      </c>
    </row>
    <row r="475" spans="16:38">
      <c r="P475" s="53">
        <v>472</v>
      </c>
      <c r="Q475" s="54">
        <v>0</v>
      </c>
      <c r="R475" s="54">
        <v>97</v>
      </c>
      <c r="W475" s="31">
        <v>472</v>
      </c>
      <c r="X475" s="56">
        <v>0.26</v>
      </c>
      <c r="Y475" s="31">
        <v>97</v>
      </c>
      <c r="AB475" s="58">
        <f t="shared" si="32"/>
        <v>0.26</v>
      </c>
      <c r="AC475" s="54">
        <f t="shared" si="33"/>
        <v>97</v>
      </c>
      <c r="AF475" s="51">
        <v>472</v>
      </c>
      <c r="AG475" s="6">
        <v>16</v>
      </c>
      <c r="AH475" s="6">
        <v>97</v>
      </c>
      <c r="AK475" s="31">
        <f t="shared" si="34"/>
        <v>16</v>
      </c>
      <c r="AL475" s="31">
        <f t="shared" si="34"/>
        <v>97</v>
      </c>
    </row>
    <row r="476" spans="16:38">
      <c r="P476" s="53">
        <v>473</v>
      </c>
      <c r="Q476" s="54">
        <v>10</v>
      </c>
      <c r="R476" s="54">
        <v>151</v>
      </c>
      <c r="W476" s="31">
        <v>473</v>
      </c>
      <c r="X476" s="56">
        <v>0.28000000000000003</v>
      </c>
      <c r="Y476" s="31">
        <v>161</v>
      </c>
      <c r="AB476" s="58">
        <f t="shared" si="32"/>
        <v>0.28000000000000003</v>
      </c>
      <c r="AC476" s="54">
        <f t="shared" si="33"/>
        <v>161</v>
      </c>
      <c r="AF476" s="51">
        <v>473</v>
      </c>
      <c r="AG476" s="6">
        <v>14.000000000000002</v>
      </c>
      <c r="AH476" s="6">
        <v>161</v>
      </c>
      <c r="AK476" s="31">
        <f t="shared" si="34"/>
        <v>14.000000000000002</v>
      </c>
      <c r="AL476" s="31">
        <f t="shared" si="34"/>
        <v>161</v>
      </c>
    </row>
    <row r="477" spans="16:38">
      <c r="P477" s="53">
        <v>474</v>
      </c>
      <c r="Q477" s="54">
        <v>1</v>
      </c>
      <c r="R477" s="54">
        <v>119</v>
      </c>
      <c r="W477" s="31">
        <v>474</v>
      </c>
      <c r="X477" s="56">
        <v>0.3</v>
      </c>
      <c r="Y477" s="31">
        <v>120</v>
      </c>
      <c r="AB477" s="58">
        <f t="shared" si="32"/>
        <v>0.3</v>
      </c>
      <c r="AC477" s="54">
        <f t="shared" si="33"/>
        <v>120</v>
      </c>
      <c r="AF477" s="51">
        <v>474</v>
      </c>
      <c r="AG477" s="6">
        <v>12</v>
      </c>
      <c r="AH477" s="6">
        <v>120</v>
      </c>
      <c r="AK477" s="31">
        <f t="shared" si="34"/>
        <v>12</v>
      </c>
      <c r="AL477" s="31">
        <f t="shared" si="34"/>
        <v>120</v>
      </c>
    </row>
    <row r="478" spans="16:38">
      <c r="P478" s="53">
        <v>475</v>
      </c>
      <c r="Q478" s="54">
        <v>3</v>
      </c>
      <c r="R478" s="54">
        <v>93</v>
      </c>
      <c r="W478" s="31">
        <v>475</v>
      </c>
      <c r="X478" s="56">
        <v>0.3</v>
      </c>
      <c r="Y478" s="31">
        <v>96</v>
      </c>
      <c r="AB478" s="58">
        <f t="shared" si="32"/>
        <v>0.3</v>
      </c>
      <c r="AC478" s="54">
        <f t="shared" si="33"/>
        <v>96</v>
      </c>
      <c r="AF478" s="51">
        <v>475</v>
      </c>
      <c r="AG478" s="6">
        <v>12</v>
      </c>
      <c r="AH478" s="6">
        <v>96</v>
      </c>
      <c r="AK478" s="31">
        <f t="shared" si="34"/>
        <v>12</v>
      </c>
      <c r="AL478" s="31">
        <f t="shared" si="34"/>
        <v>96</v>
      </c>
    </row>
    <row r="479" spans="16:38">
      <c r="P479" s="53">
        <v>476</v>
      </c>
      <c r="Q479" s="54">
        <v>1</v>
      </c>
      <c r="R479" s="54">
        <v>52</v>
      </c>
      <c r="W479" s="31">
        <v>476</v>
      </c>
      <c r="X479" s="56">
        <v>0.33</v>
      </c>
      <c r="Y479" s="31">
        <v>53</v>
      </c>
      <c r="AB479" s="58">
        <f t="shared" si="32"/>
        <v>0.33</v>
      </c>
      <c r="AC479" s="54">
        <f t="shared" si="33"/>
        <v>53</v>
      </c>
      <c r="AF479" s="51">
        <v>476</v>
      </c>
      <c r="AG479" s="6">
        <v>10</v>
      </c>
      <c r="AH479" s="6">
        <v>53</v>
      </c>
      <c r="AK479" s="31">
        <f t="shared" si="34"/>
        <v>10</v>
      </c>
      <c r="AL479" s="31">
        <f t="shared" si="34"/>
        <v>53</v>
      </c>
    </row>
    <row r="480" spans="16:38">
      <c r="P480" s="53">
        <v>477</v>
      </c>
      <c r="Q480" s="54">
        <v>0</v>
      </c>
      <c r="R480" s="54">
        <v>41</v>
      </c>
      <c r="W480" s="31">
        <v>477</v>
      </c>
      <c r="X480" s="56">
        <v>0.38</v>
      </c>
      <c r="Y480" s="31">
        <v>41</v>
      </c>
      <c r="AB480" s="58">
        <f t="shared" si="32"/>
        <v>0.38</v>
      </c>
      <c r="AC480" s="54">
        <f t="shared" si="33"/>
        <v>41</v>
      </c>
      <c r="AF480" s="51">
        <v>477</v>
      </c>
      <c r="AG480" s="6">
        <v>8</v>
      </c>
      <c r="AH480" s="6">
        <v>41</v>
      </c>
      <c r="AK480" s="31">
        <f t="shared" si="34"/>
        <v>8</v>
      </c>
      <c r="AL480" s="31">
        <f t="shared" si="34"/>
        <v>41</v>
      </c>
    </row>
    <row r="481" spans="16:38">
      <c r="P481" s="53">
        <v>478</v>
      </c>
      <c r="Q481" s="54">
        <v>1</v>
      </c>
      <c r="R481" s="54">
        <v>33</v>
      </c>
      <c r="W481" s="31">
        <v>478</v>
      </c>
      <c r="X481" s="56">
        <v>0.41</v>
      </c>
      <c r="Y481" s="31">
        <v>34</v>
      </c>
      <c r="AB481" s="58">
        <f t="shared" si="32"/>
        <v>0.41</v>
      </c>
      <c r="AC481" s="54">
        <f t="shared" si="33"/>
        <v>34</v>
      </c>
      <c r="AF481" s="51">
        <v>478</v>
      </c>
      <c r="AG481" s="6">
        <v>6</v>
      </c>
      <c r="AH481" s="6">
        <v>34</v>
      </c>
      <c r="AK481" s="31">
        <f t="shared" si="34"/>
        <v>6</v>
      </c>
      <c r="AL481" s="31">
        <f t="shared" si="34"/>
        <v>34</v>
      </c>
    </row>
    <row r="482" spans="16:38">
      <c r="P482" s="53">
        <v>479</v>
      </c>
      <c r="Q482" s="54">
        <v>0</v>
      </c>
      <c r="R482" s="54">
        <v>27</v>
      </c>
      <c r="W482" s="31">
        <v>479</v>
      </c>
      <c r="X482" s="56">
        <v>0.38</v>
      </c>
      <c r="Y482" s="31">
        <v>27</v>
      </c>
      <c r="AB482" s="58">
        <f t="shared" si="32"/>
        <v>0.38</v>
      </c>
      <c r="AC482" s="54">
        <f t="shared" si="33"/>
        <v>27</v>
      </c>
      <c r="AF482" s="51">
        <v>479</v>
      </c>
      <c r="AG482" s="6">
        <v>6</v>
      </c>
      <c r="AH482" s="6">
        <v>27</v>
      </c>
      <c r="AK482" s="31">
        <f t="shared" si="34"/>
        <v>6</v>
      </c>
      <c r="AL482" s="31">
        <f t="shared" si="34"/>
        <v>27</v>
      </c>
    </row>
    <row r="483" spans="16:38">
      <c r="P483" s="53">
        <v>480</v>
      </c>
      <c r="Q483" s="54">
        <v>0</v>
      </c>
      <c r="R483" s="54">
        <v>13</v>
      </c>
      <c r="W483" s="31">
        <v>480</v>
      </c>
      <c r="X483" s="56">
        <v>0.45</v>
      </c>
      <c r="Y483" s="31">
        <v>13</v>
      </c>
      <c r="AB483" s="58">
        <f t="shared" si="32"/>
        <v>0.45</v>
      </c>
      <c r="AC483" s="54">
        <f t="shared" si="33"/>
        <v>13</v>
      </c>
      <c r="AF483" s="51">
        <v>480</v>
      </c>
      <c r="AG483" s="6">
        <v>4</v>
      </c>
      <c r="AH483" s="6">
        <v>13</v>
      </c>
      <c r="AK483" s="31">
        <f t="shared" si="34"/>
        <v>4</v>
      </c>
      <c r="AL483" s="31">
        <f t="shared" si="34"/>
        <v>13</v>
      </c>
    </row>
    <row r="484" spans="16:38">
      <c r="P484" s="53">
        <v>481</v>
      </c>
      <c r="Q484" s="54">
        <v>3</v>
      </c>
      <c r="R484" s="54">
        <v>9</v>
      </c>
      <c r="W484" s="31">
        <v>481</v>
      </c>
      <c r="X484" s="56">
        <v>0.41</v>
      </c>
      <c r="Y484" s="31">
        <v>12</v>
      </c>
      <c r="AB484" s="58">
        <f t="shared" si="32"/>
        <v>0.41</v>
      </c>
      <c r="AC484" s="54">
        <f t="shared" si="33"/>
        <v>12</v>
      </c>
      <c r="AF484" s="51">
        <v>481</v>
      </c>
      <c r="AG484" s="6">
        <v>4</v>
      </c>
      <c r="AH484" s="6">
        <v>12</v>
      </c>
      <c r="AK484" s="31">
        <f t="shared" si="34"/>
        <v>4</v>
      </c>
      <c r="AL484" s="31">
        <f t="shared" si="34"/>
        <v>12</v>
      </c>
    </row>
    <row r="485" spans="16:38">
      <c r="P485" s="53">
        <v>482</v>
      </c>
      <c r="Q485" s="54">
        <v>0</v>
      </c>
      <c r="R485" s="54">
        <v>11</v>
      </c>
      <c r="W485" s="31">
        <v>482</v>
      </c>
      <c r="X485" s="56">
        <v>0.41</v>
      </c>
      <c r="Y485" s="31">
        <v>11</v>
      </c>
      <c r="AB485" s="58">
        <f t="shared" si="32"/>
        <v>0.41</v>
      </c>
      <c r="AC485" s="54">
        <f t="shared" si="33"/>
        <v>11</v>
      </c>
      <c r="AF485" s="51">
        <v>482</v>
      </c>
      <c r="AG485" s="6">
        <v>4</v>
      </c>
      <c r="AH485" s="6">
        <v>11</v>
      </c>
      <c r="AK485" s="31">
        <f t="shared" si="34"/>
        <v>4</v>
      </c>
      <c r="AL485" s="31">
        <f t="shared" si="34"/>
        <v>11</v>
      </c>
    </row>
    <row r="486" spans="16:38">
      <c r="P486" s="53">
        <v>483</v>
      </c>
      <c r="Q486" s="54">
        <v>1</v>
      </c>
      <c r="R486" s="54">
        <v>6</v>
      </c>
      <c r="W486" s="31">
        <v>483</v>
      </c>
      <c r="X486" s="56">
        <v>0.41</v>
      </c>
      <c r="Y486" s="31">
        <v>7</v>
      </c>
      <c r="AB486" s="58">
        <f t="shared" si="32"/>
        <v>0.41</v>
      </c>
      <c r="AC486" s="54">
        <f t="shared" si="33"/>
        <v>7</v>
      </c>
      <c r="AF486" s="51">
        <v>483</v>
      </c>
      <c r="AG486" s="6">
        <v>4</v>
      </c>
      <c r="AH486" s="6">
        <v>7</v>
      </c>
      <c r="AK486" s="31">
        <f t="shared" si="34"/>
        <v>4</v>
      </c>
      <c r="AL486" s="31">
        <f t="shared" si="34"/>
        <v>7</v>
      </c>
    </row>
    <row r="487" spans="16:38">
      <c r="P487" s="53">
        <v>484</v>
      </c>
      <c r="Q487" s="54">
        <v>0</v>
      </c>
      <c r="R487" s="54">
        <v>3</v>
      </c>
      <c r="W487" s="31">
        <v>484</v>
      </c>
      <c r="X487" s="56">
        <v>0.48</v>
      </c>
      <c r="Y487" s="31">
        <v>3</v>
      </c>
      <c r="AB487" s="58">
        <f t="shared" si="32"/>
        <v>0.48</v>
      </c>
      <c r="AC487" s="54">
        <f t="shared" si="33"/>
        <v>3</v>
      </c>
      <c r="AF487" s="51">
        <v>484</v>
      </c>
      <c r="AG487" s="6">
        <v>2</v>
      </c>
      <c r="AH487" s="6">
        <v>3</v>
      </c>
      <c r="AK487" s="31">
        <f t="shared" si="34"/>
        <v>2</v>
      </c>
      <c r="AL487" s="31">
        <f t="shared" si="34"/>
        <v>3</v>
      </c>
    </row>
    <row r="488" spans="16:38">
      <c r="P488" s="53">
        <v>485</v>
      </c>
      <c r="Q488" s="54">
        <v>0</v>
      </c>
      <c r="R488" s="54">
        <v>2</v>
      </c>
      <c r="W488" s="31">
        <v>485</v>
      </c>
      <c r="X488" s="56">
        <v>0.44</v>
      </c>
      <c r="Y488" s="31">
        <v>2</v>
      </c>
      <c r="AB488" s="58">
        <f t="shared" si="32"/>
        <v>0.44</v>
      </c>
      <c r="AC488" s="54">
        <f t="shared" si="33"/>
        <v>2</v>
      </c>
      <c r="AF488" s="51">
        <v>485</v>
      </c>
      <c r="AG488" s="6">
        <v>2</v>
      </c>
      <c r="AH488" s="6">
        <v>2</v>
      </c>
      <c r="AK488" s="31">
        <f t="shared" si="34"/>
        <v>2</v>
      </c>
      <c r="AL488" s="31">
        <f t="shared" si="34"/>
        <v>2</v>
      </c>
    </row>
    <row r="489" spans="16:38">
      <c r="P489" s="53">
        <v>486</v>
      </c>
      <c r="Q489" s="54">
        <v>0</v>
      </c>
      <c r="R489" s="54">
        <v>8</v>
      </c>
      <c r="W489" s="31">
        <v>486</v>
      </c>
      <c r="X489" s="56">
        <v>0.44</v>
      </c>
      <c r="Y489" s="31">
        <v>8</v>
      </c>
      <c r="AB489" s="58">
        <f t="shared" si="32"/>
        <v>0.44</v>
      </c>
      <c r="AC489" s="54">
        <f t="shared" si="33"/>
        <v>8</v>
      </c>
      <c r="AF489" s="51">
        <v>486</v>
      </c>
      <c r="AG489" s="6">
        <v>2</v>
      </c>
      <c r="AH489" s="6">
        <v>8</v>
      </c>
      <c r="AK489" s="31">
        <f t="shared" si="34"/>
        <v>2</v>
      </c>
      <c r="AL489" s="31">
        <f t="shared" si="34"/>
        <v>8</v>
      </c>
    </row>
    <row r="490" spans="16:38">
      <c r="P490" s="53">
        <v>487</v>
      </c>
      <c r="Q490" s="54">
        <v>1</v>
      </c>
      <c r="R490" s="54">
        <v>26</v>
      </c>
      <c r="W490" s="31">
        <v>487</v>
      </c>
      <c r="X490" s="56">
        <v>0.44</v>
      </c>
      <c r="Y490" s="31">
        <v>27</v>
      </c>
      <c r="AB490" s="58">
        <f t="shared" si="32"/>
        <v>0.44</v>
      </c>
      <c r="AC490" s="54">
        <f t="shared" si="33"/>
        <v>27</v>
      </c>
      <c r="AF490" s="51">
        <v>487</v>
      </c>
      <c r="AG490" s="6">
        <v>2</v>
      </c>
      <c r="AH490" s="6">
        <v>27</v>
      </c>
      <c r="AK490" s="31">
        <f t="shared" si="34"/>
        <v>2</v>
      </c>
      <c r="AL490" s="31">
        <f t="shared" si="34"/>
        <v>27</v>
      </c>
    </row>
    <row r="491" spans="16:38">
      <c r="P491" s="53">
        <v>488</v>
      </c>
      <c r="Q491" s="54">
        <v>3</v>
      </c>
      <c r="R491" s="54">
        <v>37</v>
      </c>
      <c r="W491" s="31">
        <v>488</v>
      </c>
      <c r="X491" s="56">
        <v>0.41</v>
      </c>
      <c r="Y491" s="31">
        <v>40</v>
      </c>
      <c r="AB491" s="58">
        <f t="shared" si="32"/>
        <v>0.41</v>
      </c>
      <c r="AC491" s="54">
        <f t="shared" si="33"/>
        <v>40</v>
      </c>
      <c r="AF491" s="51">
        <v>488</v>
      </c>
      <c r="AG491" s="6">
        <v>4</v>
      </c>
      <c r="AH491" s="6">
        <v>40</v>
      </c>
      <c r="AK491" s="31">
        <f t="shared" si="34"/>
        <v>4</v>
      </c>
      <c r="AL491" s="31">
        <f t="shared" si="34"/>
        <v>40</v>
      </c>
    </row>
    <row r="492" spans="16:38">
      <c r="P492" s="53">
        <v>489</v>
      </c>
      <c r="Q492" s="54">
        <v>3</v>
      </c>
      <c r="R492" s="54">
        <v>50</v>
      </c>
      <c r="W492" s="31">
        <v>489</v>
      </c>
      <c r="X492" s="56">
        <v>0.41</v>
      </c>
      <c r="Y492" s="31">
        <v>53</v>
      </c>
      <c r="AB492" s="58">
        <f t="shared" si="32"/>
        <v>0.41</v>
      </c>
      <c r="AC492" s="54">
        <f t="shared" si="33"/>
        <v>53</v>
      </c>
      <c r="AF492" s="51">
        <v>489</v>
      </c>
      <c r="AG492" s="6">
        <v>4</v>
      </c>
      <c r="AH492" s="6">
        <v>53</v>
      </c>
      <c r="AK492" s="31">
        <f t="shared" si="34"/>
        <v>4</v>
      </c>
      <c r="AL492" s="31">
        <f t="shared" si="34"/>
        <v>53</v>
      </c>
    </row>
    <row r="493" spans="16:38">
      <c r="P493" s="53">
        <v>490</v>
      </c>
      <c r="Q493" s="54">
        <v>4</v>
      </c>
      <c r="R493" s="54">
        <v>59</v>
      </c>
      <c r="W493" s="31">
        <v>490</v>
      </c>
      <c r="X493" s="56">
        <v>0.38</v>
      </c>
      <c r="Y493" s="31">
        <v>63</v>
      </c>
      <c r="AB493" s="58">
        <f t="shared" si="32"/>
        <v>0.38</v>
      </c>
      <c r="AC493" s="54">
        <f t="shared" si="33"/>
        <v>63</v>
      </c>
      <c r="AF493" s="51">
        <v>490</v>
      </c>
      <c r="AG493" s="6">
        <v>6</v>
      </c>
      <c r="AH493" s="6">
        <v>63</v>
      </c>
      <c r="AK493" s="31">
        <f t="shared" si="34"/>
        <v>6</v>
      </c>
      <c r="AL493" s="31">
        <f t="shared" si="34"/>
        <v>63</v>
      </c>
    </row>
    <row r="494" spans="16:38">
      <c r="P494" s="53">
        <v>491</v>
      </c>
      <c r="Q494" s="54">
        <v>10</v>
      </c>
      <c r="R494" s="54">
        <v>60</v>
      </c>
      <c r="W494" s="31">
        <v>491</v>
      </c>
      <c r="X494" s="56">
        <v>0.38</v>
      </c>
      <c r="Y494" s="31">
        <v>70</v>
      </c>
      <c r="AB494" s="58">
        <f t="shared" si="32"/>
        <v>0.38</v>
      </c>
      <c r="AC494" s="54">
        <f t="shared" si="33"/>
        <v>70</v>
      </c>
      <c r="AF494" s="51">
        <v>491</v>
      </c>
      <c r="AG494" s="6">
        <v>6</v>
      </c>
      <c r="AH494" s="6">
        <v>70</v>
      </c>
      <c r="AK494" s="31">
        <f t="shared" si="34"/>
        <v>6</v>
      </c>
      <c r="AL494" s="31">
        <f t="shared" si="34"/>
        <v>70</v>
      </c>
    </row>
    <row r="495" spans="16:38">
      <c r="P495" s="53">
        <v>492</v>
      </c>
      <c r="Q495" s="54">
        <v>12</v>
      </c>
      <c r="R495" s="54">
        <v>72</v>
      </c>
      <c r="W495" s="31">
        <v>492</v>
      </c>
      <c r="X495" s="56">
        <v>0.35</v>
      </c>
      <c r="Y495" s="31">
        <v>84</v>
      </c>
      <c r="AB495" s="58">
        <f t="shared" si="32"/>
        <v>0.35</v>
      </c>
      <c r="AC495" s="54">
        <f t="shared" si="33"/>
        <v>84</v>
      </c>
      <c r="AF495" s="51">
        <v>492</v>
      </c>
      <c r="AG495" s="6">
        <v>8</v>
      </c>
      <c r="AH495" s="6">
        <v>84</v>
      </c>
      <c r="AK495" s="31">
        <f t="shared" si="34"/>
        <v>8</v>
      </c>
      <c r="AL495" s="31">
        <f t="shared" si="34"/>
        <v>84</v>
      </c>
    </row>
    <row r="496" spans="16:38">
      <c r="P496" s="53">
        <v>493</v>
      </c>
      <c r="Q496" s="54">
        <v>11</v>
      </c>
      <c r="R496" s="54">
        <v>64</v>
      </c>
      <c r="W496" s="31">
        <v>493</v>
      </c>
      <c r="X496" s="56">
        <v>0.33</v>
      </c>
      <c r="Y496" s="31">
        <v>75</v>
      </c>
      <c r="AB496" s="58">
        <f t="shared" si="32"/>
        <v>0.33</v>
      </c>
      <c r="AC496" s="54">
        <f t="shared" si="33"/>
        <v>75</v>
      </c>
      <c r="AF496" s="51">
        <v>493</v>
      </c>
      <c r="AG496" s="6">
        <v>10</v>
      </c>
      <c r="AH496" s="6">
        <v>75</v>
      </c>
      <c r="AK496" s="31">
        <f t="shared" si="34"/>
        <v>10</v>
      </c>
      <c r="AL496" s="31">
        <f t="shared" si="34"/>
        <v>75</v>
      </c>
    </row>
    <row r="497" spans="16:38">
      <c r="P497" s="53">
        <v>494</v>
      </c>
      <c r="Q497" s="54">
        <v>10</v>
      </c>
      <c r="R497" s="54">
        <v>93</v>
      </c>
      <c r="W497" s="31">
        <v>494</v>
      </c>
      <c r="X497" s="56">
        <v>0.28000000000000003</v>
      </c>
      <c r="Y497" s="31">
        <v>103</v>
      </c>
      <c r="AB497" s="58">
        <f t="shared" si="32"/>
        <v>0.28000000000000003</v>
      </c>
      <c r="AC497" s="54">
        <f t="shared" si="33"/>
        <v>103</v>
      </c>
      <c r="AF497" s="51">
        <v>494</v>
      </c>
      <c r="AG497" s="6">
        <v>12</v>
      </c>
      <c r="AH497" s="6">
        <v>103</v>
      </c>
      <c r="AK497" s="31">
        <f t="shared" si="34"/>
        <v>12</v>
      </c>
      <c r="AL497" s="31">
        <f t="shared" si="34"/>
        <v>103</v>
      </c>
    </row>
    <row r="498" spans="16:38">
      <c r="P498" s="53">
        <v>495</v>
      </c>
      <c r="Q498" s="54">
        <v>11</v>
      </c>
      <c r="R498" s="54">
        <v>72</v>
      </c>
      <c r="W498" s="31">
        <v>495</v>
      </c>
      <c r="X498" s="56">
        <v>0.28000000000000003</v>
      </c>
      <c r="Y498" s="31">
        <v>83</v>
      </c>
      <c r="AB498" s="58">
        <f t="shared" si="32"/>
        <v>0.28000000000000003</v>
      </c>
      <c r="AC498" s="54">
        <f t="shared" si="33"/>
        <v>83</v>
      </c>
      <c r="AF498" s="51">
        <v>495</v>
      </c>
      <c r="AG498" s="6">
        <v>12</v>
      </c>
      <c r="AH498" s="6">
        <v>83</v>
      </c>
      <c r="AK498" s="31">
        <f t="shared" si="34"/>
        <v>12</v>
      </c>
      <c r="AL498" s="31">
        <f t="shared" si="34"/>
        <v>83</v>
      </c>
    </row>
    <row r="499" spans="16:38">
      <c r="P499" s="53">
        <v>496</v>
      </c>
      <c r="Q499" s="54">
        <v>8</v>
      </c>
      <c r="R499" s="54">
        <v>59</v>
      </c>
      <c r="W499" s="31">
        <v>496</v>
      </c>
      <c r="X499" s="56">
        <v>0.28000000000000003</v>
      </c>
      <c r="Y499" s="31">
        <v>67</v>
      </c>
      <c r="AB499" s="58">
        <f t="shared" si="32"/>
        <v>0.28000000000000003</v>
      </c>
      <c r="AC499" s="54">
        <f t="shared" si="33"/>
        <v>67</v>
      </c>
      <c r="AF499" s="51">
        <v>496</v>
      </c>
      <c r="AG499" s="6">
        <v>12</v>
      </c>
      <c r="AH499" s="6">
        <v>67</v>
      </c>
      <c r="AK499" s="31">
        <f t="shared" si="34"/>
        <v>12</v>
      </c>
      <c r="AL499" s="31">
        <f t="shared" si="34"/>
        <v>67</v>
      </c>
    </row>
    <row r="500" spans="16:38">
      <c r="P500" s="53">
        <v>497</v>
      </c>
      <c r="Q500" s="54">
        <v>0</v>
      </c>
      <c r="R500" s="54">
        <v>54</v>
      </c>
      <c r="W500" s="31">
        <v>497</v>
      </c>
      <c r="X500" s="56">
        <v>0.35</v>
      </c>
      <c r="Y500" s="31">
        <v>54</v>
      </c>
      <c r="AB500" s="58">
        <f t="shared" si="32"/>
        <v>0.35</v>
      </c>
      <c r="AC500" s="54">
        <f t="shared" si="33"/>
        <v>54</v>
      </c>
      <c r="AF500" s="51">
        <v>497</v>
      </c>
      <c r="AG500" s="6">
        <v>8</v>
      </c>
      <c r="AH500" s="6">
        <v>54</v>
      </c>
      <c r="AK500" s="31">
        <f t="shared" si="34"/>
        <v>8</v>
      </c>
      <c r="AL500" s="31">
        <f t="shared" si="34"/>
        <v>54</v>
      </c>
    </row>
    <row r="501" spans="16:38">
      <c r="P501" s="53">
        <v>498</v>
      </c>
      <c r="Q501" s="54">
        <v>6</v>
      </c>
      <c r="R501" s="54">
        <v>53</v>
      </c>
      <c r="W501" s="31">
        <v>498</v>
      </c>
      <c r="X501" s="56">
        <v>0.35</v>
      </c>
      <c r="Y501" s="31">
        <v>59</v>
      </c>
      <c r="AB501" s="58">
        <f t="shared" si="32"/>
        <v>0.35</v>
      </c>
      <c r="AC501" s="54">
        <f t="shared" si="33"/>
        <v>59</v>
      </c>
      <c r="AF501" s="51">
        <v>498</v>
      </c>
      <c r="AG501" s="6">
        <v>8</v>
      </c>
      <c r="AH501" s="6">
        <v>59</v>
      </c>
      <c r="AK501" s="31">
        <f t="shared" si="34"/>
        <v>8</v>
      </c>
      <c r="AL501" s="31">
        <f t="shared" si="34"/>
        <v>59</v>
      </c>
    </row>
    <row r="502" spans="16:38">
      <c r="P502" s="53">
        <v>499</v>
      </c>
      <c r="Q502" s="54">
        <v>1</v>
      </c>
      <c r="R502" s="54">
        <v>44</v>
      </c>
      <c r="W502" s="31">
        <v>499</v>
      </c>
      <c r="X502" s="56">
        <v>0.45</v>
      </c>
      <c r="Y502" s="31">
        <v>45</v>
      </c>
      <c r="AB502" s="58">
        <f t="shared" si="32"/>
        <v>0.45</v>
      </c>
      <c r="AC502" s="54">
        <f t="shared" si="33"/>
        <v>45</v>
      </c>
      <c r="AF502" s="51">
        <v>499</v>
      </c>
      <c r="AG502" s="6">
        <v>6</v>
      </c>
      <c r="AH502" s="6">
        <v>45</v>
      </c>
      <c r="AK502" s="31">
        <f t="shared" si="34"/>
        <v>6</v>
      </c>
      <c r="AL502" s="31">
        <f t="shared" si="34"/>
        <v>45</v>
      </c>
    </row>
    <row r="503" spans="16:38">
      <c r="P503" s="53">
        <v>500</v>
      </c>
      <c r="Q503" s="54">
        <v>0</v>
      </c>
      <c r="R503" s="54">
        <v>39</v>
      </c>
      <c r="W503" s="31">
        <v>500</v>
      </c>
      <c r="X503" s="56">
        <v>0.41</v>
      </c>
      <c r="Y503" s="31">
        <v>39</v>
      </c>
      <c r="AB503" s="58">
        <f t="shared" si="32"/>
        <v>0.41</v>
      </c>
      <c r="AC503" s="54">
        <f t="shared" si="33"/>
        <v>39</v>
      </c>
      <c r="AF503" s="51">
        <v>500</v>
      </c>
      <c r="AG503" s="6">
        <v>6</v>
      </c>
      <c r="AH503" s="6">
        <v>39</v>
      </c>
      <c r="AK503" s="31">
        <f t="shared" si="34"/>
        <v>6</v>
      </c>
      <c r="AL503" s="31">
        <f t="shared" si="34"/>
        <v>39</v>
      </c>
    </row>
    <row r="504" spans="16:38">
      <c r="P504" s="53">
        <v>501</v>
      </c>
      <c r="Q504" s="54">
        <v>7</v>
      </c>
      <c r="R504" s="54">
        <v>23</v>
      </c>
      <c r="W504" s="31">
        <v>501</v>
      </c>
      <c r="X504" s="56">
        <v>0.49</v>
      </c>
      <c r="Y504" s="31">
        <v>30</v>
      </c>
      <c r="AB504" s="58">
        <f t="shared" si="32"/>
        <v>0.49</v>
      </c>
      <c r="AC504" s="54">
        <f t="shared" si="33"/>
        <v>30</v>
      </c>
      <c r="AF504" s="51">
        <v>501</v>
      </c>
      <c r="AG504" s="6">
        <v>6</v>
      </c>
      <c r="AH504" s="6">
        <v>30</v>
      </c>
      <c r="AK504" s="31">
        <f t="shared" si="34"/>
        <v>6</v>
      </c>
      <c r="AL504" s="31">
        <f t="shared" si="34"/>
        <v>30</v>
      </c>
    </row>
    <row r="505" spans="16:38">
      <c r="P505" s="53">
        <v>502</v>
      </c>
      <c r="Q505" s="54">
        <v>2</v>
      </c>
      <c r="R505" s="54">
        <v>31</v>
      </c>
      <c r="W505" s="31">
        <v>502</v>
      </c>
      <c r="X505" s="56">
        <v>0.56999999999999995</v>
      </c>
      <c r="Y505" s="31">
        <v>33</v>
      </c>
      <c r="AB505" s="58">
        <f t="shared" si="32"/>
        <v>0.56999999999999995</v>
      </c>
      <c r="AC505" s="54">
        <f t="shared" si="33"/>
        <v>33</v>
      </c>
      <c r="AF505" s="51">
        <v>502</v>
      </c>
      <c r="AG505" s="6">
        <v>4</v>
      </c>
      <c r="AH505" s="6">
        <v>33</v>
      </c>
      <c r="AK505" s="31">
        <f t="shared" si="34"/>
        <v>4</v>
      </c>
      <c r="AL505" s="31">
        <f t="shared" si="34"/>
        <v>33</v>
      </c>
    </row>
    <row r="506" spans="16:38">
      <c r="P506" s="53">
        <v>503</v>
      </c>
      <c r="Q506" s="54">
        <v>2</v>
      </c>
      <c r="R506" s="54">
        <v>20</v>
      </c>
      <c r="W506" s="31">
        <v>503</v>
      </c>
      <c r="X506" s="56">
        <v>0.56999999999999995</v>
      </c>
      <c r="Y506" s="31">
        <v>22</v>
      </c>
      <c r="AB506" s="58">
        <f t="shared" si="32"/>
        <v>0.56999999999999995</v>
      </c>
      <c r="AC506" s="54">
        <f t="shared" si="33"/>
        <v>22</v>
      </c>
      <c r="AF506" s="51">
        <v>503</v>
      </c>
      <c r="AG506" s="6">
        <v>4</v>
      </c>
      <c r="AH506" s="6">
        <v>22</v>
      </c>
      <c r="AK506" s="31">
        <f t="shared" si="34"/>
        <v>4</v>
      </c>
      <c r="AL506" s="31">
        <f t="shared" si="34"/>
        <v>22</v>
      </c>
    </row>
    <row r="507" spans="16:38">
      <c r="P507" s="53">
        <v>504</v>
      </c>
      <c r="Q507" s="54">
        <v>1</v>
      </c>
      <c r="R507" s="54">
        <v>12</v>
      </c>
      <c r="W507" s="31">
        <v>504</v>
      </c>
      <c r="X507" s="56">
        <v>0.56999999999999995</v>
      </c>
      <c r="Y507" s="31">
        <v>13</v>
      </c>
      <c r="AB507" s="58">
        <f t="shared" si="32"/>
        <v>0.56999999999999995</v>
      </c>
      <c r="AC507" s="54">
        <f t="shared" si="33"/>
        <v>13</v>
      </c>
      <c r="AF507" s="51">
        <v>504</v>
      </c>
      <c r="AG507" s="6">
        <v>4</v>
      </c>
      <c r="AH507" s="6">
        <v>13</v>
      </c>
      <c r="AK507" s="31">
        <f t="shared" si="34"/>
        <v>4</v>
      </c>
      <c r="AL507" s="31">
        <f t="shared" si="34"/>
        <v>13</v>
      </c>
    </row>
    <row r="508" spans="16:38">
      <c r="P508" s="53">
        <v>505</v>
      </c>
      <c r="Q508" s="54">
        <v>3</v>
      </c>
      <c r="R508" s="54">
        <v>15</v>
      </c>
      <c r="W508" s="31">
        <v>505</v>
      </c>
      <c r="X508" s="56">
        <v>0.62</v>
      </c>
      <c r="Y508" s="31">
        <v>18</v>
      </c>
      <c r="AB508" s="58">
        <f t="shared" si="32"/>
        <v>0.62</v>
      </c>
      <c r="AC508" s="54">
        <f t="shared" si="33"/>
        <v>18</v>
      </c>
      <c r="AF508" s="51">
        <v>505</v>
      </c>
      <c r="AG508" s="6">
        <v>2</v>
      </c>
      <c r="AH508" s="6">
        <v>18</v>
      </c>
      <c r="AK508" s="31">
        <f t="shared" si="34"/>
        <v>2</v>
      </c>
      <c r="AL508" s="31">
        <f t="shared" si="34"/>
        <v>18</v>
      </c>
    </row>
    <row r="509" spans="16:38">
      <c r="P509" s="53">
        <v>506</v>
      </c>
      <c r="Q509" s="54">
        <v>1</v>
      </c>
      <c r="R509" s="54">
        <v>4</v>
      </c>
      <c r="W509" s="31">
        <v>506</v>
      </c>
      <c r="X509" s="56">
        <v>0.62</v>
      </c>
      <c r="Y509" s="31">
        <v>5</v>
      </c>
      <c r="AB509" s="58">
        <f t="shared" si="32"/>
        <v>0.62</v>
      </c>
      <c r="AC509" s="54">
        <f t="shared" si="33"/>
        <v>5</v>
      </c>
      <c r="AF509" s="51">
        <v>506</v>
      </c>
      <c r="AG509" s="6">
        <v>2</v>
      </c>
      <c r="AH509" s="6">
        <v>5</v>
      </c>
      <c r="AK509" s="31">
        <f t="shared" si="34"/>
        <v>2</v>
      </c>
      <c r="AL509" s="31">
        <f t="shared" si="34"/>
        <v>5</v>
      </c>
    </row>
    <row r="510" spans="16:38">
      <c r="P510" s="53">
        <v>507</v>
      </c>
      <c r="Q510" s="54">
        <v>0</v>
      </c>
      <c r="R510" s="54">
        <v>3</v>
      </c>
      <c r="W510" s="31">
        <v>507</v>
      </c>
      <c r="X510" s="56">
        <v>0.56999999999999995</v>
      </c>
      <c r="Y510" s="31">
        <v>3</v>
      </c>
      <c r="AB510" s="58">
        <f t="shared" si="32"/>
        <v>0.56999999999999995</v>
      </c>
      <c r="AC510" s="54">
        <f t="shared" si="33"/>
        <v>3</v>
      </c>
      <c r="AF510" s="51">
        <v>507</v>
      </c>
      <c r="AG510" s="6">
        <v>4</v>
      </c>
      <c r="AH510" s="6">
        <v>3</v>
      </c>
      <c r="AK510" s="31">
        <f t="shared" si="34"/>
        <v>4</v>
      </c>
      <c r="AL510" s="31">
        <f t="shared" si="34"/>
        <v>3</v>
      </c>
    </row>
    <row r="511" spans="16:38">
      <c r="P511" s="53">
        <v>508</v>
      </c>
      <c r="Q511" s="54">
        <v>0</v>
      </c>
      <c r="R511" s="54">
        <v>1</v>
      </c>
      <c r="W511" s="31">
        <v>508</v>
      </c>
      <c r="X511" s="56">
        <v>0.56999999999999995</v>
      </c>
      <c r="Y511" s="31">
        <v>1</v>
      </c>
      <c r="AB511" s="58">
        <f t="shared" si="32"/>
        <v>0.56999999999999995</v>
      </c>
      <c r="AC511" s="54">
        <f t="shared" si="33"/>
        <v>1</v>
      </c>
      <c r="AF511" s="51">
        <v>508</v>
      </c>
      <c r="AG511" s="6">
        <v>4</v>
      </c>
      <c r="AH511" s="6">
        <v>1</v>
      </c>
      <c r="AK511" s="31">
        <f t="shared" si="34"/>
        <v>4</v>
      </c>
      <c r="AL511" s="31">
        <f t="shared" si="34"/>
        <v>1</v>
      </c>
    </row>
    <row r="512" spans="16:38">
      <c r="P512" s="53">
        <v>509</v>
      </c>
      <c r="Q512" s="54">
        <v>1</v>
      </c>
      <c r="R512" s="54">
        <v>1</v>
      </c>
      <c r="W512" s="31">
        <v>509</v>
      </c>
      <c r="X512" s="56">
        <v>0.57999999999999996</v>
      </c>
      <c r="Y512" s="31">
        <v>2</v>
      </c>
      <c r="AB512" s="58">
        <f t="shared" si="32"/>
        <v>0.57999999999999996</v>
      </c>
      <c r="AC512" s="54">
        <f t="shared" si="33"/>
        <v>2</v>
      </c>
      <c r="AF512" s="51">
        <v>509</v>
      </c>
      <c r="AG512" s="6">
        <v>8</v>
      </c>
      <c r="AH512" s="6">
        <v>2</v>
      </c>
      <c r="AK512" s="31">
        <f t="shared" si="34"/>
        <v>8</v>
      </c>
      <c r="AL512" s="31">
        <f t="shared" si="34"/>
        <v>2</v>
      </c>
    </row>
    <row r="513" spans="16:38">
      <c r="P513" s="53">
        <v>510</v>
      </c>
      <c r="Q513" s="54">
        <v>2</v>
      </c>
      <c r="R513" s="54">
        <v>17</v>
      </c>
      <c r="W513" s="31">
        <v>510</v>
      </c>
      <c r="X513" s="56">
        <v>0.62</v>
      </c>
      <c r="Y513" s="31">
        <v>19</v>
      </c>
      <c r="AB513" s="58">
        <f t="shared" si="32"/>
        <v>0.62</v>
      </c>
      <c r="AC513" s="54">
        <f t="shared" si="33"/>
        <v>19</v>
      </c>
      <c r="AF513" s="51">
        <v>510</v>
      </c>
      <c r="AG513" s="6">
        <v>6</v>
      </c>
      <c r="AH513" s="6">
        <v>19</v>
      </c>
      <c r="AK513" s="31">
        <f t="shared" si="34"/>
        <v>6</v>
      </c>
      <c r="AL513" s="31">
        <f t="shared" si="34"/>
        <v>19</v>
      </c>
    </row>
    <row r="514" spans="16:38">
      <c r="P514" s="53">
        <v>511</v>
      </c>
      <c r="Q514" s="54">
        <v>3</v>
      </c>
      <c r="R514" s="54">
        <v>25</v>
      </c>
      <c r="W514" s="31">
        <v>511</v>
      </c>
      <c r="X514" s="56">
        <v>0.54</v>
      </c>
      <c r="Y514" s="31">
        <v>28</v>
      </c>
      <c r="AB514" s="58">
        <f t="shared" si="32"/>
        <v>0.54</v>
      </c>
      <c r="AC514" s="54">
        <f t="shared" si="33"/>
        <v>28</v>
      </c>
      <c r="AF514" s="51">
        <v>511</v>
      </c>
      <c r="AG514" s="6">
        <v>10</v>
      </c>
      <c r="AH514" s="6">
        <v>28</v>
      </c>
      <c r="AK514" s="31">
        <f t="shared" si="34"/>
        <v>10</v>
      </c>
      <c r="AL514" s="31">
        <f t="shared" si="34"/>
        <v>28</v>
      </c>
    </row>
    <row r="515" spans="16:38">
      <c r="P515" s="53">
        <v>512</v>
      </c>
      <c r="Q515" s="54">
        <v>7</v>
      </c>
      <c r="R515" s="54">
        <v>51</v>
      </c>
      <c r="W515" s="31">
        <v>512</v>
      </c>
      <c r="X515" s="56">
        <v>0.46</v>
      </c>
      <c r="Y515" s="31">
        <v>58</v>
      </c>
      <c r="AB515" s="58">
        <f t="shared" si="32"/>
        <v>0.46</v>
      </c>
      <c r="AC515" s="54">
        <f t="shared" si="33"/>
        <v>58</v>
      </c>
      <c r="AF515" s="51">
        <v>512</v>
      </c>
      <c r="AG515" s="6">
        <v>14.000000000000002</v>
      </c>
      <c r="AH515" s="6">
        <v>58</v>
      </c>
      <c r="AK515" s="31">
        <f t="shared" si="34"/>
        <v>14.000000000000002</v>
      </c>
      <c r="AL515" s="31">
        <f t="shared" si="34"/>
        <v>58</v>
      </c>
    </row>
    <row r="516" spans="16:38">
      <c r="P516" s="53">
        <v>513</v>
      </c>
      <c r="Q516" s="54">
        <v>22</v>
      </c>
      <c r="R516" s="54">
        <v>77</v>
      </c>
      <c r="W516" s="31">
        <v>513</v>
      </c>
      <c r="X516" s="56">
        <v>0.43</v>
      </c>
      <c r="Y516" s="31">
        <v>99</v>
      </c>
      <c r="AB516" s="58">
        <f t="shared" si="32"/>
        <v>0.43</v>
      </c>
      <c r="AC516" s="54">
        <f t="shared" si="33"/>
        <v>99</v>
      </c>
      <c r="AF516" s="51">
        <v>513</v>
      </c>
      <c r="AG516" s="6">
        <v>14.000000000000002</v>
      </c>
      <c r="AH516" s="6">
        <v>99</v>
      </c>
      <c r="AK516" s="31">
        <f t="shared" si="34"/>
        <v>14.000000000000002</v>
      </c>
      <c r="AL516" s="31">
        <f t="shared" si="34"/>
        <v>99</v>
      </c>
    </row>
    <row r="517" spans="16:38">
      <c r="P517" s="53">
        <v>514</v>
      </c>
      <c r="Q517" s="54">
        <v>24</v>
      </c>
      <c r="R517" s="54">
        <v>92</v>
      </c>
      <c r="W517" s="31">
        <v>514</v>
      </c>
      <c r="X517" s="56">
        <v>0.37</v>
      </c>
      <c r="Y517" s="31">
        <v>116</v>
      </c>
      <c r="AB517" s="58">
        <f t="shared" ref="AB517:AB580" si="35">X517</f>
        <v>0.37</v>
      </c>
      <c r="AC517" s="54">
        <f t="shared" ref="AC517:AC580" si="36">Y517</f>
        <v>116</v>
      </c>
      <c r="AF517" s="51">
        <v>514</v>
      </c>
      <c r="AG517" s="6">
        <v>16</v>
      </c>
      <c r="AH517" s="6">
        <v>116</v>
      </c>
      <c r="AK517" s="31">
        <f t="shared" si="34"/>
        <v>16</v>
      </c>
      <c r="AL517" s="31">
        <f t="shared" si="34"/>
        <v>116</v>
      </c>
    </row>
    <row r="518" spans="16:38">
      <c r="P518" s="53">
        <v>515</v>
      </c>
      <c r="Q518" s="54">
        <v>12</v>
      </c>
      <c r="R518" s="54">
        <v>75</v>
      </c>
      <c r="W518" s="31">
        <v>515</v>
      </c>
      <c r="X518" s="56">
        <v>0.33</v>
      </c>
      <c r="Y518" s="31">
        <v>87</v>
      </c>
      <c r="AB518" s="58">
        <f t="shared" si="35"/>
        <v>0.33</v>
      </c>
      <c r="AC518" s="54">
        <f t="shared" si="36"/>
        <v>87</v>
      </c>
      <c r="AF518" s="51">
        <v>515</v>
      </c>
      <c r="AG518" s="6">
        <v>14.000000000000002</v>
      </c>
      <c r="AH518" s="6">
        <v>87</v>
      </c>
      <c r="AK518" s="31">
        <f t="shared" si="34"/>
        <v>14.000000000000002</v>
      </c>
      <c r="AL518" s="31">
        <f t="shared" si="34"/>
        <v>87</v>
      </c>
    </row>
    <row r="519" spans="16:38">
      <c r="P519" s="53">
        <v>516</v>
      </c>
      <c r="Q519" s="54">
        <v>17</v>
      </c>
      <c r="R519" s="54">
        <v>93</v>
      </c>
      <c r="W519" s="31">
        <v>516</v>
      </c>
      <c r="X519" s="56">
        <v>0.28000000000000003</v>
      </c>
      <c r="Y519" s="31">
        <v>110</v>
      </c>
      <c r="AB519" s="58">
        <f t="shared" si="35"/>
        <v>0.28000000000000003</v>
      </c>
      <c r="AC519" s="54">
        <f t="shared" si="36"/>
        <v>110</v>
      </c>
      <c r="AF519" s="51">
        <v>516</v>
      </c>
      <c r="AG519" s="6">
        <v>16</v>
      </c>
      <c r="AH519" s="6">
        <v>110</v>
      </c>
      <c r="AK519" s="31">
        <f t="shared" si="34"/>
        <v>16</v>
      </c>
      <c r="AL519" s="31">
        <f t="shared" si="34"/>
        <v>110</v>
      </c>
    </row>
    <row r="520" spans="16:38">
      <c r="P520" s="53">
        <v>517</v>
      </c>
      <c r="Q520" s="54">
        <v>13</v>
      </c>
      <c r="R520" s="54">
        <v>64</v>
      </c>
      <c r="W520" s="31">
        <v>517</v>
      </c>
      <c r="X520" s="56">
        <v>0.28000000000000003</v>
      </c>
      <c r="Y520" s="31">
        <v>77</v>
      </c>
      <c r="AB520" s="58">
        <f t="shared" si="35"/>
        <v>0.28000000000000003</v>
      </c>
      <c r="AC520" s="54">
        <f t="shared" si="36"/>
        <v>77</v>
      </c>
      <c r="AF520" s="51">
        <v>517</v>
      </c>
      <c r="AG520" s="6">
        <v>16</v>
      </c>
      <c r="AH520" s="6">
        <v>77</v>
      </c>
      <c r="AK520" s="31">
        <f t="shared" si="34"/>
        <v>16</v>
      </c>
      <c r="AL520" s="31">
        <f t="shared" si="34"/>
        <v>77</v>
      </c>
    </row>
    <row r="521" spans="16:38">
      <c r="P521" s="53">
        <v>518</v>
      </c>
      <c r="Q521" s="54">
        <v>9</v>
      </c>
      <c r="R521" s="54">
        <v>56</v>
      </c>
      <c r="W521" s="31">
        <v>518</v>
      </c>
      <c r="X521" s="56">
        <v>0.26</v>
      </c>
      <c r="Y521" s="31">
        <v>65</v>
      </c>
      <c r="AB521" s="58">
        <f t="shared" si="35"/>
        <v>0.26</v>
      </c>
      <c r="AC521" s="54">
        <f t="shared" si="36"/>
        <v>65</v>
      </c>
      <c r="AF521" s="51">
        <v>518</v>
      </c>
      <c r="AG521" s="6">
        <v>16</v>
      </c>
      <c r="AH521" s="6">
        <v>65</v>
      </c>
      <c r="AK521" s="31">
        <f t="shared" si="34"/>
        <v>16</v>
      </c>
      <c r="AL521" s="31">
        <f t="shared" si="34"/>
        <v>65</v>
      </c>
    </row>
    <row r="522" spans="16:38">
      <c r="P522" s="53">
        <v>519</v>
      </c>
      <c r="Q522" s="54">
        <v>5</v>
      </c>
      <c r="R522" s="54">
        <v>50</v>
      </c>
      <c r="W522" s="31">
        <v>519</v>
      </c>
      <c r="X522" s="56">
        <v>0.26</v>
      </c>
      <c r="Y522" s="31">
        <v>55</v>
      </c>
      <c r="AB522" s="58">
        <f t="shared" si="35"/>
        <v>0.26</v>
      </c>
      <c r="AC522" s="54">
        <f t="shared" si="36"/>
        <v>55</v>
      </c>
      <c r="AF522" s="51">
        <v>519</v>
      </c>
      <c r="AG522" s="6">
        <v>14.000000000000002</v>
      </c>
      <c r="AH522" s="6">
        <v>55</v>
      </c>
      <c r="AK522" s="31">
        <f t="shared" si="34"/>
        <v>14.000000000000002</v>
      </c>
      <c r="AL522" s="31">
        <f t="shared" si="34"/>
        <v>55</v>
      </c>
    </row>
    <row r="523" spans="16:38">
      <c r="P523" s="53">
        <v>520</v>
      </c>
      <c r="Q523" s="54">
        <v>5</v>
      </c>
      <c r="R523" s="54">
        <v>44</v>
      </c>
      <c r="W523" s="31">
        <v>520</v>
      </c>
      <c r="X523" s="56">
        <v>0.3</v>
      </c>
      <c r="Y523" s="31">
        <v>49</v>
      </c>
      <c r="AB523" s="58">
        <f t="shared" si="35"/>
        <v>0.3</v>
      </c>
      <c r="AC523" s="54">
        <f t="shared" si="36"/>
        <v>49</v>
      </c>
      <c r="AF523" s="51">
        <v>520</v>
      </c>
      <c r="AG523" s="6">
        <v>12</v>
      </c>
      <c r="AH523" s="6">
        <v>49</v>
      </c>
      <c r="AK523" s="31">
        <f t="shared" si="34"/>
        <v>12</v>
      </c>
      <c r="AL523" s="31">
        <f t="shared" si="34"/>
        <v>49</v>
      </c>
    </row>
    <row r="524" spans="16:38">
      <c r="P524" s="53">
        <v>521</v>
      </c>
      <c r="Q524" s="54">
        <v>5</v>
      </c>
      <c r="R524" s="54">
        <v>45</v>
      </c>
      <c r="W524" s="31">
        <v>521</v>
      </c>
      <c r="X524" s="56">
        <v>0.3</v>
      </c>
      <c r="Y524" s="31">
        <v>50</v>
      </c>
      <c r="AB524" s="58">
        <f t="shared" si="35"/>
        <v>0.3</v>
      </c>
      <c r="AC524" s="54">
        <f t="shared" si="36"/>
        <v>50</v>
      </c>
      <c r="AF524" s="51">
        <v>521</v>
      </c>
      <c r="AG524" s="6">
        <v>12</v>
      </c>
      <c r="AH524" s="6">
        <v>50</v>
      </c>
      <c r="AK524" s="31">
        <f t="shared" si="34"/>
        <v>12</v>
      </c>
      <c r="AL524" s="31">
        <f t="shared" si="34"/>
        <v>50</v>
      </c>
    </row>
    <row r="525" spans="16:38">
      <c r="P525" s="53">
        <v>522</v>
      </c>
      <c r="Q525" s="54">
        <v>4</v>
      </c>
      <c r="R525" s="54">
        <v>31</v>
      </c>
      <c r="W525" s="31">
        <v>522</v>
      </c>
      <c r="X525" s="56">
        <v>0.36</v>
      </c>
      <c r="Y525" s="31">
        <v>35</v>
      </c>
      <c r="AB525" s="58">
        <f t="shared" si="35"/>
        <v>0.36</v>
      </c>
      <c r="AC525" s="54">
        <f t="shared" si="36"/>
        <v>35</v>
      </c>
      <c r="AF525" s="51">
        <v>522</v>
      </c>
      <c r="AG525" s="6">
        <v>10</v>
      </c>
      <c r="AH525" s="6">
        <v>35</v>
      </c>
      <c r="AK525" s="31">
        <f t="shared" si="34"/>
        <v>10</v>
      </c>
      <c r="AL525" s="31">
        <f t="shared" si="34"/>
        <v>35</v>
      </c>
    </row>
    <row r="526" spans="16:38">
      <c r="P526" s="53">
        <v>523</v>
      </c>
      <c r="Q526" s="54">
        <v>5</v>
      </c>
      <c r="R526" s="54">
        <v>20</v>
      </c>
      <c r="W526" s="31">
        <v>523</v>
      </c>
      <c r="X526" s="56">
        <v>0.36</v>
      </c>
      <c r="Y526" s="31">
        <v>25</v>
      </c>
      <c r="AB526" s="58">
        <f t="shared" si="35"/>
        <v>0.36</v>
      </c>
      <c r="AC526" s="54">
        <f t="shared" si="36"/>
        <v>25</v>
      </c>
      <c r="AF526" s="51">
        <v>523</v>
      </c>
      <c r="AG526" s="6">
        <v>10</v>
      </c>
      <c r="AH526" s="6">
        <v>25</v>
      </c>
      <c r="AK526" s="31">
        <f t="shared" si="34"/>
        <v>10</v>
      </c>
      <c r="AL526" s="31">
        <f t="shared" si="34"/>
        <v>25</v>
      </c>
    </row>
    <row r="527" spans="16:38">
      <c r="P527" s="53">
        <v>524</v>
      </c>
      <c r="Q527" s="54">
        <v>5</v>
      </c>
      <c r="R527" s="54">
        <v>23</v>
      </c>
      <c r="W527" s="31">
        <v>524</v>
      </c>
      <c r="X527" s="56">
        <v>0.38</v>
      </c>
      <c r="Y527" s="31">
        <v>28</v>
      </c>
      <c r="AB527" s="58">
        <f t="shared" si="35"/>
        <v>0.38</v>
      </c>
      <c r="AC527" s="54">
        <f t="shared" si="36"/>
        <v>28</v>
      </c>
      <c r="AF527" s="51">
        <v>524</v>
      </c>
      <c r="AG527" s="6">
        <v>8</v>
      </c>
      <c r="AH527" s="6">
        <v>28</v>
      </c>
      <c r="AK527" s="31">
        <f t="shared" si="34"/>
        <v>8</v>
      </c>
      <c r="AL527" s="31">
        <f t="shared" si="34"/>
        <v>28</v>
      </c>
    </row>
    <row r="528" spans="16:38">
      <c r="P528" s="53">
        <v>525</v>
      </c>
      <c r="Q528" s="54">
        <v>4</v>
      </c>
      <c r="R528" s="54">
        <v>17</v>
      </c>
      <c r="W528" s="31">
        <v>525</v>
      </c>
      <c r="X528" s="56">
        <v>0.41</v>
      </c>
      <c r="Y528" s="31">
        <v>21</v>
      </c>
      <c r="AB528" s="58">
        <f t="shared" si="35"/>
        <v>0.41</v>
      </c>
      <c r="AC528" s="54">
        <f t="shared" si="36"/>
        <v>21</v>
      </c>
      <c r="AF528" s="51">
        <v>525</v>
      </c>
      <c r="AG528" s="6">
        <v>6</v>
      </c>
      <c r="AH528" s="6">
        <v>21</v>
      </c>
      <c r="AK528" s="31">
        <f t="shared" si="34"/>
        <v>6</v>
      </c>
      <c r="AL528" s="31">
        <f t="shared" si="34"/>
        <v>21</v>
      </c>
    </row>
    <row r="529" spans="16:38">
      <c r="P529" s="53">
        <v>526</v>
      </c>
      <c r="Q529" s="54">
        <v>0</v>
      </c>
      <c r="R529" s="54">
        <v>7</v>
      </c>
      <c r="W529" s="31">
        <v>526</v>
      </c>
      <c r="X529" s="56">
        <v>0.41</v>
      </c>
      <c r="Y529" s="31">
        <v>7</v>
      </c>
      <c r="AB529" s="58">
        <f t="shared" si="35"/>
        <v>0.41</v>
      </c>
      <c r="AC529" s="54">
        <f t="shared" si="36"/>
        <v>7</v>
      </c>
      <c r="AF529" s="51">
        <v>526</v>
      </c>
      <c r="AG529" s="6">
        <v>6</v>
      </c>
      <c r="AH529" s="6">
        <v>7</v>
      </c>
      <c r="AK529" s="31">
        <f t="shared" si="34"/>
        <v>6</v>
      </c>
      <c r="AL529" s="31">
        <f t="shared" si="34"/>
        <v>7</v>
      </c>
    </row>
    <row r="530" spans="16:38">
      <c r="P530" s="53">
        <v>527</v>
      </c>
      <c r="Q530" s="54">
        <v>0</v>
      </c>
      <c r="R530" s="54">
        <v>1</v>
      </c>
      <c r="W530" s="31">
        <v>527</v>
      </c>
      <c r="X530" s="56">
        <v>0.45</v>
      </c>
      <c r="Y530" s="31">
        <v>1</v>
      </c>
      <c r="AB530" s="58">
        <f t="shared" si="35"/>
        <v>0.45</v>
      </c>
      <c r="AC530" s="54">
        <f t="shared" si="36"/>
        <v>1</v>
      </c>
      <c r="AF530" s="51">
        <v>527</v>
      </c>
      <c r="AG530" s="6">
        <v>4</v>
      </c>
      <c r="AH530" s="6">
        <v>1</v>
      </c>
      <c r="AK530" s="31">
        <f t="shared" si="34"/>
        <v>4</v>
      </c>
      <c r="AL530" s="31">
        <f t="shared" si="34"/>
        <v>1</v>
      </c>
    </row>
    <row r="531" spans="16:38">
      <c r="P531" s="53">
        <v>528</v>
      </c>
      <c r="Q531" s="54">
        <v>0</v>
      </c>
      <c r="R531" s="54">
        <v>1</v>
      </c>
      <c r="W531" s="31">
        <v>528</v>
      </c>
      <c r="X531" s="56">
        <v>0.45</v>
      </c>
      <c r="Y531" s="31">
        <v>1</v>
      </c>
      <c r="AB531" s="58">
        <f t="shared" si="35"/>
        <v>0.45</v>
      </c>
      <c r="AC531" s="54">
        <f t="shared" si="36"/>
        <v>1</v>
      </c>
      <c r="AF531" s="51">
        <v>528</v>
      </c>
      <c r="AG531" s="6">
        <v>4</v>
      </c>
      <c r="AH531" s="6">
        <v>1</v>
      </c>
      <c r="AK531" s="31">
        <f t="shared" si="34"/>
        <v>4</v>
      </c>
      <c r="AL531" s="31">
        <f t="shared" si="34"/>
        <v>1</v>
      </c>
    </row>
    <row r="532" spans="16:38">
      <c r="P532" s="53">
        <v>529</v>
      </c>
      <c r="Q532" s="54">
        <v>0</v>
      </c>
      <c r="R532" s="54">
        <v>1</v>
      </c>
      <c r="W532" s="31">
        <v>529</v>
      </c>
      <c r="X532" s="56">
        <v>0.48</v>
      </c>
      <c r="Y532" s="31">
        <v>1</v>
      </c>
      <c r="AB532" s="58">
        <f t="shared" si="35"/>
        <v>0.48</v>
      </c>
      <c r="AC532" s="54">
        <f t="shared" si="36"/>
        <v>1</v>
      </c>
      <c r="AF532" s="51">
        <v>529</v>
      </c>
      <c r="AG532" s="6">
        <v>2</v>
      </c>
      <c r="AH532" s="6">
        <v>1</v>
      </c>
      <c r="AK532" s="31">
        <f t="shared" si="34"/>
        <v>2</v>
      </c>
      <c r="AL532" s="31">
        <f t="shared" si="34"/>
        <v>1</v>
      </c>
    </row>
    <row r="533" spans="16:38">
      <c r="P533" s="53">
        <v>530</v>
      </c>
      <c r="Q533" s="54">
        <v>0</v>
      </c>
      <c r="R533" s="54">
        <v>5</v>
      </c>
      <c r="W533" s="31">
        <v>530</v>
      </c>
      <c r="X533" s="56">
        <v>0.48</v>
      </c>
      <c r="Y533" s="31">
        <v>5</v>
      </c>
      <c r="AB533" s="58">
        <f t="shared" si="35"/>
        <v>0.48</v>
      </c>
      <c r="AC533" s="54">
        <f t="shared" si="36"/>
        <v>5</v>
      </c>
      <c r="AF533" s="51">
        <v>530</v>
      </c>
      <c r="AG533" s="6">
        <v>2</v>
      </c>
      <c r="AH533" s="6">
        <v>5</v>
      </c>
      <c r="AK533" s="31">
        <f t="shared" ref="AK533:AL596" si="37">AG533</f>
        <v>2</v>
      </c>
      <c r="AL533" s="31">
        <f t="shared" si="37"/>
        <v>5</v>
      </c>
    </row>
    <row r="534" spans="16:38">
      <c r="P534" s="53">
        <v>531</v>
      </c>
      <c r="Q534" s="54">
        <v>0</v>
      </c>
      <c r="R534" s="54">
        <v>15</v>
      </c>
      <c r="W534" s="31">
        <v>531</v>
      </c>
      <c r="X534" s="56">
        <v>0.48</v>
      </c>
      <c r="Y534" s="31">
        <v>15</v>
      </c>
      <c r="AB534" s="58">
        <f t="shared" si="35"/>
        <v>0.48</v>
      </c>
      <c r="AC534" s="54">
        <f t="shared" si="36"/>
        <v>15</v>
      </c>
      <c r="AF534" s="51">
        <v>531</v>
      </c>
      <c r="AG534" s="6">
        <v>2</v>
      </c>
      <c r="AH534" s="6">
        <v>15</v>
      </c>
      <c r="AK534" s="31">
        <f t="shared" si="37"/>
        <v>2</v>
      </c>
      <c r="AL534" s="31">
        <f t="shared" si="37"/>
        <v>15</v>
      </c>
    </row>
    <row r="535" spans="16:38">
      <c r="P535" s="53">
        <v>532</v>
      </c>
      <c r="Q535" s="54">
        <v>5</v>
      </c>
      <c r="R535" s="54">
        <v>79</v>
      </c>
      <c r="W535" s="31">
        <v>532</v>
      </c>
      <c r="X535" s="56">
        <v>0.48</v>
      </c>
      <c r="Y535" s="31">
        <v>84</v>
      </c>
      <c r="AB535" s="58">
        <f t="shared" si="35"/>
        <v>0.48</v>
      </c>
      <c r="AC535" s="54">
        <f t="shared" si="36"/>
        <v>84</v>
      </c>
      <c r="AF535" s="51">
        <v>532</v>
      </c>
      <c r="AG535" s="6">
        <v>2</v>
      </c>
      <c r="AH535" s="6">
        <v>84</v>
      </c>
      <c r="AK535" s="31">
        <f t="shared" si="37"/>
        <v>2</v>
      </c>
      <c r="AL535" s="31">
        <f t="shared" si="37"/>
        <v>84</v>
      </c>
    </row>
    <row r="536" spans="16:38">
      <c r="P536" s="53">
        <v>533</v>
      </c>
      <c r="Q536" s="54">
        <v>6</v>
      </c>
      <c r="R536" s="54">
        <v>171</v>
      </c>
      <c r="W536" s="31">
        <v>533</v>
      </c>
      <c r="X536" s="56">
        <v>0.49</v>
      </c>
      <c r="Y536" s="31">
        <v>177</v>
      </c>
      <c r="AB536" s="58">
        <f t="shared" si="35"/>
        <v>0.49</v>
      </c>
      <c r="AC536" s="54">
        <f t="shared" si="36"/>
        <v>177</v>
      </c>
      <c r="AF536" s="51">
        <v>533</v>
      </c>
      <c r="AG536" s="6">
        <v>4</v>
      </c>
      <c r="AH536" s="6">
        <v>177</v>
      </c>
      <c r="AK536" s="31">
        <f t="shared" si="37"/>
        <v>4</v>
      </c>
      <c r="AL536" s="31">
        <f t="shared" si="37"/>
        <v>177</v>
      </c>
    </row>
    <row r="537" spans="16:38">
      <c r="P537" s="53">
        <v>534</v>
      </c>
      <c r="Q537" s="54">
        <v>4</v>
      </c>
      <c r="R537" s="54">
        <v>98</v>
      </c>
      <c r="W537" s="31">
        <v>534</v>
      </c>
      <c r="X537" s="56">
        <v>0.41</v>
      </c>
      <c r="Y537" s="31">
        <v>102</v>
      </c>
      <c r="AB537" s="58">
        <f t="shared" si="35"/>
        <v>0.41</v>
      </c>
      <c r="AC537" s="54">
        <f t="shared" si="36"/>
        <v>102</v>
      </c>
      <c r="AF537" s="51">
        <v>534</v>
      </c>
      <c r="AG537" s="6">
        <v>6</v>
      </c>
      <c r="AH537" s="6">
        <v>102</v>
      </c>
      <c r="AK537" s="31">
        <f t="shared" si="37"/>
        <v>6</v>
      </c>
      <c r="AL537" s="31">
        <f t="shared" si="37"/>
        <v>102</v>
      </c>
    </row>
    <row r="538" spans="16:38">
      <c r="P538" s="53">
        <v>535</v>
      </c>
      <c r="Q538" s="54">
        <v>6</v>
      </c>
      <c r="R538" s="54">
        <v>34</v>
      </c>
      <c r="W538" s="31">
        <v>535</v>
      </c>
      <c r="X538" s="56">
        <v>0.42</v>
      </c>
      <c r="Y538" s="31">
        <v>40</v>
      </c>
      <c r="AB538" s="58">
        <f t="shared" si="35"/>
        <v>0.42</v>
      </c>
      <c r="AC538" s="54">
        <f t="shared" si="36"/>
        <v>40</v>
      </c>
      <c r="AF538" s="51">
        <v>535</v>
      </c>
      <c r="AG538" s="6">
        <v>10</v>
      </c>
      <c r="AH538" s="6">
        <v>40</v>
      </c>
      <c r="AK538" s="31">
        <f t="shared" si="37"/>
        <v>10</v>
      </c>
      <c r="AL538" s="31">
        <f t="shared" si="37"/>
        <v>40</v>
      </c>
    </row>
    <row r="539" spans="16:38">
      <c r="P539" s="53">
        <v>536</v>
      </c>
      <c r="Q539" s="54">
        <v>3</v>
      </c>
      <c r="R539" s="54">
        <v>43</v>
      </c>
      <c r="W539" s="31">
        <v>536</v>
      </c>
      <c r="X539" s="56">
        <v>0.46</v>
      </c>
      <c r="Y539" s="31">
        <v>46</v>
      </c>
      <c r="AB539" s="58">
        <f t="shared" si="35"/>
        <v>0.46</v>
      </c>
      <c r="AC539" s="54">
        <f t="shared" si="36"/>
        <v>46</v>
      </c>
      <c r="AF539" s="51">
        <v>536</v>
      </c>
      <c r="AG539" s="6">
        <v>10</v>
      </c>
      <c r="AH539" s="6">
        <v>46</v>
      </c>
      <c r="AK539" s="31">
        <f t="shared" si="37"/>
        <v>10</v>
      </c>
      <c r="AL539" s="31">
        <f t="shared" si="37"/>
        <v>46</v>
      </c>
    </row>
    <row r="540" spans="16:38">
      <c r="P540" s="53">
        <v>537</v>
      </c>
      <c r="Q540" s="54">
        <v>11</v>
      </c>
      <c r="R540" s="54">
        <v>52</v>
      </c>
      <c r="W540" s="31">
        <v>537</v>
      </c>
      <c r="X540" s="56">
        <v>0.42</v>
      </c>
      <c r="Y540" s="31">
        <v>63</v>
      </c>
      <c r="AB540" s="58">
        <f t="shared" si="35"/>
        <v>0.42</v>
      </c>
      <c r="AC540" s="54">
        <f t="shared" si="36"/>
        <v>63</v>
      </c>
      <c r="AF540" s="51">
        <v>537</v>
      </c>
      <c r="AG540" s="6">
        <v>12</v>
      </c>
      <c r="AH540" s="6">
        <v>63</v>
      </c>
      <c r="AK540" s="31">
        <f t="shared" si="37"/>
        <v>12</v>
      </c>
      <c r="AL540" s="31">
        <f t="shared" si="37"/>
        <v>63</v>
      </c>
    </row>
    <row r="541" spans="16:38">
      <c r="P541" s="53">
        <v>538</v>
      </c>
      <c r="Q541" s="54">
        <v>6</v>
      </c>
      <c r="R541" s="54">
        <v>54</v>
      </c>
      <c r="W541" s="31">
        <v>538</v>
      </c>
      <c r="X541" s="56">
        <v>0.43</v>
      </c>
      <c r="Y541" s="31">
        <v>60</v>
      </c>
      <c r="AB541" s="58">
        <f t="shared" si="35"/>
        <v>0.43</v>
      </c>
      <c r="AC541" s="54">
        <f t="shared" si="36"/>
        <v>60</v>
      </c>
      <c r="AF541" s="51">
        <v>538</v>
      </c>
      <c r="AG541" s="6">
        <v>14.000000000000002</v>
      </c>
      <c r="AH541" s="6">
        <v>60</v>
      </c>
      <c r="AK541" s="31">
        <f t="shared" si="37"/>
        <v>14.000000000000002</v>
      </c>
      <c r="AL541" s="31">
        <f t="shared" si="37"/>
        <v>60</v>
      </c>
    </row>
    <row r="542" spans="16:38">
      <c r="P542" s="53">
        <v>539</v>
      </c>
      <c r="Q542" s="54">
        <v>2</v>
      </c>
      <c r="R542" s="54">
        <v>43</v>
      </c>
      <c r="W542" s="31">
        <v>539</v>
      </c>
      <c r="X542" s="56">
        <v>0.46</v>
      </c>
      <c r="Y542" s="31">
        <v>45</v>
      </c>
      <c r="AB542" s="58">
        <f t="shared" si="35"/>
        <v>0.46</v>
      </c>
      <c r="AC542" s="54">
        <f t="shared" si="36"/>
        <v>45</v>
      </c>
      <c r="AF542" s="51">
        <v>539</v>
      </c>
      <c r="AG542" s="6">
        <v>14.000000000000002</v>
      </c>
      <c r="AH542" s="6">
        <v>45</v>
      </c>
      <c r="AK542" s="31">
        <f t="shared" si="37"/>
        <v>14.000000000000002</v>
      </c>
      <c r="AL542" s="31">
        <f t="shared" si="37"/>
        <v>45</v>
      </c>
    </row>
    <row r="543" spans="16:38">
      <c r="P543" s="53">
        <v>540</v>
      </c>
      <c r="Q543" s="54">
        <v>7</v>
      </c>
      <c r="R543" s="54">
        <v>50</v>
      </c>
      <c r="W543" s="31">
        <v>540</v>
      </c>
      <c r="X543" s="56">
        <v>0.4</v>
      </c>
      <c r="Y543" s="31">
        <v>57</v>
      </c>
      <c r="AB543" s="58">
        <f t="shared" si="35"/>
        <v>0.4</v>
      </c>
      <c r="AC543" s="54">
        <f t="shared" si="36"/>
        <v>57</v>
      </c>
      <c r="AF543" s="51">
        <v>540</v>
      </c>
      <c r="AG543" s="6">
        <v>16</v>
      </c>
      <c r="AH543" s="6">
        <v>57</v>
      </c>
      <c r="AK543" s="31">
        <f t="shared" si="37"/>
        <v>16</v>
      </c>
      <c r="AL543" s="31">
        <f t="shared" si="37"/>
        <v>57</v>
      </c>
    </row>
    <row r="544" spans="16:38">
      <c r="P544" s="53">
        <v>541</v>
      </c>
      <c r="Q544" s="54">
        <v>4</v>
      </c>
      <c r="R544" s="54">
        <v>66</v>
      </c>
      <c r="W544" s="31">
        <v>541</v>
      </c>
      <c r="X544" s="56">
        <v>0.47</v>
      </c>
      <c r="Y544" s="31">
        <v>70</v>
      </c>
      <c r="AB544" s="58">
        <f t="shared" si="35"/>
        <v>0.47</v>
      </c>
      <c r="AC544" s="54">
        <f t="shared" si="36"/>
        <v>70</v>
      </c>
      <c r="AF544" s="51">
        <v>541</v>
      </c>
      <c r="AG544" s="6">
        <v>16</v>
      </c>
      <c r="AH544" s="6">
        <v>70</v>
      </c>
      <c r="AK544" s="31">
        <f t="shared" si="37"/>
        <v>16</v>
      </c>
      <c r="AL544" s="31">
        <f t="shared" si="37"/>
        <v>70</v>
      </c>
    </row>
    <row r="545" spans="16:38">
      <c r="P545" s="53">
        <v>542</v>
      </c>
      <c r="Q545" s="54">
        <v>6</v>
      </c>
      <c r="R545" s="54">
        <v>178</v>
      </c>
      <c r="W545" s="31">
        <v>542</v>
      </c>
      <c r="X545" s="56">
        <v>0.5</v>
      </c>
      <c r="Y545" s="31">
        <v>184</v>
      </c>
      <c r="AB545" s="58">
        <f t="shared" si="35"/>
        <v>0.5</v>
      </c>
      <c r="AC545" s="54">
        <f t="shared" si="36"/>
        <v>184</v>
      </c>
      <c r="AF545" s="51">
        <v>542</v>
      </c>
      <c r="AG545" s="6">
        <v>14.000000000000002</v>
      </c>
      <c r="AH545" s="6">
        <v>184</v>
      </c>
      <c r="AK545" s="31">
        <f t="shared" si="37"/>
        <v>14.000000000000002</v>
      </c>
      <c r="AL545" s="31">
        <f t="shared" si="37"/>
        <v>184</v>
      </c>
    </row>
    <row r="546" spans="16:38">
      <c r="P546" s="53">
        <v>543</v>
      </c>
      <c r="Q546" s="54">
        <v>8</v>
      </c>
      <c r="R546" s="54">
        <v>145</v>
      </c>
      <c r="W546" s="31">
        <v>543</v>
      </c>
      <c r="X546" s="56">
        <v>0.59</v>
      </c>
      <c r="Y546" s="31">
        <v>153</v>
      </c>
      <c r="AB546" s="58">
        <f t="shared" si="35"/>
        <v>0.59</v>
      </c>
      <c r="AC546" s="54">
        <f t="shared" si="36"/>
        <v>153</v>
      </c>
      <c r="AF546" s="51">
        <v>543</v>
      </c>
      <c r="AG546" s="6">
        <v>14.000000000000002</v>
      </c>
      <c r="AH546" s="6">
        <v>153</v>
      </c>
      <c r="AK546" s="31">
        <f t="shared" si="37"/>
        <v>14.000000000000002</v>
      </c>
      <c r="AL546" s="31">
        <f t="shared" si="37"/>
        <v>153</v>
      </c>
    </row>
    <row r="547" spans="16:38">
      <c r="P547" s="53">
        <v>544</v>
      </c>
      <c r="Q547" s="54">
        <v>5</v>
      </c>
      <c r="R547" s="54">
        <v>101</v>
      </c>
      <c r="W547" s="31">
        <v>544</v>
      </c>
      <c r="X547" s="56">
        <v>0.54</v>
      </c>
      <c r="Y547" s="31">
        <v>106</v>
      </c>
      <c r="AB547" s="58">
        <f t="shared" si="35"/>
        <v>0.54</v>
      </c>
      <c r="AC547" s="54">
        <f t="shared" si="36"/>
        <v>106</v>
      </c>
      <c r="AF547" s="51">
        <v>544</v>
      </c>
      <c r="AG547" s="6">
        <v>14.000000000000002</v>
      </c>
      <c r="AH547" s="6">
        <v>106</v>
      </c>
      <c r="AK547" s="31">
        <f t="shared" si="37"/>
        <v>14.000000000000002</v>
      </c>
      <c r="AL547" s="31">
        <f t="shared" si="37"/>
        <v>106</v>
      </c>
    </row>
    <row r="548" spans="16:38">
      <c r="P548" s="53">
        <v>545</v>
      </c>
      <c r="Q548" s="54">
        <v>1</v>
      </c>
      <c r="R548" s="54">
        <v>80</v>
      </c>
      <c r="W548" s="31">
        <v>545</v>
      </c>
      <c r="X548" s="56">
        <v>0.59</v>
      </c>
      <c r="Y548" s="31">
        <v>81</v>
      </c>
      <c r="AB548" s="58">
        <f t="shared" si="35"/>
        <v>0.59</v>
      </c>
      <c r="AC548" s="54">
        <f t="shared" si="36"/>
        <v>81</v>
      </c>
      <c r="AF548" s="51">
        <v>545</v>
      </c>
      <c r="AG548" s="6">
        <v>14.000000000000002</v>
      </c>
      <c r="AH548" s="6">
        <v>81</v>
      </c>
      <c r="AK548" s="31">
        <f t="shared" si="37"/>
        <v>14.000000000000002</v>
      </c>
      <c r="AL548" s="31">
        <f t="shared" si="37"/>
        <v>81</v>
      </c>
    </row>
    <row r="549" spans="16:38">
      <c r="P549" s="53">
        <v>546</v>
      </c>
      <c r="Q549" s="54">
        <v>6</v>
      </c>
      <c r="R549" s="54">
        <v>53</v>
      </c>
      <c r="W549" s="31">
        <v>546</v>
      </c>
      <c r="X549" s="56">
        <v>0.63</v>
      </c>
      <c r="Y549" s="31">
        <v>59</v>
      </c>
      <c r="AB549" s="58">
        <f t="shared" si="35"/>
        <v>0.63</v>
      </c>
      <c r="AC549" s="54">
        <f t="shared" si="36"/>
        <v>59</v>
      </c>
      <c r="AF549" s="51">
        <v>546</v>
      </c>
      <c r="AG549" s="6">
        <v>14.000000000000002</v>
      </c>
      <c r="AH549" s="6">
        <v>59</v>
      </c>
      <c r="AK549" s="31">
        <f t="shared" si="37"/>
        <v>14.000000000000002</v>
      </c>
      <c r="AL549" s="31">
        <f t="shared" si="37"/>
        <v>59</v>
      </c>
    </row>
    <row r="550" spans="16:38">
      <c r="P550" s="53">
        <v>547</v>
      </c>
      <c r="Q550" s="54">
        <v>3</v>
      </c>
      <c r="R550" s="54">
        <v>32</v>
      </c>
      <c r="W550" s="31">
        <v>547</v>
      </c>
      <c r="X550" s="56">
        <v>0.63</v>
      </c>
      <c r="Y550" s="31">
        <v>35</v>
      </c>
      <c r="AB550" s="58">
        <f t="shared" si="35"/>
        <v>0.63</v>
      </c>
      <c r="AC550" s="54">
        <f t="shared" si="36"/>
        <v>35</v>
      </c>
      <c r="AF550" s="51">
        <v>547</v>
      </c>
      <c r="AG550" s="6">
        <v>14.000000000000002</v>
      </c>
      <c r="AH550" s="6">
        <v>35</v>
      </c>
      <c r="AK550" s="31">
        <f t="shared" si="37"/>
        <v>14.000000000000002</v>
      </c>
      <c r="AL550" s="31">
        <f t="shared" si="37"/>
        <v>35</v>
      </c>
    </row>
    <row r="551" spans="16:38">
      <c r="P551" s="53">
        <v>548</v>
      </c>
      <c r="Q551" s="54">
        <v>3</v>
      </c>
      <c r="R551" s="54">
        <v>21</v>
      </c>
      <c r="W551" s="31">
        <v>548</v>
      </c>
      <c r="X551" s="56">
        <v>0.64</v>
      </c>
      <c r="Y551" s="31">
        <v>24</v>
      </c>
      <c r="AB551" s="58">
        <f t="shared" si="35"/>
        <v>0.64</v>
      </c>
      <c r="AC551" s="54">
        <f t="shared" si="36"/>
        <v>24</v>
      </c>
      <c r="AF551" s="51">
        <v>548</v>
      </c>
      <c r="AG551" s="6">
        <v>16</v>
      </c>
      <c r="AH551" s="6">
        <v>24</v>
      </c>
      <c r="AK551" s="31">
        <f t="shared" si="37"/>
        <v>16</v>
      </c>
      <c r="AL551" s="31">
        <f t="shared" si="37"/>
        <v>24</v>
      </c>
    </row>
    <row r="552" spans="16:38">
      <c r="P552" s="53">
        <v>549</v>
      </c>
      <c r="Q552" s="54">
        <v>3</v>
      </c>
      <c r="R552" s="54">
        <v>6</v>
      </c>
      <c r="W552" s="31">
        <v>549</v>
      </c>
      <c r="X552" s="56">
        <v>0.69</v>
      </c>
      <c r="Y552" s="31">
        <v>9</v>
      </c>
      <c r="AB552" s="58">
        <f t="shared" si="35"/>
        <v>0.69</v>
      </c>
      <c r="AC552" s="54">
        <f t="shared" si="36"/>
        <v>9</v>
      </c>
      <c r="AF552" s="51">
        <v>549</v>
      </c>
      <c r="AG552" s="6">
        <v>16</v>
      </c>
      <c r="AH552" s="6">
        <v>9</v>
      </c>
      <c r="AK552" s="31">
        <f t="shared" si="37"/>
        <v>16</v>
      </c>
      <c r="AL552" s="31">
        <f t="shared" si="37"/>
        <v>9</v>
      </c>
    </row>
    <row r="553" spans="16:38">
      <c r="P553" s="53">
        <v>550</v>
      </c>
      <c r="Q553" s="54">
        <v>0</v>
      </c>
      <c r="R553" s="54">
        <v>5</v>
      </c>
      <c r="W553" s="31">
        <v>550</v>
      </c>
      <c r="X553" s="56">
        <v>0.69</v>
      </c>
      <c r="Y553" s="31">
        <v>5</v>
      </c>
      <c r="AB553" s="58">
        <f t="shared" si="35"/>
        <v>0.69</v>
      </c>
      <c r="AC553" s="54">
        <f t="shared" si="36"/>
        <v>5</v>
      </c>
      <c r="AF553" s="51">
        <v>550</v>
      </c>
      <c r="AG553" s="6">
        <v>16</v>
      </c>
      <c r="AH553" s="6">
        <v>5</v>
      </c>
      <c r="AK553" s="31">
        <f t="shared" si="37"/>
        <v>16</v>
      </c>
      <c r="AL553" s="31">
        <f t="shared" si="37"/>
        <v>5</v>
      </c>
    </row>
    <row r="554" spans="16:38">
      <c r="P554" s="53">
        <v>551</v>
      </c>
      <c r="Q554" s="54">
        <v>0</v>
      </c>
      <c r="R554" s="54">
        <v>2</v>
      </c>
      <c r="W554" s="31">
        <v>551</v>
      </c>
      <c r="X554" s="56">
        <v>0.69</v>
      </c>
      <c r="Y554" s="31">
        <v>2</v>
      </c>
      <c r="AB554" s="58">
        <f t="shared" si="35"/>
        <v>0.69</v>
      </c>
      <c r="AC554" s="54">
        <f t="shared" si="36"/>
        <v>2</v>
      </c>
      <c r="AF554" s="51">
        <v>551</v>
      </c>
      <c r="AG554" s="6">
        <v>16</v>
      </c>
      <c r="AH554" s="6">
        <v>2</v>
      </c>
      <c r="AK554" s="31">
        <f t="shared" si="37"/>
        <v>16</v>
      </c>
      <c r="AL554" s="31">
        <f t="shared" si="37"/>
        <v>2</v>
      </c>
    </row>
    <row r="555" spans="16:38">
      <c r="P555" s="53">
        <v>552</v>
      </c>
      <c r="Q555" s="54">
        <v>0</v>
      </c>
      <c r="R555" s="54">
        <v>1</v>
      </c>
      <c r="W555" s="31">
        <v>552</v>
      </c>
      <c r="X555" s="56">
        <v>0.74</v>
      </c>
      <c r="Y555" s="31">
        <v>1</v>
      </c>
      <c r="AB555" s="58">
        <f t="shared" si="35"/>
        <v>0.74</v>
      </c>
      <c r="AC555" s="54">
        <f t="shared" si="36"/>
        <v>1</v>
      </c>
      <c r="AF555" s="51">
        <v>552</v>
      </c>
      <c r="AG555" s="6">
        <v>14.000000000000002</v>
      </c>
      <c r="AH555" s="6">
        <v>1</v>
      </c>
      <c r="AK555" s="31">
        <f t="shared" si="37"/>
        <v>14.000000000000002</v>
      </c>
      <c r="AL555" s="31">
        <f t="shared" si="37"/>
        <v>1</v>
      </c>
    </row>
    <row r="556" spans="16:38">
      <c r="P556" s="53">
        <v>553</v>
      </c>
      <c r="Q556" s="54">
        <v>0</v>
      </c>
      <c r="R556" s="54">
        <v>9</v>
      </c>
      <c r="W556" s="31">
        <v>553</v>
      </c>
      <c r="X556" s="56">
        <v>0.74</v>
      </c>
      <c r="Y556" s="31">
        <v>9</v>
      </c>
      <c r="AB556" s="58">
        <f t="shared" si="35"/>
        <v>0.74</v>
      </c>
      <c r="AC556" s="54">
        <f t="shared" si="36"/>
        <v>9</v>
      </c>
      <c r="AF556" s="51">
        <v>553</v>
      </c>
      <c r="AG556" s="6">
        <v>14.000000000000002</v>
      </c>
      <c r="AH556" s="6">
        <v>9</v>
      </c>
      <c r="AK556" s="31">
        <f t="shared" si="37"/>
        <v>14.000000000000002</v>
      </c>
      <c r="AL556" s="31">
        <f t="shared" si="37"/>
        <v>9</v>
      </c>
    </row>
    <row r="557" spans="16:38">
      <c r="P557" s="53">
        <v>554</v>
      </c>
      <c r="Q557" s="54">
        <v>1</v>
      </c>
      <c r="R557" s="54">
        <v>35</v>
      </c>
      <c r="W557" s="31">
        <v>554</v>
      </c>
      <c r="X557" s="56">
        <v>0.74</v>
      </c>
      <c r="Y557" s="31">
        <v>36</v>
      </c>
      <c r="AB557" s="58">
        <f t="shared" si="35"/>
        <v>0.74</v>
      </c>
      <c r="AC557" s="54">
        <f t="shared" si="36"/>
        <v>36</v>
      </c>
      <c r="AF557" s="51">
        <v>554</v>
      </c>
      <c r="AG557" s="6">
        <v>16</v>
      </c>
      <c r="AH557" s="6">
        <v>36</v>
      </c>
      <c r="AK557" s="31">
        <f t="shared" si="37"/>
        <v>16</v>
      </c>
      <c r="AL557" s="31">
        <f t="shared" si="37"/>
        <v>36</v>
      </c>
    </row>
    <row r="558" spans="16:38">
      <c r="P558" s="53">
        <v>555</v>
      </c>
      <c r="Q558" s="54">
        <v>5</v>
      </c>
      <c r="R558" s="54">
        <v>103</v>
      </c>
      <c r="W558" s="31">
        <v>555</v>
      </c>
      <c r="X558" s="56">
        <v>0.74</v>
      </c>
      <c r="Y558" s="31">
        <v>108</v>
      </c>
      <c r="AB558" s="58">
        <f t="shared" si="35"/>
        <v>0.74</v>
      </c>
      <c r="AC558" s="54">
        <f t="shared" si="36"/>
        <v>108</v>
      </c>
      <c r="AF558" s="51">
        <v>555</v>
      </c>
      <c r="AG558" s="6">
        <v>16</v>
      </c>
      <c r="AH558" s="6">
        <v>108</v>
      </c>
      <c r="AK558" s="31">
        <f t="shared" si="37"/>
        <v>16</v>
      </c>
      <c r="AL558" s="31">
        <f t="shared" si="37"/>
        <v>108</v>
      </c>
    </row>
    <row r="559" spans="16:38">
      <c r="P559" s="53">
        <v>556</v>
      </c>
      <c r="Q559" s="54">
        <v>5</v>
      </c>
      <c r="R559" s="54">
        <v>233</v>
      </c>
      <c r="W559" s="31">
        <v>556</v>
      </c>
      <c r="X559" s="56">
        <v>0.74</v>
      </c>
      <c r="Y559" s="31">
        <v>238</v>
      </c>
      <c r="AB559" s="58">
        <f t="shared" si="35"/>
        <v>0.74</v>
      </c>
      <c r="AC559" s="54">
        <f t="shared" si="36"/>
        <v>238</v>
      </c>
      <c r="AF559" s="51">
        <v>556</v>
      </c>
      <c r="AG559" s="6">
        <v>16</v>
      </c>
      <c r="AH559" s="6">
        <v>238</v>
      </c>
      <c r="AK559" s="31">
        <f t="shared" si="37"/>
        <v>16</v>
      </c>
      <c r="AL559" s="31">
        <f t="shared" si="37"/>
        <v>238</v>
      </c>
    </row>
    <row r="560" spans="16:38">
      <c r="P560" s="53">
        <v>557</v>
      </c>
      <c r="Q560" s="54">
        <v>10</v>
      </c>
      <c r="R560" s="54">
        <v>134</v>
      </c>
      <c r="W560" s="31">
        <v>557</v>
      </c>
      <c r="X560" s="56">
        <v>0.64</v>
      </c>
      <c r="Y560" s="31">
        <v>144</v>
      </c>
      <c r="AB560" s="58">
        <f t="shared" si="35"/>
        <v>0.64</v>
      </c>
      <c r="AC560" s="54">
        <f t="shared" si="36"/>
        <v>144</v>
      </c>
      <c r="AF560" s="51">
        <v>557</v>
      </c>
      <c r="AG560" s="6">
        <v>20</v>
      </c>
      <c r="AH560" s="6">
        <v>144</v>
      </c>
      <c r="AK560" s="31">
        <f t="shared" si="37"/>
        <v>20</v>
      </c>
      <c r="AL560" s="31">
        <f t="shared" si="37"/>
        <v>144</v>
      </c>
    </row>
    <row r="561" spans="16:38">
      <c r="P561" s="53">
        <v>558</v>
      </c>
      <c r="Q561" s="54">
        <v>6</v>
      </c>
      <c r="R561" s="54">
        <v>49</v>
      </c>
      <c r="W561" s="31">
        <v>558</v>
      </c>
      <c r="X561" s="56">
        <v>0.6</v>
      </c>
      <c r="Y561" s="31">
        <v>55</v>
      </c>
      <c r="AB561" s="58">
        <f t="shared" si="35"/>
        <v>0.6</v>
      </c>
      <c r="AC561" s="54">
        <f t="shared" si="36"/>
        <v>55</v>
      </c>
      <c r="AF561" s="51">
        <v>558</v>
      </c>
      <c r="AG561" s="6">
        <v>22</v>
      </c>
      <c r="AH561" s="6">
        <v>55</v>
      </c>
      <c r="AK561" s="31">
        <f t="shared" si="37"/>
        <v>22</v>
      </c>
      <c r="AL561" s="31">
        <f t="shared" si="37"/>
        <v>55</v>
      </c>
    </row>
    <row r="562" spans="16:38">
      <c r="P562" s="53">
        <v>559</v>
      </c>
      <c r="Q562" s="54">
        <v>6</v>
      </c>
      <c r="R562" s="54">
        <v>55</v>
      </c>
      <c r="W562" s="31">
        <v>559</v>
      </c>
      <c r="X562" s="56">
        <v>0.6</v>
      </c>
      <c r="Y562" s="31">
        <v>61</v>
      </c>
      <c r="AB562" s="58">
        <f t="shared" si="35"/>
        <v>0.6</v>
      </c>
      <c r="AC562" s="54">
        <f t="shared" si="36"/>
        <v>61</v>
      </c>
      <c r="AF562" s="51">
        <v>559</v>
      </c>
      <c r="AG562" s="6">
        <v>24</v>
      </c>
      <c r="AH562" s="6">
        <v>61</v>
      </c>
      <c r="AK562" s="31">
        <f t="shared" si="37"/>
        <v>24</v>
      </c>
      <c r="AL562" s="31">
        <f t="shared" si="37"/>
        <v>61</v>
      </c>
    </row>
    <row r="563" spans="16:38">
      <c r="P563" s="53">
        <v>560</v>
      </c>
      <c r="Q563" s="54">
        <v>21</v>
      </c>
      <c r="R563" s="54">
        <v>85</v>
      </c>
      <c r="W563" s="31">
        <v>560</v>
      </c>
      <c r="X563" s="56">
        <v>0.56000000000000005</v>
      </c>
      <c r="Y563" s="31">
        <v>106</v>
      </c>
      <c r="AB563" s="58">
        <f t="shared" si="35"/>
        <v>0.56000000000000005</v>
      </c>
      <c r="AC563" s="54">
        <f t="shared" si="36"/>
        <v>106</v>
      </c>
      <c r="AF563" s="51">
        <v>560</v>
      </c>
      <c r="AG563" s="6">
        <v>26</v>
      </c>
      <c r="AH563" s="6">
        <v>106</v>
      </c>
      <c r="AK563" s="31">
        <f t="shared" si="37"/>
        <v>26</v>
      </c>
      <c r="AL563" s="31">
        <f t="shared" si="37"/>
        <v>106</v>
      </c>
    </row>
    <row r="564" spans="16:38">
      <c r="P564" s="53">
        <v>561</v>
      </c>
      <c r="Q564" s="54">
        <v>21</v>
      </c>
      <c r="R564" s="54">
        <v>72</v>
      </c>
      <c r="W564" s="31">
        <v>561</v>
      </c>
      <c r="X564" s="56">
        <v>0.56000000000000005</v>
      </c>
      <c r="Y564" s="31">
        <v>93</v>
      </c>
      <c r="AB564" s="58">
        <f t="shared" si="35"/>
        <v>0.56000000000000005</v>
      </c>
      <c r="AC564" s="54">
        <f t="shared" si="36"/>
        <v>93</v>
      </c>
      <c r="AF564" s="51">
        <v>561</v>
      </c>
      <c r="AG564" s="6">
        <v>26</v>
      </c>
      <c r="AH564" s="6">
        <v>93</v>
      </c>
      <c r="AK564" s="31">
        <f t="shared" si="37"/>
        <v>26</v>
      </c>
      <c r="AL564" s="31">
        <f t="shared" si="37"/>
        <v>93</v>
      </c>
    </row>
    <row r="565" spans="16:38">
      <c r="P565" s="53">
        <v>562</v>
      </c>
      <c r="Q565" s="54">
        <v>11</v>
      </c>
      <c r="R565" s="54">
        <v>57</v>
      </c>
      <c r="W565" s="31">
        <v>562</v>
      </c>
      <c r="X565" s="56">
        <v>0.45</v>
      </c>
      <c r="Y565" s="31">
        <v>68</v>
      </c>
      <c r="AB565" s="58">
        <f t="shared" si="35"/>
        <v>0.45</v>
      </c>
      <c r="AC565" s="54">
        <f t="shared" si="36"/>
        <v>68</v>
      </c>
      <c r="AF565" s="51">
        <v>562</v>
      </c>
      <c r="AG565" s="6">
        <v>30</v>
      </c>
      <c r="AH565" s="6">
        <v>68</v>
      </c>
      <c r="AK565" s="31">
        <f t="shared" si="37"/>
        <v>30</v>
      </c>
      <c r="AL565" s="31">
        <f t="shared" si="37"/>
        <v>68</v>
      </c>
    </row>
    <row r="566" spans="16:38">
      <c r="P566" s="53">
        <v>563</v>
      </c>
      <c r="Q566" s="54">
        <v>21</v>
      </c>
      <c r="R566" s="54">
        <v>63</v>
      </c>
      <c r="W566" s="31">
        <v>563</v>
      </c>
      <c r="X566" s="56">
        <v>0.42</v>
      </c>
      <c r="Y566" s="31">
        <v>84</v>
      </c>
      <c r="AB566" s="58">
        <f t="shared" si="35"/>
        <v>0.42</v>
      </c>
      <c r="AC566" s="54">
        <f t="shared" si="36"/>
        <v>84</v>
      </c>
      <c r="AF566" s="51">
        <v>563</v>
      </c>
      <c r="AG566" s="6">
        <v>32</v>
      </c>
      <c r="AH566" s="6">
        <v>84</v>
      </c>
      <c r="AK566" s="31">
        <f t="shared" si="37"/>
        <v>32</v>
      </c>
      <c r="AL566" s="31">
        <f t="shared" si="37"/>
        <v>84</v>
      </c>
    </row>
    <row r="567" spans="16:38">
      <c r="P567" s="53">
        <v>564</v>
      </c>
      <c r="Q567" s="54">
        <v>14</v>
      </c>
      <c r="R567" s="54">
        <v>102</v>
      </c>
      <c r="W567" s="31">
        <v>564</v>
      </c>
      <c r="X567" s="56">
        <v>0.42</v>
      </c>
      <c r="Y567" s="31">
        <v>116</v>
      </c>
      <c r="AB567" s="58">
        <f t="shared" si="35"/>
        <v>0.42</v>
      </c>
      <c r="AC567" s="54">
        <f t="shared" si="36"/>
        <v>116</v>
      </c>
      <c r="AF567" s="51">
        <v>564</v>
      </c>
      <c r="AG567" s="6">
        <v>32</v>
      </c>
      <c r="AH567" s="6">
        <v>116</v>
      </c>
      <c r="AK567" s="31">
        <f t="shared" si="37"/>
        <v>32</v>
      </c>
      <c r="AL567" s="31">
        <f t="shared" si="37"/>
        <v>116</v>
      </c>
    </row>
    <row r="568" spans="16:38">
      <c r="P568" s="53">
        <v>565</v>
      </c>
      <c r="Q568" s="54">
        <v>14</v>
      </c>
      <c r="R568" s="54">
        <v>208</v>
      </c>
      <c r="W568" s="31">
        <v>565</v>
      </c>
      <c r="X568" s="56">
        <v>0.45</v>
      </c>
      <c r="Y568" s="31">
        <v>222</v>
      </c>
      <c r="AB568" s="58">
        <f t="shared" si="35"/>
        <v>0.45</v>
      </c>
      <c r="AC568" s="54">
        <f t="shared" si="36"/>
        <v>222</v>
      </c>
      <c r="AF568" s="51">
        <v>565</v>
      </c>
      <c r="AG568" s="6">
        <v>30</v>
      </c>
      <c r="AH568" s="6">
        <v>222</v>
      </c>
      <c r="AK568" s="31">
        <f t="shared" si="37"/>
        <v>30</v>
      </c>
      <c r="AL568" s="31">
        <f t="shared" si="37"/>
        <v>222</v>
      </c>
    </row>
    <row r="569" spans="16:38">
      <c r="P569" s="53">
        <v>566</v>
      </c>
      <c r="Q569" s="54">
        <v>7</v>
      </c>
      <c r="R569" s="54">
        <v>218</v>
      </c>
      <c r="W569" s="31">
        <v>566</v>
      </c>
      <c r="X569" s="56">
        <v>0.49</v>
      </c>
      <c r="Y569" s="31">
        <v>225</v>
      </c>
      <c r="AB569" s="58">
        <f t="shared" si="35"/>
        <v>0.49</v>
      </c>
      <c r="AC569" s="54">
        <f t="shared" si="36"/>
        <v>225</v>
      </c>
      <c r="AF569" s="51">
        <v>566</v>
      </c>
      <c r="AG569" s="6">
        <v>30</v>
      </c>
      <c r="AH569" s="6">
        <v>225</v>
      </c>
      <c r="AK569" s="31">
        <f t="shared" si="37"/>
        <v>30</v>
      </c>
      <c r="AL569" s="31">
        <f t="shared" si="37"/>
        <v>225</v>
      </c>
    </row>
    <row r="570" spans="16:38">
      <c r="P570" s="53">
        <v>567</v>
      </c>
      <c r="Q570" s="54">
        <v>13</v>
      </c>
      <c r="R570" s="54">
        <v>133</v>
      </c>
      <c r="W570" s="31">
        <v>567</v>
      </c>
      <c r="X570" s="56">
        <v>0.65</v>
      </c>
      <c r="Y570" s="31">
        <v>146</v>
      </c>
      <c r="AB570" s="58">
        <f t="shared" si="35"/>
        <v>0.65</v>
      </c>
      <c r="AC570" s="54">
        <f t="shared" si="36"/>
        <v>146</v>
      </c>
      <c r="AF570" s="51">
        <v>567</v>
      </c>
      <c r="AG570" s="6">
        <v>26</v>
      </c>
      <c r="AH570" s="6">
        <v>146</v>
      </c>
      <c r="AK570" s="31">
        <f t="shared" si="37"/>
        <v>26</v>
      </c>
      <c r="AL570" s="31">
        <f t="shared" si="37"/>
        <v>146</v>
      </c>
    </row>
    <row r="571" spans="16:38">
      <c r="P571" s="53">
        <v>568</v>
      </c>
      <c r="Q571" s="54">
        <v>16</v>
      </c>
      <c r="R571" s="54">
        <v>103</v>
      </c>
      <c r="W571" s="31">
        <v>568</v>
      </c>
      <c r="X571" s="56">
        <v>0.65</v>
      </c>
      <c r="Y571" s="31">
        <v>119</v>
      </c>
      <c r="AB571" s="58">
        <f t="shared" si="35"/>
        <v>0.65</v>
      </c>
      <c r="AC571" s="54">
        <f t="shared" si="36"/>
        <v>119</v>
      </c>
      <c r="AF571" s="51">
        <v>568</v>
      </c>
      <c r="AG571" s="6">
        <v>24</v>
      </c>
      <c r="AH571" s="6">
        <v>119</v>
      </c>
      <c r="AK571" s="31">
        <f t="shared" si="37"/>
        <v>24</v>
      </c>
      <c r="AL571" s="31">
        <f t="shared" si="37"/>
        <v>119</v>
      </c>
    </row>
    <row r="572" spans="16:38">
      <c r="P572" s="53">
        <v>569</v>
      </c>
      <c r="Q572" s="54">
        <v>5</v>
      </c>
      <c r="R572" s="54">
        <v>40</v>
      </c>
      <c r="W572" s="31">
        <v>569</v>
      </c>
      <c r="X572" s="56">
        <v>0.65</v>
      </c>
      <c r="Y572" s="31">
        <v>45</v>
      </c>
      <c r="AB572" s="58">
        <f t="shared" si="35"/>
        <v>0.65</v>
      </c>
      <c r="AC572" s="54">
        <f t="shared" si="36"/>
        <v>45</v>
      </c>
      <c r="AF572" s="51">
        <v>569</v>
      </c>
      <c r="AG572" s="6">
        <v>24</v>
      </c>
      <c r="AH572" s="6">
        <v>45</v>
      </c>
      <c r="AK572" s="31">
        <f t="shared" si="37"/>
        <v>24</v>
      </c>
      <c r="AL572" s="31">
        <f t="shared" si="37"/>
        <v>45</v>
      </c>
    </row>
    <row r="573" spans="16:38">
      <c r="P573" s="53">
        <v>570</v>
      </c>
      <c r="Q573" s="54">
        <v>4</v>
      </c>
      <c r="R573" s="54">
        <v>49</v>
      </c>
      <c r="W573" s="31">
        <v>570</v>
      </c>
      <c r="X573" s="56">
        <v>0.64</v>
      </c>
      <c r="Y573" s="31">
        <v>53</v>
      </c>
      <c r="AB573" s="58">
        <f t="shared" si="35"/>
        <v>0.64</v>
      </c>
      <c r="AC573" s="54">
        <f t="shared" si="36"/>
        <v>53</v>
      </c>
      <c r="AF573" s="51">
        <v>570</v>
      </c>
      <c r="AG573" s="6">
        <v>22</v>
      </c>
      <c r="AH573" s="6">
        <v>53</v>
      </c>
      <c r="AK573" s="31">
        <f t="shared" si="37"/>
        <v>22</v>
      </c>
      <c r="AL573" s="31">
        <f t="shared" si="37"/>
        <v>53</v>
      </c>
    </row>
    <row r="574" spans="16:38">
      <c r="P574" s="53">
        <v>571</v>
      </c>
      <c r="Q574" s="54">
        <v>3</v>
      </c>
      <c r="R574" s="54">
        <v>37</v>
      </c>
      <c r="W574" s="31">
        <v>571</v>
      </c>
      <c r="X574" s="56">
        <v>0.64</v>
      </c>
      <c r="Y574" s="31">
        <v>40</v>
      </c>
      <c r="AB574" s="58">
        <f t="shared" si="35"/>
        <v>0.64</v>
      </c>
      <c r="AC574" s="54">
        <f t="shared" si="36"/>
        <v>40</v>
      </c>
      <c r="AF574" s="51">
        <v>571</v>
      </c>
      <c r="AG574" s="6">
        <v>22</v>
      </c>
      <c r="AH574" s="6">
        <v>40</v>
      </c>
      <c r="AK574" s="31">
        <f t="shared" si="37"/>
        <v>22</v>
      </c>
      <c r="AL574" s="31">
        <f t="shared" si="37"/>
        <v>40</v>
      </c>
    </row>
    <row r="575" spans="16:38">
      <c r="P575" s="53">
        <v>572</v>
      </c>
      <c r="Q575" s="54">
        <v>3</v>
      </c>
      <c r="R575" s="54">
        <v>14</v>
      </c>
      <c r="W575" s="31">
        <v>572</v>
      </c>
      <c r="X575" s="56">
        <v>0.69</v>
      </c>
      <c r="Y575" s="31">
        <v>17</v>
      </c>
      <c r="AB575" s="58">
        <f t="shared" si="35"/>
        <v>0.69</v>
      </c>
      <c r="AC575" s="54">
        <f t="shared" si="36"/>
        <v>17</v>
      </c>
      <c r="AF575" s="51">
        <v>572</v>
      </c>
      <c r="AG575" s="6">
        <v>22</v>
      </c>
      <c r="AH575" s="6">
        <v>17</v>
      </c>
      <c r="AK575" s="31">
        <f t="shared" si="37"/>
        <v>22</v>
      </c>
      <c r="AL575" s="31">
        <f t="shared" si="37"/>
        <v>17</v>
      </c>
    </row>
    <row r="576" spans="16:38">
      <c r="P576" s="53">
        <v>573</v>
      </c>
      <c r="Q576" s="54">
        <v>0</v>
      </c>
      <c r="R576" s="54">
        <v>5</v>
      </c>
      <c r="W576" s="31">
        <v>573</v>
      </c>
      <c r="X576" s="56">
        <v>0.65</v>
      </c>
      <c r="Y576" s="31">
        <v>5</v>
      </c>
      <c r="AB576" s="58">
        <f t="shared" si="35"/>
        <v>0.65</v>
      </c>
      <c r="AC576" s="54">
        <f t="shared" si="36"/>
        <v>5</v>
      </c>
      <c r="AF576" s="51">
        <v>573</v>
      </c>
      <c r="AG576" s="6">
        <v>24</v>
      </c>
      <c r="AH576" s="6">
        <v>5</v>
      </c>
      <c r="AK576" s="31">
        <f t="shared" si="37"/>
        <v>24</v>
      </c>
      <c r="AL576" s="31">
        <f t="shared" si="37"/>
        <v>5</v>
      </c>
    </row>
    <row r="577" spans="16:38">
      <c r="P577" s="53">
        <v>574</v>
      </c>
      <c r="Q577" s="54">
        <v>3</v>
      </c>
      <c r="R577" s="54">
        <v>7</v>
      </c>
      <c r="W577" s="31">
        <v>574</v>
      </c>
      <c r="X577" s="56">
        <v>0.69</v>
      </c>
      <c r="Y577" s="31">
        <v>10</v>
      </c>
      <c r="AB577" s="58">
        <f t="shared" si="35"/>
        <v>0.69</v>
      </c>
      <c r="AC577" s="54">
        <f t="shared" si="36"/>
        <v>10</v>
      </c>
      <c r="AF577" s="51">
        <v>574</v>
      </c>
      <c r="AG577" s="6">
        <v>22</v>
      </c>
      <c r="AH577" s="6">
        <v>10</v>
      </c>
      <c r="AK577" s="31">
        <f t="shared" si="37"/>
        <v>22</v>
      </c>
      <c r="AL577" s="31">
        <f t="shared" si="37"/>
        <v>10</v>
      </c>
    </row>
    <row r="578" spans="16:38">
      <c r="P578" s="53">
        <v>575</v>
      </c>
      <c r="Q578" s="54">
        <v>0</v>
      </c>
      <c r="R578" s="54">
        <v>1</v>
      </c>
      <c r="W578" s="31">
        <v>575</v>
      </c>
      <c r="X578" s="56">
        <v>0.86</v>
      </c>
      <c r="Y578" s="31">
        <v>1</v>
      </c>
      <c r="AB578" s="58">
        <f t="shared" si="35"/>
        <v>0.86</v>
      </c>
      <c r="AC578" s="54">
        <f t="shared" si="36"/>
        <v>1</v>
      </c>
      <c r="AF578" s="51">
        <v>575</v>
      </c>
      <c r="AG578" s="6">
        <v>20</v>
      </c>
      <c r="AH578" s="6">
        <v>1</v>
      </c>
      <c r="AK578" s="31">
        <f t="shared" si="37"/>
        <v>20</v>
      </c>
      <c r="AL578" s="31">
        <f t="shared" si="37"/>
        <v>1</v>
      </c>
    </row>
    <row r="579" spans="16:38">
      <c r="P579" s="53">
        <v>576</v>
      </c>
      <c r="Q579" s="54">
        <v>0</v>
      </c>
      <c r="R579" s="54">
        <v>8</v>
      </c>
      <c r="W579" s="31">
        <v>576</v>
      </c>
      <c r="X579" s="56">
        <v>0.86</v>
      </c>
      <c r="Y579" s="31">
        <v>8</v>
      </c>
      <c r="AB579" s="58">
        <f t="shared" si="35"/>
        <v>0.86</v>
      </c>
      <c r="AC579" s="54">
        <f t="shared" si="36"/>
        <v>8</v>
      </c>
      <c r="AF579" s="51">
        <v>576</v>
      </c>
      <c r="AG579" s="6">
        <v>20</v>
      </c>
      <c r="AH579" s="6">
        <v>8</v>
      </c>
      <c r="AK579" s="31">
        <f t="shared" si="37"/>
        <v>20</v>
      </c>
      <c r="AL579" s="31">
        <f t="shared" si="37"/>
        <v>8</v>
      </c>
    </row>
    <row r="580" spans="16:38">
      <c r="P580" s="53">
        <v>577</v>
      </c>
      <c r="Q580" s="54">
        <v>1</v>
      </c>
      <c r="R580" s="54">
        <v>29</v>
      </c>
      <c r="W580" s="31">
        <v>577</v>
      </c>
      <c r="X580" s="56">
        <v>0.87</v>
      </c>
      <c r="Y580" s="31">
        <v>30</v>
      </c>
      <c r="AB580" s="58">
        <f t="shared" si="35"/>
        <v>0.87</v>
      </c>
      <c r="AC580" s="54">
        <f t="shared" si="36"/>
        <v>30</v>
      </c>
      <c r="AF580" s="51">
        <v>577</v>
      </c>
      <c r="AG580" s="6">
        <v>22</v>
      </c>
      <c r="AH580" s="6">
        <v>30</v>
      </c>
      <c r="AK580" s="31">
        <f t="shared" si="37"/>
        <v>22</v>
      </c>
      <c r="AL580" s="31">
        <f t="shared" si="37"/>
        <v>30</v>
      </c>
    </row>
    <row r="581" spans="16:38">
      <c r="P581" s="53">
        <v>578</v>
      </c>
      <c r="Q581" s="54">
        <v>3</v>
      </c>
      <c r="R581" s="54">
        <v>69</v>
      </c>
      <c r="W581" s="31">
        <v>578</v>
      </c>
      <c r="X581" s="56">
        <v>0.87</v>
      </c>
      <c r="Y581" s="31">
        <v>72</v>
      </c>
      <c r="AB581" s="58">
        <f t="shared" ref="AB581:AB644" si="38">X581</f>
        <v>0.87</v>
      </c>
      <c r="AC581" s="54">
        <f t="shared" ref="AC581:AC644" si="39">Y581</f>
        <v>72</v>
      </c>
      <c r="AF581" s="51">
        <v>578</v>
      </c>
      <c r="AG581" s="6">
        <v>22</v>
      </c>
      <c r="AH581" s="6">
        <v>72</v>
      </c>
      <c r="AK581" s="31">
        <f t="shared" si="37"/>
        <v>22</v>
      </c>
      <c r="AL581" s="31">
        <f t="shared" si="37"/>
        <v>72</v>
      </c>
    </row>
    <row r="582" spans="16:38">
      <c r="P582" s="53">
        <v>579</v>
      </c>
      <c r="Q582" s="54">
        <v>3</v>
      </c>
      <c r="R582" s="54">
        <v>55</v>
      </c>
      <c r="W582" s="31">
        <v>579</v>
      </c>
      <c r="X582" s="56">
        <v>0.87</v>
      </c>
      <c r="Y582" s="31">
        <v>58</v>
      </c>
      <c r="AB582" s="58">
        <f t="shared" si="38"/>
        <v>0.87</v>
      </c>
      <c r="AC582" s="54">
        <f t="shared" si="39"/>
        <v>58</v>
      </c>
      <c r="AF582" s="51">
        <v>579</v>
      </c>
      <c r="AG582" s="6">
        <v>22</v>
      </c>
      <c r="AH582" s="6">
        <v>58</v>
      </c>
      <c r="AK582" s="31">
        <f t="shared" si="37"/>
        <v>22</v>
      </c>
      <c r="AL582" s="31">
        <f t="shared" si="37"/>
        <v>58</v>
      </c>
    </row>
    <row r="583" spans="16:38">
      <c r="P583" s="53">
        <v>580</v>
      </c>
      <c r="Q583" s="54">
        <v>2</v>
      </c>
      <c r="R583" s="54">
        <v>26</v>
      </c>
      <c r="W583" s="31">
        <v>580</v>
      </c>
      <c r="X583" s="56">
        <v>0.93</v>
      </c>
      <c r="Y583" s="31">
        <v>28</v>
      </c>
      <c r="AB583" s="58">
        <f t="shared" si="38"/>
        <v>0.93</v>
      </c>
      <c r="AC583" s="54">
        <f t="shared" si="39"/>
        <v>28</v>
      </c>
      <c r="AF583" s="51">
        <v>580</v>
      </c>
      <c r="AG583" s="6">
        <v>22</v>
      </c>
      <c r="AH583" s="6">
        <v>28</v>
      </c>
      <c r="AK583" s="31">
        <f t="shared" si="37"/>
        <v>22</v>
      </c>
      <c r="AL583" s="31">
        <f t="shared" si="37"/>
        <v>28</v>
      </c>
    </row>
    <row r="584" spans="16:38">
      <c r="P584" s="53">
        <v>581</v>
      </c>
      <c r="Q584" s="54">
        <v>6</v>
      </c>
      <c r="R584" s="54">
        <v>35</v>
      </c>
      <c r="W584" s="31">
        <v>581</v>
      </c>
      <c r="X584" s="56">
        <v>0.93</v>
      </c>
      <c r="Y584" s="31">
        <v>41</v>
      </c>
      <c r="AB584" s="58">
        <f t="shared" si="38"/>
        <v>0.93</v>
      </c>
      <c r="AC584" s="54">
        <f t="shared" si="39"/>
        <v>41</v>
      </c>
      <c r="AF584" s="51">
        <v>581</v>
      </c>
      <c r="AG584" s="6">
        <v>22</v>
      </c>
      <c r="AH584" s="6">
        <v>41</v>
      </c>
      <c r="AK584" s="31">
        <f t="shared" si="37"/>
        <v>22</v>
      </c>
      <c r="AL584" s="31">
        <f t="shared" si="37"/>
        <v>41</v>
      </c>
    </row>
    <row r="585" spans="16:38">
      <c r="P585" s="53">
        <v>582</v>
      </c>
      <c r="Q585" s="54">
        <v>7</v>
      </c>
      <c r="R585" s="54">
        <v>41</v>
      </c>
      <c r="W585" s="31">
        <v>582</v>
      </c>
      <c r="X585" s="56">
        <v>0.93</v>
      </c>
      <c r="Y585" s="31">
        <v>48</v>
      </c>
      <c r="AB585" s="58">
        <f t="shared" si="38"/>
        <v>0.93</v>
      </c>
      <c r="AC585" s="54">
        <f t="shared" si="39"/>
        <v>48</v>
      </c>
      <c r="AF585" s="51">
        <v>582</v>
      </c>
      <c r="AG585" s="6">
        <v>22</v>
      </c>
      <c r="AH585" s="6">
        <v>48</v>
      </c>
      <c r="AK585" s="31">
        <f t="shared" si="37"/>
        <v>22</v>
      </c>
      <c r="AL585" s="31">
        <f t="shared" si="37"/>
        <v>48</v>
      </c>
    </row>
    <row r="586" spans="16:38">
      <c r="P586" s="53">
        <v>583</v>
      </c>
      <c r="Q586" s="54">
        <v>4</v>
      </c>
      <c r="R586" s="54">
        <v>43</v>
      </c>
      <c r="W586" s="31">
        <v>583</v>
      </c>
      <c r="X586" s="56">
        <v>0.93</v>
      </c>
      <c r="Y586" s="31">
        <v>47</v>
      </c>
      <c r="AB586" s="58">
        <f t="shared" si="38"/>
        <v>0.93</v>
      </c>
      <c r="AC586" s="54">
        <f t="shared" si="39"/>
        <v>47</v>
      </c>
      <c r="AF586" s="51">
        <v>583</v>
      </c>
      <c r="AG586" s="6">
        <v>22</v>
      </c>
      <c r="AH586" s="6">
        <v>47</v>
      </c>
      <c r="AK586" s="31">
        <f t="shared" si="37"/>
        <v>22</v>
      </c>
      <c r="AL586" s="31">
        <f t="shared" si="37"/>
        <v>47</v>
      </c>
    </row>
    <row r="587" spans="16:38">
      <c r="P587" s="53">
        <v>584</v>
      </c>
      <c r="Q587" s="54">
        <v>0</v>
      </c>
      <c r="R587" s="54">
        <v>36</v>
      </c>
      <c r="W587" s="31">
        <v>584</v>
      </c>
      <c r="X587" s="56">
        <v>0.93</v>
      </c>
      <c r="Y587" s="31">
        <v>36</v>
      </c>
      <c r="AB587" s="58">
        <f t="shared" si="38"/>
        <v>0.93</v>
      </c>
      <c r="AC587" s="54">
        <f t="shared" si="39"/>
        <v>36</v>
      </c>
      <c r="AF587" s="51">
        <v>584</v>
      </c>
      <c r="AG587" s="6">
        <v>22</v>
      </c>
      <c r="AH587" s="6">
        <v>36</v>
      </c>
      <c r="AK587" s="31">
        <f t="shared" si="37"/>
        <v>22</v>
      </c>
      <c r="AL587" s="31">
        <f t="shared" si="37"/>
        <v>36</v>
      </c>
    </row>
    <row r="588" spans="16:38">
      <c r="P588" s="53">
        <v>585</v>
      </c>
      <c r="Q588" s="54">
        <v>1</v>
      </c>
      <c r="R588" s="54">
        <v>42</v>
      </c>
      <c r="W588" s="31">
        <v>585</v>
      </c>
      <c r="X588" s="56">
        <v>0.93</v>
      </c>
      <c r="Y588" s="31">
        <v>43</v>
      </c>
      <c r="AB588" s="58">
        <f t="shared" si="38"/>
        <v>0.93</v>
      </c>
      <c r="AC588" s="54">
        <f t="shared" si="39"/>
        <v>43</v>
      </c>
      <c r="AF588" s="51">
        <v>585</v>
      </c>
      <c r="AG588" s="6">
        <v>22</v>
      </c>
      <c r="AH588" s="6">
        <v>43</v>
      </c>
      <c r="AK588" s="31">
        <f t="shared" si="37"/>
        <v>22</v>
      </c>
      <c r="AL588" s="31">
        <f t="shared" si="37"/>
        <v>43</v>
      </c>
    </row>
    <row r="589" spans="16:38">
      <c r="P589" s="53">
        <v>586</v>
      </c>
      <c r="Q589" s="54">
        <v>1</v>
      </c>
      <c r="R589" s="54">
        <v>35</v>
      </c>
      <c r="W589" s="31">
        <v>586</v>
      </c>
      <c r="X589" s="56">
        <v>0.93</v>
      </c>
      <c r="Y589" s="31">
        <v>36</v>
      </c>
      <c r="AB589" s="58">
        <f t="shared" si="38"/>
        <v>0.93</v>
      </c>
      <c r="AC589" s="54">
        <f t="shared" si="39"/>
        <v>36</v>
      </c>
      <c r="AF589" s="51">
        <v>586</v>
      </c>
      <c r="AG589" s="6">
        <v>22</v>
      </c>
      <c r="AH589" s="6">
        <v>36</v>
      </c>
      <c r="AK589" s="31">
        <f t="shared" si="37"/>
        <v>22</v>
      </c>
      <c r="AL589" s="31">
        <f t="shared" si="37"/>
        <v>36</v>
      </c>
    </row>
    <row r="590" spans="16:38">
      <c r="P590" s="53">
        <v>587</v>
      </c>
      <c r="Q590" s="54">
        <v>0</v>
      </c>
      <c r="R590" s="54">
        <v>26</v>
      </c>
      <c r="W590" s="31">
        <v>587</v>
      </c>
      <c r="X590" s="56">
        <v>0.93</v>
      </c>
      <c r="Y590" s="31">
        <v>26</v>
      </c>
      <c r="AB590" s="58">
        <f t="shared" si="38"/>
        <v>0.93</v>
      </c>
      <c r="AC590" s="54">
        <f t="shared" si="39"/>
        <v>26</v>
      </c>
      <c r="AF590" s="51">
        <v>587</v>
      </c>
      <c r="AG590" s="6">
        <v>20</v>
      </c>
      <c r="AH590" s="6">
        <v>26</v>
      </c>
      <c r="AK590" s="31">
        <f t="shared" si="37"/>
        <v>20</v>
      </c>
      <c r="AL590" s="31">
        <f t="shared" si="37"/>
        <v>26</v>
      </c>
    </row>
    <row r="591" spans="16:38">
      <c r="P591" s="53">
        <v>588</v>
      </c>
      <c r="Q591" s="54">
        <v>1</v>
      </c>
      <c r="R591" s="54">
        <v>23</v>
      </c>
      <c r="W591" s="31">
        <v>588</v>
      </c>
      <c r="X591" s="56">
        <v>0.55000000000000004</v>
      </c>
      <c r="Y591" s="31">
        <v>24</v>
      </c>
      <c r="AB591" s="58">
        <f t="shared" si="38"/>
        <v>0.55000000000000004</v>
      </c>
      <c r="AC591" s="54">
        <f t="shared" si="39"/>
        <v>24</v>
      </c>
      <c r="AF591" s="51">
        <v>588</v>
      </c>
      <c r="AG591" s="6">
        <v>22</v>
      </c>
      <c r="AH591" s="6">
        <v>24</v>
      </c>
      <c r="AK591" s="31">
        <f t="shared" si="37"/>
        <v>22</v>
      </c>
      <c r="AL591" s="31">
        <f t="shared" si="37"/>
        <v>24</v>
      </c>
    </row>
    <row r="592" spans="16:38">
      <c r="P592" s="53">
        <v>589</v>
      </c>
      <c r="Q592" s="54">
        <v>2</v>
      </c>
      <c r="R592" s="54">
        <v>82</v>
      </c>
      <c r="W592" s="31">
        <v>589</v>
      </c>
      <c r="X592" s="56">
        <v>0.55000000000000004</v>
      </c>
      <c r="Y592" s="31">
        <v>84</v>
      </c>
      <c r="AB592" s="58">
        <f t="shared" si="38"/>
        <v>0.55000000000000004</v>
      </c>
      <c r="AC592" s="54">
        <f t="shared" si="39"/>
        <v>84</v>
      </c>
      <c r="AF592" s="51">
        <v>589</v>
      </c>
      <c r="AG592" s="6">
        <v>22</v>
      </c>
      <c r="AH592" s="6">
        <v>84</v>
      </c>
      <c r="AK592" s="31">
        <f t="shared" si="37"/>
        <v>22</v>
      </c>
      <c r="AL592" s="31">
        <f t="shared" si="37"/>
        <v>84</v>
      </c>
    </row>
    <row r="593" spans="16:38">
      <c r="P593" s="53">
        <v>590</v>
      </c>
      <c r="Q593" s="54">
        <v>3</v>
      </c>
      <c r="R593" s="54">
        <v>101</v>
      </c>
      <c r="W593" s="31">
        <v>590</v>
      </c>
      <c r="X593" s="56">
        <v>0.69</v>
      </c>
      <c r="Y593" s="31">
        <v>104</v>
      </c>
      <c r="AB593" s="58">
        <f t="shared" si="38"/>
        <v>0.69</v>
      </c>
      <c r="AC593" s="54">
        <f t="shared" si="39"/>
        <v>104</v>
      </c>
      <c r="AF593" s="51">
        <v>590</v>
      </c>
      <c r="AG593" s="6">
        <v>20</v>
      </c>
      <c r="AH593" s="6">
        <v>104</v>
      </c>
      <c r="AK593" s="31">
        <f t="shared" si="37"/>
        <v>20</v>
      </c>
      <c r="AL593" s="31">
        <f t="shared" si="37"/>
        <v>104</v>
      </c>
    </row>
    <row r="594" spans="16:38">
      <c r="P594" s="53">
        <v>591</v>
      </c>
      <c r="Q594" s="54">
        <v>3</v>
      </c>
      <c r="R594" s="54">
        <v>76</v>
      </c>
      <c r="W594" s="31">
        <v>591</v>
      </c>
      <c r="X594" s="56">
        <v>0.69</v>
      </c>
      <c r="Y594" s="31">
        <v>79</v>
      </c>
      <c r="AB594" s="58">
        <f t="shared" si="38"/>
        <v>0.69</v>
      </c>
      <c r="AC594" s="54">
        <f t="shared" si="39"/>
        <v>79</v>
      </c>
      <c r="AF594" s="51">
        <v>591</v>
      </c>
      <c r="AG594" s="6">
        <v>20</v>
      </c>
      <c r="AH594" s="6">
        <v>79</v>
      </c>
      <c r="AK594" s="31">
        <f t="shared" si="37"/>
        <v>20</v>
      </c>
      <c r="AL594" s="31">
        <f t="shared" si="37"/>
        <v>79</v>
      </c>
    </row>
    <row r="595" spans="16:38">
      <c r="P595" s="53">
        <v>592</v>
      </c>
      <c r="Q595" s="54">
        <v>4</v>
      </c>
      <c r="R595" s="54">
        <v>55</v>
      </c>
      <c r="W595" s="31">
        <v>592</v>
      </c>
      <c r="X595" s="56">
        <v>0.74</v>
      </c>
      <c r="Y595" s="31">
        <v>59</v>
      </c>
      <c r="AB595" s="58">
        <f t="shared" si="38"/>
        <v>0.74</v>
      </c>
      <c r="AC595" s="54">
        <f t="shared" si="39"/>
        <v>59</v>
      </c>
      <c r="AF595" s="51">
        <v>592</v>
      </c>
      <c r="AG595" s="6">
        <v>18</v>
      </c>
      <c r="AH595" s="6">
        <v>59</v>
      </c>
      <c r="AK595" s="31">
        <f t="shared" si="37"/>
        <v>18</v>
      </c>
      <c r="AL595" s="31">
        <f t="shared" si="37"/>
        <v>59</v>
      </c>
    </row>
    <row r="596" spans="16:38">
      <c r="P596" s="53">
        <v>593</v>
      </c>
      <c r="Q596" s="54">
        <v>2</v>
      </c>
      <c r="R596" s="54">
        <v>36</v>
      </c>
      <c r="W596" s="31">
        <v>593</v>
      </c>
      <c r="X596" s="56">
        <v>0.74</v>
      </c>
      <c r="Y596" s="31">
        <v>38</v>
      </c>
      <c r="AB596" s="58">
        <f t="shared" si="38"/>
        <v>0.74</v>
      </c>
      <c r="AC596" s="54">
        <f t="shared" si="39"/>
        <v>38</v>
      </c>
      <c r="AF596" s="51">
        <v>593</v>
      </c>
      <c r="AG596" s="6">
        <v>18</v>
      </c>
      <c r="AH596" s="6">
        <v>38</v>
      </c>
      <c r="AK596" s="31">
        <f t="shared" si="37"/>
        <v>18</v>
      </c>
      <c r="AL596" s="31">
        <f t="shared" si="37"/>
        <v>38</v>
      </c>
    </row>
    <row r="597" spans="16:38">
      <c r="P597" s="53">
        <v>594</v>
      </c>
      <c r="Q597" s="54">
        <v>0</v>
      </c>
      <c r="R597" s="54">
        <v>27</v>
      </c>
      <c r="W597" s="31">
        <v>594</v>
      </c>
      <c r="X597" s="56">
        <v>0.74</v>
      </c>
      <c r="Y597" s="31">
        <v>27</v>
      </c>
      <c r="AB597" s="58">
        <f t="shared" si="38"/>
        <v>0.74</v>
      </c>
      <c r="AC597" s="54">
        <f t="shared" si="39"/>
        <v>27</v>
      </c>
      <c r="AF597" s="51">
        <v>594</v>
      </c>
      <c r="AG597" s="6">
        <v>18</v>
      </c>
      <c r="AH597" s="6">
        <v>27</v>
      </c>
      <c r="AK597" s="31">
        <f t="shared" ref="AK597:AL660" si="40">AG597</f>
        <v>18</v>
      </c>
      <c r="AL597" s="31">
        <f t="shared" si="40"/>
        <v>27</v>
      </c>
    </row>
    <row r="598" spans="16:38">
      <c r="P598" s="53">
        <v>595</v>
      </c>
      <c r="Q598" s="54">
        <v>0</v>
      </c>
      <c r="R598" s="54">
        <v>16</v>
      </c>
      <c r="W598" s="31">
        <v>595</v>
      </c>
      <c r="X598" s="56">
        <v>0.8</v>
      </c>
      <c r="Y598" s="31">
        <v>16</v>
      </c>
      <c r="AB598" s="58">
        <f t="shared" si="38"/>
        <v>0.8</v>
      </c>
      <c r="AC598" s="54">
        <f t="shared" si="39"/>
        <v>16</v>
      </c>
      <c r="AF598" s="51">
        <v>595</v>
      </c>
      <c r="AG598" s="6">
        <v>18</v>
      </c>
      <c r="AH598" s="6">
        <v>16</v>
      </c>
      <c r="AK598" s="31">
        <f t="shared" si="40"/>
        <v>18</v>
      </c>
      <c r="AL598" s="31">
        <f t="shared" si="40"/>
        <v>16</v>
      </c>
    </row>
    <row r="599" spans="16:38">
      <c r="P599" s="53">
        <v>596</v>
      </c>
      <c r="Q599" s="54">
        <v>0</v>
      </c>
      <c r="R599" s="54">
        <v>9</v>
      </c>
      <c r="W599" s="31">
        <v>596</v>
      </c>
      <c r="X599" s="56">
        <v>0.75</v>
      </c>
      <c r="Y599" s="31">
        <v>9</v>
      </c>
      <c r="AB599" s="58">
        <f t="shared" si="38"/>
        <v>0.75</v>
      </c>
      <c r="AC599" s="54">
        <f t="shared" si="39"/>
        <v>9</v>
      </c>
      <c r="AF599" s="51">
        <v>596</v>
      </c>
      <c r="AG599" s="6">
        <v>20</v>
      </c>
      <c r="AH599" s="6">
        <v>9</v>
      </c>
      <c r="AK599" s="31">
        <f t="shared" si="40"/>
        <v>20</v>
      </c>
      <c r="AL599" s="31">
        <f t="shared" si="40"/>
        <v>9</v>
      </c>
    </row>
    <row r="600" spans="16:38">
      <c r="P600" s="53">
        <v>597</v>
      </c>
      <c r="Q600" s="54">
        <v>1</v>
      </c>
      <c r="R600" s="54">
        <v>2</v>
      </c>
      <c r="W600" s="31">
        <v>597</v>
      </c>
      <c r="X600" s="56">
        <v>0.75</v>
      </c>
      <c r="Y600" s="31">
        <v>3</v>
      </c>
      <c r="AB600" s="58">
        <f t="shared" si="38"/>
        <v>0.75</v>
      </c>
      <c r="AC600" s="54">
        <f t="shared" si="39"/>
        <v>3</v>
      </c>
      <c r="AF600" s="51">
        <v>597</v>
      </c>
      <c r="AG600" s="6">
        <v>20</v>
      </c>
      <c r="AH600" s="6">
        <v>3</v>
      </c>
      <c r="AK600" s="31">
        <f t="shared" si="40"/>
        <v>20</v>
      </c>
      <c r="AL600" s="31">
        <f t="shared" si="40"/>
        <v>3</v>
      </c>
    </row>
    <row r="601" spans="16:38">
      <c r="P601" s="53">
        <v>598</v>
      </c>
      <c r="Q601" s="54">
        <v>0</v>
      </c>
      <c r="R601" s="54">
        <v>2</v>
      </c>
      <c r="W601" s="31">
        <v>598</v>
      </c>
      <c r="X601" s="56">
        <v>0.75</v>
      </c>
      <c r="Y601" s="31">
        <v>2</v>
      </c>
      <c r="AB601" s="58">
        <f t="shared" si="38"/>
        <v>0.75</v>
      </c>
      <c r="AC601" s="54">
        <f t="shared" si="39"/>
        <v>2</v>
      </c>
      <c r="AF601" s="51">
        <v>598</v>
      </c>
      <c r="AG601" s="6">
        <v>20</v>
      </c>
      <c r="AH601" s="6">
        <v>2</v>
      </c>
      <c r="AK601" s="31">
        <f t="shared" si="40"/>
        <v>20</v>
      </c>
      <c r="AL601" s="31">
        <f t="shared" si="40"/>
        <v>2</v>
      </c>
    </row>
    <row r="602" spans="16:38">
      <c r="P602" s="53">
        <v>599</v>
      </c>
      <c r="Q602" s="54">
        <v>1</v>
      </c>
      <c r="R602" s="54">
        <v>0</v>
      </c>
      <c r="W602" s="31">
        <v>599</v>
      </c>
      <c r="X602" s="56">
        <v>0.75</v>
      </c>
      <c r="Y602" s="31">
        <v>1</v>
      </c>
      <c r="AB602" s="58">
        <f t="shared" si="38"/>
        <v>0.75</v>
      </c>
      <c r="AC602" s="54">
        <f t="shared" si="39"/>
        <v>1</v>
      </c>
      <c r="AF602" s="51">
        <v>599</v>
      </c>
      <c r="AG602" s="6">
        <v>20</v>
      </c>
      <c r="AH602" s="6">
        <v>1</v>
      </c>
      <c r="AK602" s="31">
        <f t="shared" si="40"/>
        <v>20</v>
      </c>
      <c r="AL602" s="31">
        <f t="shared" si="40"/>
        <v>1</v>
      </c>
    </row>
    <row r="603" spans="16:38">
      <c r="P603" s="53">
        <v>600</v>
      </c>
      <c r="Q603" s="54">
        <v>0</v>
      </c>
      <c r="R603" s="54">
        <v>4</v>
      </c>
      <c r="W603" s="31">
        <v>600</v>
      </c>
      <c r="X603" s="56">
        <v>0.8</v>
      </c>
      <c r="Y603" s="31">
        <v>4</v>
      </c>
      <c r="AB603" s="58">
        <f t="shared" si="38"/>
        <v>0.8</v>
      </c>
      <c r="AC603" s="54">
        <f t="shared" si="39"/>
        <v>4</v>
      </c>
      <c r="AF603" s="51">
        <v>600</v>
      </c>
      <c r="AG603" s="6">
        <v>18</v>
      </c>
      <c r="AH603" s="6">
        <v>4</v>
      </c>
      <c r="AK603" s="31">
        <f t="shared" si="40"/>
        <v>18</v>
      </c>
      <c r="AL603" s="31">
        <f t="shared" si="40"/>
        <v>4</v>
      </c>
    </row>
    <row r="604" spans="16:38">
      <c r="P604" s="53">
        <v>601</v>
      </c>
      <c r="Q604" s="54">
        <v>0</v>
      </c>
      <c r="R604" s="54">
        <v>16</v>
      </c>
      <c r="W604" s="31">
        <v>601</v>
      </c>
      <c r="X604" s="56">
        <v>0.8</v>
      </c>
      <c r="Y604" s="31">
        <v>16</v>
      </c>
      <c r="AB604" s="58">
        <f t="shared" si="38"/>
        <v>0.8</v>
      </c>
      <c r="AC604" s="54">
        <f t="shared" si="39"/>
        <v>16</v>
      </c>
      <c r="AF604" s="51">
        <v>601</v>
      </c>
      <c r="AG604" s="6">
        <v>18</v>
      </c>
      <c r="AH604" s="6">
        <v>16</v>
      </c>
      <c r="AK604" s="31">
        <f t="shared" si="40"/>
        <v>18</v>
      </c>
      <c r="AL604" s="31">
        <f t="shared" si="40"/>
        <v>16</v>
      </c>
    </row>
    <row r="605" spans="16:38">
      <c r="P605" s="53">
        <v>602</v>
      </c>
      <c r="Q605" s="54">
        <v>2</v>
      </c>
      <c r="R605" s="54">
        <v>58</v>
      </c>
      <c r="W605" s="31">
        <v>602</v>
      </c>
      <c r="X605" s="56">
        <v>0.86</v>
      </c>
      <c r="Y605" s="31">
        <v>60</v>
      </c>
      <c r="AB605" s="58">
        <f t="shared" si="38"/>
        <v>0.86</v>
      </c>
      <c r="AC605" s="54">
        <f t="shared" si="39"/>
        <v>60</v>
      </c>
      <c r="AF605" s="51">
        <v>602</v>
      </c>
      <c r="AG605" s="6">
        <v>16</v>
      </c>
      <c r="AH605" s="6">
        <v>60</v>
      </c>
      <c r="AK605" s="31">
        <f t="shared" si="40"/>
        <v>16</v>
      </c>
      <c r="AL605" s="31">
        <f t="shared" si="40"/>
        <v>60</v>
      </c>
    </row>
    <row r="606" spans="16:38">
      <c r="P606" s="53">
        <v>603</v>
      </c>
      <c r="Q606" s="54">
        <v>2</v>
      </c>
      <c r="R606" s="54">
        <v>155</v>
      </c>
      <c r="W606" s="31">
        <v>603</v>
      </c>
      <c r="X606" s="56">
        <v>0.86</v>
      </c>
      <c r="Y606" s="31">
        <v>157</v>
      </c>
      <c r="AB606" s="58">
        <f t="shared" si="38"/>
        <v>0.86</v>
      </c>
      <c r="AC606" s="54">
        <f t="shared" si="39"/>
        <v>157</v>
      </c>
      <c r="AF606" s="51">
        <v>603</v>
      </c>
      <c r="AG606" s="6">
        <v>16</v>
      </c>
      <c r="AH606" s="6">
        <v>157</v>
      </c>
      <c r="AK606" s="31">
        <f t="shared" si="40"/>
        <v>16</v>
      </c>
      <c r="AL606" s="31">
        <f t="shared" si="40"/>
        <v>157</v>
      </c>
    </row>
    <row r="607" spans="16:38">
      <c r="P607" s="53">
        <v>604</v>
      </c>
      <c r="Q607" s="54">
        <v>6</v>
      </c>
      <c r="R607" s="54">
        <v>95</v>
      </c>
      <c r="W607" s="31">
        <v>604</v>
      </c>
      <c r="X607" s="56">
        <v>0.86</v>
      </c>
      <c r="Y607" s="31">
        <v>101</v>
      </c>
      <c r="AB607" s="58">
        <f t="shared" si="38"/>
        <v>0.86</v>
      </c>
      <c r="AC607" s="54">
        <f t="shared" si="39"/>
        <v>101</v>
      </c>
      <c r="AF607" s="51">
        <v>604</v>
      </c>
      <c r="AG607" s="6">
        <v>18</v>
      </c>
      <c r="AH607" s="6">
        <v>101</v>
      </c>
      <c r="AK607" s="31">
        <f t="shared" si="40"/>
        <v>18</v>
      </c>
      <c r="AL607" s="31">
        <f t="shared" si="40"/>
        <v>101</v>
      </c>
    </row>
    <row r="608" spans="16:38">
      <c r="P608" s="53">
        <v>605</v>
      </c>
      <c r="Q608" s="54">
        <v>0</v>
      </c>
      <c r="R608" s="54">
        <v>49</v>
      </c>
      <c r="W608" s="31">
        <v>605</v>
      </c>
      <c r="X608" s="56">
        <v>0.86</v>
      </c>
      <c r="Y608" s="31">
        <v>49</v>
      </c>
      <c r="AB608" s="58">
        <f t="shared" si="38"/>
        <v>0.86</v>
      </c>
      <c r="AC608" s="54">
        <f t="shared" si="39"/>
        <v>49</v>
      </c>
      <c r="AF608" s="51">
        <v>605</v>
      </c>
      <c r="AG608" s="6">
        <v>18</v>
      </c>
      <c r="AH608" s="6">
        <v>49</v>
      </c>
      <c r="AK608" s="31">
        <f t="shared" si="40"/>
        <v>18</v>
      </c>
      <c r="AL608" s="31">
        <f t="shared" si="40"/>
        <v>49</v>
      </c>
    </row>
    <row r="609" spans="16:38">
      <c r="P609" s="53">
        <v>606</v>
      </c>
      <c r="Q609" s="54">
        <v>0</v>
      </c>
      <c r="R609" s="54">
        <v>30</v>
      </c>
      <c r="W609" s="31">
        <v>606</v>
      </c>
      <c r="X609" s="56">
        <v>0.93</v>
      </c>
      <c r="Y609" s="31">
        <v>30</v>
      </c>
      <c r="AB609" s="58">
        <f t="shared" si="38"/>
        <v>0.93</v>
      </c>
      <c r="AC609" s="54">
        <f t="shared" si="39"/>
        <v>30</v>
      </c>
      <c r="AF609" s="51">
        <v>606</v>
      </c>
      <c r="AG609" s="6">
        <v>18</v>
      </c>
      <c r="AH609" s="6">
        <v>30</v>
      </c>
      <c r="AK609" s="31">
        <f t="shared" si="40"/>
        <v>18</v>
      </c>
      <c r="AL609" s="31">
        <f t="shared" si="40"/>
        <v>30</v>
      </c>
    </row>
    <row r="610" spans="16:38">
      <c r="P610" s="53">
        <v>607</v>
      </c>
      <c r="Q610" s="54">
        <v>1</v>
      </c>
      <c r="R610" s="54">
        <v>28</v>
      </c>
      <c r="W610" s="31">
        <v>607</v>
      </c>
      <c r="X610" s="56">
        <v>0.93</v>
      </c>
      <c r="Y610" s="31">
        <v>29</v>
      </c>
      <c r="AB610" s="58">
        <f t="shared" si="38"/>
        <v>0.93</v>
      </c>
      <c r="AC610" s="54">
        <f t="shared" si="39"/>
        <v>29</v>
      </c>
      <c r="AF610" s="51">
        <v>607</v>
      </c>
      <c r="AG610" s="6">
        <v>18</v>
      </c>
      <c r="AH610" s="6">
        <v>29</v>
      </c>
      <c r="AK610" s="31">
        <f t="shared" si="40"/>
        <v>18</v>
      </c>
      <c r="AL610" s="31">
        <f t="shared" si="40"/>
        <v>29</v>
      </c>
    </row>
    <row r="611" spans="16:38">
      <c r="P611" s="53">
        <v>608</v>
      </c>
      <c r="Q611" s="54">
        <v>0</v>
      </c>
      <c r="R611" s="54">
        <v>31</v>
      </c>
      <c r="W611" s="31">
        <v>608</v>
      </c>
      <c r="X611" s="56">
        <v>0.93</v>
      </c>
      <c r="Y611" s="31">
        <v>31</v>
      </c>
      <c r="AB611" s="58">
        <f t="shared" si="38"/>
        <v>0.93</v>
      </c>
      <c r="AC611" s="54">
        <f t="shared" si="39"/>
        <v>31</v>
      </c>
      <c r="AF611" s="51">
        <v>608</v>
      </c>
      <c r="AG611" s="6">
        <v>18</v>
      </c>
      <c r="AH611" s="6">
        <v>31</v>
      </c>
      <c r="AK611" s="31">
        <f t="shared" si="40"/>
        <v>18</v>
      </c>
      <c r="AL611" s="31">
        <f t="shared" si="40"/>
        <v>31</v>
      </c>
    </row>
    <row r="612" spans="16:38">
      <c r="P612" s="53">
        <v>609</v>
      </c>
      <c r="Q612" s="54">
        <v>2</v>
      </c>
      <c r="R612" s="54">
        <v>36</v>
      </c>
      <c r="W612" s="31">
        <v>609</v>
      </c>
      <c r="X612" s="56">
        <v>0.8</v>
      </c>
      <c r="Y612" s="31">
        <v>38</v>
      </c>
      <c r="AB612" s="58">
        <f t="shared" si="38"/>
        <v>0.8</v>
      </c>
      <c r="AC612" s="54">
        <f t="shared" si="39"/>
        <v>38</v>
      </c>
      <c r="AF612" s="51">
        <v>609</v>
      </c>
      <c r="AG612" s="6">
        <v>22</v>
      </c>
      <c r="AH612" s="6">
        <v>38</v>
      </c>
      <c r="AK612" s="31">
        <f t="shared" si="40"/>
        <v>22</v>
      </c>
      <c r="AL612" s="31">
        <f t="shared" si="40"/>
        <v>38</v>
      </c>
    </row>
    <row r="613" spans="16:38">
      <c r="P613" s="53">
        <v>610</v>
      </c>
      <c r="Q613" s="54">
        <v>1</v>
      </c>
      <c r="R613" s="54">
        <v>40</v>
      </c>
      <c r="W613" s="31">
        <v>610</v>
      </c>
      <c r="X613" s="56">
        <v>0.86</v>
      </c>
      <c r="Y613" s="31">
        <v>41</v>
      </c>
      <c r="AB613" s="58">
        <f t="shared" si="38"/>
        <v>0.86</v>
      </c>
      <c r="AC613" s="54">
        <f t="shared" si="39"/>
        <v>41</v>
      </c>
      <c r="AF613" s="51">
        <v>610</v>
      </c>
      <c r="AG613" s="6">
        <v>20</v>
      </c>
      <c r="AH613" s="6">
        <v>41</v>
      </c>
      <c r="AK613" s="31">
        <f t="shared" si="40"/>
        <v>20</v>
      </c>
      <c r="AL613" s="31">
        <f t="shared" si="40"/>
        <v>41</v>
      </c>
    </row>
    <row r="614" spans="16:38">
      <c r="P614" s="53">
        <v>611</v>
      </c>
      <c r="Q614" s="54">
        <v>10</v>
      </c>
      <c r="R614" s="54">
        <v>70</v>
      </c>
      <c r="W614" s="31">
        <v>611</v>
      </c>
      <c r="X614" s="56">
        <v>0.8</v>
      </c>
      <c r="Y614" s="31">
        <v>80</v>
      </c>
      <c r="AB614" s="58">
        <f t="shared" si="38"/>
        <v>0.8</v>
      </c>
      <c r="AC614" s="54">
        <f t="shared" si="39"/>
        <v>80</v>
      </c>
      <c r="AF614" s="51">
        <v>611</v>
      </c>
      <c r="AG614" s="6">
        <v>22</v>
      </c>
      <c r="AH614" s="6">
        <v>80</v>
      </c>
      <c r="AK614" s="31">
        <f t="shared" si="40"/>
        <v>22</v>
      </c>
      <c r="AL614" s="31">
        <f t="shared" si="40"/>
        <v>80</v>
      </c>
    </row>
    <row r="615" spans="16:38">
      <c r="P615" s="53">
        <v>612</v>
      </c>
      <c r="Q615" s="54">
        <v>2</v>
      </c>
      <c r="R615" s="54">
        <v>147</v>
      </c>
      <c r="W615" s="31">
        <v>612</v>
      </c>
      <c r="X615" s="56">
        <v>0.75</v>
      </c>
      <c r="Y615" s="31">
        <v>149</v>
      </c>
      <c r="AB615" s="58">
        <f t="shared" si="38"/>
        <v>0.75</v>
      </c>
      <c r="AC615" s="54">
        <f t="shared" si="39"/>
        <v>149</v>
      </c>
      <c r="AF615" s="51">
        <v>612</v>
      </c>
      <c r="AG615" s="6">
        <v>24</v>
      </c>
      <c r="AH615" s="6">
        <v>149</v>
      </c>
      <c r="AK615" s="31">
        <f t="shared" si="40"/>
        <v>24</v>
      </c>
      <c r="AL615" s="31">
        <f t="shared" si="40"/>
        <v>149</v>
      </c>
    </row>
    <row r="616" spans="16:38">
      <c r="P616" s="53">
        <v>613</v>
      </c>
      <c r="Q616" s="54">
        <v>2</v>
      </c>
      <c r="R616" s="54">
        <v>107</v>
      </c>
      <c r="W616" s="31">
        <v>613</v>
      </c>
      <c r="X616" s="56">
        <v>0.75</v>
      </c>
      <c r="Y616" s="31">
        <v>109</v>
      </c>
      <c r="AB616" s="58">
        <f t="shared" si="38"/>
        <v>0.75</v>
      </c>
      <c r="AC616" s="54">
        <f t="shared" si="39"/>
        <v>109</v>
      </c>
      <c r="AF616" s="51">
        <v>613</v>
      </c>
      <c r="AG616" s="6">
        <v>24</v>
      </c>
      <c r="AH616" s="6">
        <v>109</v>
      </c>
      <c r="AK616" s="31">
        <f t="shared" si="40"/>
        <v>24</v>
      </c>
      <c r="AL616" s="31">
        <f t="shared" si="40"/>
        <v>109</v>
      </c>
    </row>
    <row r="617" spans="16:38">
      <c r="P617" s="53">
        <v>614</v>
      </c>
      <c r="Q617" s="54">
        <v>5</v>
      </c>
      <c r="R617" s="54">
        <v>84</v>
      </c>
      <c r="W617" s="31">
        <v>614</v>
      </c>
      <c r="X617" s="56">
        <v>0.75</v>
      </c>
      <c r="Y617" s="31">
        <v>89</v>
      </c>
      <c r="AB617" s="58">
        <f t="shared" si="38"/>
        <v>0.75</v>
      </c>
      <c r="AC617" s="54">
        <f t="shared" si="39"/>
        <v>89</v>
      </c>
      <c r="AF617" s="51">
        <v>614</v>
      </c>
      <c r="AG617" s="6">
        <v>24</v>
      </c>
      <c r="AH617" s="6">
        <v>89</v>
      </c>
      <c r="AK617" s="31">
        <f t="shared" si="40"/>
        <v>24</v>
      </c>
      <c r="AL617" s="31">
        <f t="shared" si="40"/>
        <v>89</v>
      </c>
    </row>
    <row r="618" spans="16:38">
      <c r="P618" s="53">
        <v>615</v>
      </c>
      <c r="Q618" s="54">
        <v>1</v>
      </c>
      <c r="R618" s="54">
        <v>61</v>
      </c>
      <c r="W618" s="31">
        <v>615</v>
      </c>
      <c r="X618" s="56">
        <v>0.7</v>
      </c>
      <c r="Y618" s="31">
        <v>62</v>
      </c>
      <c r="AB618" s="58">
        <f t="shared" si="38"/>
        <v>0.7</v>
      </c>
      <c r="AC618" s="54">
        <f t="shared" si="39"/>
        <v>62</v>
      </c>
      <c r="AF618" s="51">
        <v>615</v>
      </c>
      <c r="AG618" s="6">
        <v>24</v>
      </c>
      <c r="AH618" s="6">
        <v>62</v>
      </c>
      <c r="AK618" s="31">
        <f t="shared" si="40"/>
        <v>24</v>
      </c>
      <c r="AL618" s="31">
        <f t="shared" si="40"/>
        <v>62</v>
      </c>
    </row>
    <row r="619" spans="16:38">
      <c r="P619" s="53">
        <v>616</v>
      </c>
      <c r="Q619" s="54">
        <v>1</v>
      </c>
      <c r="R619" s="54">
        <v>57</v>
      </c>
      <c r="W619" s="31">
        <v>616</v>
      </c>
      <c r="X619" s="56">
        <v>0.75</v>
      </c>
      <c r="Y619" s="31">
        <v>58</v>
      </c>
      <c r="AB619" s="58">
        <f t="shared" si="38"/>
        <v>0.75</v>
      </c>
      <c r="AC619" s="54">
        <f t="shared" si="39"/>
        <v>58</v>
      </c>
      <c r="AF619" s="51">
        <v>616</v>
      </c>
      <c r="AG619" s="6">
        <v>22</v>
      </c>
      <c r="AH619" s="6">
        <v>58</v>
      </c>
      <c r="AK619" s="31">
        <f t="shared" si="40"/>
        <v>22</v>
      </c>
      <c r="AL619" s="31">
        <f t="shared" si="40"/>
        <v>58</v>
      </c>
    </row>
    <row r="620" spans="16:38">
      <c r="P620" s="53">
        <v>617</v>
      </c>
      <c r="Q620" s="54">
        <v>0</v>
      </c>
      <c r="R620" s="54">
        <v>26</v>
      </c>
      <c r="W620" s="31">
        <v>617</v>
      </c>
      <c r="X620" s="56">
        <v>0.65</v>
      </c>
      <c r="Y620" s="31">
        <v>26</v>
      </c>
      <c r="AB620" s="58">
        <f t="shared" si="38"/>
        <v>0.65</v>
      </c>
      <c r="AC620" s="54">
        <f t="shared" si="39"/>
        <v>26</v>
      </c>
      <c r="AF620" s="51">
        <v>617</v>
      </c>
      <c r="AG620" s="6">
        <v>24</v>
      </c>
      <c r="AH620" s="6">
        <v>26</v>
      </c>
      <c r="AK620" s="31">
        <f t="shared" si="40"/>
        <v>24</v>
      </c>
      <c r="AL620" s="31">
        <f t="shared" si="40"/>
        <v>26</v>
      </c>
    </row>
    <row r="621" spans="16:38">
      <c r="P621" s="53">
        <v>618</v>
      </c>
      <c r="Q621" s="54">
        <v>1</v>
      </c>
      <c r="R621" s="54">
        <v>22</v>
      </c>
      <c r="W621" s="31">
        <v>618</v>
      </c>
      <c r="X621" s="56">
        <v>0.6</v>
      </c>
      <c r="Y621" s="31">
        <v>23</v>
      </c>
      <c r="AB621" s="58">
        <f t="shared" si="38"/>
        <v>0.6</v>
      </c>
      <c r="AC621" s="54">
        <f t="shared" si="39"/>
        <v>23</v>
      </c>
      <c r="AF621" s="51">
        <v>618</v>
      </c>
      <c r="AG621" s="6">
        <v>24</v>
      </c>
      <c r="AH621" s="6">
        <v>23</v>
      </c>
      <c r="AK621" s="31">
        <f t="shared" si="40"/>
        <v>24</v>
      </c>
      <c r="AL621" s="31">
        <f t="shared" si="40"/>
        <v>23</v>
      </c>
    </row>
    <row r="622" spans="16:38">
      <c r="P622" s="53">
        <v>619</v>
      </c>
      <c r="Q622" s="54">
        <v>2</v>
      </c>
      <c r="R622" s="54">
        <v>26</v>
      </c>
      <c r="W622" s="31">
        <v>619</v>
      </c>
      <c r="X622" s="56">
        <v>0.64</v>
      </c>
      <c r="Y622" s="31">
        <v>28</v>
      </c>
      <c r="AB622" s="58">
        <f t="shared" si="38"/>
        <v>0.64</v>
      </c>
      <c r="AC622" s="54">
        <f t="shared" si="39"/>
        <v>28</v>
      </c>
      <c r="AF622" s="51">
        <v>619</v>
      </c>
      <c r="AG622" s="6">
        <v>22</v>
      </c>
      <c r="AH622" s="6">
        <v>28</v>
      </c>
      <c r="AK622" s="31">
        <f t="shared" si="40"/>
        <v>22</v>
      </c>
      <c r="AL622" s="31">
        <f t="shared" si="40"/>
        <v>28</v>
      </c>
    </row>
    <row r="623" spans="16:38">
      <c r="P623" s="53">
        <v>620</v>
      </c>
      <c r="Q623" s="54">
        <v>0</v>
      </c>
      <c r="R623" s="54">
        <v>20</v>
      </c>
      <c r="W623" s="31">
        <v>620</v>
      </c>
      <c r="X623" s="56">
        <v>0.64</v>
      </c>
      <c r="Y623" s="31">
        <v>20</v>
      </c>
      <c r="AB623" s="58">
        <f t="shared" si="38"/>
        <v>0.64</v>
      </c>
      <c r="AC623" s="54">
        <f t="shared" si="39"/>
        <v>20</v>
      </c>
      <c r="AF623" s="51">
        <v>620</v>
      </c>
      <c r="AG623" s="6">
        <v>22</v>
      </c>
      <c r="AH623" s="6">
        <v>20</v>
      </c>
      <c r="AK623" s="31">
        <f t="shared" si="40"/>
        <v>22</v>
      </c>
      <c r="AL623" s="31">
        <f t="shared" si="40"/>
        <v>20</v>
      </c>
    </row>
    <row r="624" spans="16:38">
      <c r="P624" s="53">
        <v>621</v>
      </c>
      <c r="Q624" s="54">
        <v>0</v>
      </c>
      <c r="R624" s="54">
        <v>15</v>
      </c>
      <c r="W624" s="31">
        <v>621</v>
      </c>
      <c r="X624" s="56">
        <v>0.64</v>
      </c>
      <c r="Y624" s="31">
        <v>15</v>
      </c>
      <c r="AB624" s="58">
        <f t="shared" si="38"/>
        <v>0.64</v>
      </c>
      <c r="AC624" s="54">
        <f t="shared" si="39"/>
        <v>15</v>
      </c>
      <c r="AF624" s="51">
        <v>621</v>
      </c>
      <c r="AG624" s="6">
        <v>22</v>
      </c>
      <c r="AH624" s="6">
        <v>15</v>
      </c>
      <c r="AK624" s="31">
        <f t="shared" si="40"/>
        <v>22</v>
      </c>
      <c r="AL624" s="31">
        <f t="shared" si="40"/>
        <v>15</v>
      </c>
    </row>
    <row r="625" spans="16:38">
      <c r="P625" s="53">
        <v>622</v>
      </c>
      <c r="Q625" s="54">
        <v>3</v>
      </c>
      <c r="R625" s="54">
        <v>5</v>
      </c>
      <c r="W625" s="31">
        <v>622</v>
      </c>
      <c r="X625" s="56">
        <v>0.64</v>
      </c>
      <c r="Y625" s="31">
        <v>8</v>
      </c>
      <c r="AB625" s="58">
        <f t="shared" si="38"/>
        <v>0.64</v>
      </c>
      <c r="AC625" s="54">
        <f t="shared" si="39"/>
        <v>8</v>
      </c>
      <c r="AF625" s="51">
        <v>622</v>
      </c>
      <c r="AG625" s="6">
        <v>20</v>
      </c>
      <c r="AH625" s="6">
        <v>8</v>
      </c>
      <c r="AK625" s="31">
        <f t="shared" si="40"/>
        <v>20</v>
      </c>
      <c r="AL625" s="31">
        <f t="shared" si="40"/>
        <v>8</v>
      </c>
    </row>
    <row r="626" spans="16:38">
      <c r="P626" s="53">
        <v>623</v>
      </c>
      <c r="Q626" s="54">
        <v>1</v>
      </c>
      <c r="R626" s="54">
        <v>2</v>
      </c>
      <c r="W626" s="31">
        <v>623</v>
      </c>
      <c r="X626" s="56">
        <v>0.69</v>
      </c>
      <c r="Y626" s="31">
        <v>3</v>
      </c>
      <c r="AB626" s="58">
        <f t="shared" si="38"/>
        <v>0.69</v>
      </c>
      <c r="AC626" s="54">
        <f t="shared" si="39"/>
        <v>3</v>
      </c>
      <c r="AF626" s="51">
        <v>623</v>
      </c>
      <c r="AG626" s="6">
        <v>16</v>
      </c>
      <c r="AH626" s="6">
        <v>3</v>
      </c>
      <c r="AK626" s="31">
        <f t="shared" si="40"/>
        <v>16</v>
      </c>
      <c r="AL626" s="31">
        <f t="shared" si="40"/>
        <v>3</v>
      </c>
    </row>
    <row r="627" spans="16:38">
      <c r="P627" s="53">
        <v>624</v>
      </c>
      <c r="Q627" s="54">
        <v>0</v>
      </c>
      <c r="R627" s="54">
        <v>2</v>
      </c>
      <c r="W627" s="31">
        <v>624</v>
      </c>
      <c r="X627" s="56">
        <v>0.64</v>
      </c>
      <c r="Y627" s="31">
        <v>2</v>
      </c>
      <c r="AB627" s="58">
        <f t="shared" si="38"/>
        <v>0.64</v>
      </c>
      <c r="AC627" s="54">
        <f t="shared" si="39"/>
        <v>2</v>
      </c>
      <c r="AF627" s="51">
        <v>624</v>
      </c>
      <c r="AG627" s="6">
        <v>16</v>
      </c>
      <c r="AH627" s="6">
        <v>2</v>
      </c>
      <c r="AK627" s="31">
        <f t="shared" si="40"/>
        <v>16</v>
      </c>
      <c r="AL627" s="31">
        <f t="shared" si="40"/>
        <v>2</v>
      </c>
    </row>
    <row r="628" spans="16:38">
      <c r="P628" s="53">
        <v>625</v>
      </c>
      <c r="Q628" s="54">
        <v>1</v>
      </c>
      <c r="R628" s="54">
        <v>4</v>
      </c>
      <c r="W628" s="31">
        <v>625</v>
      </c>
      <c r="X628" s="56">
        <v>0.59</v>
      </c>
      <c r="Y628" s="31">
        <v>5</v>
      </c>
      <c r="AB628" s="58">
        <f t="shared" si="38"/>
        <v>0.59</v>
      </c>
      <c r="AC628" s="54">
        <f t="shared" si="39"/>
        <v>5</v>
      </c>
      <c r="AF628" s="51">
        <v>625</v>
      </c>
      <c r="AG628" s="6">
        <v>16</v>
      </c>
      <c r="AH628" s="6">
        <v>5</v>
      </c>
      <c r="AK628" s="31">
        <f t="shared" si="40"/>
        <v>16</v>
      </c>
      <c r="AL628" s="31">
        <f t="shared" si="40"/>
        <v>5</v>
      </c>
    </row>
    <row r="629" spans="16:38">
      <c r="P629" s="53">
        <v>626</v>
      </c>
      <c r="Q629" s="54">
        <v>3</v>
      </c>
      <c r="R629" s="54">
        <v>31</v>
      </c>
      <c r="W629" s="31">
        <v>626</v>
      </c>
      <c r="X629" s="56">
        <v>0.55000000000000004</v>
      </c>
      <c r="Y629" s="31">
        <v>34</v>
      </c>
      <c r="AB629" s="58">
        <f t="shared" si="38"/>
        <v>0.55000000000000004</v>
      </c>
      <c r="AC629" s="54">
        <f t="shared" si="39"/>
        <v>34</v>
      </c>
      <c r="AF629" s="51">
        <v>626</v>
      </c>
      <c r="AG629" s="6">
        <v>18</v>
      </c>
      <c r="AH629" s="6">
        <v>34</v>
      </c>
      <c r="AK629" s="31">
        <f t="shared" si="40"/>
        <v>18</v>
      </c>
      <c r="AL629" s="31">
        <f t="shared" si="40"/>
        <v>34</v>
      </c>
    </row>
    <row r="630" spans="16:38">
      <c r="P630" s="53">
        <v>627</v>
      </c>
      <c r="Q630" s="54">
        <v>0</v>
      </c>
      <c r="R630" s="54">
        <v>34</v>
      </c>
      <c r="W630" s="31">
        <v>627</v>
      </c>
      <c r="X630" s="56">
        <v>0.59</v>
      </c>
      <c r="Y630" s="31">
        <v>34</v>
      </c>
      <c r="AB630" s="58">
        <f t="shared" si="38"/>
        <v>0.59</v>
      </c>
      <c r="AC630" s="54">
        <f t="shared" si="39"/>
        <v>34</v>
      </c>
      <c r="AF630" s="51">
        <v>627</v>
      </c>
      <c r="AG630" s="6">
        <v>18</v>
      </c>
      <c r="AH630" s="6">
        <v>34</v>
      </c>
      <c r="AK630" s="31">
        <f t="shared" si="40"/>
        <v>18</v>
      </c>
      <c r="AL630" s="31">
        <f t="shared" si="40"/>
        <v>34</v>
      </c>
    </row>
    <row r="631" spans="16:38">
      <c r="P631" s="53">
        <v>628</v>
      </c>
      <c r="Q631" s="54">
        <v>4</v>
      </c>
      <c r="R631" s="54">
        <v>51</v>
      </c>
      <c r="W631" s="31">
        <v>628</v>
      </c>
      <c r="X631" s="56">
        <v>0.64</v>
      </c>
      <c r="Y631" s="31">
        <v>55</v>
      </c>
      <c r="AB631" s="58">
        <f t="shared" si="38"/>
        <v>0.64</v>
      </c>
      <c r="AC631" s="54">
        <f t="shared" si="39"/>
        <v>55</v>
      </c>
      <c r="AF631" s="51">
        <v>628</v>
      </c>
      <c r="AG631" s="6">
        <v>18</v>
      </c>
      <c r="AH631" s="6">
        <v>55</v>
      </c>
      <c r="AK631" s="31">
        <f t="shared" si="40"/>
        <v>18</v>
      </c>
      <c r="AL631" s="31">
        <f t="shared" si="40"/>
        <v>55</v>
      </c>
    </row>
    <row r="632" spans="16:38">
      <c r="P632" s="53">
        <v>629</v>
      </c>
      <c r="Q632" s="54">
        <v>4</v>
      </c>
      <c r="R632" s="54">
        <v>60</v>
      </c>
      <c r="W632" s="31">
        <v>629</v>
      </c>
      <c r="X632" s="56">
        <v>0.64</v>
      </c>
      <c r="Y632" s="31">
        <v>64</v>
      </c>
      <c r="AB632" s="58">
        <f t="shared" si="38"/>
        <v>0.64</v>
      </c>
      <c r="AC632" s="54">
        <f t="shared" si="39"/>
        <v>64</v>
      </c>
      <c r="AF632" s="51">
        <v>629</v>
      </c>
      <c r="AG632" s="6">
        <v>18</v>
      </c>
      <c r="AH632" s="6">
        <v>64</v>
      </c>
      <c r="AK632" s="31">
        <f t="shared" si="40"/>
        <v>18</v>
      </c>
      <c r="AL632" s="31">
        <f t="shared" si="40"/>
        <v>64</v>
      </c>
    </row>
    <row r="633" spans="16:38">
      <c r="P633" s="53">
        <v>630</v>
      </c>
      <c r="Q633" s="54">
        <v>12</v>
      </c>
      <c r="R633" s="54">
        <v>66</v>
      </c>
      <c r="W633" s="31">
        <v>630</v>
      </c>
      <c r="X633" s="56">
        <v>0.59</v>
      </c>
      <c r="Y633" s="31">
        <v>78</v>
      </c>
      <c r="AB633" s="58">
        <f t="shared" si="38"/>
        <v>0.59</v>
      </c>
      <c r="AC633" s="54">
        <f t="shared" si="39"/>
        <v>78</v>
      </c>
      <c r="AF633" s="51">
        <v>630</v>
      </c>
      <c r="AG633" s="6">
        <v>20</v>
      </c>
      <c r="AH633" s="6">
        <v>78</v>
      </c>
      <c r="AK633" s="31">
        <f t="shared" si="40"/>
        <v>20</v>
      </c>
      <c r="AL633" s="31">
        <f t="shared" si="40"/>
        <v>78</v>
      </c>
    </row>
    <row r="634" spans="16:38">
      <c r="P634" s="53">
        <v>631</v>
      </c>
      <c r="Q634" s="54">
        <v>9</v>
      </c>
      <c r="R634" s="54">
        <v>56</v>
      </c>
      <c r="W634" s="31">
        <v>631</v>
      </c>
      <c r="X634" s="56">
        <v>0.55000000000000004</v>
      </c>
      <c r="Y634" s="31">
        <v>65</v>
      </c>
      <c r="AB634" s="58">
        <f t="shared" si="38"/>
        <v>0.55000000000000004</v>
      </c>
      <c r="AC634" s="54">
        <f t="shared" si="39"/>
        <v>65</v>
      </c>
      <c r="AF634" s="51">
        <v>631</v>
      </c>
      <c r="AG634" s="6">
        <v>22</v>
      </c>
      <c r="AH634" s="6">
        <v>65</v>
      </c>
      <c r="AK634" s="31">
        <f t="shared" si="40"/>
        <v>22</v>
      </c>
      <c r="AL634" s="31">
        <f t="shared" si="40"/>
        <v>65</v>
      </c>
    </row>
    <row r="635" spans="16:38">
      <c r="P635" s="53">
        <v>632</v>
      </c>
      <c r="Q635" s="54">
        <v>10</v>
      </c>
      <c r="R635" s="54">
        <v>89</v>
      </c>
      <c r="W635" s="31">
        <v>632</v>
      </c>
      <c r="X635" s="56">
        <v>0.6</v>
      </c>
      <c r="Y635" s="31">
        <v>99</v>
      </c>
      <c r="AB635" s="58">
        <f t="shared" si="38"/>
        <v>0.6</v>
      </c>
      <c r="AC635" s="54">
        <f t="shared" si="39"/>
        <v>99</v>
      </c>
      <c r="AF635" s="51">
        <v>632</v>
      </c>
      <c r="AG635" s="6">
        <v>22</v>
      </c>
      <c r="AH635" s="6">
        <v>99</v>
      </c>
      <c r="AK635" s="31">
        <f t="shared" si="40"/>
        <v>22</v>
      </c>
      <c r="AL635" s="31">
        <f t="shared" si="40"/>
        <v>99</v>
      </c>
    </row>
    <row r="636" spans="16:38">
      <c r="P636" s="53">
        <v>633</v>
      </c>
      <c r="Q636" s="54">
        <v>22</v>
      </c>
      <c r="R636" s="54">
        <v>98</v>
      </c>
      <c r="W636" s="31">
        <v>633</v>
      </c>
      <c r="X636" s="56">
        <v>0.69</v>
      </c>
      <c r="Y636" s="31">
        <v>120</v>
      </c>
      <c r="AB636" s="58">
        <f t="shared" si="38"/>
        <v>0.69</v>
      </c>
      <c r="AC636" s="54">
        <f t="shared" si="39"/>
        <v>120</v>
      </c>
      <c r="AF636" s="51">
        <v>633</v>
      </c>
      <c r="AG636" s="6">
        <v>22</v>
      </c>
      <c r="AH636" s="6">
        <v>120</v>
      </c>
      <c r="AK636" s="31">
        <f t="shared" si="40"/>
        <v>22</v>
      </c>
      <c r="AL636" s="31">
        <f t="shared" si="40"/>
        <v>120</v>
      </c>
    </row>
    <row r="637" spans="16:38">
      <c r="P637" s="53">
        <v>634</v>
      </c>
      <c r="Q637" s="54">
        <v>19</v>
      </c>
      <c r="R637" s="54">
        <v>88</v>
      </c>
      <c r="W637" s="31">
        <v>634</v>
      </c>
      <c r="X637" s="56">
        <v>0.6</v>
      </c>
      <c r="Y637" s="31">
        <v>107</v>
      </c>
      <c r="AB637" s="58">
        <f t="shared" si="38"/>
        <v>0.6</v>
      </c>
      <c r="AC637" s="54">
        <f t="shared" si="39"/>
        <v>107</v>
      </c>
      <c r="AF637" s="51">
        <v>634</v>
      </c>
      <c r="AG637" s="6">
        <v>24</v>
      </c>
      <c r="AH637" s="6">
        <v>107</v>
      </c>
      <c r="AK637" s="31">
        <f t="shared" si="40"/>
        <v>24</v>
      </c>
      <c r="AL637" s="31">
        <f t="shared" si="40"/>
        <v>107</v>
      </c>
    </row>
    <row r="638" spans="16:38">
      <c r="P638" s="53">
        <v>635</v>
      </c>
      <c r="Q638" s="54">
        <v>9</v>
      </c>
      <c r="R638" s="54">
        <v>82</v>
      </c>
      <c r="W638" s="31">
        <v>635</v>
      </c>
      <c r="X638" s="56">
        <v>0.6</v>
      </c>
      <c r="Y638" s="31">
        <v>91</v>
      </c>
      <c r="AB638" s="58">
        <f t="shared" si="38"/>
        <v>0.6</v>
      </c>
      <c r="AC638" s="54">
        <f t="shared" si="39"/>
        <v>91</v>
      </c>
      <c r="AF638" s="51">
        <v>635</v>
      </c>
      <c r="AG638" s="6">
        <v>24</v>
      </c>
      <c r="AH638" s="6">
        <v>91</v>
      </c>
      <c r="AK638" s="31">
        <f t="shared" si="40"/>
        <v>24</v>
      </c>
      <c r="AL638" s="31">
        <f t="shared" si="40"/>
        <v>91</v>
      </c>
    </row>
    <row r="639" spans="16:38">
      <c r="P639" s="53">
        <v>636</v>
      </c>
      <c r="Q639" s="54">
        <v>9</v>
      </c>
      <c r="R639" s="54">
        <v>59</v>
      </c>
      <c r="W639" s="31">
        <v>636</v>
      </c>
      <c r="X639" s="56">
        <v>0.69</v>
      </c>
      <c r="Y639" s="31">
        <v>68</v>
      </c>
      <c r="AB639" s="58">
        <f t="shared" si="38"/>
        <v>0.69</v>
      </c>
      <c r="AC639" s="54">
        <f t="shared" si="39"/>
        <v>68</v>
      </c>
      <c r="AF639" s="51">
        <v>636</v>
      </c>
      <c r="AG639" s="6">
        <v>22</v>
      </c>
      <c r="AH639" s="6">
        <v>68</v>
      </c>
      <c r="AK639" s="31">
        <f t="shared" si="40"/>
        <v>22</v>
      </c>
      <c r="AL639" s="31">
        <f t="shared" si="40"/>
        <v>68</v>
      </c>
    </row>
    <row r="640" spans="16:38">
      <c r="P640" s="53">
        <v>637</v>
      </c>
      <c r="Q640" s="54">
        <v>6</v>
      </c>
      <c r="R640" s="54">
        <v>52</v>
      </c>
      <c r="W640" s="31">
        <v>637</v>
      </c>
      <c r="X640" s="56">
        <v>0.69</v>
      </c>
      <c r="Y640" s="31">
        <v>58</v>
      </c>
      <c r="AB640" s="58">
        <f t="shared" si="38"/>
        <v>0.69</v>
      </c>
      <c r="AC640" s="54">
        <f t="shared" si="39"/>
        <v>58</v>
      </c>
      <c r="AF640" s="51">
        <v>637</v>
      </c>
      <c r="AG640" s="6">
        <v>22</v>
      </c>
      <c r="AH640" s="6">
        <v>58</v>
      </c>
      <c r="AK640" s="31">
        <f t="shared" si="40"/>
        <v>22</v>
      </c>
      <c r="AL640" s="31">
        <f t="shared" si="40"/>
        <v>58</v>
      </c>
    </row>
    <row r="641" spans="16:38">
      <c r="P641" s="53">
        <v>638</v>
      </c>
      <c r="Q641" s="54">
        <v>1</v>
      </c>
      <c r="R641" s="54">
        <v>42</v>
      </c>
      <c r="W641" s="31">
        <v>638</v>
      </c>
      <c r="X641" s="56">
        <v>0.74</v>
      </c>
      <c r="Y641" s="31">
        <v>43</v>
      </c>
      <c r="AB641" s="58">
        <f t="shared" si="38"/>
        <v>0.74</v>
      </c>
      <c r="AC641" s="54">
        <f t="shared" si="39"/>
        <v>43</v>
      </c>
      <c r="AF641" s="51">
        <v>638</v>
      </c>
      <c r="AG641" s="6">
        <v>18</v>
      </c>
      <c r="AH641" s="6">
        <v>43</v>
      </c>
      <c r="AK641" s="31">
        <f t="shared" si="40"/>
        <v>18</v>
      </c>
      <c r="AL641" s="31">
        <f t="shared" si="40"/>
        <v>43</v>
      </c>
    </row>
    <row r="642" spans="16:38">
      <c r="P642" s="53">
        <v>639</v>
      </c>
      <c r="Q642" s="54">
        <v>1</v>
      </c>
      <c r="R642" s="54">
        <v>35</v>
      </c>
      <c r="W642" s="31">
        <v>639</v>
      </c>
      <c r="X642" s="56">
        <v>0.74</v>
      </c>
      <c r="Y642" s="31">
        <v>36</v>
      </c>
      <c r="AB642" s="58">
        <f t="shared" si="38"/>
        <v>0.74</v>
      </c>
      <c r="AC642" s="54">
        <f t="shared" si="39"/>
        <v>36</v>
      </c>
      <c r="AF642" s="51">
        <v>639</v>
      </c>
      <c r="AG642" s="6">
        <v>18</v>
      </c>
      <c r="AH642" s="6">
        <v>36</v>
      </c>
      <c r="AK642" s="31">
        <f t="shared" si="40"/>
        <v>18</v>
      </c>
      <c r="AL642" s="31">
        <f t="shared" si="40"/>
        <v>36</v>
      </c>
    </row>
    <row r="643" spans="16:38">
      <c r="P643" s="53">
        <v>640</v>
      </c>
      <c r="Q643" s="54">
        <v>4</v>
      </c>
      <c r="R643" s="54">
        <v>28</v>
      </c>
      <c r="W643" s="31">
        <v>640</v>
      </c>
      <c r="X643" s="56">
        <v>0.8</v>
      </c>
      <c r="Y643" s="31">
        <v>32</v>
      </c>
      <c r="AB643" s="58">
        <f t="shared" si="38"/>
        <v>0.8</v>
      </c>
      <c r="AC643" s="54">
        <f t="shared" si="39"/>
        <v>32</v>
      </c>
      <c r="AF643" s="51">
        <v>640</v>
      </c>
      <c r="AG643" s="6">
        <v>16</v>
      </c>
      <c r="AH643" s="6">
        <v>32</v>
      </c>
      <c r="AK643" s="31">
        <f t="shared" si="40"/>
        <v>16</v>
      </c>
      <c r="AL643" s="31">
        <f t="shared" si="40"/>
        <v>32</v>
      </c>
    </row>
    <row r="644" spans="16:38">
      <c r="P644" s="53">
        <v>641</v>
      </c>
      <c r="Q644" s="54">
        <v>3</v>
      </c>
      <c r="R644" s="54">
        <v>30</v>
      </c>
      <c r="W644" s="31">
        <v>641</v>
      </c>
      <c r="X644" s="56">
        <v>0.8</v>
      </c>
      <c r="Y644" s="31">
        <v>33</v>
      </c>
      <c r="AB644" s="58">
        <f t="shared" si="38"/>
        <v>0.8</v>
      </c>
      <c r="AC644" s="54">
        <f t="shared" si="39"/>
        <v>33</v>
      </c>
      <c r="AF644" s="51">
        <v>641</v>
      </c>
      <c r="AG644" s="6">
        <v>16</v>
      </c>
      <c r="AH644" s="6">
        <v>33</v>
      </c>
      <c r="AK644" s="31">
        <f t="shared" si="40"/>
        <v>16</v>
      </c>
      <c r="AL644" s="31">
        <f t="shared" si="40"/>
        <v>33</v>
      </c>
    </row>
    <row r="645" spans="16:38">
      <c r="P645" s="53">
        <v>642</v>
      </c>
      <c r="Q645" s="54">
        <v>0</v>
      </c>
      <c r="R645" s="54">
        <v>33</v>
      </c>
      <c r="W645" s="31">
        <v>642</v>
      </c>
      <c r="X645" s="56">
        <v>0.8</v>
      </c>
      <c r="Y645" s="31">
        <v>33</v>
      </c>
      <c r="AB645" s="58">
        <f t="shared" ref="AB645:AB708" si="41">X645</f>
        <v>0.8</v>
      </c>
      <c r="AC645" s="54">
        <f t="shared" ref="AC645:AC708" si="42">Y645</f>
        <v>33</v>
      </c>
      <c r="AF645" s="51">
        <v>642</v>
      </c>
      <c r="AG645" s="6">
        <v>16</v>
      </c>
      <c r="AH645" s="6">
        <v>33</v>
      </c>
      <c r="AK645" s="31">
        <f t="shared" si="40"/>
        <v>16</v>
      </c>
      <c r="AL645" s="31">
        <f t="shared" si="40"/>
        <v>33</v>
      </c>
    </row>
    <row r="646" spans="16:38">
      <c r="P646" s="53">
        <v>643</v>
      </c>
      <c r="Q646" s="54">
        <v>7</v>
      </c>
      <c r="R646" s="54">
        <v>22</v>
      </c>
      <c r="W646" s="31">
        <v>643</v>
      </c>
      <c r="X646" s="56">
        <v>0.8</v>
      </c>
      <c r="Y646" s="31">
        <v>29</v>
      </c>
      <c r="AB646" s="58">
        <f t="shared" si="41"/>
        <v>0.8</v>
      </c>
      <c r="AC646" s="54">
        <f t="shared" si="42"/>
        <v>29</v>
      </c>
      <c r="AF646" s="51">
        <v>643</v>
      </c>
      <c r="AG646" s="6">
        <v>14.000000000000002</v>
      </c>
      <c r="AH646" s="6">
        <v>29</v>
      </c>
      <c r="AK646" s="31">
        <f t="shared" si="40"/>
        <v>14.000000000000002</v>
      </c>
      <c r="AL646" s="31">
        <f t="shared" si="40"/>
        <v>29</v>
      </c>
    </row>
    <row r="647" spans="16:38">
      <c r="P647" s="53">
        <v>644</v>
      </c>
      <c r="Q647" s="54">
        <v>1</v>
      </c>
      <c r="R647" s="54">
        <v>10</v>
      </c>
      <c r="W647" s="31">
        <v>644</v>
      </c>
      <c r="X647" s="56">
        <v>0.8</v>
      </c>
      <c r="Y647" s="31">
        <v>11</v>
      </c>
      <c r="AB647" s="58">
        <f t="shared" si="41"/>
        <v>0.8</v>
      </c>
      <c r="AC647" s="54">
        <f t="shared" si="42"/>
        <v>11</v>
      </c>
      <c r="AF647" s="51">
        <v>644</v>
      </c>
      <c r="AG647" s="6">
        <v>16</v>
      </c>
      <c r="AH647" s="6">
        <v>11</v>
      </c>
      <c r="AK647" s="31">
        <f t="shared" si="40"/>
        <v>16</v>
      </c>
      <c r="AL647" s="31">
        <f t="shared" si="40"/>
        <v>11</v>
      </c>
    </row>
    <row r="648" spans="16:38">
      <c r="P648" s="53">
        <v>645</v>
      </c>
      <c r="Q648" s="54">
        <v>1</v>
      </c>
      <c r="R648" s="54">
        <v>7</v>
      </c>
      <c r="W648" s="31">
        <v>645</v>
      </c>
      <c r="X648" s="56">
        <v>0.93</v>
      </c>
      <c r="Y648" s="31">
        <v>8</v>
      </c>
      <c r="AB648" s="58">
        <f t="shared" si="41"/>
        <v>0.93</v>
      </c>
      <c r="AC648" s="54">
        <f t="shared" si="42"/>
        <v>8</v>
      </c>
      <c r="AF648" s="51">
        <v>645</v>
      </c>
      <c r="AG648" s="6">
        <v>14.000000000000002</v>
      </c>
      <c r="AH648" s="6">
        <v>8</v>
      </c>
      <c r="AK648" s="31">
        <f t="shared" si="40"/>
        <v>14.000000000000002</v>
      </c>
      <c r="AL648" s="31">
        <f t="shared" si="40"/>
        <v>8</v>
      </c>
    </row>
    <row r="649" spans="16:38">
      <c r="P649" s="53">
        <v>646</v>
      </c>
      <c r="Q649" s="54">
        <v>0</v>
      </c>
      <c r="R649" s="54">
        <v>1</v>
      </c>
      <c r="W649" s="31">
        <v>646</v>
      </c>
      <c r="X649" s="56">
        <v>0.93</v>
      </c>
      <c r="Y649" s="31">
        <v>1</v>
      </c>
      <c r="AB649" s="58">
        <f t="shared" si="41"/>
        <v>0.93</v>
      </c>
      <c r="AC649" s="54">
        <f t="shared" si="42"/>
        <v>1</v>
      </c>
      <c r="AF649" s="51">
        <v>646</v>
      </c>
      <c r="AG649" s="6">
        <v>14.000000000000002</v>
      </c>
      <c r="AH649" s="6">
        <v>1</v>
      </c>
      <c r="AK649" s="31">
        <f t="shared" si="40"/>
        <v>14.000000000000002</v>
      </c>
      <c r="AL649" s="31">
        <f t="shared" si="40"/>
        <v>1</v>
      </c>
    </row>
    <row r="650" spans="16:38">
      <c r="P650" s="53">
        <v>647</v>
      </c>
      <c r="Q650" s="54">
        <v>0</v>
      </c>
      <c r="R650" s="54">
        <v>3</v>
      </c>
      <c r="W650" s="31">
        <v>647</v>
      </c>
      <c r="X650" s="56">
        <v>0.86</v>
      </c>
      <c r="Y650" s="31">
        <v>3</v>
      </c>
      <c r="AB650" s="58">
        <f t="shared" si="41"/>
        <v>0.86</v>
      </c>
      <c r="AC650" s="54">
        <f t="shared" si="42"/>
        <v>3</v>
      </c>
      <c r="AF650" s="51">
        <v>647</v>
      </c>
      <c r="AG650" s="6">
        <v>14.000000000000002</v>
      </c>
      <c r="AH650" s="6">
        <v>3</v>
      </c>
      <c r="AK650" s="31">
        <f t="shared" si="40"/>
        <v>14.000000000000002</v>
      </c>
      <c r="AL650" s="31">
        <f t="shared" si="40"/>
        <v>3</v>
      </c>
    </row>
    <row r="651" spans="16:38">
      <c r="P651" s="53">
        <v>648</v>
      </c>
      <c r="Q651" s="54">
        <v>0</v>
      </c>
      <c r="R651" s="54">
        <v>3</v>
      </c>
      <c r="W651" s="31">
        <v>648</v>
      </c>
      <c r="X651" s="56">
        <v>0.86</v>
      </c>
      <c r="Y651" s="31">
        <v>3</v>
      </c>
      <c r="AB651" s="58">
        <f t="shared" si="41"/>
        <v>0.86</v>
      </c>
      <c r="AC651" s="54">
        <f t="shared" si="42"/>
        <v>3</v>
      </c>
      <c r="AF651" s="51">
        <v>648</v>
      </c>
      <c r="AG651" s="6">
        <v>14.000000000000002</v>
      </c>
      <c r="AH651" s="6">
        <v>3</v>
      </c>
      <c r="AK651" s="31">
        <f t="shared" si="40"/>
        <v>14.000000000000002</v>
      </c>
      <c r="AL651" s="31">
        <f t="shared" si="40"/>
        <v>3</v>
      </c>
    </row>
    <row r="652" spans="16:38">
      <c r="P652" s="53">
        <v>649</v>
      </c>
      <c r="Q652" s="54">
        <v>1</v>
      </c>
      <c r="R652" s="54">
        <v>11</v>
      </c>
      <c r="W652" s="31">
        <v>649</v>
      </c>
      <c r="X652" s="56">
        <v>0.86</v>
      </c>
      <c r="Y652" s="31">
        <v>12</v>
      </c>
      <c r="AB652" s="58">
        <f t="shared" si="41"/>
        <v>0.86</v>
      </c>
      <c r="AC652" s="54">
        <f t="shared" si="42"/>
        <v>12</v>
      </c>
      <c r="AF652" s="51">
        <v>649</v>
      </c>
      <c r="AG652" s="6">
        <v>14.000000000000002</v>
      </c>
      <c r="AH652" s="6">
        <v>12</v>
      </c>
      <c r="AK652" s="31">
        <f t="shared" si="40"/>
        <v>14.000000000000002</v>
      </c>
      <c r="AL652" s="31">
        <f t="shared" si="40"/>
        <v>12</v>
      </c>
    </row>
    <row r="653" spans="16:38">
      <c r="P653" s="53">
        <v>650</v>
      </c>
      <c r="Q653" s="54">
        <v>4</v>
      </c>
      <c r="R653" s="54">
        <v>34</v>
      </c>
      <c r="W653" s="31">
        <v>650</v>
      </c>
      <c r="X653" s="56">
        <v>0.8</v>
      </c>
      <c r="Y653" s="31">
        <v>38</v>
      </c>
      <c r="AB653" s="58">
        <f t="shared" si="41"/>
        <v>0.8</v>
      </c>
      <c r="AC653" s="54">
        <f t="shared" si="42"/>
        <v>38</v>
      </c>
      <c r="AF653" s="51">
        <v>650</v>
      </c>
      <c r="AG653" s="6">
        <v>16</v>
      </c>
      <c r="AH653" s="6">
        <v>38</v>
      </c>
      <c r="AK653" s="31">
        <f t="shared" si="40"/>
        <v>16</v>
      </c>
      <c r="AL653" s="31">
        <f t="shared" si="40"/>
        <v>38</v>
      </c>
    </row>
    <row r="654" spans="16:38">
      <c r="P654" s="53">
        <v>651</v>
      </c>
      <c r="Q654" s="54">
        <v>7</v>
      </c>
      <c r="R654" s="54">
        <v>57</v>
      </c>
      <c r="W654" s="31">
        <v>651</v>
      </c>
      <c r="X654" s="56">
        <v>0.8</v>
      </c>
      <c r="Y654" s="31">
        <v>64</v>
      </c>
      <c r="AB654" s="58">
        <f t="shared" si="41"/>
        <v>0.8</v>
      </c>
      <c r="AC654" s="54">
        <f t="shared" si="42"/>
        <v>64</v>
      </c>
      <c r="AF654" s="51">
        <v>651</v>
      </c>
      <c r="AG654" s="6">
        <v>18</v>
      </c>
      <c r="AH654" s="6">
        <v>64</v>
      </c>
      <c r="AK654" s="31">
        <f t="shared" si="40"/>
        <v>18</v>
      </c>
      <c r="AL654" s="31">
        <f t="shared" si="40"/>
        <v>64</v>
      </c>
    </row>
    <row r="655" spans="16:38">
      <c r="P655" s="53">
        <v>652</v>
      </c>
      <c r="Q655" s="54">
        <v>9</v>
      </c>
      <c r="R655" s="54">
        <v>50</v>
      </c>
      <c r="W655" s="31">
        <v>652</v>
      </c>
      <c r="X655" s="56">
        <v>0.75</v>
      </c>
      <c r="Y655" s="31">
        <v>59</v>
      </c>
      <c r="AB655" s="58">
        <f t="shared" si="41"/>
        <v>0.75</v>
      </c>
      <c r="AC655" s="54">
        <f t="shared" si="42"/>
        <v>59</v>
      </c>
      <c r="AF655" s="51">
        <v>652</v>
      </c>
      <c r="AG655" s="6">
        <v>22</v>
      </c>
      <c r="AH655" s="6">
        <v>59</v>
      </c>
      <c r="AK655" s="31">
        <f t="shared" si="40"/>
        <v>22</v>
      </c>
      <c r="AL655" s="31">
        <f t="shared" si="40"/>
        <v>59</v>
      </c>
    </row>
    <row r="656" spans="16:38">
      <c r="P656" s="53">
        <v>653</v>
      </c>
      <c r="Q656" s="54">
        <v>10</v>
      </c>
      <c r="R656" s="54">
        <v>87</v>
      </c>
      <c r="W656" s="31">
        <v>653</v>
      </c>
      <c r="X656" s="56">
        <v>0.52</v>
      </c>
      <c r="Y656" s="31">
        <v>97</v>
      </c>
      <c r="AB656" s="58">
        <f t="shared" si="41"/>
        <v>0.52</v>
      </c>
      <c r="AC656" s="54">
        <f t="shared" si="42"/>
        <v>97</v>
      </c>
      <c r="AF656" s="51">
        <v>653</v>
      </c>
      <c r="AG656" s="6">
        <v>30</v>
      </c>
      <c r="AH656" s="6">
        <v>97</v>
      </c>
      <c r="AK656" s="31">
        <f t="shared" si="40"/>
        <v>30</v>
      </c>
      <c r="AL656" s="31">
        <f t="shared" si="40"/>
        <v>97</v>
      </c>
    </row>
    <row r="657" spans="16:38">
      <c r="P657" s="53">
        <v>654</v>
      </c>
      <c r="Q657" s="54">
        <v>13</v>
      </c>
      <c r="R657" s="54">
        <v>71</v>
      </c>
      <c r="W657" s="31">
        <v>654</v>
      </c>
      <c r="X657" s="56">
        <v>0.61</v>
      </c>
      <c r="Y657" s="31">
        <v>84</v>
      </c>
      <c r="AB657" s="58">
        <f t="shared" si="41"/>
        <v>0.61</v>
      </c>
      <c r="AC657" s="54">
        <f t="shared" si="42"/>
        <v>84</v>
      </c>
      <c r="AF657" s="51">
        <v>654</v>
      </c>
      <c r="AG657" s="6">
        <v>28.000000000000004</v>
      </c>
      <c r="AH657" s="6">
        <v>84</v>
      </c>
      <c r="AK657" s="31">
        <f t="shared" si="40"/>
        <v>28.000000000000004</v>
      </c>
      <c r="AL657" s="31">
        <f t="shared" si="40"/>
        <v>84</v>
      </c>
    </row>
    <row r="658" spans="16:38">
      <c r="P658" s="53">
        <v>655</v>
      </c>
      <c r="Q658" s="54">
        <v>18</v>
      </c>
      <c r="R658" s="54">
        <v>104</v>
      </c>
      <c r="W658" s="31">
        <v>655</v>
      </c>
      <c r="X658" s="56">
        <v>0.61</v>
      </c>
      <c r="Y658" s="31">
        <v>122</v>
      </c>
      <c r="AB658" s="58">
        <f t="shared" si="41"/>
        <v>0.61</v>
      </c>
      <c r="AC658" s="54">
        <f t="shared" si="42"/>
        <v>122</v>
      </c>
      <c r="AF658" s="51">
        <v>655</v>
      </c>
      <c r="AG658" s="6">
        <v>28.000000000000004</v>
      </c>
      <c r="AH658" s="6">
        <v>122</v>
      </c>
      <c r="AK658" s="31">
        <f t="shared" si="40"/>
        <v>28.000000000000004</v>
      </c>
      <c r="AL658" s="31">
        <f t="shared" si="40"/>
        <v>122</v>
      </c>
    </row>
    <row r="659" spans="16:38">
      <c r="P659" s="53">
        <v>656</v>
      </c>
      <c r="Q659" s="54">
        <v>14</v>
      </c>
      <c r="R659" s="54">
        <v>95</v>
      </c>
      <c r="W659" s="31">
        <v>656</v>
      </c>
      <c r="X659" s="56">
        <v>0.56000000000000005</v>
      </c>
      <c r="Y659" s="31">
        <v>109</v>
      </c>
      <c r="AB659" s="58">
        <f t="shared" si="41"/>
        <v>0.56000000000000005</v>
      </c>
      <c r="AC659" s="54">
        <f t="shared" si="42"/>
        <v>109</v>
      </c>
      <c r="AF659" s="51">
        <v>656</v>
      </c>
      <c r="AG659" s="6">
        <v>30</v>
      </c>
      <c r="AH659" s="6">
        <v>109</v>
      </c>
      <c r="AK659" s="31">
        <f t="shared" si="40"/>
        <v>30</v>
      </c>
      <c r="AL659" s="31">
        <f t="shared" si="40"/>
        <v>109</v>
      </c>
    </row>
    <row r="660" spans="16:38">
      <c r="P660" s="53">
        <v>657</v>
      </c>
      <c r="Q660" s="54">
        <v>19</v>
      </c>
      <c r="R660" s="54">
        <v>104</v>
      </c>
      <c r="W660" s="31">
        <v>657</v>
      </c>
      <c r="X660" s="56">
        <v>0.56000000000000005</v>
      </c>
      <c r="Y660" s="31">
        <v>123</v>
      </c>
      <c r="AB660" s="58">
        <f t="shared" si="41"/>
        <v>0.56000000000000005</v>
      </c>
      <c r="AC660" s="54">
        <f t="shared" si="42"/>
        <v>123</v>
      </c>
      <c r="AF660" s="51">
        <v>657</v>
      </c>
      <c r="AG660" s="6">
        <v>30</v>
      </c>
      <c r="AH660" s="6">
        <v>123</v>
      </c>
      <c r="AK660" s="31">
        <f t="shared" si="40"/>
        <v>30</v>
      </c>
      <c r="AL660" s="31">
        <f t="shared" si="40"/>
        <v>123</v>
      </c>
    </row>
    <row r="661" spans="16:38">
      <c r="P661" s="53">
        <v>658</v>
      </c>
      <c r="Q661" s="54">
        <v>6</v>
      </c>
      <c r="R661" s="54">
        <v>71</v>
      </c>
      <c r="W661" s="31">
        <v>658</v>
      </c>
      <c r="X661" s="56">
        <v>0.56000000000000005</v>
      </c>
      <c r="Y661" s="31">
        <v>77</v>
      </c>
      <c r="AB661" s="58">
        <f t="shared" si="41"/>
        <v>0.56000000000000005</v>
      </c>
      <c r="AC661" s="54">
        <f t="shared" si="42"/>
        <v>77</v>
      </c>
      <c r="AF661" s="51">
        <v>658</v>
      </c>
      <c r="AG661" s="6">
        <v>30</v>
      </c>
      <c r="AH661" s="6">
        <v>77</v>
      </c>
      <c r="AK661" s="31">
        <f t="shared" ref="AK661:AL724" si="43">AG661</f>
        <v>30</v>
      </c>
      <c r="AL661" s="31">
        <f t="shared" si="43"/>
        <v>77</v>
      </c>
    </row>
    <row r="662" spans="16:38">
      <c r="P662" s="53">
        <v>659</v>
      </c>
      <c r="Q662" s="54">
        <v>8</v>
      </c>
      <c r="R662" s="54">
        <v>57</v>
      </c>
      <c r="W662" s="31">
        <v>659</v>
      </c>
      <c r="X662" s="56">
        <v>0.65</v>
      </c>
      <c r="Y662" s="31">
        <v>65</v>
      </c>
      <c r="AB662" s="58">
        <f t="shared" si="41"/>
        <v>0.65</v>
      </c>
      <c r="AC662" s="54">
        <f t="shared" si="42"/>
        <v>65</v>
      </c>
      <c r="AF662" s="51">
        <v>659</v>
      </c>
      <c r="AG662" s="6">
        <v>26</v>
      </c>
      <c r="AH662" s="6">
        <v>65</v>
      </c>
      <c r="AK662" s="31">
        <f t="shared" si="43"/>
        <v>26</v>
      </c>
      <c r="AL662" s="31">
        <f t="shared" si="43"/>
        <v>65</v>
      </c>
    </row>
    <row r="663" spans="16:38">
      <c r="P663" s="53">
        <v>660</v>
      </c>
      <c r="Q663" s="54">
        <v>9</v>
      </c>
      <c r="R663" s="54">
        <v>46</v>
      </c>
      <c r="W663" s="31">
        <v>660</v>
      </c>
      <c r="X663" s="56">
        <v>0.65</v>
      </c>
      <c r="Y663" s="31">
        <v>55</v>
      </c>
      <c r="AB663" s="58">
        <f t="shared" si="41"/>
        <v>0.65</v>
      </c>
      <c r="AC663" s="54">
        <f t="shared" si="42"/>
        <v>55</v>
      </c>
      <c r="AF663" s="51">
        <v>660</v>
      </c>
      <c r="AG663" s="6">
        <v>26</v>
      </c>
      <c r="AH663" s="6">
        <v>55</v>
      </c>
      <c r="AK663" s="31">
        <f t="shared" si="43"/>
        <v>26</v>
      </c>
      <c r="AL663" s="31">
        <f t="shared" si="43"/>
        <v>55</v>
      </c>
    </row>
    <row r="664" spans="16:38">
      <c r="P664" s="53">
        <v>661</v>
      </c>
      <c r="Q664" s="54">
        <v>3</v>
      </c>
      <c r="R664" s="54">
        <v>30</v>
      </c>
      <c r="W664" s="31">
        <v>661</v>
      </c>
      <c r="X664" s="56">
        <v>0.65</v>
      </c>
      <c r="Y664" s="31">
        <v>33</v>
      </c>
      <c r="AB664" s="58">
        <f t="shared" si="41"/>
        <v>0.65</v>
      </c>
      <c r="AC664" s="54">
        <f t="shared" si="42"/>
        <v>33</v>
      </c>
      <c r="AF664" s="51">
        <v>661</v>
      </c>
      <c r="AG664" s="6">
        <v>26</v>
      </c>
      <c r="AH664" s="6">
        <v>33</v>
      </c>
      <c r="AK664" s="31">
        <f t="shared" si="43"/>
        <v>26</v>
      </c>
      <c r="AL664" s="31">
        <f t="shared" si="43"/>
        <v>33</v>
      </c>
    </row>
    <row r="665" spans="16:38">
      <c r="P665" s="53">
        <v>662</v>
      </c>
      <c r="Q665" s="54">
        <v>3</v>
      </c>
      <c r="R665" s="54">
        <v>25</v>
      </c>
      <c r="W665" s="31">
        <v>662</v>
      </c>
      <c r="X665" s="56">
        <v>0.7</v>
      </c>
      <c r="Y665" s="31">
        <v>28</v>
      </c>
      <c r="AB665" s="58">
        <f t="shared" si="41"/>
        <v>0.7</v>
      </c>
      <c r="AC665" s="54">
        <f t="shared" si="42"/>
        <v>28</v>
      </c>
      <c r="AF665" s="51">
        <v>662</v>
      </c>
      <c r="AG665" s="6">
        <v>24</v>
      </c>
      <c r="AH665" s="6">
        <v>28</v>
      </c>
      <c r="AK665" s="31">
        <f t="shared" si="43"/>
        <v>24</v>
      </c>
      <c r="AL665" s="31">
        <f t="shared" si="43"/>
        <v>28</v>
      </c>
    </row>
    <row r="666" spans="16:38">
      <c r="P666" s="53">
        <v>663</v>
      </c>
      <c r="Q666" s="54">
        <v>2</v>
      </c>
      <c r="R666" s="54">
        <v>19</v>
      </c>
      <c r="W666" s="31">
        <v>663</v>
      </c>
      <c r="X666" s="56">
        <v>0.7</v>
      </c>
      <c r="Y666" s="31">
        <v>21</v>
      </c>
      <c r="AB666" s="58">
        <f t="shared" si="41"/>
        <v>0.7</v>
      </c>
      <c r="AC666" s="54">
        <f t="shared" si="42"/>
        <v>21</v>
      </c>
      <c r="AF666" s="51">
        <v>663</v>
      </c>
      <c r="AG666" s="6">
        <v>24</v>
      </c>
      <c r="AH666" s="6">
        <v>21</v>
      </c>
      <c r="AK666" s="31">
        <f t="shared" si="43"/>
        <v>24</v>
      </c>
      <c r="AL666" s="31">
        <f t="shared" si="43"/>
        <v>21</v>
      </c>
    </row>
    <row r="667" spans="16:38">
      <c r="P667" s="53">
        <v>664</v>
      </c>
      <c r="Q667" s="54">
        <v>5</v>
      </c>
      <c r="R667" s="54">
        <v>16</v>
      </c>
      <c r="W667" s="31">
        <v>664</v>
      </c>
      <c r="X667" s="56">
        <v>0.65</v>
      </c>
      <c r="Y667" s="31">
        <v>21</v>
      </c>
      <c r="AB667" s="58">
        <f t="shared" si="41"/>
        <v>0.65</v>
      </c>
      <c r="AC667" s="54">
        <f t="shared" si="42"/>
        <v>21</v>
      </c>
      <c r="AF667" s="51">
        <v>664</v>
      </c>
      <c r="AG667" s="6">
        <v>24</v>
      </c>
      <c r="AH667" s="6">
        <v>21</v>
      </c>
      <c r="AK667" s="31">
        <f t="shared" si="43"/>
        <v>24</v>
      </c>
      <c r="AL667" s="31">
        <f t="shared" si="43"/>
        <v>21</v>
      </c>
    </row>
    <row r="668" spans="16:38">
      <c r="P668" s="53">
        <v>665</v>
      </c>
      <c r="Q668" s="54">
        <v>1</v>
      </c>
      <c r="R668" s="54">
        <v>6</v>
      </c>
      <c r="W668" s="31">
        <v>665</v>
      </c>
      <c r="X668" s="56">
        <v>0.65</v>
      </c>
      <c r="Y668" s="31">
        <v>7</v>
      </c>
      <c r="AB668" s="58">
        <f t="shared" si="41"/>
        <v>0.65</v>
      </c>
      <c r="AC668" s="54">
        <f t="shared" si="42"/>
        <v>7</v>
      </c>
      <c r="AF668" s="51">
        <v>665</v>
      </c>
      <c r="AG668" s="6">
        <v>24</v>
      </c>
      <c r="AH668" s="6">
        <v>7</v>
      </c>
      <c r="AK668" s="31">
        <f t="shared" si="43"/>
        <v>24</v>
      </c>
      <c r="AL668" s="31">
        <f t="shared" si="43"/>
        <v>7</v>
      </c>
    </row>
    <row r="669" spans="16:38">
      <c r="P669" s="53">
        <v>666</v>
      </c>
      <c r="Q669" s="54">
        <v>2</v>
      </c>
      <c r="R669" s="54">
        <v>5</v>
      </c>
      <c r="W669" s="31">
        <v>666</v>
      </c>
      <c r="X669" s="56">
        <v>0.64</v>
      </c>
      <c r="Y669" s="31">
        <v>7</v>
      </c>
      <c r="AB669" s="58">
        <f t="shared" si="41"/>
        <v>0.64</v>
      </c>
      <c r="AC669" s="54">
        <f t="shared" si="42"/>
        <v>7</v>
      </c>
      <c r="AF669" s="51">
        <v>666</v>
      </c>
      <c r="AG669" s="6">
        <v>22</v>
      </c>
      <c r="AH669" s="6">
        <v>7</v>
      </c>
      <c r="AK669" s="31">
        <f t="shared" si="43"/>
        <v>22</v>
      </c>
      <c r="AL669" s="31">
        <f t="shared" si="43"/>
        <v>7</v>
      </c>
    </row>
    <row r="670" spans="16:38">
      <c r="P670" s="53">
        <v>667</v>
      </c>
      <c r="Q670" s="54">
        <v>0</v>
      </c>
      <c r="R670" s="54">
        <v>1</v>
      </c>
      <c r="W670" s="31">
        <v>667</v>
      </c>
      <c r="X670" s="56">
        <v>0.64</v>
      </c>
      <c r="Y670" s="31">
        <v>1</v>
      </c>
      <c r="AB670" s="58">
        <f t="shared" si="41"/>
        <v>0.64</v>
      </c>
      <c r="AC670" s="54">
        <f t="shared" si="42"/>
        <v>1</v>
      </c>
      <c r="AF670" s="51">
        <v>667</v>
      </c>
      <c r="AG670" s="6">
        <v>22</v>
      </c>
      <c r="AH670" s="6">
        <v>1</v>
      </c>
      <c r="AK670" s="31">
        <f t="shared" si="43"/>
        <v>22</v>
      </c>
      <c r="AL670" s="31">
        <f t="shared" si="43"/>
        <v>1</v>
      </c>
    </row>
    <row r="671" spans="16:38">
      <c r="P671" s="53">
        <v>668</v>
      </c>
      <c r="Q671" s="54">
        <v>0</v>
      </c>
      <c r="R671" s="54">
        <v>2</v>
      </c>
      <c r="W671" s="31">
        <v>668</v>
      </c>
      <c r="X671" s="56">
        <v>0.64</v>
      </c>
      <c r="Y671" s="31">
        <v>2</v>
      </c>
      <c r="AB671" s="58">
        <f t="shared" si="41"/>
        <v>0.64</v>
      </c>
      <c r="AC671" s="54">
        <f t="shared" si="42"/>
        <v>2</v>
      </c>
      <c r="AF671" s="51">
        <v>668</v>
      </c>
      <c r="AG671" s="6">
        <v>22</v>
      </c>
      <c r="AH671" s="6">
        <v>2</v>
      </c>
      <c r="AK671" s="31">
        <f t="shared" si="43"/>
        <v>22</v>
      </c>
      <c r="AL671" s="31">
        <f t="shared" si="43"/>
        <v>2</v>
      </c>
    </row>
    <row r="672" spans="16:38">
      <c r="P672" s="53">
        <v>669</v>
      </c>
      <c r="Q672" s="54">
        <v>0</v>
      </c>
      <c r="R672" s="54">
        <v>2</v>
      </c>
      <c r="W672" s="31">
        <v>669</v>
      </c>
      <c r="X672" s="56">
        <v>0.59</v>
      </c>
      <c r="Y672" s="31">
        <v>2</v>
      </c>
      <c r="AB672" s="58">
        <f t="shared" si="41"/>
        <v>0.59</v>
      </c>
      <c r="AC672" s="54">
        <f t="shared" si="42"/>
        <v>2</v>
      </c>
      <c r="AF672" s="51">
        <v>669</v>
      </c>
      <c r="AG672" s="6">
        <v>20</v>
      </c>
      <c r="AH672" s="6">
        <v>2</v>
      </c>
      <c r="AK672" s="31">
        <f t="shared" si="43"/>
        <v>20</v>
      </c>
      <c r="AL672" s="31">
        <f t="shared" si="43"/>
        <v>2</v>
      </c>
    </row>
    <row r="673" spans="16:38">
      <c r="P673" s="53">
        <v>670</v>
      </c>
      <c r="Q673" s="54">
        <v>0</v>
      </c>
      <c r="R673" s="54">
        <v>8</v>
      </c>
      <c r="W673" s="31">
        <v>670</v>
      </c>
      <c r="X673" s="56">
        <v>0.64</v>
      </c>
      <c r="Y673" s="31">
        <v>8</v>
      </c>
      <c r="AB673" s="58">
        <f t="shared" si="41"/>
        <v>0.64</v>
      </c>
      <c r="AC673" s="54">
        <f t="shared" si="42"/>
        <v>8</v>
      </c>
      <c r="AF673" s="51">
        <v>670</v>
      </c>
      <c r="AG673" s="6">
        <v>18</v>
      </c>
      <c r="AH673" s="6">
        <v>8</v>
      </c>
      <c r="AK673" s="31">
        <f t="shared" si="43"/>
        <v>18</v>
      </c>
      <c r="AL673" s="31">
        <f t="shared" si="43"/>
        <v>8</v>
      </c>
    </row>
    <row r="674" spans="16:38">
      <c r="P674" s="53">
        <v>671</v>
      </c>
      <c r="Q674" s="54">
        <v>0</v>
      </c>
      <c r="R674" s="54">
        <v>37</v>
      </c>
      <c r="W674" s="31">
        <v>671</v>
      </c>
      <c r="X674" s="56">
        <v>0.69</v>
      </c>
      <c r="Y674" s="31">
        <v>37</v>
      </c>
      <c r="AB674" s="58">
        <f t="shared" si="41"/>
        <v>0.69</v>
      </c>
      <c r="AC674" s="54">
        <f t="shared" si="42"/>
        <v>37</v>
      </c>
      <c r="AF674" s="51">
        <v>671</v>
      </c>
      <c r="AG674" s="6">
        <v>16</v>
      </c>
      <c r="AH674" s="6">
        <v>37</v>
      </c>
      <c r="AK674" s="31">
        <f t="shared" si="43"/>
        <v>16</v>
      </c>
      <c r="AL674" s="31">
        <f t="shared" si="43"/>
        <v>37</v>
      </c>
    </row>
    <row r="675" spans="16:38">
      <c r="P675" s="53">
        <v>672</v>
      </c>
      <c r="Q675" s="54">
        <v>1</v>
      </c>
      <c r="R675" s="54">
        <v>71</v>
      </c>
      <c r="W675" s="31">
        <v>672</v>
      </c>
      <c r="X675" s="56">
        <v>0.64</v>
      </c>
      <c r="Y675" s="31">
        <v>72</v>
      </c>
      <c r="AB675" s="58">
        <f t="shared" si="41"/>
        <v>0.64</v>
      </c>
      <c r="AC675" s="54">
        <f t="shared" si="42"/>
        <v>72</v>
      </c>
      <c r="AF675" s="51">
        <v>672</v>
      </c>
      <c r="AG675" s="6">
        <v>16</v>
      </c>
      <c r="AH675" s="6">
        <v>72</v>
      </c>
      <c r="AK675" s="31">
        <f t="shared" si="43"/>
        <v>16</v>
      </c>
      <c r="AL675" s="31">
        <f t="shared" si="43"/>
        <v>72</v>
      </c>
    </row>
    <row r="676" spans="16:38">
      <c r="P676" s="53">
        <v>673</v>
      </c>
      <c r="Q676" s="54">
        <v>3</v>
      </c>
      <c r="R676" s="54">
        <v>182</v>
      </c>
      <c r="W676" s="31">
        <v>673</v>
      </c>
      <c r="X676" s="56">
        <v>0.59</v>
      </c>
      <c r="Y676" s="31">
        <v>185</v>
      </c>
      <c r="AB676" s="58">
        <f t="shared" si="41"/>
        <v>0.59</v>
      </c>
      <c r="AC676" s="54">
        <f t="shared" si="42"/>
        <v>185</v>
      </c>
      <c r="AF676" s="51">
        <v>673</v>
      </c>
      <c r="AG676" s="6">
        <v>16</v>
      </c>
      <c r="AH676" s="6">
        <v>185</v>
      </c>
      <c r="AK676" s="31">
        <f t="shared" si="43"/>
        <v>16</v>
      </c>
      <c r="AL676" s="31">
        <f t="shared" si="43"/>
        <v>185</v>
      </c>
    </row>
    <row r="677" spans="16:38">
      <c r="P677" s="53">
        <v>674</v>
      </c>
      <c r="Q677" s="54">
        <v>0</v>
      </c>
      <c r="R677" s="54">
        <v>112</v>
      </c>
      <c r="W677" s="31">
        <v>674</v>
      </c>
      <c r="X677" s="56">
        <v>0.59</v>
      </c>
      <c r="Y677" s="31">
        <v>112</v>
      </c>
      <c r="AB677" s="58">
        <f t="shared" si="41"/>
        <v>0.59</v>
      </c>
      <c r="AC677" s="54">
        <f t="shared" si="42"/>
        <v>112</v>
      </c>
      <c r="AF677" s="51">
        <v>674</v>
      </c>
      <c r="AG677" s="6">
        <v>16</v>
      </c>
      <c r="AH677" s="6">
        <v>112</v>
      </c>
      <c r="AK677" s="31">
        <f t="shared" si="43"/>
        <v>16</v>
      </c>
      <c r="AL677" s="31">
        <f t="shared" si="43"/>
        <v>112</v>
      </c>
    </row>
    <row r="678" spans="16:38">
      <c r="P678" s="53">
        <v>675</v>
      </c>
      <c r="Q678" s="54">
        <v>1</v>
      </c>
      <c r="R678" s="54">
        <v>68</v>
      </c>
      <c r="W678" s="31">
        <v>675</v>
      </c>
      <c r="X678" s="56">
        <v>0.59</v>
      </c>
      <c r="Y678" s="31">
        <v>69</v>
      </c>
      <c r="AB678" s="58">
        <f t="shared" si="41"/>
        <v>0.59</v>
      </c>
      <c r="AC678" s="54">
        <f t="shared" si="42"/>
        <v>69</v>
      </c>
      <c r="AF678" s="51">
        <v>675</v>
      </c>
      <c r="AG678" s="6">
        <v>16</v>
      </c>
      <c r="AH678" s="6">
        <v>69</v>
      </c>
      <c r="AK678" s="31">
        <f t="shared" si="43"/>
        <v>16</v>
      </c>
      <c r="AL678" s="31">
        <f t="shared" si="43"/>
        <v>69</v>
      </c>
    </row>
    <row r="679" spans="16:38">
      <c r="P679" s="53">
        <v>676</v>
      </c>
      <c r="Q679" s="54">
        <v>2</v>
      </c>
      <c r="R679" s="54">
        <v>46</v>
      </c>
      <c r="W679" s="31">
        <v>676</v>
      </c>
      <c r="X679" s="56">
        <v>0.59</v>
      </c>
      <c r="Y679" s="31">
        <v>48</v>
      </c>
      <c r="AB679" s="58">
        <f t="shared" si="41"/>
        <v>0.59</v>
      </c>
      <c r="AC679" s="54">
        <f t="shared" si="42"/>
        <v>48</v>
      </c>
      <c r="AF679" s="51">
        <v>676</v>
      </c>
      <c r="AG679" s="6">
        <v>16</v>
      </c>
      <c r="AH679" s="6">
        <v>48</v>
      </c>
      <c r="AK679" s="31">
        <f t="shared" si="43"/>
        <v>16</v>
      </c>
      <c r="AL679" s="31">
        <f t="shared" si="43"/>
        <v>48</v>
      </c>
    </row>
    <row r="680" spans="16:38">
      <c r="P680" s="53">
        <v>677</v>
      </c>
      <c r="Q680" s="54">
        <v>6</v>
      </c>
      <c r="R680" s="54">
        <v>62</v>
      </c>
      <c r="W680" s="31">
        <v>677</v>
      </c>
      <c r="X680" s="56">
        <v>0.55000000000000004</v>
      </c>
      <c r="Y680" s="31">
        <v>68</v>
      </c>
      <c r="AB680" s="58">
        <f t="shared" si="41"/>
        <v>0.55000000000000004</v>
      </c>
      <c r="AC680" s="54">
        <f t="shared" si="42"/>
        <v>68</v>
      </c>
      <c r="AF680" s="51">
        <v>677</v>
      </c>
      <c r="AG680" s="6">
        <v>18</v>
      </c>
      <c r="AH680" s="6">
        <v>68</v>
      </c>
      <c r="AK680" s="31">
        <f t="shared" si="43"/>
        <v>18</v>
      </c>
      <c r="AL680" s="31">
        <f t="shared" si="43"/>
        <v>68</v>
      </c>
    </row>
    <row r="681" spans="16:38">
      <c r="P681" s="53">
        <v>678</v>
      </c>
      <c r="Q681" s="54">
        <v>2</v>
      </c>
      <c r="R681" s="54">
        <v>52</v>
      </c>
      <c r="W681" s="31">
        <v>678</v>
      </c>
      <c r="X681" s="56">
        <v>0.59</v>
      </c>
      <c r="Y681" s="31">
        <v>54</v>
      </c>
      <c r="AB681" s="58">
        <f t="shared" si="41"/>
        <v>0.59</v>
      </c>
      <c r="AC681" s="54">
        <f t="shared" si="42"/>
        <v>54</v>
      </c>
      <c r="AF681" s="51">
        <v>678</v>
      </c>
      <c r="AG681" s="6">
        <v>16</v>
      </c>
      <c r="AH681" s="6">
        <v>54</v>
      </c>
      <c r="AK681" s="31">
        <f t="shared" si="43"/>
        <v>16</v>
      </c>
      <c r="AL681" s="31">
        <f t="shared" si="43"/>
        <v>54</v>
      </c>
    </row>
    <row r="682" spans="16:38">
      <c r="P682" s="53">
        <v>679</v>
      </c>
      <c r="Q682" s="54">
        <v>1</v>
      </c>
      <c r="R682" s="54">
        <v>85</v>
      </c>
      <c r="W682" s="31">
        <v>679</v>
      </c>
      <c r="X682" s="56">
        <v>0.55000000000000004</v>
      </c>
      <c r="Y682" s="31">
        <v>86</v>
      </c>
      <c r="AB682" s="58">
        <f t="shared" si="41"/>
        <v>0.55000000000000004</v>
      </c>
      <c r="AC682" s="54">
        <f t="shared" si="42"/>
        <v>86</v>
      </c>
      <c r="AF682" s="51">
        <v>679</v>
      </c>
      <c r="AG682" s="6">
        <v>18</v>
      </c>
      <c r="AH682" s="6">
        <v>86</v>
      </c>
      <c r="AK682" s="31">
        <f t="shared" si="43"/>
        <v>18</v>
      </c>
      <c r="AL682" s="31">
        <f t="shared" si="43"/>
        <v>86</v>
      </c>
    </row>
    <row r="683" spans="16:38">
      <c r="P683" s="53">
        <v>680</v>
      </c>
      <c r="Q683" s="54">
        <v>3</v>
      </c>
      <c r="R683" s="54">
        <v>41</v>
      </c>
      <c r="W683" s="31">
        <v>680</v>
      </c>
      <c r="X683" s="56">
        <v>0.59</v>
      </c>
      <c r="Y683" s="31">
        <v>44</v>
      </c>
      <c r="AB683" s="58">
        <f t="shared" si="41"/>
        <v>0.59</v>
      </c>
      <c r="AC683" s="54">
        <f t="shared" si="42"/>
        <v>44</v>
      </c>
      <c r="AF683" s="51">
        <v>680</v>
      </c>
      <c r="AG683" s="6">
        <v>16</v>
      </c>
      <c r="AH683" s="6">
        <v>44</v>
      </c>
      <c r="AK683" s="31">
        <f t="shared" si="43"/>
        <v>16</v>
      </c>
      <c r="AL683" s="31">
        <f t="shared" si="43"/>
        <v>44</v>
      </c>
    </row>
    <row r="684" spans="16:38">
      <c r="P684" s="53">
        <v>681</v>
      </c>
      <c r="Q684" s="54">
        <v>3</v>
      </c>
      <c r="R684" s="54">
        <v>83</v>
      </c>
      <c r="W684" s="31">
        <v>681</v>
      </c>
      <c r="X684" s="56">
        <v>0.56000000000000005</v>
      </c>
      <c r="Y684" s="31">
        <v>86</v>
      </c>
      <c r="AB684" s="58">
        <f t="shared" si="41"/>
        <v>0.56000000000000005</v>
      </c>
      <c r="AC684" s="54">
        <f t="shared" si="42"/>
        <v>86</v>
      </c>
      <c r="AF684" s="51">
        <v>681</v>
      </c>
      <c r="AG684" s="6">
        <v>16</v>
      </c>
      <c r="AH684" s="6">
        <v>86</v>
      </c>
      <c r="AK684" s="31">
        <f t="shared" si="43"/>
        <v>16</v>
      </c>
      <c r="AL684" s="31">
        <f t="shared" si="43"/>
        <v>86</v>
      </c>
    </row>
    <row r="685" spans="16:38">
      <c r="P685" s="53">
        <v>682</v>
      </c>
      <c r="Q685" s="54">
        <v>6</v>
      </c>
      <c r="R685" s="54">
        <v>155</v>
      </c>
      <c r="W685" s="31">
        <v>682</v>
      </c>
      <c r="X685" s="56">
        <v>0.59</v>
      </c>
      <c r="Y685" s="31">
        <v>161</v>
      </c>
      <c r="AB685" s="58">
        <f t="shared" si="41"/>
        <v>0.59</v>
      </c>
      <c r="AC685" s="54">
        <f t="shared" si="42"/>
        <v>161</v>
      </c>
      <c r="AF685" s="51">
        <v>682</v>
      </c>
      <c r="AG685" s="6">
        <v>16</v>
      </c>
      <c r="AH685" s="6">
        <v>161</v>
      </c>
      <c r="AK685" s="31">
        <f t="shared" si="43"/>
        <v>16</v>
      </c>
      <c r="AL685" s="31">
        <f t="shared" si="43"/>
        <v>161</v>
      </c>
    </row>
    <row r="686" spans="16:38">
      <c r="P686" s="53">
        <v>683</v>
      </c>
      <c r="Q686" s="54">
        <v>3</v>
      </c>
      <c r="R686" s="54">
        <v>153</v>
      </c>
      <c r="W686" s="31">
        <v>683</v>
      </c>
      <c r="X686" s="56">
        <v>0.55000000000000004</v>
      </c>
      <c r="Y686" s="31">
        <v>156</v>
      </c>
      <c r="AB686" s="58">
        <f t="shared" si="41"/>
        <v>0.55000000000000004</v>
      </c>
      <c r="AC686" s="54">
        <f t="shared" si="42"/>
        <v>156</v>
      </c>
      <c r="AF686" s="51">
        <v>683</v>
      </c>
      <c r="AG686" s="6">
        <v>16</v>
      </c>
      <c r="AH686" s="6">
        <v>156</v>
      </c>
      <c r="AK686" s="31">
        <f t="shared" si="43"/>
        <v>16</v>
      </c>
      <c r="AL686" s="31">
        <f t="shared" si="43"/>
        <v>156</v>
      </c>
    </row>
    <row r="687" spans="16:38">
      <c r="P687" s="53">
        <v>684</v>
      </c>
      <c r="Q687" s="54">
        <v>3</v>
      </c>
      <c r="R687" s="54">
        <v>108</v>
      </c>
      <c r="W687" s="31">
        <v>684</v>
      </c>
      <c r="X687" s="56">
        <v>0.61</v>
      </c>
      <c r="Y687" s="31">
        <v>111</v>
      </c>
      <c r="AB687" s="58">
        <f t="shared" si="41"/>
        <v>0.61</v>
      </c>
      <c r="AC687" s="54">
        <f t="shared" si="42"/>
        <v>111</v>
      </c>
      <c r="AF687" s="51">
        <v>684</v>
      </c>
      <c r="AG687" s="6">
        <v>30</v>
      </c>
      <c r="AH687" s="6">
        <v>111</v>
      </c>
      <c r="AK687" s="31">
        <f t="shared" si="43"/>
        <v>30</v>
      </c>
      <c r="AL687" s="31">
        <f t="shared" si="43"/>
        <v>111</v>
      </c>
    </row>
    <row r="688" spans="16:38">
      <c r="P688" s="53">
        <v>685</v>
      </c>
      <c r="Q688" s="54">
        <v>0</v>
      </c>
      <c r="R688" s="54">
        <v>78</v>
      </c>
      <c r="W688" s="31">
        <v>685</v>
      </c>
      <c r="X688" s="56">
        <v>0.59</v>
      </c>
      <c r="Y688" s="31">
        <v>78</v>
      </c>
      <c r="AB688" s="58">
        <f t="shared" si="41"/>
        <v>0.59</v>
      </c>
      <c r="AC688" s="54">
        <f t="shared" si="42"/>
        <v>78</v>
      </c>
      <c r="AF688" s="51">
        <v>685</v>
      </c>
      <c r="AG688" s="6">
        <v>16</v>
      </c>
      <c r="AH688" s="6">
        <v>78</v>
      </c>
      <c r="AK688" s="31">
        <f t="shared" si="43"/>
        <v>16</v>
      </c>
      <c r="AL688" s="31">
        <f t="shared" si="43"/>
        <v>78</v>
      </c>
    </row>
    <row r="689" spans="16:38">
      <c r="P689" s="53">
        <v>686</v>
      </c>
      <c r="Q689" s="54">
        <v>3</v>
      </c>
      <c r="R689" s="54">
        <v>53</v>
      </c>
      <c r="W689" s="31">
        <v>686</v>
      </c>
      <c r="X689" s="56">
        <v>0.59</v>
      </c>
      <c r="Y689" s="31">
        <v>56</v>
      </c>
      <c r="AB689" s="58">
        <f t="shared" si="41"/>
        <v>0.59</v>
      </c>
      <c r="AC689" s="54">
        <f t="shared" si="42"/>
        <v>56</v>
      </c>
      <c r="AF689" s="51">
        <v>686</v>
      </c>
      <c r="AG689" s="6">
        <v>16</v>
      </c>
      <c r="AH689" s="6">
        <v>56</v>
      </c>
      <c r="AK689" s="31">
        <f t="shared" si="43"/>
        <v>16</v>
      </c>
      <c r="AL689" s="31">
        <f t="shared" si="43"/>
        <v>56</v>
      </c>
    </row>
    <row r="690" spans="16:38">
      <c r="P690" s="53">
        <v>687</v>
      </c>
      <c r="Q690" s="54">
        <v>0</v>
      </c>
      <c r="R690" s="54">
        <v>34</v>
      </c>
      <c r="W690" s="31">
        <v>687</v>
      </c>
      <c r="X690" s="56">
        <v>0.59</v>
      </c>
      <c r="Y690" s="31">
        <v>34</v>
      </c>
      <c r="AB690" s="58">
        <f t="shared" si="41"/>
        <v>0.59</v>
      </c>
      <c r="AC690" s="54">
        <f t="shared" si="42"/>
        <v>34</v>
      </c>
      <c r="AF690" s="51">
        <v>687</v>
      </c>
      <c r="AG690" s="6">
        <v>16</v>
      </c>
      <c r="AH690" s="6">
        <v>34</v>
      </c>
      <c r="AK690" s="31">
        <f t="shared" si="43"/>
        <v>16</v>
      </c>
      <c r="AL690" s="31">
        <f t="shared" si="43"/>
        <v>34</v>
      </c>
    </row>
    <row r="691" spans="16:38">
      <c r="P691" s="53">
        <v>688</v>
      </c>
      <c r="Q691" s="54">
        <v>2</v>
      </c>
      <c r="R691" s="54">
        <v>15</v>
      </c>
      <c r="W691" s="31">
        <v>688</v>
      </c>
      <c r="X691" s="56">
        <v>0.64</v>
      </c>
      <c r="Y691" s="31">
        <v>17</v>
      </c>
      <c r="AB691" s="58">
        <f t="shared" si="41"/>
        <v>0.64</v>
      </c>
      <c r="AC691" s="54">
        <f t="shared" si="42"/>
        <v>17</v>
      </c>
      <c r="AF691" s="51">
        <v>688</v>
      </c>
      <c r="AG691" s="6">
        <v>16</v>
      </c>
      <c r="AH691" s="6">
        <v>17</v>
      </c>
      <c r="AK691" s="31">
        <f t="shared" si="43"/>
        <v>16</v>
      </c>
      <c r="AL691" s="31">
        <f t="shared" si="43"/>
        <v>17</v>
      </c>
    </row>
    <row r="692" spans="16:38">
      <c r="P692" s="53">
        <v>689</v>
      </c>
      <c r="Q692" s="54">
        <v>2</v>
      </c>
      <c r="R692" s="54">
        <v>6</v>
      </c>
      <c r="W692" s="31">
        <v>689</v>
      </c>
      <c r="X692" s="56">
        <v>0.64</v>
      </c>
      <c r="Y692" s="31">
        <v>8</v>
      </c>
      <c r="AB692" s="58">
        <f t="shared" si="41"/>
        <v>0.64</v>
      </c>
      <c r="AC692" s="54">
        <f t="shared" si="42"/>
        <v>8</v>
      </c>
      <c r="AF692" s="51">
        <v>689</v>
      </c>
      <c r="AG692" s="6">
        <v>16</v>
      </c>
      <c r="AH692" s="6">
        <v>8</v>
      </c>
      <c r="AK692" s="31">
        <f t="shared" si="43"/>
        <v>16</v>
      </c>
      <c r="AL692" s="31">
        <f t="shared" si="43"/>
        <v>8</v>
      </c>
    </row>
    <row r="693" spans="16:38">
      <c r="P693" s="53">
        <v>690</v>
      </c>
      <c r="Q693" s="54">
        <v>0</v>
      </c>
      <c r="R693" s="54">
        <v>3</v>
      </c>
      <c r="W693" s="31">
        <v>690</v>
      </c>
      <c r="X693" s="56">
        <v>0.69</v>
      </c>
      <c r="Y693" s="31">
        <v>3</v>
      </c>
      <c r="AB693" s="58">
        <f t="shared" si="41"/>
        <v>0.69</v>
      </c>
      <c r="AC693" s="54">
        <f t="shared" si="42"/>
        <v>3</v>
      </c>
      <c r="AF693" s="51">
        <v>690</v>
      </c>
      <c r="AG693" s="6">
        <v>16</v>
      </c>
      <c r="AH693" s="6">
        <v>3</v>
      </c>
      <c r="AK693" s="31">
        <f t="shared" si="43"/>
        <v>16</v>
      </c>
      <c r="AL693" s="31">
        <f t="shared" si="43"/>
        <v>3</v>
      </c>
    </row>
    <row r="694" spans="16:38">
      <c r="P694" s="53">
        <v>691</v>
      </c>
      <c r="Q694" s="54">
        <v>0</v>
      </c>
      <c r="R694" s="54">
        <v>2</v>
      </c>
      <c r="W694" s="31">
        <v>691</v>
      </c>
      <c r="X694" s="56">
        <v>0.69</v>
      </c>
      <c r="Y694" s="31">
        <v>2</v>
      </c>
      <c r="AB694" s="58">
        <f t="shared" si="41"/>
        <v>0.69</v>
      </c>
      <c r="AC694" s="54">
        <f t="shared" si="42"/>
        <v>2</v>
      </c>
      <c r="AF694" s="51">
        <v>691</v>
      </c>
      <c r="AG694" s="6">
        <v>16</v>
      </c>
      <c r="AH694" s="6">
        <v>2</v>
      </c>
      <c r="AK694" s="31">
        <f t="shared" si="43"/>
        <v>16</v>
      </c>
      <c r="AL694" s="31">
        <f t="shared" si="43"/>
        <v>2</v>
      </c>
    </row>
    <row r="695" spans="16:38">
      <c r="P695" s="53">
        <v>692</v>
      </c>
      <c r="Q695" s="54">
        <v>0</v>
      </c>
      <c r="R695" s="54">
        <v>2</v>
      </c>
      <c r="W695" s="31">
        <v>692</v>
      </c>
      <c r="X695" s="56">
        <v>0.69</v>
      </c>
      <c r="Y695" s="31">
        <v>2</v>
      </c>
      <c r="AB695" s="58">
        <f t="shared" si="41"/>
        <v>0.69</v>
      </c>
      <c r="AC695" s="54">
        <f t="shared" si="42"/>
        <v>2</v>
      </c>
      <c r="AF695" s="51">
        <v>692</v>
      </c>
      <c r="AG695" s="6">
        <v>16</v>
      </c>
      <c r="AH695" s="6">
        <v>2</v>
      </c>
      <c r="AK695" s="31">
        <f t="shared" si="43"/>
        <v>16</v>
      </c>
      <c r="AL695" s="31">
        <f t="shared" si="43"/>
        <v>2</v>
      </c>
    </row>
    <row r="696" spans="16:38">
      <c r="P696" s="53">
        <v>693</v>
      </c>
      <c r="Q696" s="54">
        <v>0</v>
      </c>
      <c r="R696" s="54">
        <v>3</v>
      </c>
      <c r="W696" s="31">
        <v>693</v>
      </c>
      <c r="X696" s="56">
        <v>0.93</v>
      </c>
      <c r="Y696" s="31">
        <v>3</v>
      </c>
      <c r="AB696" s="58">
        <f t="shared" si="41"/>
        <v>0.93</v>
      </c>
      <c r="AC696" s="54">
        <f t="shared" si="42"/>
        <v>3</v>
      </c>
      <c r="AF696" s="51">
        <v>693</v>
      </c>
      <c r="AG696" s="6">
        <v>14.000000000000002</v>
      </c>
      <c r="AH696" s="6">
        <v>3</v>
      </c>
      <c r="AK696" s="31">
        <f t="shared" si="43"/>
        <v>14.000000000000002</v>
      </c>
      <c r="AL696" s="31">
        <f t="shared" si="43"/>
        <v>3</v>
      </c>
    </row>
    <row r="697" spans="16:38">
      <c r="P697" s="53">
        <v>694</v>
      </c>
      <c r="Q697" s="54">
        <v>0</v>
      </c>
      <c r="R697" s="54">
        <v>22</v>
      </c>
      <c r="W697" s="31">
        <v>694</v>
      </c>
      <c r="X697" s="56">
        <v>0.93</v>
      </c>
      <c r="Y697" s="31">
        <v>22</v>
      </c>
      <c r="AB697" s="58">
        <f t="shared" si="41"/>
        <v>0.93</v>
      </c>
      <c r="AC697" s="54">
        <f t="shared" si="42"/>
        <v>22</v>
      </c>
      <c r="AF697" s="51">
        <v>694</v>
      </c>
      <c r="AG697" s="6">
        <v>14.000000000000002</v>
      </c>
      <c r="AH697" s="6">
        <v>22</v>
      </c>
      <c r="AK697" s="31">
        <f t="shared" si="43"/>
        <v>14.000000000000002</v>
      </c>
      <c r="AL697" s="31">
        <f t="shared" si="43"/>
        <v>22</v>
      </c>
    </row>
    <row r="698" spans="16:38">
      <c r="P698" s="53">
        <v>695</v>
      </c>
      <c r="Q698" s="54">
        <v>0</v>
      </c>
      <c r="R698" s="54">
        <v>52</v>
      </c>
      <c r="W698" s="31">
        <v>695</v>
      </c>
      <c r="X698" s="56">
        <v>0.93</v>
      </c>
      <c r="Y698" s="31">
        <v>52</v>
      </c>
      <c r="AB698" s="58">
        <f t="shared" si="41"/>
        <v>0.93</v>
      </c>
      <c r="AC698" s="54">
        <f t="shared" si="42"/>
        <v>52</v>
      </c>
      <c r="AF698" s="51">
        <v>695</v>
      </c>
      <c r="AG698" s="6">
        <v>16</v>
      </c>
      <c r="AH698" s="6">
        <v>52</v>
      </c>
      <c r="AK698" s="31">
        <f t="shared" si="43"/>
        <v>16</v>
      </c>
      <c r="AL698" s="31">
        <f t="shared" si="43"/>
        <v>52</v>
      </c>
    </row>
    <row r="699" spans="16:38">
      <c r="P699" s="53">
        <v>696</v>
      </c>
      <c r="Q699" s="54">
        <v>3</v>
      </c>
      <c r="R699" s="54">
        <v>132</v>
      </c>
      <c r="W699" s="31">
        <v>696</v>
      </c>
      <c r="X699" s="56">
        <v>0.93</v>
      </c>
      <c r="Y699" s="31">
        <v>135</v>
      </c>
      <c r="AB699" s="58">
        <f t="shared" si="41"/>
        <v>0.93</v>
      </c>
      <c r="AC699" s="54">
        <f t="shared" si="42"/>
        <v>135</v>
      </c>
      <c r="AF699" s="51">
        <v>696</v>
      </c>
      <c r="AG699" s="6">
        <v>16</v>
      </c>
      <c r="AH699" s="6">
        <v>135</v>
      </c>
      <c r="AK699" s="31">
        <f t="shared" si="43"/>
        <v>16</v>
      </c>
      <c r="AL699" s="31">
        <f t="shared" si="43"/>
        <v>135</v>
      </c>
    </row>
    <row r="700" spans="16:38">
      <c r="P700" s="53">
        <v>697</v>
      </c>
      <c r="Q700" s="54">
        <v>2</v>
      </c>
      <c r="R700" s="54">
        <v>114</v>
      </c>
      <c r="W700" s="31">
        <v>697</v>
      </c>
      <c r="X700" s="56">
        <v>0.93</v>
      </c>
      <c r="Y700" s="31">
        <v>116</v>
      </c>
      <c r="AB700" s="58">
        <f t="shared" si="41"/>
        <v>0.93</v>
      </c>
      <c r="AC700" s="54">
        <f t="shared" si="42"/>
        <v>116</v>
      </c>
      <c r="AF700" s="51">
        <v>697</v>
      </c>
      <c r="AG700" s="6">
        <v>16</v>
      </c>
      <c r="AH700" s="6">
        <v>116</v>
      </c>
      <c r="AK700" s="31">
        <f t="shared" si="43"/>
        <v>16</v>
      </c>
      <c r="AL700" s="31">
        <f t="shared" si="43"/>
        <v>116</v>
      </c>
    </row>
    <row r="701" spans="16:38">
      <c r="P701" s="53">
        <v>698</v>
      </c>
      <c r="Q701" s="54">
        <v>0</v>
      </c>
      <c r="R701" s="54">
        <v>47</v>
      </c>
      <c r="W701" s="31">
        <v>698</v>
      </c>
      <c r="X701" s="56">
        <v>0.93</v>
      </c>
      <c r="Y701" s="31">
        <v>47</v>
      </c>
      <c r="AB701" s="58">
        <f t="shared" si="41"/>
        <v>0.93</v>
      </c>
      <c r="AC701" s="54">
        <f t="shared" si="42"/>
        <v>47</v>
      </c>
      <c r="AF701" s="51">
        <v>698</v>
      </c>
      <c r="AG701" s="6">
        <v>16</v>
      </c>
      <c r="AH701" s="6">
        <v>47</v>
      </c>
      <c r="AK701" s="31">
        <f t="shared" si="43"/>
        <v>16</v>
      </c>
      <c r="AL701" s="31">
        <f t="shared" si="43"/>
        <v>47</v>
      </c>
    </row>
    <row r="702" spans="16:38">
      <c r="P702" s="53">
        <v>699</v>
      </c>
      <c r="Q702" s="54">
        <v>2</v>
      </c>
      <c r="R702" s="54">
        <v>49</v>
      </c>
      <c r="W702" s="31">
        <v>699</v>
      </c>
      <c r="X702" s="56">
        <v>0.86</v>
      </c>
      <c r="Y702" s="31">
        <v>51</v>
      </c>
      <c r="AB702" s="58">
        <f t="shared" si="41"/>
        <v>0.86</v>
      </c>
      <c r="AC702" s="54">
        <f t="shared" si="42"/>
        <v>51</v>
      </c>
      <c r="AF702" s="51">
        <v>699</v>
      </c>
      <c r="AG702" s="6">
        <v>18</v>
      </c>
      <c r="AH702" s="6">
        <v>51</v>
      </c>
      <c r="AK702" s="31">
        <f t="shared" si="43"/>
        <v>18</v>
      </c>
      <c r="AL702" s="31">
        <f t="shared" si="43"/>
        <v>51</v>
      </c>
    </row>
    <row r="703" spans="16:38">
      <c r="P703" s="53">
        <v>700</v>
      </c>
      <c r="Q703" s="54">
        <v>2</v>
      </c>
      <c r="R703" s="54">
        <v>53</v>
      </c>
      <c r="W703" s="31">
        <v>700</v>
      </c>
      <c r="X703" s="56">
        <v>0.86</v>
      </c>
      <c r="Y703" s="31">
        <v>55</v>
      </c>
      <c r="AB703" s="58">
        <f t="shared" si="41"/>
        <v>0.86</v>
      </c>
      <c r="AC703" s="54">
        <f t="shared" si="42"/>
        <v>55</v>
      </c>
      <c r="AF703" s="51">
        <v>700</v>
      </c>
      <c r="AG703" s="6">
        <v>20</v>
      </c>
      <c r="AH703" s="6">
        <v>55</v>
      </c>
      <c r="AK703" s="31">
        <f t="shared" si="43"/>
        <v>20</v>
      </c>
      <c r="AL703" s="31">
        <f t="shared" si="43"/>
        <v>55</v>
      </c>
    </row>
    <row r="704" spans="16:38">
      <c r="P704" s="53">
        <v>701</v>
      </c>
      <c r="Q704" s="54">
        <v>3</v>
      </c>
      <c r="R704" s="54">
        <v>49</v>
      </c>
      <c r="W704" s="31">
        <v>701</v>
      </c>
      <c r="X704" s="56">
        <v>0.86</v>
      </c>
      <c r="Y704" s="31">
        <v>52</v>
      </c>
      <c r="AB704" s="58">
        <f t="shared" si="41"/>
        <v>0.86</v>
      </c>
      <c r="AC704" s="54">
        <f t="shared" si="42"/>
        <v>52</v>
      </c>
      <c r="AF704" s="51">
        <v>701</v>
      </c>
      <c r="AG704" s="6">
        <v>20</v>
      </c>
      <c r="AH704" s="6">
        <v>52</v>
      </c>
      <c r="AK704" s="31">
        <f t="shared" si="43"/>
        <v>20</v>
      </c>
      <c r="AL704" s="31">
        <f t="shared" si="43"/>
        <v>52</v>
      </c>
    </row>
    <row r="705" spans="16:38">
      <c r="P705" s="53">
        <v>702</v>
      </c>
      <c r="Q705" s="54">
        <v>5</v>
      </c>
      <c r="R705" s="54">
        <v>49</v>
      </c>
      <c r="W705" s="31">
        <v>702</v>
      </c>
      <c r="X705" s="56">
        <v>0.8</v>
      </c>
      <c r="Y705" s="31">
        <v>54</v>
      </c>
      <c r="AB705" s="58">
        <f t="shared" si="41"/>
        <v>0.8</v>
      </c>
      <c r="AC705" s="54">
        <f t="shared" si="42"/>
        <v>54</v>
      </c>
      <c r="AF705" s="51">
        <v>702</v>
      </c>
      <c r="AG705" s="6">
        <v>22</v>
      </c>
      <c r="AH705" s="6">
        <v>54</v>
      </c>
      <c r="AK705" s="31">
        <f t="shared" si="43"/>
        <v>22</v>
      </c>
      <c r="AL705" s="31">
        <f t="shared" si="43"/>
        <v>54</v>
      </c>
    </row>
    <row r="706" spans="16:38">
      <c r="P706" s="53">
        <v>703</v>
      </c>
      <c r="Q706" s="54">
        <v>7</v>
      </c>
      <c r="R706" s="54">
        <v>45</v>
      </c>
      <c r="W706" s="31">
        <v>703</v>
      </c>
      <c r="X706" s="56">
        <v>0.75</v>
      </c>
      <c r="Y706" s="31">
        <v>52</v>
      </c>
      <c r="AB706" s="58">
        <f t="shared" si="41"/>
        <v>0.75</v>
      </c>
      <c r="AC706" s="54">
        <f t="shared" si="42"/>
        <v>52</v>
      </c>
      <c r="AF706" s="51">
        <v>703</v>
      </c>
      <c r="AG706" s="6">
        <v>24</v>
      </c>
      <c r="AH706" s="6">
        <v>52</v>
      </c>
      <c r="AK706" s="31">
        <f t="shared" si="43"/>
        <v>24</v>
      </c>
      <c r="AL706" s="31">
        <f t="shared" si="43"/>
        <v>52</v>
      </c>
    </row>
    <row r="707" spans="16:38">
      <c r="P707" s="53">
        <v>704</v>
      </c>
      <c r="Q707" s="54">
        <v>3</v>
      </c>
      <c r="R707" s="54">
        <v>61</v>
      </c>
      <c r="W707" s="31">
        <v>704</v>
      </c>
      <c r="X707" s="56">
        <v>0.75</v>
      </c>
      <c r="Y707" s="31">
        <v>64</v>
      </c>
      <c r="AB707" s="58">
        <f t="shared" si="41"/>
        <v>0.75</v>
      </c>
      <c r="AC707" s="54">
        <f t="shared" si="42"/>
        <v>64</v>
      </c>
      <c r="AF707" s="51">
        <v>704</v>
      </c>
      <c r="AG707" s="6">
        <v>24</v>
      </c>
      <c r="AH707" s="6">
        <v>64</v>
      </c>
      <c r="AK707" s="31">
        <f t="shared" si="43"/>
        <v>24</v>
      </c>
      <c r="AL707" s="31">
        <f t="shared" si="43"/>
        <v>64</v>
      </c>
    </row>
    <row r="708" spans="16:38">
      <c r="P708" s="53">
        <v>705</v>
      </c>
      <c r="Q708" s="54">
        <v>4</v>
      </c>
      <c r="R708" s="54">
        <v>172</v>
      </c>
      <c r="W708" s="31">
        <v>705</v>
      </c>
      <c r="X708" s="56">
        <v>0.75</v>
      </c>
      <c r="Y708" s="31">
        <v>176</v>
      </c>
      <c r="AB708" s="58">
        <f t="shared" si="41"/>
        <v>0.75</v>
      </c>
      <c r="AC708" s="54">
        <f t="shared" si="42"/>
        <v>176</v>
      </c>
      <c r="AF708" s="51">
        <v>705</v>
      </c>
      <c r="AG708" s="6">
        <v>24</v>
      </c>
      <c r="AH708" s="6">
        <v>176</v>
      </c>
      <c r="AK708" s="31">
        <f t="shared" si="43"/>
        <v>24</v>
      </c>
      <c r="AL708" s="31">
        <f t="shared" si="43"/>
        <v>176</v>
      </c>
    </row>
    <row r="709" spans="16:38">
      <c r="P709" s="53">
        <v>706</v>
      </c>
      <c r="Q709" s="54">
        <v>3</v>
      </c>
      <c r="R709" s="54">
        <v>165</v>
      </c>
      <c r="W709" s="31">
        <v>706</v>
      </c>
      <c r="X709" s="56">
        <v>0.81</v>
      </c>
      <c r="Y709" s="31">
        <v>168</v>
      </c>
      <c r="AB709" s="58">
        <f t="shared" ref="AB709:AB772" si="44">X709</f>
        <v>0.81</v>
      </c>
      <c r="AC709" s="54">
        <f t="shared" ref="AC709:AC772" si="45">Y709</f>
        <v>168</v>
      </c>
      <c r="AF709" s="51">
        <v>706</v>
      </c>
      <c r="AG709" s="6">
        <v>24</v>
      </c>
      <c r="AH709" s="6">
        <v>168</v>
      </c>
      <c r="AK709" s="31">
        <f t="shared" si="43"/>
        <v>24</v>
      </c>
      <c r="AL709" s="31">
        <f t="shared" si="43"/>
        <v>168</v>
      </c>
    </row>
    <row r="710" spans="16:38">
      <c r="P710" s="53">
        <v>707</v>
      </c>
      <c r="Q710" s="54">
        <v>3</v>
      </c>
      <c r="R710" s="54">
        <v>105</v>
      </c>
      <c r="W710" s="31">
        <v>707</v>
      </c>
      <c r="X710" s="56">
        <v>0.81</v>
      </c>
      <c r="Y710" s="31">
        <v>108</v>
      </c>
      <c r="AB710" s="58">
        <f t="shared" si="44"/>
        <v>0.81</v>
      </c>
      <c r="AC710" s="54">
        <f t="shared" si="45"/>
        <v>108</v>
      </c>
      <c r="AF710" s="51">
        <v>707</v>
      </c>
      <c r="AG710" s="6">
        <v>24</v>
      </c>
      <c r="AH710" s="6">
        <v>108</v>
      </c>
      <c r="AK710" s="31">
        <f t="shared" si="43"/>
        <v>24</v>
      </c>
      <c r="AL710" s="31">
        <f t="shared" si="43"/>
        <v>108</v>
      </c>
    </row>
    <row r="711" spans="16:38">
      <c r="P711" s="53">
        <v>708</v>
      </c>
      <c r="Q711" s="54">
        <v>5</v>
      </c>
      <c r="R711" s="54">
        <v>69</v>
      </c>
      <c r="W711" s="31">
        <v>708</v>
      </c>
      <c r="X711" s="56">
        <v>0.87</v>
      </c>
      <c r="Y711" s="31">
        <v>74</v>
      </c>
      <c r="AB711" s="58">
        <f t="shared" si="44"/>
        <v>0.87</v>
      </c>
      <c r="AC711" s="54">
        <f t="shared" si="45"/>
        <v>74</v>
      </c>
      <c r="AF711" s="51">
        <v>708</v>
      </c>
      <c r="AG711" s="6">
        <v>22</v>
      </c>
      <c r="AH711" s="6">
        <v>74</v>
      </c>
      <c r="AK711" s="31">
        <f t="shared" si="43"/>
        <v>22</v>
      </c>
      <c r="AL711" s="31">
        <f t="shared" si="43"/>
        <v>74</v>
      </c>
    </row>
    <row r="712" spans="16:38">
      <c r="P712" s="53">
        <v>709</v>
      </c>
      <c r="Q712" s="54">
        <v>0</v>
      </c>
      <c r="R712" s="54">
        <v>64</v>
      </c>
      <c r="W712" s="31">
        <v>709</v>
      </c>
      <c r="X712" s="56">
        <v>0.87</v>
      </c>
      <c r="Y712" s="31">
        <v>64</v>
      </c>
      <c r="AB712" s="58">
        <f t="shared" si="44"/>
        <v>0.87</v>
      </c>
      <c r="AC712" s="54">
        <f t="shared" si="45"/>
        <v>64</v>
      </c>
      <c r="AF712" s="51">
        <v>709</v>
      </c>
      <c r="AG712" s="6">
        <v>22</v>
      </c>
      <c r="AH712" s="6">
        <v>64</v>
      </c>
      <c r="AK712" s="31">
        <f t="shared" si="43"/>
        <v>22</v>
      </c>
      <c r="AL712" s="31">
        <f t="shared" si="43"/>
        <v>64</v>
      </c>
    </row>
    <row r="713" spans="16:38">
      <c r="P713" s="53">
        <v>710</v>
      </c>
      <c r="Q713" s="54">
        <v>2</v>
      </c>
      <c r="R713" s="54">
        <v>34</v>
      </c>
      <c r="W713" s="31">
        <v>710</v>
      </c>
      <c r="X713" s="56">
        <v>0.87</v>
      </c>
      <c r="Y713" s="31">
        <v>36</v>
      </c>
      <c r="AB713" s="58">
        <f t="shared" si="44"/>
        <v>0.87</v>
      </c>
      <c r="AC713" s="54">
        <f t="shared" si="45"/>
        <v>36</v>
      </c>
      <c r="AF713" s="51">
        <v>710</v>
      </c>
      <c r="AG713" s="6">
        <v>22</v>
      </c>
      <c r="AH713" s="6">
        <v>36</v>
      </c>
      <c r="AK713" s="31">
        <f t="shared" si="43"/>
        <v>22</v>
      </c>
      <c r="AL713" s="31">
        <f t="shared" si="43"/>
        <v>36</v>
      </c>
    </row>
    <row r="714" spans="16:38">
      <c r="P714" s="53">
        <v>711</v>
      </c>
      <c r="Q714" s="54">
        <v>1</v>
      </c>
      <c r="R714" s="54">
        <v>15</v>
      </c>
      <c r="W714" s="31">
        <v>711</v>
      </c>
      <c r="X714" s="56">
        <v>0.93</v>
      </c>
      <c r="Y714" s="31">
        <v>16</v>
      </c>
      <c r="AB714" s="58">
        <f t="shared" si="44"/>
        <v>0.93</v>
      </c>
      <c r="AC714" s="54">
        <f t="shared" si="45"/>
        <v>16</v>
      </c>
      <c r="AF714" s="51">
        <v>711</v>
      </c>
      <c r="AG714" s="6">
        <v>20</v>
      </c>
      <c r="AH714" s="6">
        <v>16</v>
      </c>
      <c r="AK714" s="31">
        <f t="shared" si="43"/>
        <v>20</v>
      </c>
      <c r="AL714" s="31">
        <f t="shared" si="43"/>
        <v>16</v>
      </c>
    </row>
    <row r="715" spans="16:38">
      <c r="P715" s="53">
        <v>712</v>
      </c>
      <c r="Q715" s="54">
        <v>0</v>
      </c>
      <c r="R715" s="54">
        <v>2</v>
      </c>
      <c r="W715" s="31">
        <v>712</v>
      </c>
      <c r="X715" s="56">
        <v>0.93</v>
      </c>
      <c r="Y715" s="31">
        <v>2</v>
      </c>
      <c r="AB715" s="58">
        <f t="shared" si="44"/>
        <v>0.93</v>
      </c>
      <c r="AC715" s="54">
        <f t="shared" si="45"/>
        <v>2</v>
      </c>
      <c r="AF715" s="51">
        <v>712</v>
      </c>
      <c r="AG715" s="6">
        <v>22</v>
      </c>
      <c r="AH715" s="6">
        <v>2</v>
      </c>
      <c r="AK715" s="31">
        <f t="shared" si="43"/>
        <v>22</v>
      </c>
      <c r="AL715" s="31">
        <f t="shared" si="43"/>
        <v>2</v>
      </c>
    </row>
    <row r="716" spans="16:38">
      <c r="P716" s="53">
        <v>713</v>
      </c>
      <c r="Q716" s="54">
        <v>0</v>
      </c>
      <c r="R716" s="54">
        <v>3</v>
      </c>
      <c r="W716" s="31">
        <v>713</v>
      </c>
      <c r="X716" s="56">
        <v>0.93</v>
      </c>
      <c r="Y716" s="31">
        <v>3</v>
      </c>
      <c r="AB716" s="58">
        <f t="shared" si="44"/>
        <v>0.93</v>
      </c>
      <c r="AC716" s="54">
        <f t="shared" si="45"/>
        <v>3</v>
      </c>
      <c r="AF716" s="51">
        <v>713</v>
      </c>
      <c r="AG716" s="6">
        <v>22</v>
      </c>
      <c r="AH716" s="6">
        <v>3</v>
      </c>
      <c r="AK716" s="31">
        <f t="shared" si="43"/>
        <v>22</v>
      </c>
      <c r="AL716" s="31">
        <f t="shared" si="43"/>
        <v>3</v>
      </c>
    </row>
    <row r="717" spans="16:38">
      <c r="P717" s="53">
        <v>714</v>
      </c>
      <c r="Q717" s="54">
        <v>4</v>
      </c>
      <c r="R717" s="54">
        <v>0</v>
      </c>
      <c r="W717" s="31">
        <v>714</v>
      </c>
      <c r="X717" s="56">
        <v>0.93</v>
      </c>
      <c r="Y717" s="31">
        <v>4</v>
      </c>
      <c r="AB717" s="58">
        <f t="shared" si="44"/>
        <v>0.93</v>
      </c>
      <c r="AC717" s="54">
        <f t="shared" si="45"/>
        <v>4</v>
      </c>
      <c r="AF717" s="51">
        <v>714</v>
      </c>
      <c r="AG717" s="6">
        <v>22</v>
      </c>
      <c r="AH717" s="6">
        <v>4</v>
      </c>
      <c r="AK717" s="31">
        <f t="shared" si="43"/>
        <v>22</v>
      </c>
      <c r="AL717" s="31">
        <f t="shared" si="43"/>
        <v>4</v>
      </c>
    </row>
    <row r="718" spans="16:38">
      <c r="P718" s="53">
        <v>715</v>
      </c>
      <c r="Q718" s="54">
        <v>0</v>
      </c>
      <c r="R718" s="54">
        <v>1</v>
      </c>
      <c r="W718" s="31">
        <v>715</v>
      </c>
      <c r="X718" s="56">
        <v>0.93</v>
      </c>
      <c r="Y718" s="31">
        <v>1</v>
      </c>
      <c r="AB718" s="58">
        <f t="shared" si="44"/>
        <v>0.93</v>
      </c>
      <c r="AC718" s="54">
        <f t="shared" si="45"/>
        <v>1</v>
      </c>
      <c r="AF718" s="51">
        <v>715</v>
      </c>
      <c r="AG718" s="6">
        <v>22</v>
      </c>
      <c r="AH718" s="6">
        <v>1</v>
      </c>
      <c r="AK718" s="31">
        <f t="shared" si="43"/>
        <v>22</v>
      </c>
      <c r="AL718" s="31">
        <f t="shared" si="43"/>
        <v>1</v>
      </c>
    </row>
    <row r="719" spans="16:38">
      <c r="P719" s="53">
        <v>716</v>
      </c>
      <c r="Q719" s="54">
        <v>0</v>
      </c>
      <c r="R719" s="54">
        <v>1</v>
      </c>
      <c r="W719" s="31">
        <v>716</v>
      </c>
      <c r="X719" s="56">
        <v>0.93</v>
      </c>
      <c r="Y719" s="31">
        <v>1</v>
      </c>
      <c r="AB719" s="58">
        <f t="shared" si="44"/>
        <v>0.93</v>
      </c>
      <c r="AC719" s="54">
        <f t="shared" si="45"/>
        <v>1</v>
      </c>
      <c r="AF719" s="51">
        <v>716</v>
      </c>
      <c r="AG719" s="6">
        <v>22</v>
      </c>
      <c r="AH719" s="6">
        <v>1</v>
      </c>
      <c r="AK719" s="31">
        <f t="shared" si="43"/>
        <v>22</v>
      </c>
      <c r="AL719" s="31">
        <f t="shared" si="43"/>
        <v>1</v>
      </c>
    </row>
    <row r="720" spans="16:38">
      <c r="P720" s="53">
        <v>717</v>
      </c>
      <c r="Q720" s="54">
        <v>0</v>
      </c>
      <c r="R720" s="54">
        <v>3</v>
      </c>
      <c r="W720" s="31">
        <v>717</v>
      </c>
      <c r="X720" s="56">
        <v>0.93</v>
      </c>
      <c r="Y720" s="31">
        <v>3</v>
      </c>
      <c r="AB720" s="58">
        <f t="shared" si="44"/>
        <v>0.93</v>
      </c>
      <c r="AC720" s="54">
        <f t="shared" si="45"/>
        <v>3</v>
      </c>
      <c r="AF720" s="51">
        <v>717</v>
      </c>
      <c r="AG720" s="6">
        <v>22</v>
      </c>
      <c r="AH720" s="6">
        <v>3</v>
      </c>
      <c r="AK720" s="31">
        <f t="shared" si="43"/>
        <v>22</v>
      </c>
      <c r="AL720" s="31">
        <f t="shared" si="43"/>
        <v>3</v>
      </c>
    </row>
    <row r="721" spans="16:38">
      <c r="P721" s="53">
        <v>718</v>
      </c>
      <c r="Q721" s="54">
        <v>1</v>
      </c>
      <c r="R721" s="54">
        <v>17</v>
      </c>
      <c r="W721" s="31">
        <v>718</v>
      </c>
      <c r="X721" s="56">
        <v>0.93</v>
      </c>
      <c r="Y721" s="31">
        <v>18</v>
      </c>
      <c r="AB721" s="58">
        <f t="shared" si="44"/>
        <v>0.93</v>
      </c>
      <c r="AC721" s="54">
        <f t="shared" si="45"/>
        <v>18</v>
      </c>
      <c r="AF721" s="51">
        <v>718</v>
      </c>
      <c r="AG721" s="6">
        <v>22</v>
      </c>
      <c r="AH721" s="6">
        <v>18</v>
      </c>
      <c r="AK721" s="31">
        <f t="shared" si="43"/>
        <v>22</v>
      </c>
      <c r="AL721" s="31">
        <f t="shared" si="43"/>
        <v>18</v>
      </c>
    </row>
    <row r="722" spans="16:38">
      <c r="P722" s="53">
        <v>719</v>
      </c>
      <c r="Q722" s="54">
        <v>1</v>
      </c>
      <c r="R722" s="54">
        <v>48</v>
      </c>
      <c r="W722" s="31">
        <v>719</v>
      </c>
      <c r="X722" s="56">
        <v>0.93</v>
      </c>
      <c r="Y722" s="31">
        <v>49</v>
      </c>
      <c r="AB722" s="58">
        <f t="shared" si="44"/>
        <v>0.93</v>
      </c>
      <c r="AC722" s="54">
        <f t="shared" si="45"/>
        <v>49</v>
      </c>
      <c r="AF722" s="51">
        <v>719</v>
      </c>
      <c r="AG722" s="6">
        <v>22</v>
      </c>
      <c r="AH722" s="6">
        <v>49</v>
      </c>
      <c r="AK722" s="31">
        <f t="shared" si="43"/>
        <v>22</v>
      </c>
      <c r="AL722" s="31">
        <f t="shared" si="43"/>
        <v>49</v>
      </c>
    </row>
    <row r="723" spans="16:38">
      <c r="P723" s="53">
        <v>720</v>
      </c>
      <c r="Q723" s="54">
        <v>1</v>
      </c>
      <c r="R723" s="54">
        <v>154</v>
      </c>
      <c r="W723" s="31">
        <v>720</v>
      </c>
      <c r="X723" s="56">
        <v>0.93</v>
      </c>
      <c r="Y723" s="31">
        <v>155</v>
      </c>
      <c r="AB723" s="58">
        <f t="shared" si="44"/>
        <v>0.93</v>
      </c>
      <c r="AC723" s="54">
        <f t="shared" si="45"/>
        <v>155</v>
      </c>
      <c r="AF723" s="51">
        <v>720</v>
      </c>
      <c r="AG723" s="6">
        <v>22</v>
      </c>
      <c r="AH723" s="6">
        <v>155</v>
      </c>
      <c r="AK723" s="31">
        <f t="shared" si="43"/>
        <v>22</v>
      </c>
      <c r="AL723" s="31">
        <f t="shared" si="43"/>
        <v>155</v>
      </c>
    </row>
    <row r="724" spans="16:38">
      <c r="P724" s="53">
        <v>721</v>
      </c>
      <c r="Q724" s="54">
        <v>4</v>
      </c>
      <c r="R724" s="54">
        <v>119</v>
      </c>
      <c r="W724" s="31">
        <v>721</v>
      </c>
      <c r="X724" s="56">
        <v>0.93</v>
      </c>
      <c r="Y724" s="31">
        <v>123</v>
      </c>
      <c r="AB724" s="58">
        <f t="shared" si="44"/>
        <v>0.93</v>
      </c>
      <c r="AC724" s="54">
        <f t="shared" si="45"/>
        <v>123</v>
      </c>
      <c r="AF724" s="51">
        <v>721</v>
      </c>
      <c r="AG724" s="6">
        <v>24</v>
      </c>
      <c r="AH724" s="6">
        <v>123</v>
      </c>
      <c r="AK724" s="31">
        <f t="shared" si="43"/>
        <v>24</v>
      </c>
      <c r="AL724" s="31">
        <f t="shared" si="43"/>
        <v>123</v>
      </c>
    </row>
    <row r="725" spans="16:38">
      <c r="P725" s="53">
        <v>722</v>
      </c>
      <c r="Q725" s="54">
        <v>2</v>
      </c>
      <c r="R725" s="54">
        <v>59</v>
      </c>
      <c r="W725" s="31">
        <v>722</v>
      </c>
      <c r="X725" s="56">
        <v>1</v>
      </c>
      <c r="Y725" s="31">
        <v>61</v>
      </c>
      <c r="AB725" s="58">
        <f t="shared" si="44"/>
        <v>1</v>
      </c>
      <c r="AC725" s="54">
        <f t="shared" si="45"/>
        <v>61</v>
      </c>
      <c r="AF725" s="51">
        <v>722</v>
      </c>
      <c r="AG725" s="6">
        <v>22</v>
      </c>
      <c r="AH725" s="6">
        <v>61</v>
      </c>
      <c r="AK725" s="31">
        <f t="shared" ref="AK725:AL788" si="46">AG725</f>
        <v>22</v>
      </c>
      <c r="AL725" s="31">
        <f t="shared" si="46"/>
        <v>61</v>
      </c>
    </row>
    <row r="726" spans="16:38">
      <c r="P726" s="53">
        <v>723</v>
      </c>
      <c r="Q726" s="54">
        <v>5</v>
      </c>
      <c r="R726" s="54">
        <v>47</v>
      </c>
      <c r="W726" s="31">
        <v>723</v>
      </c>
      <c r="X726" s="56">
        <v>0.93</v>
      </c>
      <c r="Y726" s="31">
        <v>52</v>
      </c>
      <c r="AB726" s="58">
        <f t="shared" si="44"/>
        <v>0.93</v>
      </c>
      <c r="AC726" s="54">
        <f t="shared" si="45"/>
        <v>52</v>
      </c>
      <c r="AF726" s="51">
        <v>723</v>
      </c>
      <c r="AG726" s="6">
        <v>24</v>
      </c>
      <c r="AH726" s="6">
        <v>52</v>
      </c>
      <c r="AK726" s="31">
        <f t="shared" si="46"/>
        <v>24</v>
      </c>
      <c r="AL726" s="31">
        <f t="shared" si="46"/>
        <v>52</v>
      </c>
    </row>
    <row r="727" spans="16:38">
      <c r="P727" s="53">
        <v>724</v>
      </c>
      <c r="Q727" s="54">
        <v>3</v>
      </c>
      <c r="R727" s="54">
        <v>61</v>
      </c>
      <c r="W727" s="31">
        <v>724</v>
      </c>
      <c r="X727" s="56">
        <v>0.93</v>
      </c>
      <c r="Y727" s="31">
        <v>64</v>
      </c>
      <c r="AB727" s="58">
        <f t="shared" si="44"/>
        <v>0.93</v>
      </c>
      <c r="AC727" s="54">
        <f t="shared" si="45"/>
        <v>64</v>
      </c>
      <c r="AF727" s="51">
        <v>724</v>
      </c>
      <c r="AG727" s="6">
        <v>24</v>
      </c>
      <c r="AH727" s="6">
        <v>64</v>
      </c>
      <c r="AK727" s="31">
        <f t="shared" si="46"/>
        <v>24</v>
      </c>
      <c r="AL727" s="31">
        <f t="shared" si="46"/>
        <v>64</v>
      </c>
    </row>
    <row r="728" spans="16:38">
      <c r="P728" s="53">
        <v>725</v>
      </c>
      <c r="Q728" s="54">
        <v>1</v>
      </c>
      <c r="R728" s="54">
        <v>74</v>
      </c>
      <c r="W728" s="31">
        <v>725</v>
      </c>
      <c r="X728" s="56">
        <v>0.93</v>
      </c>
      <c r="Y728" s="31">
        <v>75</v>
      </c>
      <c r="AB728" s="58">
        <f t="shared" si="44"/>
        <v>0.93</v>
      </c>
      <c r="AC728" s="54">
        <f t="shared" si="45"/>
        <v>75</v>
      </c>
      <c r="AF728" s="51">
        <v>725</v>
      </c>
      <c r="AG728" s="6">
        <v>34</v>
      </c>
      <c r="AH728" s="6">
        <v>75</v>
      </c>
      <c r="AK728" s="31">
        <f t="shared" si="46"/>
        <v>34</v>
      </c>
      <c r="AL728" s="31">
        <f t="shared" si="46"/>
        <v>75</v>
      </c>
    </row>
    <row r="729" spans="16:38">
      <c r="P729" s="53">
        <v>726</v>
      </c>
      <c r="Q729" s="54">
        <v>2</v>
      </c>
      <c r="R729" s="54">
        <v>61</v>
      </c>
      <c r="W729" s="31">
        <v>726</v>
      </c>
      <c r="X729" s="56">
        <v>0.82</v>
      </c>
      <c r="Y729" s="31">
        <v>63</v>
      </c>
      <c r="AB729" s="58">
        <f t="shared" si="44"/>
        <v>0.82</v>
      </c>
      <c r="AC729" s="54">
        <f t="shared" si="45"/>
        <v>63</v>
      </c>
      <c r="AF729" s="51">
        <v>726</v>
      </c>
      <c r="AG729" s="6">
        <v>38</v>
      </c>
      <c r="AH729" s="6">
        <v>63</v>
      </c>
      <c r="AK729" s="31">
        <f t="shared" si="46"/>
        <v>38</v>
      </c>
      <c r="AL729" s="31">
        <f t="shared" si="46"/>
        <v>63</v>
      </c>
    </row>
    <row r="730" spans="16:38">
      <c r="P730" s="53">
        <v>727</v>
      </c>
      <c r="Q730" s="54">
        <v>10</v>
      </c>
      <c r="R730" s="54">
        <v>66</v>
      </c>
      <c r="W730" s="31">
        <v>727</v>
      </c>
      <c r="X730" s="56">
        <v>0.76</v>
      </c>
      <c r="Y730" s="31">
        <v>76</v>
      </c>
      <c r="AB730" s="58">
        <f t="shared" si="44"/>
        <v>0.76</v>
      </c>
      <c r="AC730" s="54">
        <f t="shared" si="45"/>
        <v>76</v>
      </c>
      <c r="AF730" s="51">
        <v>727</v>
      </c>
      <c r="AG730" s="6">
        <v>38</v>
      </c>
      <c r="AH730" s="6">
        <v>76</v>
      </c>
      <c r="AK730" s="31">
        <f t="shared" si="46"/>
        <v>38</v>
      </c>
      <c r="AL730" s="31">
        <f t="shared" si="46"/>
        <v>76</v>
      </c>
    </row>
    <row r="731" spans="16:38">
      <c r="P731" s="53">
        <v>728</v>
      </c>
      <c r="Q731" s="54">
        <v>8</v>
      </c>
      <c r="R731" s="54">
        <v>95</v>
      </c>
      <c r="W731" s="31">
        <v>728</v>
      </c>
      <c r="X731" s="56">
        <v>0.71</v>
      </c>
      <c r="Y731" s="31">
        <v>103</v>
      </c>
      <c r="AB731" s="58">
        <f t="shared" si="44"/>
        <v>0.71</v>
      </c>
      <c r="AC731" s="54">
        <f t="shared" si="45"/>
        <v>103</v>
      </c>
      <c r="AF731" s="51">
        <v>728</v>
      </c>
      <c r="AG731" s="6">
        <v>36</v>
      </c>
      <c r="AH731" s="6">
        <v>103</v>
      </c>
      <c r="AK731" s="31">
        <f t="shared" si="46"/>
        <v>36</v>
      </c>
      <c r="AL731" s="31">
        <f t="shared" si="46"/>
        <v>103</v>
      </c>
    </row>
    <row r="732" spans="16:38">
      <c r="P732" s="53">
        <v>729</v>
      </c>
      <c r="Q732" s="54">
        <v>7</v>
      </c>
      <c r="R732" s="54">
        <v>183</v>
      </c>
      <c r="W732" s="31">
        <v>729</v>
      </c>
      <c r="X732" s="56">
        <v>0.53</v>
      </c>
      <c r="Y732" s="31">
        <v>190</v>
      </c>
      <c r="AB732" s="58">
        <f t="shared" si="44"/>
        <v>0.53</v>
      </c>
      <c r="AC732" s="54">
        <f t="shared" si="45"/>
        <v>190</v>
      </c>
      <c r="AF732" s="51">
        <v>729</v>
      </c>
      <c r="AG732" s="6">
        <v>36</v>
      </c>
      <c r="AH732" s="6">
        <v>190</v>
      </c>
      <c r="AK732" s="31">
        <f t="shared" si="46"/>
        <v>36</v>
      </c>
      <c r="AL732" s="31">
        <f t="shared" si="46"/>
        <v>190</v>
      </c>
    </row>
    <row r="733" spans="16:38">
      <c r="P733" s="53">
        <v>730</v>
      </c>
      <c r="Q733" s="54">
        <v>7</v>
      </c>
      <c r="R733" s="54">
        <v>175</v>
      </c>
      <c r="W733" s="31">
        <v>730</v>
      </c>
      <c r="X733" s="56">
        <v>0.42</v>
      </c>
      <c r="Y733" s="31">
        <v>182</v>
      </c>
      <c r="AB733" s="58">
        <f t="shared" si="44"/>
        <v>0.42</v>
      </c>
      <c r="AC733" s="54">
        <f t="shared" si="45"/>
        <v>182</v>
      </c>
      <c r="AF733" s="51">
        <v>730</v>
      </c>
      <c r="AG733" s="6">
        <v>34</v>
      </c>
      <c r="AH733" s="6">
        <v>182</v>
      </c>
      <c r="AK733" s="31">
        <f t="shared" si="46"/>
        <v>34</v>
      </c>
      <c r="AL733" s="31">
        <f t="shared" si="46"/>
        <v>182</v>
      </c>
    </row>
    <row r="734" spans="16:38">
      <c r="P734" s="53">
        <v>731</v>
      </c>
      <c r="Q734" s="54">
        <v>3</v>
      </c>
      <c r="R734" s="54">
        <v>88</v>
      </c>
      <c r="W734" s="31">
        <v>731</v>
      </c>
      <c r="X734" s="56">
        <v>0.45</v>
      </c>
      <c r="Y734" s="31">
        <v>91</v>
      </c>
      <c r="AB734" s="58">
        <f t="shared" si="44"/>
        <v>0.45</v>
      </c>
      <c r="AC734" s="54">
        <f t="shared" si="45"/>
        <v>91</v>
      </c>
      <c r="AF734" s="51">
        <v>731</v>
      </c>
      <c r="AG734" s="6">
        <v>28.000000000000004</v>
      </c>
      <c r="AH734" s="6">
        <v>91</v>
      </c>
      <c r="AK734" s="31">
        <f t="shared" si="46"/>
        <v>28.000000000000004</v>
      </c>
      <c r="AL734" s="31">
        <f t="shared" si="46"/>
        <v>91</v>
      </c>
    </row>
    <row r="735" spans="16:38">
      <c r="P735" s="53">
        <v>732</v>
      </c>
      <c r="Q735" s="54">
        <v>4</v>
      </c>
      <c r="R735" s="54">
        <v>71</v>
      </c>
      <c r="W735" s="31">
        <v>732</v>
      </c>
      <c r="X735" s="56">
        <v>0.48</v>
      </c>
      <c r="Y735" s="31">
        <v>75</v>
      </c>
      <c r="AB735" s="58">
        <f t="shared" si="44"/>
        <v>0.48</v>
      </c>
      <c r="AC735" s="54">
        <f t="shared" si="45"/>
        <v>75</v>
      </c>
      <c r="AF735" s="51">
        <v>732</v>
      </c>
      <c r="AG735" s="6">
        <v>24</v>
      </c>
      <c r="AH735" s="6">
        <v>75</v>
      </c>
      <c r="AK735" s="31">
        <f t="shared" si="46"/>
        <v>24</v>
      </c>
      <c r="AL735" s="31">
        <f t="shared" si="46"/>
        <v>75</v>
      </c>
    </row>
    <row r="736" spans="16:38">
      <c r="P736" s="53">
        <v>733</v>
      </c>
      <c r="Q736" s="54">
        <v>1</v>
      </c>
      <c r="R736" s="54">
        <v>62</v>
      </c>
      <c r="W736" s="31">
        <v>733</v>
      </c>
      <c r="X736" s="56">
        <v>0.47</v>
      </c>
      <c r="Y736" s="31">
        <v>63</v>
      </c>
      <c r="AB736" s="58">
        <f t="shared" si="44"/>
        <v>0.47</v>
      </c>
      <c r="AC736" s="54">
        <f t="shared" si="45"/>
        <v>63</v>
      </c>
      <c r="AF736" s="51">
        <v>733</v>
      </c>
      <c r="AG736" s="6">
        <v>22</v>
      </c>
      <c r="AH736" s="6">
        <v>63</v>
      </c>
      <c r="AK736" s="31">
        <f t="shared" si="46"/>
        <v>22</v>
      </c>
      <c r="AL736" s="31">
        <f t="shared" si="46"/>
        <v>63</v>
      </c>
    </row>
    <row r="737" spans="16:38">
      <c r="P737" s="53">
        <v>734</v>
      </c>
      <c r="Q737" s="54">
        <v>5</v>
      </c>
      <c r="R737" s="54">
        <v>35</v>
      </c>
      <c r="W737" s="31">
        <v>734</v>
      </c>
      <c r="X737" s="56">
        <v>0.44</v>
      </c>
      <c r="Y737" s="31">
        <v>40</v>
      </c>
      <c r="AB737" s="58">
        <f t="shared" si="44"/>
        <v>0.44</v>
      </c>
      <c r="AC737" s="54">
        <f t="shared" si="45"/>
        <v>40</v>
      </c>
      <c r="AF737" s="51">
        <v>734</v>
      </c>
      <c r="AG737" s="6">
        <v>22</v>
      </c>
      <c r="AH737" s="6">
        <v>40</v>
      </c>
      <c r="AK737" s="31">
        <f t="shared" si="46"/>
        <v>22</v>
      </c>
      <c r="AL737" s="31">
        <f t="shared" si="46"/>
        <v>40</v>
      </c>
    </row>
    <row r="738" spans="16:38">
      <c r="P738" s="53">
        <v>735</v>
      </c>
      <c r="Q738" s="54">
        <v>3</v>
      </c>
      <c r="R738" s="54">
        <v>29</v>
      </c>
      <c r="W738" s="31">
        <v>735</v>
      </c>
      <c r="X738" s="56">
        <v>0.44</v>
      </c>
      <c r="Y738" s="31">
        <v>32</v>
      </c>
      <c r="AB738" s="58">
        <f t="shared" si="44"/>
        <v>0.44</v>
      </c>
      <c r="AC738" s="54">
        <f t="shared" si="45"/>
        <v>32</v>
      </c>
      <c r="AF738" s="51">
        <v>735</v>
      </c>
      <c r="AG738" s="6">
        <v>20</v>
      </c>
      <c r="AH738" s="6">
        <v>32</v>
      </c>
      <c r="AK738" s="31">
        <f t="shared" si="46"/>
        <v>20</v>
      </c>
      <c r="AL738" s="31">
        <f t="shared" si="46"/>
        <v>32</v>
      </c>
    </row>
    <row r="739" spans="16:38">
      <c r="P739" s="53">
        <v>736</v>
      </c>
      <c r="Q739" s="54">
        <v>1</v>
      </c>
      <c r="R739" s="54">
        <v>11</v>
      </c>
      <c r="W739" s="31">
        <v>736</v>
      </c>
      <c r="X739" s="56">
        <v>0.4</v>
      </c>
      <c r="Y739" s="31">
        <v>12</v>
      </c>
      <c r="AB739" s="58">
        <f t="shared" si="44"/>
        <v>0.4</v>
      </c>
      <c r="AC739" s="54">
        <f t="shared" si="45"/>
        <v>12</v>
      </c>
      <c r="AF739" s="51">
        <v>736</v>
      </c>
      <c r="AG739" s="6">
        <v>20</v>
      </c>
      <c r="AH739" s="6">
        <v>12</v>
      </c>
      <c r="AK739" s="31">
        <f t="shared" si="46"/>
        <v>20</v>
      </c>
      <c r="AL739" s="31">
        <f t="shared" si="46"/>
        <v>12</v>
      </c>
    </row>
    <row r="740" spans="16:38">
      <c r="P740" s="53">
        <v>737</v>
      </c>
      <c r="Q740" s="54">
        <v>0</v>
      </c>
      <c r="R740" s="54">
        <v>5</v>
      </c>
      <c r="W740" s="31">
        <v>737</v>
      </c>
      <c r="X740" s="56">
        <v>0.44</v>
      </c>
      <c r="Y740" s="31">
        <v>5</v>
      </c>
      <c r="AB740" s="58">
        <f t="shared" si="44"/>
        <v>0.44</v>
      </c>
      <c r="AC740" s="54">
        <f t="shared" si="45"/>
        <v>5</v>
      </c>
      <c r="AF740" s="51">
        <v>737</v>
      </c>
      <c r="AG740" s="6">
        <v>20</v>
      </c>
      <c r="AH740" s="6">
        <v>5</v>
      </c>
      <c r="AK740" s="31">
        <f t="shared" si="46"/>
        <v>20</v>
      </c>
      <c r="AL740" s="31">
        <f t="shared" si="46"/>
        <v>5</v>
      </c>
    </row>
    <row r="741" spans="16:38">
      <c r="P741" s="53">
        <v>738</v>
      </c>
      <c r="Q741" s="54">
        <v>0</v>
      </c>
      <c r="R741" s="54">
        <v>2</v>
      </c>
      <c r="W741" s="31">
        <v>738</v>
      </c>
      <c r="X741" s="56">
        <v>0.43</v>
      </c>
      <c r="Y741" s="31">
        <v>2</v>
      </c>
      <c r="AB741" s="58">
        <f t="shared" si="44"/>
        <v>0.43</v>
      </c>
      <c r="AC741" s="54">
        <f t="shared" si="45"/>
        <v>2</v>
      </c>
      <c r="AF741" s="51">
        <v>738</v>
      </c>
      <c r="AG741" s="6">
        <v>18</v>
      </c>
      <c r="AH741" s="6">
        <v>2</v>
      </c>
      <c r="AK741" s="31">
        <f t="shared" si="46"/>
        <v>18</v>
      </c>
      <c r="AL741" s="31">
        <f t="shared" si="46"/>
        <v>2</v>
      </c>
    </row>
    <row r="742" spans="16:38">
      <c r="P742" s="53">
        <v>739</v>
      </c>
      <c r="Q742" s="54">
        <v>0</v>
      </c>
      <c r="R742" s="54">
        <v>1</v>
      </c>
      <c r="W742" s="31">
        <v>739</v>
      </c>
      <c r="X742" s="56">
        <v>0.43</v>
      </c>
      <c r="Y742" s="31">
        <v>1</v>
      </c>
      <c r="AB742" s="58">
        <f t="shared" si="44"/>
        <v>0.43</v>
      </c>
      <c r="AC742" s="54">
        <f t="shared" si="45"/>
        <v>1</v>
      </c>
      <c r="AF742" s="51">
        <v>739</v>
      </c>
      <c r="AG742" s="6">
        <v>18</v>
      </c>
      <c r="AH742" s="6">
        <v>1</v>
      </c>
      <c r="AK742" s="31">
        <f t="shared" si="46"/>
        <v>18</v>
      </c>
      <c r="AL742" s="31">
        <f t="shared" si="46"/>
        <v>1</v>
      </c>
    </row>
    <row r="743" spans="16:38">
      <c r="P743" s="53">
        <v>740</v>
      </c>
      <c r="Q743" s="54">
        <v>0</v>
      </c>
      <c r="R743" s="54">
        <v>2</v>
      </c>
      <c r="W743" s="31">
        <v>740</v>
      </c>
      <c r="X743" s="56">
        <v>0.5</v>
      </c>
      <c r="Y743" s="31">
        <v>2</v>
      </c>
      <c r="AB743" s="58">
        <f t="shared" si="44"/>
        <v>0.5</v>
      </c>
      <c r="AC743" s="54">
        <f t="shared" si="45"/>
        <v>2</v>
      </c>
      <c r="AF743" s="51">
        <v>740</v>
      </c>
      <c r="AG743" s="6">
        <v>16</v>
      </c>
      <c r="AH743" s="6">
        <v>2</v>
      </c>
      <c r="AK743" s="31">
        <f t="shared" si="46"/>
        <v>16</v>
      </c>
      <c r="AL743" s="31">
        <f t="shared" si="46"/>
        <v>2</v>
      </c>
    </row>
    <row r="744" spans="16:38">
      <c r="P744" s="53">
        <v>741</v>
      </c>
      <c r="Q744" s="54">
        <v>0</v>
      </c>
      <c r="R744" s="54">
        <v>39</v>
      </c>
      <c r="W744" s="31">
        <v>741</v>
      </c>
      <c r="X744" s="56">
        <v>0.43</v>
      </c>
      <c r="Y744" s="31">
        <v>39</v>
      </c>
      <c r="AB744" s="58">
        <f t="shared" si="44"/>
        <v>0.43</v>
      </c>
      <c r="AC744" s="54">
        <f t="shared" si="45"/>
        <v>39</v>
      </c>
      <c r="AF744" s="51">
        <v>741</v>
      </c>
      <c r="AG744" s="6">
        <v>16</v>
      </c>
      <c r="AH744" s="6">
        <v>39</v>
      </c>
      <c r="AK744" s="31">
        <f t="shared" si="46"/>
        <v>16</v>
      </c>
      <c r="AL744" s="31">
        <f t="shared" si="46"/>
        <v>39</v>
      </c>
    </row>
    <row r="745" spans="16:38">
      <c r="P745" s="53">
        <v>742</v>
      </c>
      <c r="Q745" s="54">
        <v>1</v>
      </c>
      <c r="R745" s="54">
        <v>86</v>
      </c>
      <c r="W745" s="31">
        <v>742</v>
      </c>
      <c r="X745" s="56">
        <v>0.5</v>
      </c>
      <c r="Y745" s="31">
        <v>87</v>
      </c>
      <c r="AB745" s="58">
        <f t="shared" si="44"/>
        <v>0.5</v>
      </c>
      <c r="AC745" s="54">
        <f t="shared" si="45"/>
        <v>87</v>
      </c>
      <c r="AF745" s="51">
        <v>742</v>
      </c>
      <c r="AG745" s="6">
        <v>14.000000000000002</v>
      </c>
      <c r="AH745" s="6">
        <v>87</v>
      </c>
      <c r="AK745" s="31">
        <f t="shared" si="46"/>
        <v>14.000000000000002</v>
      </c>
      <c r="AL745" s="31">
        <f t="shared" si="46"/>
        <v>87</v>
      </c>
    </row>
    <row r="746" spans="16:38">
      <c r="P746" s="53">
        <v>743</v>
      </c>
      <c r="Q746" s="54">
        <v>4</v>
      </c>
      <c r="R746" s="54">
        <v>184</v>
      </c>
      <c r="W746" s="31">
        <v>743</v>
      </c>
      <c r="X746" s="56">
        <v>0.5</v>
      </c>
      <c r="Y746" s="31">
        <v>188</v>
      </c>
      <c r="AB746" s="58">
        <f t="shared" si="44"/>
        <v>0.5</v>
      </c>
      <c r="AC746" s="54">
        <f t="shared" si="45"/>
        <v>188</v>
      </c>
      <c r="AF746" s="51">
        <v>743</v>
      </c>
      <c r="AG746" s="6">
        <v>14.000000000000002</v>
      </c>
      <c r="AH746" s="6">
        <v>188</v>
      </c>
      <c r="AK746" s="31">
        <f t="shared" si="46"/>
        <v>14.000000000000002</v>
      </c>
      <c r="AL746" s="31">
        <f t="shared" si="46"/>
        <v>188</v>
      </c>
    </row>
    <row r="747" spans="16:38">
      <c r="P747" s="53">
        <v>744</v>
      </c>
      <c r="Q747" s="54">
        <v>6</v>
      </c>
      <c r="R747" s="54">
        <v>127</v>
      </c>
      <c r="W747" s="31">
        <v>744</v>
      </c>
      <c r="X747" s="56">
        <v>0.47</v>
      </c>
      <c r="Y747" s="31">
        <v>133</v>
      </c>
      <c r="AB747" s="58">
        <f t="shared" si="44"/>
        <v>0.47</v>
      </c>
      <c r="AC747" s="54">
        <f t="shared" si="45"/>
        <v>133</v>
      </c>
      <c r="AF747" s="51">
        <v>744</v>
      </c>
      <c r="AG747" s="6">
        <v>16</v>
      </c>
      <c r="AH747" s="6">
        <v>133</v>
      </c>
      <c r="AK747" s="31">
        <f t="shared" si="46"/>
        <v>16</v>
      </c>
      <c r="AL747" s="31">
        <f t="shared" si="46"/>
        <v>133</v>
      </c>
    </row>
    <row r="748" spans="16:38">
      <c r="P748" s="53">
        <v>745</v>
      </c>
      <c r="Q748" s="54">
        <v>2</v>
      </c>
      <c r="R748" s="54">
        <v>50</v>
      </c>
      <c r="W748" s="31">
        <v>745</v>
      </c>
      <c r="X748" s="56">
        <v>0.43</v>
      </c>
      <c r="Y748" s="31">
        <v>52</v>
      </c>
      <c r="AB748" s="58">
        <f t="shared" si="44"/>
        <v>0.43</v>
      </c>
      <c r="AC748" s="54">
        <f t="shared" si="45"/>
        <v>52</v>
      </c>
      <c r="AF748" s="51">
        <v>745</v>
      </c>
      <c r="AG748" s="6">
        <v>18</v>
      </c>
      <c r="AH748" s="6">
        <v>52</v>
      </c>
      <c r="AK748" s="31">
        <f t="shared" si="46"/>
        <v>18</v>
      </c>
      <c r="AL748" s="31">
        <f t="shared" si="46"/>
        <v>52</v>
      </c>
    </row>
    <row r="749" spans="16:38">
      <c r="P749" s="53">
        <v>746</v>
      </c>
      <c r="Q749" s="54">
        <v>9</v>
      </c>
      <c r="R749" s="54">
        <v>55</v>
      </c>
      <c r="W749" s="31">
        <v>746</v>
      </c>
      <c r="X749" s="56">
        <v>0.43</v>
      </c>
      <c r="Y749" s="31">
        <v>64</v>
      </c>
      <c r="AB749" s="58">
        <f t="shared" si="44"/>
        <v>0.43</v>
      </c>
      <c r="AC749" s="54">
        <f t="shared" si="45"/>
        <v>64</v>
      </c>
      <c r="AF749" s="51">
        <v>746</v>
      </c>
      <c r="AG749" s="6">
        <v>18</v>
      </c>
      <c r="AH749" s="6">
        <v>64</v>
      </c>
      <c r="AK749" s="31">
        <f t="shared" si="46"/>
        <v>18</v>
      </c>
      <c r="AL749" s="31">
        <f t="shared" si="46"/>
        <v>64</v>
      </c>
    </row>
    <row r="750" spans="16:38">
      <c r="P750" s="53">
        <v>747</v>
      </c>
      <c r="Q750" s="54">
        <v>2</v>
      </c>
      <c r="R750" s="54">
        <v>67</v>
      </c>
      <c r="W750" s="31">
        <v>747</v>
      </c>
      <c r="X750" s="56">
        <v>0.4</v>
      </c>
      <c r="Y750" s="31">
        <v>69</v>
      </c>
      <c r="AB750" s="58">
        <f t="shared" si="44"/>
        <v>0.4</v>
      </c>
      <c r="AC750" s="54">
        <f t="shared" si="45"/>
        <v>69</v>
      </c>
      <c r="AF750" s="51">
        <v>747</v>
      </c>
      <c r="AG750" s="6">
        <v>20</v>
      </c>
      <c r="AH750" s="6">
        <v>69</v>
      </c>
      <c r="AK750" s="31">
        <f t="shared" si="46"/>
        <v>20</v>
      </c>
      <c r="AL750" s="31">
        <f t="shared" si="46"/>
        <v>69</v>
      </c>
    </row>
    <row r="751" spans="16:38">
      <c r="P751" s="53">
        <v>748</v>
      </c>
      <c r="Q751" s="54">
        <v>4</v>
      </c>
      <c r="R751" s="54">
        <v>47</v>
      </c>
      <c r="W751" s="31">
        <v>748</v>
      </c>
      <c r="X751" s="56">
        <v>0.4</v>
      </c>
      <c r="Y751" s="31">
        <v>51</v>
      </c>
      <c r="AB751" s="58">
        <f t="shared" si="44"/>
        <v>0.4</v>
      </c>
      <c r="AC751" s="54">
        <f t="shared" si="45"/>
        <v>51</v>
      </c>
      <c r="AF751" s="51">
        <v>748</v>
      </c>
      <c r="AG751" s="6">
        <v>20</v>
      </c>
      <c r="AH751" s="6">
        <v>51</v>
      </c>
      <c r="AK751" s="31">
        <f t="shared" si="46"/>
        <v>20</v>
      </c>
      <c r="AL751" s="31">
        <f t="shared" si="46"/>
        <v>51</v>
      </c>
    </row>
    <row r="752" spans="16:38">
      <c r="P752" s="53">
        <v>749</v>
      </c>
      <c r="Q752" s="54">
        <v>4</v>
      </c>
      <c r="R752" s="54">
        <v>43</v>
      </c>
      <c r="W752" s="31">
        <v>749</v>
      </c>
      <c r="X752" s="56">
        <v>0.37</v>
      </c>
      <c r="Y752" s="31">
        <v>47</v>
      </c>
      <c r="AB752" s="58">
        <f t="shared" si="44"/>
        <v>0.37</v>
      </c>
      <c r="AC752" s="54">
        <f t="shared" si="45"/>
        <v>47</v>
      </c>
      <c r="AF752" s="51">
        <v>749</v>
      </c>
      <c r="AG752" s="6">
        <v>22</v>
      </c>
      <c r="AH752" s="6">
        <v>47</v>
      </c>
      <c r="AK752" s="31">
        <f t="shared" si="46"/>
        <v>22</v>
      </c>
      <c r="AL752" s="31">
        <f t="shared" si="46"/>
        <v>47</v>
      </c>
    </row>
    <row r="753" spans="16:38">
      <c r="P753" s="53">
        <v>750</v>
      </c>
      <c r="Q753" s="54">
        <v>4</v>
      </c>
      <c r="R753" s="54">
        <v>56</v>
      </c>
      <c r="W753" s="31">
        <v>750</v>
      </c>
      <c r="X753" s="56">
        <v>0.37</v>
      </c>
      <c r="Y753" s="31">
        <v>60</v>
      </c>
      <c r="AB753" s="58">
        <f t="shared" si="44"/>
        <v>0.37</v>
      </c>
      <c r="AC753" s="54">
        <f t="shared" si="45"/>
        <v>60</v>
      </c>
      <c r="AF753" s="51">
        <v>750</v>
      </c>
      <c r="AG753" s="6">
        <v>22</v>
      </c>
      <c r="AH753" s="6">
        <v>60</v>
      </c>
      <c r="AK753" s="31">
        <f t="shared" si="46"/>
        <v>22</v>
      </c>
      <c r="AL753" s="31">
        <f t="shared" si="46"/>
        <v>60</v>
      </c>
    </row>
    <row r="754" spans="16:38">
      <c r="P754" s="53">
        <v>751</v>
      </c>
      <c r="Q754" s="54">
        <v>5</v>
      </c>
      <c r="R754" s="54">
        <v>73</v>
      </c>
      <c r="W754" s="31">
        <v>751</v>
      </c>
      <c r="X754" s="56">
        <v>0.37</v>
      </c>
      <c r="Y754" s="31">
        <v>78</v>
      </c>
      <c r="AB754" s="58">
        <f t="shared" si="44"/>
        <v>0.37</v>
      </c>
      <c r="AC754" s="54">
        <f t="shared" si="45"/>
        <v>78</v>
      </c>
      <c r="AF754" s="51">
        <v>751</v>
      </c>
      <c r="AG754" s="6">
        <v>22</v>
      </c>
      <c r="AH754" s="6">
        <v>78</v>
      </c>
      <c r="AK754" s="31">
        <f t="shared" si="46"/>
        <v>22</v>
      </c>
      <c r="AL754" s="31">
        <f t="shared" si="46"/>
        <v>78</v>
      </c>
    </row>
    <row r="755" spans="16:38">
      <c r="P755" s="53">
        <v>752</v>
      </c>
      <c r="Q755" s="54">
        <v>5</v>
      </c>
      <c r="R755" s="54">
        <v>170</v>
      </c>
      <c r="W755" s="31">
        <v>752</v>
      </c>
      <c r="X755" s="56">
        <v>0.4</v>
      </c>
      <c r="Y755" s="31">
        <v>175</v>
      </c>
      <c r="AB755" s="58">
        <f t="shared" si="44"/>
        <v>0.4</v>
      </c>
      <c r="AC755" s="54">
        <f t="shared" si="45"/>
        <v>175</v>
      </c>
      <c r="AF755" s="51">
        <v>752</v>
      </c>
      <c r="AG755" s="6">
        <v>20</v>
      </c>
      <c r="AH755" s="6">
        <v>175</v>
      </c>
      <c r="AK755" s="31">
        <f t="shared" si="46"/>
        <v>20</v>
      </c>
      <c r="AL755" s="31">
        <f t="shared" si="46"/>
        <v>175</v>
      </c>
    </row>
    <row r="756" spans="16:38">
      <c r="P756" s="53">
        <v>753</v>
      </c>
      <c r="Q756" s="54">
        <v>2</v>
      </c>
      <c r="R756" s="54">
        <v>145</v>
      </c>
      <c r="W756" s="31">
        <v>753</v>
      </c>
      <c r="X756" s="56">
        <v>0.4</v>
      </c>
      <c r="Y756" s="31">
        <v>147</v>
      </c>
      <c r="AB756" s="58">
        <f t="shared" si="44"/>
        <v>0.4</v>
      </c>
      <c r="AC756" s="54">
        <f t="shared" si="45"/>
        <v>147</v>
      </c>
      <c r="AF756" s="51">
        <v>753</v>
      </c>
      <c r="AG756" s="6">
        <v>20</v>
      </c>
      <c r="AH756" s="6">
        <v>147</v>
      </c>
      <c r="AK756" s="31">
        <f t="shared" si="46"/>
        <v>20</v>
      </c>
      <c r="AL756" s="31">
        <f t="shared" si="46"/>
        <v>147</v>
      </c>
    </row>
    <row r="757" spans="16:38">
      <c r="P757" s="53">
        <v>754</v>
      </c>
      <c r="Q757" s="54">
        <v>4</v>
      </c>
      <c r="R757" s="54">
        <v>92</v>
      </c>
      <c r="W757" s="31">
        <v>754</v>
      </c>
      <c r="X757" s="56">
        <v>0.4</v>
      </c>
      <c r="Y757" s="31">
        <v>96</v>
      </c>
      <c r="AB757" s="58">
        <f t="shared" si="44"/>
        <v>0.4</v>
      </c>
      <c r="AC757" s="54">
        <f t="shared" si="45"/>
        <v>96</v>
      </c>
      <c r="AF757" s="51">
        <v>754</v>
      </c>
      <c r="AG757" s="6">
        <v>20</v>
      </c>
      <c r="AH757" s="6">
        <v>96</v>
      </c>
      <c r="AK757" s="31">
        <f t="shared" si="46"/>
        <v>20</v>
      </c>
      <c r="AL757" s="31">
        <f t="shared" si="46"/>
        <v>96</v>
      </c>
    </row>
    <row r="758" spans="16:38">
      <c r="P758" s="53">
        <v>755</v>
      </c>
      <c r="Q758" s="54">
        <v>1</v>
      </c>
      <c r="R758" s="54">
        <v>108</v>
      </c>
      <c r="W758" s="31">
        <v>755</v>
      </c>
      <c r="X758" s="56">
        <v>0.47</v>
      </c>
      <c r="Y758" s="31">
        <v>109</v>
      </c>
      <c r="AB758" s="58">
        <f t="shared" si="44"/>
        <v>0.47</v>
      </c>
      <c r="AC758" s="54">
        <f t="shared" si="45"/>
        <v>109</v>
      </c>
      <c r="AF758" s="51">
        <v>755</v>
      </c>
      <c r="AG758" s="6">
        <v>20</v>
      </c>
      <c r="AH758" s="6">
        <v>109</v>
      </c>
      <c r="AK758" s="31">
        <f t="shared" si="46"/>
        <v>20</v>
      </c>
      <c r="AL758" s="31">
        <f t="shared" si="46"/>
        <v>109</v>
      </c>
    </row>
    <row r="759" spans="16:38">
      <c r="P759" s="53">
        <v>756</v>
      </c>
      <c r="Q759" s="54">
        <v>1</v>
      </c>
      <c r="R759" s="54">
        <v>53</v>
      </c>
      <c r="W759" s="31">
        <v>756</v>
      </c>
      <c r="X759" s="56">
        <v>0.55000000000000004</v>
      </c>
      <c r="Y759" s="31">
        <v>54</v>
      </c>
      <c r="AB759" s="58">
        <f t="shared" si="44"/>
        <v>0.55000000000000004</v>
      </c>
      <c r="AC759" s="54">
        <f t="shared" si="45"/>
        <v>54</v>
      </c>
      <c r="AF759" s="51">
        <v>756</v>
      </c>
      <c r="AG759" s="6">
        <v>18</v>
      </c>
      <c r="AH759" s="6">
        <v>54</v>
      </c>
      <c r="AK759" s="31">
        <f t="shared" si="46"/>
        <v>18</v>
      </c>
      <c r="AL759" s="31">
        <f t="shared" si="46"/>
        <v>54</v>
      </c>
    </row>
    <row r="760" spans="16:38">
      <c r="P760" s="53">
        <v>757</v>
      </c>
      <c r="Q760" s="54">
        <v>2</v>
      </c>
      <c r="R760" s="54">
        <v>39</v>
      </c>
      <c r="W760" s="31">
        <v>757</v>
      </c>
      <c r="X760" s="56">
        <v>0.51</v>
      </c>
      <c r="Y760" s="31">
        <v>41</v>
      </c>
      <c r="AB760" s="58">
        <f t="shared" si="44"/>
        <v>0.51</v>
      </c>
      <c r="AC760" s="54">
        <f t="shared" si="45"/>
        <v>41</v>
      </c>
      <c r="AF760" s="51">
        <v>757</v>
      </c>
      <c r="AG760" s="6">
        <v>18</v>
      </c>
      <c r="AH760" s="6">
        <v>41</v>
      </c>
      <c r="AK760" s="31">
        <f t="shared" si="46"/>
        <v>18</v>
      </c>
      <c r="AL760" s="31">
        <f t="shared" si="46"/>
        <v>41</v>
      </c>
    </row>
    <row r="761" spans="16:38">
      <c r="P761" s="53">
        <v>758</v>
      </c>
      <c r="Q761" s="54">
        <v>4</v>
      </c>
      <c r="R761" s="54">
        <v>34</v>
      </c>
      <c r="W761" s="31">
        <v>758</v>
      </c>
      <c r="X761" s="56">
        <v>0.47</v>
      </c>
      <c r="Y761" s="31">
        <v>38</v>
      </c>
      <c r="AB761" s="58">
        <f t="shared" si="44"/>
        <v>0.47</v>
      </c>
      <c r="AC761" s="54">
        <f t="shared" si="45"/>
        <v>38</v>
      </c>
      <c r="AF761" s="51">
        <v>758</v>
      </c>
      <c r="AG761" s="6">
        <v>20</v>
      </c>
      <c r="AH761" s="6">
        <v>38</v>
      </c>
      <c r="AK761" s="31">
        <f t="shared" si="46"/>
        <v>20</v>
      </c>
      <c r="AL761" s="31">
        <f t="shared" si="46"/>
        <v>38</v>
      </c>
    </row>
    <row r="762" spans="16:38">
      <c r="P762" s="53">
        <v>759</v>
      </c>
      <c r="Q762" s="54">
        <v>3</v>
      </c>
      <c r="R762" s="54">
        <v>10</v>
      </c>
      <c r="W762" s="31">
        <v>759</v>
      </c>
      <c r="X762" s="56">
        <v>0.44</v>
      </c>
      <c r="Y762" s="31">
        <v>13</v>
      </c>
      <c r="AB762" s="58">
        <f t="shared" si="44"/>
        <v>0.44</v>
      </c>
      <c r="AC762" s="54">
        <f t="shared" si="45"/>
        <v>13</v>
      </c>
      <c r="AF762" s="51">
        <v>759</v>
      </c>
      <c r="AG762" s="6">
        <v>20</v>
      </c>
      <c r="AH762" s="6">
        <v>13</v>
      </c>
      <c r="AK762" s="31">
        <f t="shared" si="46"/>
        <v>20</v>
      </c>
      <c r="AL762" s="31">
        <f t="shared" si="46"/>
        <v>13</v>
      </c>
    </row>
    <row r="763" spans="16:38">
      <c r="P763" s="53">
        <v>760</v>
      </c>
      <c r="Q763" s="54">
        <v>0</v>
      </c>
      <c r="R763" s="54">
        <v>7</v>
      </c>
      <c r="W763" s="31">
        <v>760</v>
      </c>
      <c r="X763" s="56">
        <v>0.59</v>
      </c>
      <c r="Y763" s="31">
        <v>7</v>
      </c>
      <c r="AB763" s="58">
        <f t="shared" si="44"/>
        <v>0.59</v>
      </c>
      <c r="AC763" s="54">
        <f t="shared" si="45"/>
        <v>7</v>
      </c>
      <c r="AF763" s="51">
        <v>760</v>
      </c>
      <c r="AG763" s="6">
        <v>16</v>
      </c>
      <c r="AH763" s="6">
        <v>7</v>
      </c>
      <c r="AK763" s="31">
        <f t="shared" si="46"/>
        <v>16</v>
      </c>
      <c r="AL763" s="31">
        <f t="shared" si="46"/>
        <v>7</v>
      </c>
    </row>
    <row r="764" spans="16:38">
      <c r="P764" s="53">
        <v>761</v>
      </c>
      <c r="Q764" s="54">
        <v>0</v>
      </c>
      <c r="R764" s="54">
        <v>1</v>
      </c>
      <c r="W764" s="31">
        <v>761</v>
      </c>
      <c r="X764" s="56">
        <v>0.63</v>
      </c>
      <c r="Y764" s="31">
        <v>1</v>
      </c>
      <c r="AB764" s="58">
        <f t="shared" si="44"/>
        <v>0.63</v>
      </c>
      <c r="AC764" s="54">
        <f t="shared" si="45"/>
        <v>1</v>
      </c>
      <c r="AF764" s="51">
        <v>761</v>
      </c>
      <c r="AG764" s="6">
        <v>14.000000000000002</v>
      </c>
      <c r="AH764" s="6">
        <v>1</v>
      </c>
      <c r="AK764" s="31">
        <f t="shared" si="46"/>
        <v>14.000000000000002</v>
      </c>
      <c r="AL764" s="31">
        <f t="shared" si="46"/>
        <v>1</v>
      </c>
    </row>
    <row r="765" spans="16:38">
      <c r="P765" s="53">
        <v>762</v>
      </c>
      <c r="Q765" s="54">
        <v>0</v>
      </c>
      <c r="R765" s="54">
        <v>1</v>
      </c>
      <c r="W765" s="31">
        <v>762</v>
      </c>
      <c r="X765" s="56">
        <v>0.63</v>
      </c>
      <c r="Y765" s="31">
        <v>1</v>
      </c>
      <c r="AB765" s="58">
        <f t="shared" si="44"/>
        <v>0.63</v>
      </c>
      <c r="AC765" s="54">
        <f t="shared" si="45"/>
        <v>1</v>
      </c>
      <c r="AF765" s="51">
        <v>762</v>
      </c>
      <c r="AG765" s="6">
        <v>14.000000000000002</v>
      </c>
      <c r="AH765" s="6">
        <v>1</v>
      </c>
      <c r="AK765" s="31">
        <f t="shared" si="46"/>
        <v>14.000000000000002</v>
      </c>
      <c r="AL765" s="31">
        <f t="shared" si="46"/>
        <v>1</v>
      </c>
    </row>
    <row r="766" spans="16:38">
      <c r="P766" s="53">
        <v>763</v>
      </c>
      <c r="Q766" s="54">
        <v>0</v>
      </c>
      <c r="R766" s="54">
        <v>7</v>
      </c>
      <c r="W766" s="31">
        <v>763</v>
      </c>
      <c r="X766" s="56">
        <v>0.63</v>
      </c>
      <c r="Y766" s="31">
        <v>7</v>
      </c>
      <c r="AB766" s="58">
        <f t="shared" si="44"/>
        <v>0.63</v>
      </c>
      <c r="AC766" s="54">
        <f t="shared" si="45"/>
        <v>7</v>
      </c>
      <c r="AF766" s="51">
        <v>763</v>
      </c>
      <c r="AG766" s="6">
        <v>14.000000000000002</v>
      </c>
      <c r="AH766" s="6">
        <v>7</v>
      </c>
      <c r="AK766" s="31">
        <f t="shared" si="46"/>
        <v>14.000000000000002</v>
      </c>
      <c r="AL766" s="31">
        <f t="shared" si="46"/>
        <v>7</v>
      </c>
    </row>
    <row r="767" spans="16:38">
      <c r="P767" s="53">
        <v>764</v>
      </c>
      <c r="Q767" s="54">
        <v>2</v>
      </c>
      <c r="R767" s="54">
        <v>26</v>
      </c>
      <c r="W767" s="31">
        <v>764</v>
      </c>
      <c r="X767" s="56">
        <v>0.55000000000000004</v>
      </c>
      <c r="Y767" s="31">
        <v>28</v>
      </c>
      <c r="AB767" s="58">
        <f t="shared" si="44"/>
        <v>0.55000000000000004</v>
      </c>
      <c r="AC767" s="54">
        <f t="shared" si="45"/>
        <v>28</v>
      </c>
      <c r="AF767" s="51">
        <v>764</v>
      </c>
      <c r="AG767" s="6">
        <v>16</v>
      </c>
      <c r="AH767" s="6">
        <v>28</v>
      </c>
      <c r="AK767" s="31">
        <f t="shared" si="46"/>
        <v>16</v>
      </c>
      <c r="AL767" s="31">
        <f t="shared" si="46"/>
        <v>28</v>
      </c>
    </row>
    <row r="768" spans="16:38">
      <c r="P768" s="53">
        <v>765</v>
      </c>
      <c r="Q768" s="54">
        <v>0</v>
      </c>
      <c r="R768" s="54">
        <v>87</v>
      </c>
      <c r="W768" s="31">
        <v>765</v>
      </c>
      <c r="X768" s="56">
        <v>0.59</v>
      </c>
      <c r="Y768" s="31">
        <v>87</v>
      </c>
      <c r="AB768" s="58">
        <f t="shared" si="44"/>
        <v>0.59</v>
      </c>
      <c r="AC768" s="54">
        <f t="shared" si="45"/>
        <v>87</v>
      </c>
      <c r="AF768" s="51">
        <v>765</v>
      </c>
      <c r="AG768" s="6">
        <v>14.000000000000002</v>
      </c>
      <c r="AH768" s="6">
        <v>87</v>
      </c>
      <c r="AK768" s="31">
        <f t="shared" si="46"/>
        <v>14.000000000000002</v>
      </c>
      <c r="AL768" s="31">
        <f t="shared" si="46"/>
        <v>87</v>
      </c>
    </row>
    <row r="769" spans="16:38">
      <c r="P769" s="53">
        <v>766</v>
      </c>
      <c r="Q769" s="54">
        <v>3</v>
      </c>
      <c r="R769" s="54">
        <v>217</v>
      </c>
      <c r="W769" s="31">
        <v>766</v>
      </c>
      <c r="X769" s="56">
        <v>0.74</v>
      </c>
      <c r="Y769" s="31">
        <v>220</v>
      </c>
      <c r="AB769" s="58">
        <f t="shared" si="44"/>
        <v>0.74</v>
      </c>
      <c r="AC769" s="54">
        <f t="shared" si="45"/>
        <v>220</v>
      </c>
      <c r="AF769" s="51">
        <v>766</v>
      </c>
      <c r="AG769" s="6">
        <v>14.000000000000002</v>
      </c>
      <c r="AH769" s="6">
        <v>220</v>
      </c>
      <c r="AK769" s="31">
        <f t="shared" si="46"/>
        <v>14.000000000000002</v>
      </c>
      <c r="AL769" s="31">
        <f t="shared" si="46"/>
        <v>220</v>
      </c>
    </row>
    <row r="770" spans="16:38">
      <c r="P770" s="53">
        <v>767</v>
      </c>
      <c r="Q770" s="54">
        <v>3</v>
      </c>
      <c r="R770" s="54">
        <v>124</v>
      </c>
      <c r="W770" s="31">
        <v>767</v>
      </c>
      <c r="X770" s="56">
        <v>0.8</v>
      </c>
      <c r="Y770" s="31">
        <v>127</v>
      </c>
      <c r="AB770" s="58">
        <f t="shared" si="44"/>
        <v>0.8</v>
      </c>
      <c r="AC770" s="54">
        <f t="shared" si="45"/>
        <v>127</v>
      </c>
      <c r="AF770" s="51">
        <v>767</v>
      </c>
      <c r="AG770" s="6">
        <v>16</v>
      </c>
      <c r="AH770" s="6">
        <v>127</v>
      </c>
      <c r="AK770" s="31">
        <f t="shared" si="46"/>
        <v>16</v>
      </c>
      <c r="AL770" s="31">
        <f t="shared" si="46"/>
        <v>127</v>
      </c>
    </row>
    <row r="771" spans="16:38">
      <c r="P771" s="53">
        <v>768</v>
      </c>
      <c r="Q771" s="54">
        <v>5</v>
      </c>
      <c r="R771" s="54">
        <v>46</v>
      </c>
      <c r="W771" s="31">
        <v>768</v>
      </c>
      <c r="X771" s="56">
        <v>0.51</v>
      </c>
      <c r="Y771" s="31">
        <v>51</v>
      </c>
      <c r="AB771" s="58">
        <f t="shared" si="44"/>
        <v>0.51</v>
      </c>
      <c r="AC771" s="54">
        <f t="shared" si="45"/>
        <v>51</v>
      </c>
      <c r="AF771" s="51">
        <v>768</v>
      </c>
      <c r="AG771" s="6">
        <v>20</v>
      </c>
      <c r="AH771" s="6">
        <v>51</v>
      </c>
      <c r="AK771" s="31">
        <f t="shared" si="46"/>
        <v>20</v>
      </c>
      <c r="AL771" s="31">
        <f t="shared" si="46"/>
        <v>51</v>
      </c>
    </row>
    <row r="772" spans="16:38">
      <c r="P772" s="53">
        <v>769</v>
      </c>
      <c r="Q772" s="54">
        <v>3</v>
      </c>
      <c r="R772" s="54">
        <v>61</v>
      </c>
      <c r="W772" s="31">
        <v>769</v>
      </c>
      <c r="X772" s="56">
        <v>0.51</v>
      </c>
      <c r="Y772" s="31">
        <v>64</v>
      </c>
      <c r="AB772" s="58">
        <f t="shared" si="44"/>
        <v>0.51</v>
      </c>
      <c r="AC772" s="54">
        <f t="shared" si="45"/>
        <v>64</v>
      </c>
      <c r="AF772" s="51">
        <v>769</v>
      </c>
      <c r="AG772" s="6">
        <v>22</v>
      </c>
      <c r="AH772" s="6">
        <v>64</v>
      </c>
      <c r="AK772" s="31">
        <f t="shared" si="46"/>
        <v>22</v>
      </c>
      <c r="AL772" s="31">
        <f t="shared" si="46"/>
        <v>64</v>
      </c>
    </row>
    <row r="773" spans="16:38">
      <c r="P773" s="53">
        <v>770</v>
      </c>
      <c r="Q773" s="54">
        <v>8</v>
      </c>
      <c r="R773" s="54">
        <v>78</v>
      </c>
      <c r="W773" s="31">
        <v>770</v>
      </c>
      <c r="X773" s="56">
        <v>0.48</v>
      </c>
      <c r="Y773" s="31">
        <v>86</v>
      </c>
      <c r="AB773" s="58">
        <f t="shared" ref="AB773:AB836" si="47">X773</f>
        <v>0.48</v>
      </c>
      <c r="AC773" s="54">
        <f t="shared" ref="AC773:AC836" si="48">Y773</f>
        <v>86</v>
      </c>
      <c r="AF773" s="51">
        <v>770</v>
      </c>
      <c r="AG773" s="6">
        <v>24</v>
      </c>
      <c r="AH773" s="6">
        <v>86</v>
      </c>
      <c r="AK773" s="31">
        <f t="shared" si="46"/>
        <v>24</v>
      </c>
      <c r="AL773" s="31">
        <f t="shared" si="46"/>
        <v>86</v>
      </c>
    </row>
    <row r="774" spans="16:38">
      <c r="P774" s="53">
        <v>771</v>
      </c>
      <c r="Q774" s="54">
        <v>9</v>
      </c>
      <c r="R774" s="54">
        <v>73</v>
      </c>
      <c r="W774" s="31">
        <v>771</v>
      </c>
      <c r="X774" s="56">
        <v>0.5</v>
      </c>
      <c r="Y774" s="31">
        <v>82</v>
      </c>
      <c r="AB774" s="58">
        <f t="shared" si="47"/>
        <v>0.5</v>
      </c>
      <c r="AC774" s="54">
        <f t="shared" si="48"/>
        <v>82</v>
      </c>
      <c r="AF774" s="51">
        <v>771</v>
      </c>
      <c r="AG774" s="6">
        <v>26</v>
      </c>
      <c r="AH774" s="6">
        <v>82</v>
      </c>
      <c r="AK774" s="31">
        <f t="shared" si="46"/>
        <v>26</v>
      </c>
      <c r="AL774" s="31">
        <f t="shared" si="46"/>
        <v>82</v>
      </c>
    </row>
    <row r="775" spans="16:38">
      <c r="P775" s="53">
        <v>772</v>
      </c>
      <c r="Q775" s="54">
        <v>15</v>
      </c>
      <c r="R775" s="54">
        <v>76</v>
      </c>
      <c r="W775" s="31">
        <v>772</v>
      </c>
      <c r="X775" s="56">
        <v>0.45</v>
      </c>
      <c r="Y775" s="31">
        <v>91</v>
      </c>
      <c r="AB775" s="58">
        <f t="shared" si="47"/>
        <v>0.45</v>
      </c>
      <c r="AC775" s="54">
        <f t="shared" si="48"/>
        <v>91</v>
      </c>
      <c r="AF775" s="51">
        <v>772</v>
      </c>
      <c r="AG775" s="6">
        <v>28.000000000000004</v>
      </c>
      <c r="AH775" s="6">
        <v>91</v>
      </c>
      <c r="AK775" s="31">
        <f t="shared" si="46"/>
        <v>28.000000000000004</v>
      </c>
      <c r="AL775" s="31">
        <f t="shared" si="46"/>
        <v>91</v>
      </c>
    </row>
    <row r="776" spans="16:38">
      <c r="P776" s="53">
        <v>773</v>
      </c>
      <c r="Q776" s="54">
        <v>9</v>
      </c>
      <c r="R776" s="54">
        <v>81</v>
      </c>
      <c r="W776" s="31">
        <v>773</v>
      </c>
      <c r="X776" s="56">
        <v>0.48</v>
      </c>
      <c r="Y776" s="31">
        <v>90</v>
      </c>
      <c r="AB776" s="58">
        <f t="shared" si="47"/>
        <v>0.48</v>
      </c>
      <c r="AC776" s="54">
        <f t="shared" si="48"/>
        <v>90</v>
      </c>
      <c r="AF776" s="51">
        <v>773</v>
      </c>
      <c r="AG776" s="6">
        <v>28.000000000000004</v>
      </c>
      <c r="AH776" s="6">
        <v>90</v>
      </c>
      <c r="AK776" s="31">
        <f t="shared" si="46"/>
        <v>28.000000000000004</v>
      </c>
      <c r="AL776" s="31">
        <f t="shared" si="46"/>
        <v>90</v>
      </c>
    </row>
    <row r="777" spans="16:38">
      <c r="P777" s="53">
        <v>774</v>
      </c>
      <c r="Q777" s="54">
        <v>8</v>
      </c>
      <c r="R777" s="54">
        <v>91</v>
      </c>
      <c r="W777" s="31">
        <v>774</v>
      </c>
      <c r="X777" s="56">
        <v>0.42</v>
      </c>
      <c r="Y777" s="31">
        <v>99</v>
      </c>
      <c r="AB777" s="58">
        <f t="shared" si="47"/>
        <v>0.42</v>
      </c>
      <c r="AC777" s="54">
        <f t="shared" si="48"/>
        <v>99</v>
      </c>
      <c r="AF777" s="51">
        <v>774</v>
      </c>
      <c r="AG777" s="6">
        <v>30</v>
      </c>
      <c r="AH777" s="6">
        <v>99</v>
      </c>
      <c r="AK777" s="31">
        <f t="shared" si="46"/>
        <v>30</v>
      </c>
      <c r="AL777" s="31">
        <f t="shared" si="46"/>
        <v>99</v>
      </c>
    </row>
    <row r="778" spans="16:38">
      <c r="P778" s="53">
        <v>775</v>
      </c>
      <c r="Q778" s="54">
        <v>10</v>
      </c>
      <c r="R778" s="54">
        <v>195</v>
      </c>
      <c r="W778" s="31">
        <v>775</v>
      </c>
      <c r="X778" s="56">
        <v>0.56000000000000005</v>
      </c>
      <c r="Y778" s="31">
        <v>205</v>
      </c>
      <c r="AB778" s="58">
        <f t="shared" si="47"/>
        <v>0.56000000000000005</v>
      </c>
      <c r="AC778" s="54">
        <f t="shared" si="48"/>
        <v>205</v>
      </c>
      <c r="AF778" s="51">
        <v>775</v>
      </c>
      <c r="AG778" s="6">
        <v>26</v>
      </c>
      <c r="AH778" s="6">
        <v>205</v>
      </c>
      <c r="AK778" s="31">
        <f t="shared" si="46"/>
        <v>26</v>
      </c>
      <c r="AL778" s="31">
        <f t="shared" si="46"/>
        <v>205</v>
      </c>
    </row>
    <row r="779" spans="16:38">
      <c r="P779" s="53">
        <v>776</v>
      </c>
      <c r="Q779" s="54">
        <v>3</v>
      </c>
      <c r="R779" s="54">
        <v>152</v>
      </c>
      <c r="W779" s="31">
        <v>776</v>
      </c>
      <c r="X779" s="56">
        <v>0.6</v>
      </c>
      <c r="Y779" s="31">
        <v>155</v>
      </c>
      <c r="AB779" s="58">
        <f t="shared" si="47"/>
        <v>0.6</v>
      </c>
      <c r="AC779" s="54">
        <f t="shared" si="48"/>
        <v>155</v>
      </c>
      <c r="AF779" s="51">
        <v>776</v>
      </c>
      <c r="AG779" s="6">
        <v>24</v>
      </c>
      <c r="AH779" s="6">
        <v>155</v>
      </c>
      <c r="AK779" s="31">
        <f t="shared" si="46"/>
        <v>24</v>
      </c>
      <c r="AL779" s="31">
        <f t="shared" si="46"/>
        <v>155</v>
      </c>
    </row>
    <row r="780" spans="16:38">
      <c r="P780" s="53">
        <v>777</v>
      </c>
      <c r="Q780" s="54">
        <v>1</v>
      </c>
      <c r="R780" s="54">
        <v>102</v>
      </c>
      <c r="W780" s="31">
        <v>777</v>
      </c>
      <c r="X780" s="56">
        <v>0.65</v>
      </c>
      <c r="Y780" s="31">
        <v>103</v>
      </c>
      <c r="AB780" s="58">
        <f t="shared" si="47"/>
        <v>0.65</v>
      </c>
      <c r="AC780" s="54">
        <f t="shared" si="48"/>
        <v>103</v>
      </c>
      <c r="AF780" s="51">
        <v>777</v>
      </c>
      <c r="AG780" s="6">
        <v>24</v>
      </c>
      <c r="AH780" s="6">
        <v>103</v>
      </c>
      <c r="AK780" s="31">
        <f t="shared" si="46"/>
        <v>24</v>
      </c>
      <c r="AL780" s="31">
        <f t="shared" si="46"/>
        <v>103</v>
      </c>
    </row>
    <row r="781" spans="16:38">
      <c r="P781" s="53">
        <v>778</v>
      </c>
      <c r="Q781" s="54">
        <v>2</v>
      </c>
      <c r="R781" s="54">
        <v>69</v>
      </c>
      <c r="W781" s="31">
        <v>778</v>
      </c>
      <c r="X781" s="56">
        <v>0.65</v>
      </c>
      <c r="Y781" s="31">
        <v>71</v>
      </c>
      <c r="AB781" s="58">
        <f t="shared" si="47"/>
        <v>0.65</v>
      </c>
      <c r="AC781" s="54">
        <f t="shared" si="48"/>
        <v>71</v>
      </c>
      <c r="AF781" s="51">
        <v>778</v>
      </c>
      <c r="AG781" s="6">
        <v>24</v>
      </c>
      <c r="AH781" s="6">
        <v>71</v>
      </c>
      <c r="AK781" s="31">
        <f t="shared" si="46"/>
        <v>24</v>
      </c>
      <c r="AL781" s="31">
        <f t="shared" si="46"/>
        <v>71</v>
      </c>
    </row>
    <row r="782" spans="16:38">
      <c r="P782" s="53">
        <v>779</v>
      </c>
      <c r="Q782" s="54">
        <v>2</v>
      </c>
      <c r="R782" s="54">
        <v>41</v>
      </c>
      <c r="W782" s="31">
        <v>779</v>
      </c>
      <c r="X782" s="56">
        <v>0.7</v>
      </c>
      <c r="Y782" s="31">
        <v>43</v>
      </c>
      <c r="AB782" s="58">
        <f t="shared" si="47"/>
        <v>0.7</v>
      </c>
      <c r="AC782" s="54">
        <f t="shared" si="48"/>
        <v>43</v>
      </c>
      <c r="AF782" s="51">
        <v>779</v>
      </c>
      <c r="AG782" s="6">
        <v>24</v>
      </c>
      <c r="AH782" s="6">
        <v>43</v>
      </c>
      <c r="AK782" s="31">
        <f t="shared" si="46"/>
        <v>24</v>
      </c>
      <c r="AL782" s="31">
        <f t="shared" si="46"/>
        <v>43</v>
      </c>
    </row>
    <row r="783" spans="16:38">
      <c r="P783" s="53">
        <v>780</v>
      </c>
      <c r="Q783" s="54">
        <v>1</v>
      </c>
      <c r="R783" s="54">
        <v>45</v>
      </c>
      <c r="W783" s="31">
        <v>780</v>
      </c>
      <c r="X783" s="56">
        <v>0.65</v>
      </c>
      <c r="Y783" s="31">
        <v>46</v>
      </c>
      <c r="AB783" s="58">
        <f t="shared" si="47"/>
        <v>0.65</v>
      </c>
      <c r="AC783" s="54">
        <f t="shared" si="48"/>
        <v>46</v>
      </c>
      <c r="AF783" s="51">
        <v>780</v>
      </c>
      <c r="AG783" s="6">
        <v>24</v>
      </c>
      <c r="AH783" s="6">
        <v>46</v>
      </c>
      <c r="AK783" s="31">
        <f t="shared" si="46"/>
        <v>24</v>
      </c>
      <c r="AL783" s="31">
        <f t="shared" si="46"/>
        <v>46</v>
      </c>
    </row>
    <row r="784" spans="16:38">
      <c r="P784" s="53">
        <v>781</v>
      </c>
      <c r="Q784" s="54">
        <v>1</v>
      </c>
      <c r="R784" s="54">
        <v>30</v>
      </c>
      <c r="W784" s="31">
        <v>781</v>
      </c>
      <c r="X784" s="56">
        <v>0.7</v>
      </c>
      <c r="Y784" s="31">
        <v>31</v>
      </c>
      <c r="AB784" s="58">
        <f t="shared" si="47"/>
        <v>0.7</v>
      </c>
      <c r="AC784" s="54">
        <f t="shared" si="48"/>
        <v>31</v>
      </c>
      <c r="AF784" s="51">
        <v>781</v>
      </c>
      <c r="AG784" s="6">
        <v>24</v>
      </c>
      <c r="AH784" s="6">
        <v>31</v>
      </c>
      <c r="AK784" s="31">
        <f t="shared" si="46"/>
        <v>24</v>
      </c>
      <c r="AL784" s="31">
        <f t="shared" si="46"/>
        <v>31</v>
      </c>
    </row>
    <row r="785" spans="16:38">
      <c r="P785" s="53">
        <v>782</v>
      </c>
      <c r="Q785" s="54">
        <v>3</v>
      </c>
      <c r="R785" s="54">
        <v>36</v>
      </c>
      <c r="W785" s="31">
        <v>782</v>
      </c>
      <c r="X785" s="56">
        <v>0.7</v>
      </c>
      <c r="Y785" s="31">
        <v>39</v>
      </c>
      <c r="AB785" s="58">
        <f t="shared" si="47"/>
        <v>0.7</v>
      </c>
      <c r="AC785" s="54">
        <f t="shared" si="48"/>
        <v>39</v>
      </c>
      <c r="AF785" s="51">
        <v>782</v>
      </c>
      <c r="AG785" s="6">
        <v>24</v>
      </c>
      <c r="AH785" s="6">
        <v>39</v>
      </c>
      <c r="AK785" s="31">
        <f t="shared" si="46"/>
        <v>24</v>
      </c>
      <c r="AL785" s="31">
        <f t="shared" si="46"/>
        <v>39</v>
      </c>
    </row>
    <row r="786" spans="16:38">
      <c r="P786" s="53">
        <v>783</v>
      </c>
      <c r="Q786" s="54">
        <v>1</v>
      </c>
      <c r="R786" s="54">
        <v>17</v>
      </c>
      <c r="W786" s="31">
        <v>783</v>
      </c>
      <c r="X786" s="56">
        <v>0.65</v>
      </c>
      <c r="Y786" s="31">
        <v>18</v>
      </c>
      <c r="AB786" s="58">
        <f t="shared" si="47"/>
        <v>0.65</v>
      </c>
      <c r="AC786" s="54">
        <f t="shared" si="48"/>
        <v>18</v>
      </c>
      <c r="AF786" s="51">
        <v>783</v>
      </c>
      <c r="AG786" s="6">
        <v>24</v>
      </c>
      <c r="AH786" s="6">
        <v>18</v>
      </c>
      <c r="AK786" s="31">
        <f t="shared" si="46"/>
        <v>24</v>
      </c>
      <c r="AL786" s="31">
        <f t="shared" si="46"/>
        <v>18</v>
      </c>
    </row>
    <row r="787" spans="16:38">
      <c r="P787" s="53">
        <v>784</v>
      </c>
      <c r="Q787" s="54">
        <v>5</v>
      </c>
      <c r="R787" s="54">
        <v>12</v>
      </c>
      <c r="W787" s="31">
        <v>784</v>
      </c>
      <c r="X787" s="56">
        <v>0.75</v>
      </c>
      <c r="Y787" s="31">
        <v>17</v>
      </c>
      <c r="AB787" s="58">
        <f t="shared" si="47"/>
        <v>0.75</v>
      </c>
      <c r="AC787" s="54">
        <f t="shared" si="48"/>
        <v>17</v>
      </c>
      <c r="AF787" s="51">
        <v>784</v>
      </c>
      <c r="AG787" s="6">
        <v>24</v>
      </c>
      <c r="AH787" s="6">
        <v>17</v>
      </c>
      <c r="AK787" s="31">
        <f t="shared" si="46"/>
        <v>24</v>
      </c>
      <c r="AL787" s="31">
        <f t="shared" si="46"/>
        <v>17</v>
      </c>
    </row>
    <row r="788" spans="16:38">
      <c r="P788" s="53">
        <v>785</v>
      </c>
      <c r="Q788" s="54">
        <v>1</v>
      </c>
      <c r="R788" s="54">
        <v>10</v>
      </c>
      <c r="W788" s="31">
        <v>785</v>
      </c>
      <c r="X788" s="56">
        <v>0.75</v>
      </c>
      <c r="Y788" s="31">
        <v>11</v>
      </c>
      <c r="AB788" s="58">
        <f t="shared" si="47"/>
        <v>0.75</v>
      </c>
      <c r="AC788" s="54">
        <f t="shared" si="48"/>
        <v>11</v>
      </c>
      <c r="AF788" s="51">
        <v>785</v>
      </c>
      <c r="AG788" s="6">
        <v>24</v>
      </c>
      <c r="AH788" s="6">
        <v>11</v>
      </c>
      <c r="AK788" s="31">
        <f t="shared" si="46"/>
        <v>24</v>
      </c>
      <c r="AL788" s="31">
        <f t="shared" si="46"/>
        <v>11</v>
      </c>
    </row>
    <row r="789" spans="16:38">
      <c r="P789" s="53">
        <v>786</v>
      </c>
      <c r="Q789" s="54">
        <v>0</v>
      </c>
      <c r="R789" s="54">
        <v>8</v>
      </c>
      <c r="W789" s="31">
        <v>786</v>
      </c>
      <c r="X789" s="56">
        <v>0.93</v>
      </c>
      <c r="Y789" s="31">
        <v>8</v>
      </c>
      <c r="AB789" s="58">
        <f t="shared" si="47"/>
        <v>0.93</v>
      </c>
      <c r="AC789" s="54">
        <f t="shared" si="48"/>
        <v>8</v>
      </c>
      <c r="AF789" s="51">
        <v>786</v>
      </c>
      <c r="AG789" s="6">
        <v>22</v>
      </c>
      <c r="AH789" s="6">
        <v>8</v>
      </c>
      <c r="AK789" s="31">
        <f t="shared" ref="AK789:AL852" si="49">AG789</f>
        <v>22</v>
      </c>
      <c r="AL789" s="31">
        <f t="shared" si="49"/>
        <v>8</v>
      </c>
    </row>
    <row r="790" spans="16:38">
      <c r="P790" s="53">
        <v>787</v>
      </c>
      <c r="Q790" s="54">
        <v>0</v>
      </c>
      <c r="R790" s="54">
        <v>9</v>
      </c>
      <c r="W790" s="31">
        <v>787</v>
      </c>
      <c r="X790" s="56">
        <v>1</v>
      </c>
      <c r="Y790" s="31">
        <v>9</v>
      </c>
      <c r="AB790" s="58">
        <f t="shared" si="47"/>
        <v>1</v>
      </c>
      <c r="AC790" s="54">
        <f t="shared" si="48"/>
        <v>9</v>
      </c>
      <c r="AF790" s="51">
        <v>787</v>
      </c>
      <c r="AG790" s="6">
        <v>20</v>
      </c>
      <c r="AH790" s="6">
        <v>9</v>
      </c>
      <c r="AK790" s="31">
        <f t="shared" si="49"/>
        <v>20</v>
      </c>
      <c r="AL790" s="31">
        <f t="shared" si="49"/>
        <v>9</v>
      </c>
    </row>
    <row r="791" spans="16:38">
      <c r="P791" s="53">
        <v>788</v>
      </c>
      <c r="Q791" s="54">
        <v>0</v>
      </c>
      <c r="R791" s="54">
        <v>4</v>
      </c>
      <c r="W791" s="31">
        <v>788</v>
      </c>
      <c r="X791" s="56">
        <v>1</v>
      </c>
      <c r="Y791" s="31">
        <v>4</v>
      </c>
      <c r="AB791" s="58">
        <f t="shared" si="47"/>
        <v>1</v>
      </c>
      <c r="AC791" s="54">
        <f t="shared" si="48"/>
        <v>4</v>
      </c>
      <c r="AF791" s="51">
        <v>788</v>
      </c>
      <c r="AG791" s="6">
        <v>20</v>
      </c>
      <c r="AH791" s="6">
        <v>4</v>
      </c>
      <c r="AK791" s="31">
        <f t="shared" si="49"/>
        <v>20</v>
      </c>
      <c r="AL791" s="31">
        <f t="shared" si="49"/>
        <v>4</v>
      </c>
    </row>
    <row r="792" spans="16:38">
      <c r="P792" s="53">
        <v>789</v>
      </c>
      <c r="Q792" s="54">
        <v>0</v>
      </c>
      <c r="R792" s="54">
        <v>4</v>
      </c>
      <c r="W792" s="31">
        <v>789</v>
      </c>
      <c r="X792" s="56">
        <v>0.93</v>
      </c>
      <c r="Y792" s="31">
        <v>4</v>
      </c>
      <c r="AB792" s="58">
        <f t="shared" si="47"/>
        <v>0.93</v>
      </c>
      <c r="AC792" s="54">
        <f t="shared" si="48"/>
        <v>4</v>
      </c>
      <c r="AF792" s="51">
        <v>789</v>
      </c>
      <c r="AG792" s="6">
        <v>22</v>
      </c>
      <c r="AH792" s="6">
        <v>4</v>
      </c>
      <c r="AK792" s="31">
        <f t="shared" si="49"/>
        <v>22</v>
      </c>
      <c r="AL792" s="31">
        <f t="shared" si="49"/>
        <v>4</v>
      </c>
    </row>
    <row r="793" spans="16:38">
      <c r="P793" s="53">
        <v>790</v>
      </c>
      <c r="Q793" s="54">
        <v>0</v>
      </c>
      <c r="R793" s="54">
        <v>10</v>
      </c>
      <c r="W793" s="31">
        <v>790</v>
      </c>
      <c r="X793" s="56">
        <v>1</v>
      </c>
      <c r="Y793" s="31">
        <v>10</v>
      </c>
      <c r="AB793" s="58">
        <f t="shared" si="47"/>
        <v>1</v>
      </c>
      <c r="AC793" s="54">
        <f t="shared" si="48"/>
        <v>10</v>
      </c>
      <c r="AF793" s="51">
        <v>790</v>
      </c>
      <c r="AG793" s="6">
        <v>20</v>
      </c>
      <c r="AH793" s="6">
        <v>10</v>
      </c>
      <c r="AK793" s="31">
        <f t="shared" si="49"/>
        <v>20</v>
      </c>
      <c r="AL793" s="31">
        <f t="shared" si="49"/>
        <v>10</v>
      </c>
    </row>
    <row r="794" spans="16:38">
      <c r="P794" s="53">
        <v>791</v>
      </c>
      <c r="Q794" s="54">
        <v>3</v>
      </c>
      <c r="R794" s="54">
        <v>17</v>
      </c>
      <c r="W794" s="31">
        <v>791</v>
      </c>
      <c r="X794" s="56">
        <v>1</v>
      </c>
      <c r="Y794" s="31">
        <v>20</v>
      </c>
      <c r="AB794" s="58">
        <f t="shared" si="47"/>
        <v>1</v>
      </c>
      <c r="AC794" s="54">
        <f t="shared" si="48"/>
        <v>20</v>
      </c>
      <c r="AF794" s="51">
        <v>791</v>
      </c>
      <c r="AG794" s="6">
        <v>20</v>
      </c>
      <c r="AH794" s="6">
        <v>20</v>
      </c>
      <c r="AK794" s="31">
        <f t="shared" si="49"/>
        <v>20</v>
      </c>
      <c r="AL794" s="31">
        <f t="shared" si="49"/>
        <v>20</v>
      </c>
    </row>
    <row r="795" spans="16:38">
      <c r="P795" s="53">
        <v>792</v>
      </c>
      <c r="Q795" s="54">
        <v>3</v>
      </c>
      <c r="R795" s="54">
        <v>31</v>
      </c>
      <c r="W795" s="31">
        <v>792</v>
      </c>
      <c r="X795" s="56">
        <v>1</v>
      </c>
      <c r="Y795" s="31">
        <v>34</v>
      </c>
      <c r="AB795" s="58">
        <f t="shared" si="47"/>
        <v>1</v>
      </c>
      <c r="AC795" s="54">
        <f t="shared" si="48"/>
        <v>34</v>
      </c>
      <c r="AF795" s="51">
        <v>792</v>
      </c>
      <c r="AG795" s="6">
        <v>20</v>
      </c>
      <c r="AH795" s="6">
        <v>34</v>
      </c>
      <c r="AK795" s="31">
        <f t="shared" si="49"/>
        <v>20</v>
      </c>
      <c r="AL795" s="31">
        <f t="shared" si="49"/>
        <v>34</v>
      </c>
    </row>
    <row r="796" spans="16:38">
      <c r="P796" s="53">
        <v>793</v>
      </c>
      <c r="Q796" s="54">
        <v>1</v>
      </c>
      <c r="R796" s="54">
        <v>46</v>
      </c>
      <c r="W796" s="31">
        <v>793</v>
      </c>
      <c r="X796" s="56">
        <v>1</v>
      </c>
      <c r="Y796" s="31">
        <v>47</v>
      </c>
      <c r="AB796" s="58">
        <f t="shared" si="47"/>
        <v>1</v>
      </c>
      <c r="AC796" s="54">
        <f t="shared" si="48"/>
        <v>47</v>
      </c>
      <c r="AF796" s="51">
        <v>793</v>
      </c>
      <c r="AG796" s="6">
        <v>22</v>
      </c>
      <c r="AH796" s="6">
        <v>47</v>
      </c>
      <c r="AK796" s="31">
        <f t="shared" si="49"/>
        <v>22</v>
      </c>
      <c r="AL796" s="31">
        <f t="shared" si="49"/>
        <v>47</v>
      </c>
    </row>
    <row r="797" spans="16:38">
      <c r="P797" s="53">
        <v>794</v>
      </c>
      <c r="Q797" s="54">
        <v>10</v>
      </c>
      <c r="R797" s="54">
        <v>42</v>
      </c>
      <c r="W797" s="31">
        <v>794</v>
      </c>
      <c r="X797" s="56">
        <v>1</v>
      </c>
      <c r="Y797" s="31">
        <v>52</v>
      </c>
      <c r="AB797" s="58">
        <f t="shared" si="47"/>
        <v>1</v>
      </c>
      <c r="AC797" s="54">
        <f t="shared" si="48"/>
        <v>52</v>
      </c>
      <c r="AF797" s="51">
        <v>794</v>
      </c>
      <c r="AG797" s="6">
        <v>22</v>
      </c>
      <c r="AH797" s="6">
        <v>52</v>
      </c>
      <c r="AK797" s="31">
        <f t="shared" si="49"/>
        <v>22</v>
      </c>
      <c r="AL797" s="31">
        <f t="shared" si="49"/>
        <v>52</v>
      </c>
    </row>
    <row r="798" spans="16:38">
      <c r="P798" s="53">
        <v>795</v>
      </c>
      <c r="Q798" s="54">
        <v>10</v>
      </c>
      <c r="R798" s="54">
        <v>62</v>
      </c>
      <c r="W798" s="31">
        <v>795</v>
      </c>
      <c r="X798" s="56">
        <v>1</v>
      </c>
      <c r="Y798" s="31">
        <v>72</v>
      </c>
      <c r="AB798" s="58">
        <f t="shared" si="47"/>
        <v>1</v>
      </c>
      <c r="AC798" s="54">
        <f t="shared" si="48"/>
        <v>72</v>
      </c>
      <c r="AF798" s="51">
        <v>795</v>
      </c>
      <c r="AG798" s="6">
        <v>22</v>
      </c>
      <c r="AH798" s="6">
        <v>72</v>
      </c>
      <c r="AK798" s="31">
        <f t="shared" si="49"/>
        <v>22</v>
      </c>
      <c r="AL798" s="31">
        <f t="shared" si="49"/>
        <v>72</v>
      </c>
    </row>
    <row r="799" spans="16:38">
      <c r="P799" s="53">
        <v>796</v>
      </c>
      <c r="Q799" s="54">
        <v>5</v>
      </c>
      <c r="R799" s="54">
        <v>50</v>
      </c>
      <c r="W799" s="31">
        <v>796</v>
      </c>
      <c r="X799" s="56">
        <v>1</v>
      </c>
      <c r="Y799" s="31">
        <v>55</v>
      </c>
      <c r="AB799" s="58">
        <f t="shared" si="47"/>
        <v>1</v>
      </c>
      <c r="AC799" s="54">
        <f t="shared" si="48"/>
        <v>55</v>
      </c>
      <c r="AF799" s="51">
        <v>796</v>
      </c>
      <c r="AG799" s="6">
        <v>22</v>
      </c>
      <c r="AH799" s="6">
        <v>55</v>
      </c>
      <c r="AK799" s="31">
        <f t="shared" si="49"/>
        <v>22</v>
      </c>
      <c r="AL799" s="31">
        <f t="shared" si="49"/>
        <v>55</v>
      </c>
    </row>
    <row r="800" spans="16:38">
      <c r="P800" s="53">
        <v>797</v>
      </c>
      <c r="Q800" s="54">
        <v>11</v>
      </c>
      <c r="R800" s="54">
        <v>49</v>
      </c>
      <c r="W800" s="31">
        <v>797</v>
      </c>
      <c r="X800" s="56">
        <v>1</v>
      </c>
      <c r="Y800" s="31">
        <v>60</v>
      </c>
      <c r="AB800" s="58">
        <f t="shared" si="47"/>
        <v>1</v>
      </c>
      <c r="AC800" s="54">
        <f t="shared" si="48"/>
        <v>60</v>
      </c>
      <c r="AF800" s="51">
        <v>797</v>
      </c>
      <c r="AG800" s="6">
        <v>22</v>
      </c>
      <c r="AH800" s="6">
        <v>60</v>
      </c>
      <c r="AK800" s="31">
        <f t="shared" si="49"/>
        <v>22</v>
      </c>
      <c r="AL800" s="31">
        <f t="shared" si="49"/>
        <v>60</v>
      </c>
    </row>
    <row r="801" spans="16:38">
      <c r="P801" s="53">
        <v>798</v>
      </c>
      <c r="Q801" s="54">
        <v>8</v>
      </c>
      <c r="R801" s="54">
        <v>63</v>
      </c>
      <c r="W801" s="31">
        <v>798</v>
      </c>
      <c r="X801" s="56">
        <v>1</v>
      </c>
      <c r="Y801" s="31">
        <v>71</v>
      </c>
      <c r="AB801" s="58">
        <f t="shared" si="47"/>
        <v>1</v>
      </c>
      <c r="AC801" s="54">
        <f t="shared" si="48"/>
        <v>71</v>
      </c>
      <c r="AF801" s="51">
        <v>798</v>
      </c>
      <c r="AG801" s="6">
        <v>22</v>
      </c>
      <c r="AH801" s="6">
        <v>71</v>
      </c>
      <c r="AK801" s="31">
        <f t="shared" si="49"/>
        <v>22</v>
      </c>
      <c r="AL801" s="31">
        <f t="shared" si="49"/>
        <v>71</v>
      </c>
    </row>
    <row r="802" spans="16:38">
      <c r="P802" s="53">
        <v>799</v>
      </c>
      <c r="Q802" s="54">
        <v>14</v>
      </c>
      <c r="R802" s="54">
        <v>64</v>
      </c>
      <c r="W802" s="31">
        <v>799</v>
      </c>
      <c r="X802" s="56">
        <v>1</v>
      </c>
      <c r="Y802" s="31">
        <v>78</v>
      </c>
      <c r="AB802" s="58">
        <f t="shared" si="47"/>
        <v>1</v>
      </c>
      <c r="AC802" s="54">
        <f t="shared" si="48"/>
        <v>78</v>
      </c>
      <c r="AF802" s="51">
        <v>799</v>
      </c>
      <c r="AG802" s="6">
        <v>24</v>
      </c>
      <c r="AH802" s="6">
        <v>78</v>
      </c>
      <c r="AK802" s="31">
        <f t="shared" si="49"/>
        <v>24</v>
      </c>
      <c r="AL802" s="31">
        <f t="shared" si="49"/>
        <v>78</v>
      </c>
    </row>
    <row r="803" spans="16:38">
      <c r="P803" s="53">
        <v>800</v>
      </c>
      <c r="Q803" s="54">
        <v>2</v>
      </c>
      <c r="R803" s="54">
        <v>81</v>
      </c>
      <c r="W803" s="31">
        <v>800</v>
      </c>
      <c r="X803" s="56">
        <v>0.93</v>
      </c>
      <c r="Y803" s="31">
        <v>83</v>
      </c>
      <c r="AB803" s="58">
        <f t="shared" si="47"/>
        <v>0.93</v>
      </c>
      <c r="AC803" s="54">
        <f t="shared" si="48"/>
        <v>83</v>
      </c>
      <c r="AF803" s="51">
        <v>800</v>
      </c>
      <c r="AG803" s="6">
        <v>28.000000000000004</v>
      </c>
      <c r="AH803" s="6">
        <v>83</v>
      </c>
      <c r="AK803" s="31">
        <f t="shared" si="49"/>
        <v>28.000000000000004</v>
      </c>
      <c r="AL803" s="31">
        <f t="shared" si="49"/>
        <v>83</v>
      </c>
    </row>
    <row r="804" spans="16:38">
      <c r="P804" s="53">
        <v>801</v>
      </c>
      <c r="Q804" s="54">
        <v>6</v>
      </c>
      <c r="R804" s="54">
        <v>78</v>
      </c>
      <c r="W804" s="31">
        <v>801</v>
      </c>
      <c r="X804" s="56">
        <v>0.93</v>
      </c>
      <c r="Y804" s="31">
        <v>84</v>
      </c>
      <c r="AB804" s="58">
        <f t="shared" si="47"/>
        <v>0.93</v>
      </c>
      <c r="AC804" s="54">
        <f t="shared" si="48"/>
        <v>84</v>
      </c>
      <c r="AF804" s="51">
        <v>801</v>
      </c>
      <c r="AG804" s="6">
        <v>28.000000000000004</v>
      </c>
      <c r="AH804" s="6">
        <v>84</v>
      </c>
      <c r="AK804" s="31">
        <f t="shared" si="49"/>
        <v>28.000000000000004</v>
      </c>
      <c r="AL804" s="31">
        <f t="shared" si="49"/>
        <v>84</v>
      </c>
    </row>
    <row r="805" spans="16:38">
      <c r="P805" s="53">
        <v>802</v>
      </c>
      <c r="Q805" s="54">
        <v>5</v>
      </c>
      <c r="R805" s="54">
        <v>64</v>
      </c>
      <c r="W805" s="31">
        <v>802</v>
      </c>
      <c r="X805" s="56">
        <v>0.87</v>
      </c>
      <c r="Y805" s="31">
        <v>69</v>
      </c>
      <c r="AB805" s="58">
        <f t="shared" si="47"/>
        <v>0.87</v>
      </c>
      <c r="AC805" s="54">
        <f t="shared" si="48"/>
        <v>69</v>
      </c>
      <c r="AF805" s="51">
        <v>802</v>
      </c>
      <c r="AG805" s="6">
        <v>30</v>
      </c>
      <c r="AH805" s="6">
        <v>69</v>
      </c>
      <c r="AK805" s="31">
        <f t="shared" si="49"/>
        <v>30</v>
      </c>
      <c r="AL805" s="31">
        <f t="shared" si="49"/>
        <v>69</v>
      </c>
    </row>
    <row r="806" spans="16:38">
      <c r="P806" s="53">
        <v>803</v>
      </c>
      <c r="Q806" s="54">
        <v>3</v>
      </c>
      <c r="R806" s="54">
        <v>53</v>
      </c>
      <c r="W806" s="31">
        <v>803</v>
      </c>
      <c r="X806" s="56">
        <v>1</v>
      </c>
      <c r="Y806" s="31">
        <v>56</v>
      </c>
      <c r="AB806" s="58">
        <f t="shared" si="47"/>
        <v>1</v>
      </c>
      <c r="AC806" s="54">
        <f t="shared" si="48"/>
        <v>56</v>
      </c>
      <c r="AF806" s="51">
        <v>803</v>
      </c>
      <c r="AG806" s="6">
        <v>26</v>
      </c>
      <c r="AH806" s="6">
        <v>56</v>
      </c>
      <c r="AK806" s="31">
        <f t="shared" si="49"/>
        <v>26</v>
      </c>
      <c r="AL806" s="31">
        <f t="shared" si="49"/>
        <v>56</v>
      </c>
    </row>
    <row r="807" spans="16:38">
      <c r="P807" s="53">
        <v>804</v>
      </c>
      <c r="Q807" s="54">
        <v>2</v>
      </c>
      <c r="R807" s="54">
        <v>43</v>
      </c>
      <c r="W807" s="31">
        <v>804</v>
      </c>
      <c r="X807" s="56">
        <v>0.93</v>
      </c>
      <c r="Y807" s="31">
        <v>45</v>
      </c>
      <c r="AB807" s="58">
        <f t="shared" si="47"/>
        <v>0.93</v>
      </c>
      <c r="AC807" s="54">
        <f t="shared" si="48"/>
        <v>45</v>
      </c>
      <c r="AF807" s="51">
        <v>804</v>
      </c>
      <c r="AG807" s="6">
        <v>26</v>
      </c>
      <c r="AH807" s="6">
        <v>45</v>
      </c>
      <c r="AK807" s="31">
        <f t="shared" si="49"/>
        <v>26</v>
      </c>
      <c r="AL807" s="31">
        <f t="shared" si="49"/>
        <v>45</v>
      </c>
    </row>
    <row r="808" spans="16:38">
      <c r="P808" s="53">
        <v>805</v>
      </c>
      <c r="Q808" s="54">
        <v>7</v>
      </c>
      <c r="R808" s="54">
        <v>52</v>
      </c>
      <c r="W808" s="31">
        <v>805</v>
      </c>
      <c r="X808" s="56">
        <v>0.93</v>
      </c>
      <c r="Y808" s="31">
        <v>59</v>
      </c>
      <c r="AB808" s="58">
        <f t="shared" si="47"/>
        <v>0.93</v>
      </c>
      <c r="AC808" s="54">
        <f t="shared" si="48"/>
        <v>59</v>
      </c>
      <c r="AF808" s="51">
        <v>805</v>
      </c>
      <c r="AG808" s="6">
        <v>26</v>
      </c>
      <c r="AH808" s="6">
        <v>59</v>
      </c>
      <c r="AK808" s="31">
        <f t="shared" si="49"/>
        <v>26</v>
      </c>
      <c r="AL808" s="31">
        <f t="shared" si="49"/>
        <v>59</v>
      </c>
    </row>
    <row r="809" spans="16:38">
      <c r="P809" s="53">
        <v>806</v>
      </c>
      <c r="Q809" s="54">
        <v>2</v>
      </c>
      <c r="R809" s="54">
        <v>37</v>
      </c>
      <c r="W809" s="31">
        <v>806</v>
      </c>
      <c r="X809" s="56">
        <v>0.7</v>
      </c>
      <c r="Y809" s="31">
        <v>39</v>
      </c>
      <c r="AB809" s="58">
        <f t="shared" si="47"/>
        <v>0.7</v>
      </c>
      <c r="AC809" s="54">
        <f t="shared" si="48"/>
        <v>39</v>
      </c>
      <c r="AF809" s="51">
        <v>806</v>
      </c>
      <c r="AG809" s="6">
        <v>26</v>
      </c>
      <c r="AH809" s="6">
        <v>39</v>
      </c>
      <c r="AK809" s="31">
        <f t="shared" si="49"/>
        <v>26</v>
      </c>
      <c r="AL809" s="31">
        <f t="shared" si="49"/>
        <v>39</v>
      </c>
    </row>
    <row r="810" spans="16:38">
      <c r="P810" s="53">
        <v>807</v>
      </c>
      <c r="Q810" s="54">
        <v>4</v>
      </c>
      <c r="R810" s="54">
        <v>40</v>
      </c>
      <c r="W810" s="31">
        <v>807</v>
      </c>
      <c r="X810" s="56">
        <v>0.65</v>
      </c>
      <c r="Y810" s="31">
        <v>44</v>
      </c>
      <c r="AB810" s="58">
        <f t="shared" si="47"/>
        <v>0.65</v>
      </c>
      <c r="AC810" s="54">
        <f t="shared" si="48"/>
        <v>44</v>
      </c>
      <c r="AF810" s="51">
        <v>807</v>
      </c>
      <c r="AG810" s="6">
        <v>26</v>
      </c>
      <c r="AH810" s="6">
        <v>44</v>
      </c>
      <c r="AK810" s="31">
        <f t="shared" si="49"/>
        <v>26</v>
      </c>
      <c r="AL810" s="31">
        <f t="shared" si="49"/>
        <v>44</v>
      </c>
    </row>
    <row r="811" spans="16:38">
      <c r="P811" s="53">
        <v>808</v>
      </c>
      <c r="Q811" s="54">
        <v>0</v>
      </c>
      <c r="R811" s="54">
        <v>20</v>
      </c>
      <c r="W811" s="31">
        <v>808</v>
      </c>
      <c r="X811" s="56">
        <v>0.6</v>
      </c>
      <c r="Y811" s="31">
        <v>20</v>
      </c>
      <c r="AB811" s="58">
        <f t="shared" si="47"/>
        <v>0.6</v>
      </c>
      <c r="AC811" s="54">
        <f t="shared" si="48"/>
        <v>20</v>
      </c>
      <c r="AF811" s="51">
        <v>808</v>
      </c>
      <c r="AG811" s="6">
        <v>26</v>
      </c>
      <c r="AH811" s="6">
        <v>20</v>
      </c>
      <c r="AK811" s="31">
        <f t="shared" si="49"/>
        <v>26</v>
      </c>
      <c r="AL811" s="31">
        <f t="shared" si="49"/>
        <v>20</v>
      </c>
    </row>
    <row r="812" spans="16:38">
      <c r="P812" s="53">
        <v>809</v>
      </c>
      <c r="Q812" s="54">
        <v>3</v>
      </c>
      <c r="R812" s="54">
        <v>10</v>
      </c>
      <c r="W812" s="31">
        <v>809</v>
      </c>
      <c r="X812" s="56">
        <v>0.6</v>
      </c>
      <c r="Y812" s="31">
        <v>13</v>
      </c>
      <c r="AB812" s="58">
        <f t="shared" si="47"/>
        <v>0.6</v>
      </c>
      <c r="AC812" s="54">
        <f t="shared" si="48"/>
        <v>13</v>
      </c>
      <c r="AF812" s="51">
        <v>809</v>
      </c>
      <c r="AG812" s="6">
        <v>26</v>
      </c>
      <c r="AH812" s="6">
        <v>13</v>
      </c>
      <c r="AK812" s="31">
        <f t="shared" si="49"/>
        <v>26</v>
      </c>
      <c r="AL812" s="31">
        <f t="shared" si="49"/>
        <v>13</v>
      </c>
    </row>
    <row r="813" spans="16:38">
      <c r="P813" s="53">
        <v>810</v>
      </c>
      <c r="Q813" s="54">
        <v>0</v>
      </c>
      <c r="R813" s="54">
        <v>2</v>
      </c>
      <c r="W813" s="31">
        <v>810</v>
      </c>
      <c r="X813" s="56">
        <v>0.6</v>
      </c>
      <c r="Y813" s="31">
        <v>2</v>
      </c>
      <c r="AB813" s="58">
        <f t="shared" si="47"/>
        <v>0.6</v>
      </c>
      <c r="AC813" s="54">
        <f t="shared" si="48"/>
        <v>2</v>
      </c>
      <c r="AF813" s="51">
        <v>810</v>
      </c>
      <c r="AG813" s="6">
        <v>26</v>
      </c>
      <c r="AH813" s="6">
        <v>2</v>
      </c>
      <c r="AK813" s="31">
        <f t="shared" si="49"/>
        <v>26</v>
      </c>
      <c r="AL813" s="31">
        <f t="shared" si="49"/>
        <v>2</v>
      </c>
    </row>
    <row r="814" spans="16:38">
      <c r="P814" s="53">
        <v>811</v>
      </c>
      <c r="Q814" s="54">
        <v>0</v>
      </c>
      <c r="R814" s="54">
        <v>1</v>
      </c>
      <c r="W814" s="31">
        <v>811</v>
      </c>
      <c r="X814" s="56">
        <v>0.6</v>
      </c>
      <c r="Y814" s="31">
        <v>1</v>
      </c>
      <c r="AB814" s="58">
        <f t="shared" si="47"/>
        <v>0.6</v>
      </c>
      <c r="AC814" s="54">
        <f t="shared" si="48"/>
        <v>1</v>
      </c>
      <c r="AF814" s="51">
        <v>811</v>
      </c>
      <c r="AG814" s="6">
        <v>26</v>
      </c>
      <c r="AH814" s="6">
        <v>1</v>
      </c>
      <c r="AK814" s="31">
        <f t="shared" si="49"/>
        <v>26</v>
      </c>
      <c r="AL814" s="31">
        <f t="shared" si="49"/>
        <v>1</v>
      </c>
    </row>
    <row r="815" spans="16:38">
      <c r="P815" s="53">
        <v>812</v>
      </c>
      <c r="Q815" s="54">
        <v>0</v>
      </c>
      <c r="R815" s="54">
        <v>1</v>
      </c>
      <c r="W815" s="31">
        <v>812</v>
      </c>
      <c r="X815" s="56">
        <v>0.6</v>
      </c>
      <c r="Y815" s="31">
        <v>1</v>
      </c>
      <c r="AB815" s="58">
        <f t="shared" si="47"/>
        <v>0.6</v>
      </c>
      <c r="AC815" s="54">
        <f t="shared" si="48"/>
        <v>1</v>
      </c>
      <c r="AF815" s="51">
        <v>812</v>
      </c>
      <c r="AG815" s="6">
        <v>26</v>
      </c>
      <c r="AH815" s="6">
        <v>1</v>
      </c>
      <c r="AK815" s="31">
        <f t="shared" si="49"/>
        <v>26</v>
      </c>
      <c r="AL815" s="31">
        <f t="shared" si="49"/>
        <v>1</v>
      </c>
    </row>
    <row r="816" spans="16:38">
      <c r="P816" s="53">
        <v>813</v>
      </c>
      <c r="Q816" s="54">
        <v>0</v>
      </c>
      <c r="R816" s="54">
        <v>8</v>
      </c>
      <c r="W816" s="31">
        <v>813</v>
      </c>
      <c r="X816" s="56">
        <v>0.65</v>
      </c>
      <c r="Y816" s="31">
        <v>8</v>
      </c>
      <c r="AB816" s="58">
        <f t="shared" si="47"/>
        <v>0.65</v>
      </c>
      <c r="AC816" s="54">
        <f t="shared" si="48"/>
        <v>8</v>
      </c>
      <c r="AF816" s="51">
        <v>813</v>
      </c>
      <c r="AG816" s="6">
        <v>24</v>
      </c>
      <c r="AH816" s="6">
        <v>8</v>
      </c>
      <c r="AK816" s="31">
        <f t="shared" si="49"/>
        <v>24</v>
      </c>
      <c r="AL816" s="31">
        <f t="shared" si="49"/>
        <v>8</v>
      </c>
    </row>
    <row r="817" spans="16:38">
      <c r="P817" s="53">
        <v>814</v>
      </c>
      <c r="Q817" s="54">
        <v>2</v>
      </c>
      <c r="R817" s="54">
        <v>21</v>
      </c>
      <c r="W817" s="31">
        <v>814</v>
      </c>
      <c r="X817" s="56">
        <v>0.65</v>
      </c>
      <c r="Y817" s="31">
        <v>23</v>
      </c>
      <c r="AB817" s="58">
        <f t="shared" si="47"/>
        <v>0.65</v>
      </c>
      <c r="AC817" s="54">
        <f t="shared" si="48"/>
        <v>23</v>
      </c>
      <c r="AF817" s="51">
        <v>814</v>
      </c>
      <c r="AG817" s="6">
        <v>24</v>
      </c>
      <c r="AH817" s="6">
        <v>23</v>
      </c>
      <c r="AK817" s="31">
        <f t="shared" si="49"/>
        <v>24</v>
      </c>
      <c r="AL817" s="31">
        <f t="shared" si="49"/>
        <v>23</v>
      </c>
    </row>
    <row r="818" spans="16:38">
      <c r="P818" s="53">
        <v>815</v>
      </c>
      <c r="Q818" s="54">
        <v>7</v>
      </c>
      <c r="R818" s="54">
        <v>38</v>
      </c>
      <c r="W818" s="31">
        <v>815</v>
      </c>
      <c r="X818" s="56">
        <v>0.56000000000000005</v>
      </c>
      <c r="Y818" s="31">
        <v>45</v>
      </c>
      <c r="AB818" s="58">
        <f t="shared" si="47"/>
        <v>0.56000000000000005</v>
      </c>
      <c r="AC818" s="54">
        <f t="shared" si="48"/>
        <v>45</v>
      </c>
      <c r="AF818" s="51">
        <v>815</v>
      </c>
      <c r="AG818" s="6">
        <v>28.000000000000004</v>
      </c>
      <c r="AH818" s="6">
        <v>45</v>
      </c>
      <c r="AK818" s="31">
        <f t="shared" si="49"/>
        <v>28.000000000000004</v>
      </c>
      <c r="AL818" s="31">
        <f t="shared" si="49"/>
        <v>45</v>
      </c>
    </row>
    <row r="819" spans="16:38">
      <c r="P819" s="53">
        <v>816</v>
      </c>
      <c r="Q819" s="54">
        <v>15</v>
      </c>
      <c r="R819" s="54">
        <v>74</v>
      </c>
      <c r="W819" s="31">
        <v>816</v>
      </c>
      <c r="X819" s="56">
        <v>0.52</v>
      </c>
      <c r="Y819" s="31">
        <v>89</v>
      </c>
      <c r="AB819" s="58">
        <f t="shared" si="47"/>
        <v>0.52</v>
      </c>
      <c r="AC819" s="54">
        <f t="shared" si="48"/>
        <v>89</v>
      </c>
      <c r="AF819" s="51">
        <v>816</v>
      </c>
      <c r="AG819" s="6">
        <v>30</v>
      </c>
      <c r="AH819" s="6">
        <v>89</v>
      </c>
      <c r="AK819" s="31">
        <f t="shared" si="49"/>
        <v>30</v>
      </c>
      <c r="AL819" s="31">
        <f t="shared" si="49"/>
        <v>89</v>
      </c>
    </row>
    <row r="820" spans="16:38">
      <c r="P820" s="53">
        <v>817</v>
      </c>
      <c r="Q820" s="54">
        <v>28</v>
      </c>
      <c r="R820" s="54">
        <v>89</v>
      </c>
      <c r="W820" s="31">
        <v>817</v>
      </c>
      <c r="X820" s="56">
        <v>0.49</v>
      </c>
      <c r="Y820" s="31">
        <v>117</v>
      </c>
      <c r="AB820" s="58">
        <f t="shared" si="47"/>
        <v>0.49</v>
      </c>
      <c r="AC820" s="54">
        <f t="shared" si="48"/>
        <v>117</v>
      </c>
      <c r="AF820" s="51">
        <v>817</v>
      </c>
      <c r="AG820" s="6">
        <v>32</v>
      </c>
      <c r="AH820" s="6">
        <v>117</v>
      </c>
      <c r="AK820" s="31">
        <f t="shared" si="49"/>
        <v>32</v>
      </c>
      <c r="AL820" s="31">
        <f t="shared" si="49"/>
        <v>117</v>
      </c>
    </row>
    <row r="821" spans="16:38">
      <c r="P821" s="53">
        <v>818</v>
      </c>
      <c r="Q821" s="54">
        <v>48</v>
      </c>
      <c r="R821" s="54">
        <v>126</v>
      </c>
      <c r="W821" s="31">
        <v>818</v>
      </c>
      <c r="X821" s="56">
        <v>0.46</v>
      </c>
      <c r="Y821" s="31">
        <v>174</v>
      </c>
      <c r="AB821" s="58">
        <f t="shared" si="47"/>
        <v>0.46</v>
      </c>
      <c r="AC821" s="54">
        <f t="shared" si="48"/>
        <v>174</v>
      </c>
      <c r="AF821" s="51">
        <v>818</v>
      </c>
      <c r="AG821" s="6">
        <v>34</v>
      </c>
      <c r="AH821" s="6">
        <v>174</v>
      </c>
      <c r="AK821" s="31">
        <f t="shared" si="49"/>
        <v>34</v>
      </c>
      <c r="AL821" s="31">
        <f t="shared" si="49"/>
        <v>174</v>
      </c>
    </row>
    <row r="822" spans="16:38">
      <c r="P822" s="53">
        <v>819</v>
      </c>
      <c r="Q822" s="54">
        <v>47</v>
      </c>
      <c r="R822" s="54">
        <v>135</v>
      </c>
      <c r="W822" s="31">
        <v>819</v>
      </c>
      <c r="X822" s="56">
        <v>0.46</v>
      </c>
      <c r="Y822" s="31">
        <v>182</v>
      </c>
      <c r="AB822" s="58">
        <f t="shared" si="47"/>
        <v>0.46</v>
      </c>
      <c r="AC822" s="54">
        <f t="shared" si="48"/>
        <v>182</v>
      </c>
      <c r="AF822" s="51">
        <v>819</v>
      </c>
      <c r="AG822" s="6">
        <v>34</v>
      </c>
      <c r="AH822" s="6">
        <v>182</v>
      </c>
      <c r="AK822" s="31">
        <f t="shared" si="49"/>
        <v>34</v>
      </c>
      <c r="AL822" s="31">
        <f t="shared" si="49"/>
        <v>182</v>
      </c>
    </row>
    <row r="823" spans="16:38">
      <c r="P823" s="53">
        <v>820</v>
      </c>
      <c r="Q823" s="54">
        <v>47</v>
      </c>
      <c r="R823" s="54">
        <v>114</v>
      </c>
      <c r="W823" s="31">
        <v>820</v>
      </c>
      <c r="X823" s="56">
        <v>0.46</v>
      </c>
      <c r="Y823" s="31">
        <v>161</v>
      </c>
      <c r="AB823" s="58">
        <f t="shared" si="47"/>
        <v>0.46</v>
      </c>
      <c r="AC823" s="54">
        <f t="shared" si="48"/>
        <v>161</v>
      </c>
      <c r="AF823" s="51">
        <v>820</v>
      </c>
      <c r="AG823" s="6">
        <v>34</v>
      </c>
      <c r="AH823" s="6">
        <v>161</v>
      </c>
      <c r="AK823" s="31">
        <f t="shared" si="49"/>
        <v>34</v>
      </c>
      <c r="AL823" s="31">
        <f t="shared" si="49"/>
        <v>161</v>
      </c>
    </row>
    <row r="824" spans="16:38">
      <c r="P824" s="53">
        <v>821</v>
      </c>
      <c r="Q824" s="54">
        <v>52</v>
      </c>
      <c r="R824" s="54">
        <v>130</v>
      </c>
      <c r="W824" s="31">
        <v>821</v>
      </c>
      <c r="X824" s="56">
        <v>0.46</v>
      </c>
      <c r="Y824" s="31">
        <v>182</v>
      </c>
      <c r="AB824" s="58">
        <f t="shared" si="47"/>
        <v>0.46</v>
      </c>
      <c r="AC824" s="54">
        <f t="shared" si="48"/>
        <v>182</v>
      </c>
      <c r="AF824" s="51">
        <v>821</v>
      </c>
      <c r="AG824" s="6">
        <v>34</v>
      </c>
      <c r="AH824" s="6">
        <v>182</v>
      </c>
      <c r="AK824" s="31">
        <f t="shared" si="49"/>
        <v>34</v>
      </c>
      <c r="AL824" s="31">
        <f t="shared" si="49"/>
        <v>182</v>
      </c>
    </row>
    <row r="825" spans="16:38">
      <c r="P825" s="53">
        <v>822</v>
      </c>
      <c r="Q825" s="54">
        <v>42</v>
      </c>
      <c r="R825" s="54">
        <v>115</v>
      </c>
      <c r="W825" s="31">
        <v>822</v>
      </c>
      <c r="X825" s="56">
        <v>0.49</v>
      </c>
      <c r="Y825" s="31">
        <v>157</v>
      </c>
      <c r="AB825" s="58">
        <f t="shared" si="47"/>
        <v>0.49</v>
      </c>
      <c r="AC825" s="54">
        <f t="shared" si="48"/>
        <v>157</v>
      </c>
      <c r="AF825" s="51">
        <v>822</v>
      </c>
      <c r="AG825" s="6">
        <v>34</v>
      </c>
      <c r="AH825" s="6">
        <v>157</v>
      </c>
      <c r="AK825" s="31">
        <f t="shared" si="49"/>
        <v>34</v>
      </c>
      <c r="AL825" s="31">
        <f t="shared" si="49"/>
        <v>157</v>
      </c>
    </row>
    <row r="826" spans="16:38">
      <c r="P826" s="53">
        <v>823</v>
      </c>
      <c r="Q826" s="54">
        <v>24</v>
      </c>
      <c r="R826" s="54">
        <v>97</v>
      </c>
      <c r="W826" s="31">
        <v>823</v>
      </c>
      <c r="X826" s="56">
        <v>0.46</v>
      </c>
      <c r="Y826" s="31">
        <v>121</v>
      </c>
      <c r="AB826" s="58">
        <f t="shared" si="47"/>
        <v>0.46</v>
      </c>
      <c r="AC826" s="54">
        <f t="shared" si="48"/>
        <v>121</v>
      </c>
      <c r="AF826" s="51">
        <v>823</v>
      </c>
      <c r="AG826" s="6">
        <v>34</v>
      </c>
      <c r="AH826" s="6">
        <v>121</v>
      </c>
      <c r="AK826" s="31">
        <f t="shared" si="49"/>
        <v>34</v>
      </c>
      <c r="AL826" s="31">
        <f t="shared" si="49"/>
        <v>121</v>
      </c>
    </row>
    <row r="827" spans="16:38">
      <c r="P827" s="53">
        <v>824</v>
      </c>
      <c r="Q827" s="54">
        <v>13</v>
      </c>
      <c r="R827" s="54">
        <v>65</v>
      </c>
      <c r="W827" s="31">
        <v>824</v>
      </c>
      <c r="X827" s="56">
        <v>0.56000000000000005</v>
      </c>
      <c r="Y827" s="31">
        <v>78</v>
      </c>
      <c r="AB827" s="58">
        <f t="shared" si="47"/>
        <v>0.56000000000000005</v>
      </c>
      <c r="AC827" s="54">
        <f t="shared" si="48"/>
        <v>78</v>
      </c>
      <c r="AF827" s="51">
        <v>824</v>
      </c>
      <c r="AG827" s="6">
        <v>30</v>
      </c>
      <c r="AH827" s="6">
        <v>78</v>
      </c>
      <c r="AK827" s="31">
        <f t="shared" si="49"/>
        <v>30</v>
      </c>
      <c r="AL827" s="31">
        <f t="shared" si="49"/>
        <v>78</v>
      </c>
    </row>
    <row r="828" spans="16:38">
      <c r="P828" s="53">
        <v>825</v>
      </c>
      <c r="Q828" s="54">
        <v>1</v>
      </c>
      <c r="R828" s="54">
        <v>20</v>
      </c>
      <c r="W828" s="31">
        <v>825</v>
      </c>
      <c r="X828" s="56">
        <v>0.61</v>
      </c>
      <c r="Y828" s="31">
        <v>21</v>
      </c>
      <c r="AB828" s="58">
        <f t="shared" si="47"/>
        <v>0.61</v>
      </c>
      <c r="AC828" s="54">
        <f t="shared" si="48"/>
        <v>21</v>
      </c>
      <c r="AF828" s="51">
        <v>825</v>
      </c>
      <c r="AG828" s="6">
        <v>28.000000000000004</v>
      </c>
      <c r="AH828" s="6">
        <v>21</v>
      </c>
      <c r="AK828" s="31">
        <f t="shared" si="49"/>
        <v>28.000000000000004</v>
      </c>
      <c r="AL828" s="31">
        <f t="shared" si="49"/>
        <v>21</v>
      </c>
    </row>
    <row r="829" spans="16:38">
      <c r="P829" s="53">
        <v>826</v>
      </c>
      <c r="Q829" s="54">
        <v>5</v>
      </c>
      <c r="R829" s="54">
        <v>21</v>
      </c>
      <c r="W829" s="31">
        <v>826</v>
      </c>
      <c r="X829" s="56">
        <v>0.61</v>
      </c>
      <c r="Y829" s="31">
        <v>26</v>
      </c>
      <c r="AB829" s="58">
        <f t="shared" si="47"/>
        <v>0.61</v>
      </c>
      <c r="AC829" s="54">
        <f t="shared" si="48"/>
        <v>26</v>
      </c>
      <c r="AF829" s="51">
        <v>826</v>
      </c>
      <c r="AG829" s="6">
        <v>28.000000000000004</v>
      </c>
      <c r="AH829" s="6">
        <v>26</v>
      </c>
      <c r="AK829" s="31">
        <f t="shared" si="49"/>
        <v>28.000000000000004</v>
      </c>
      <c r="AL829" s="31">
        <f t="shared" si="49"/>
        <v>26</v>
      </c>
    </row>
    <row r="830" spans="16:38">
      <c r="P830" s="53">
        <v>827</v>
      </c>
      <c r="Q830" s="54">
        <v>5</v>
      </c>
      <c r="R830" s="54">
        <v>22</v>
      </c>
      <c r="W830" s="31">
        <v>827</v>
      </c>
      <c r="X830" s="56">
        <v>0.6</v>
      </c>
      <c r="Y830" s="31">
        <v>27</v>
      </c>
      <c r="AB830" s="58">
        <f t="shared" si="47"/>
        <v>0.6</v>
      </c>
      <c r="AC830" s="54">
        <f t="shared" si="48"/>
        <v>27</v>
      </c>
      <c r="AF830" s="51">
        <v>827</v>
      </c>
      <c r="AG830" s="6">
        <v>26</v>
      </c>
      <c r="AH830" s="6">
        <v>27</v>
      </c>
      <c r="AK830" s="31">
        <f t="shared" si="49"/>
        <v>26</v>
      </c>
      <c r="AL830" s="31">
        <f t="shared" si="49"/>
        <v>27</v>
      </c>
    </row>
    <row r="831" spans="16:38">
      <c r="P831" s="53">
        <v>828</v>
      </c>
      <c r="Q831" s="54">
        <v>5</v>
      </c>
      <c r="R831" s="54">
        <v>57</v>
      </c>
      <c r="W831" s="31">
        <v>828</v>
      </c>
      <c r="X831" s="56">
        <v>0.6</v>
      </c>
      <c r="Y831" s="31">
        <v>62</v>
      </c>
      <c r="AB831" s="58">
        <f t="shared" si="47"/>
        <v>0.6</v>
      </c>
      <c r="AC831" s="54">
        <f t="shared" si="48"/>
        <v>62</v>
      </c>
      <c r="AF831" s="51">
        <v>828</v>
      </c>
      <c r="AG831" s="6">
        <v>26</v>
      </c>
      <c r="AH831" s="6">
        <v>62</v>
      </c>
      <c r="AK831" s="31">
        <f t="shared" si="49"/>
        <v>26</v>
      </c>
      <c r="AL831" s="31">
        <f t="shared" si="49"/>
        <v>62</v>
      </c>
    </row>
    <row r="832" spans="16:38">
      <c r="P832" s="53">
        <v>829</v>
      </c>
      <c r="Q832" s="54">
        <v>4</v>
      </c>
      <c r="R832" s="54">
        <v>26</v>
      </c>
      <c r="W832" s="31">
        <v>829</v>
      </c>
      <c r="X832" s="56">
        <v>0.65</v>
      </c>
      <c r="Y832" s="31">
        <v>30</v>
      </c>
      <c r="AB832" s="58">
        <f t="shared" si="47"/>
        <v>0.65</v>
      </c>
      <c r="AC832" s="54">
        <f t="shared" si="48"/>
        <v>30</v>
      </c>
      <c r="AF832" s="51">
        <v>829</v>
      </c>
      <c r="AG832" s="6">
        <v>24</v>
      </c>
      <c r="AH832" s="6">
        <v>30</v>
      </c>
      <c r="AK832" s="31">
        <f t="shared" si="49"/>
        <v>24</v>
      </c>
      <c r="AL832" s="31">
        <f t="shared" si="49"/>
        <v>30</v>
      </c>
    </row>
    <row r="833" spans="16:38">
      <c r="P833" s="53">
        <v>830</v>
      </c>
      <c r="Q833" s="54">
        <v>1</v>
      </c>
      <c r="R833" s="54">
        <v>14</v>
      </c>
      <c r="W833" s="31">
        <v>830</v>
      </c>
      <c r="X833" s="56">
        <v>0.65</v>
      </c>
      <c r="Y833" s="31">
        <v>15</v>
      </c>
      <c r="AB833" s="58">
        <f t="shared" si="47"/>
        <v>0.65</v>
      </c>
      <c r="AC833" s="54">
        <f t="shared" si="48"/>
        <v>15</v>
      </c>
      <c r="AF833" s="51">
        <v>830</v>
      </c>
      <c r="AG833" s="6">
        <v>24</v>
      </c>
      <c r="AH833" s="6">
        <v>15</v>
      </c>
      <c r="AK833" s="31">
        <f t="shared" si="49"/>
        <v>24</v>
      </c>
      <c r="AL833" s="31">
        <f t="shared" si="49"/>
        <v>15</v>
      </c>
    </row>
    <row r="834" spans="16:38">
      <c r="P834" s="53">
        <v>831</v>
      </c>
      <c r="Q834" s="54">
        <v>1</v>
      </c>
      <c r="R834" s="54">
        <v>4</v>
      </c>
      <c r="W834" s="31">
        <v>831</v>
      </c>
      <c r="X834" s="56">
        <v>0.75</v>
      </c>
      <c r="Y834" s="31">
        <v>5</v>
      </c>
      <c r="AB834" s="58">
        <f t="shared" si="47"/>
        <v>0.75</v>
      </c>
      <c r="AC834" s="54">
        <f t="shared" si="48"/>
        <v>5</v>
      </c>
      <c r="AF834" s="51">
        <v>831</v>
      </c>
      <c r="AG834" s="6">
        <v>22</v>
      </c>
      <c r="AH834" s="6">
        <v>5</v>
      </c>
      <c r="AK834" s="31">
        <f t="shared" si="49"/>
        <v>22</v>
      </c>
      <c r="AL834" s="31">
        <f t="shared" si="49"/>
        <v>5</v>
      </c>
    </row>
    <row r="835" spans="16:38">
      <c r="P835" s="53">
        <v>832</v>
      </c>
      <c r="Q835" s="54">
        <v>0</v>
      </c>
      <c r="R835" s="54">
        <v>3</v>
      </c>
      <c r="W835" s="31">
        <v>832</v>
      </c>
      <c r="X835" s="56">
        <v>0.8</v>
      </c>
      <c r="Y835" s="31">
        <v>3</v>
      </c>
      <c r="AB835" s="58">
        <f t="shared" si="47"/>
        <v>0.8</v>
      </c>
      <c r="AC835" s="54">
        <f t="shared" si="48"/>
        <v>3</v>
      </c>
      <c r="AF835" s="51">
        <v>832</v>
      </c>
      <c r="AG835" s="6">
        <v>20</v>
      </c>
      <c r="AH835" s="6">
        <v>3</v>
      </c>
      <c r="AK835" s="31">
        <f t="shared" si="49"/>
        <v>20</v>
      </c>
      <c r="AL835" s="31">
        <f t="shared" si="49"/>
        <v>3</v>
      </c>
    </row>
    <row r="836" spans="16:38">
      <c r="P836" s="53">
        <v>833</v>
      </c>
      <c r="Q836" s="54">
        <v>0</v>
      </c>
      <c r="R836" s="54">
        <v>1</v>
      </c>
      <c r="W836" s="31">
        <v>833</v>
      </c>
      <c r="X836" s="56">
        <v>0.86</v>
      </c>
      <c r="Y836" s="31">
        <v>1</v>
      </c>
      <c r="AB836" s="58">
        <f t="shared" si="47"/>
        <v>0.86</v>
      </c>
      <c r="AC836" s="54">
        <f t="shared" si="48"/>
        <v>1</v>
      </c>
      <c r="AF836" s="51">
        <v>833</v>
      </c>
      <c r="AG836" s="6">
        <v>20</v>
      </c>
      <c r="AH836" s="6">
        <v>1</v>
      </c>
      <c r="AK836" s="31">
        <f t="shared" si="49"/>
        <v>20</v>
      </c>
      <c r="AL836" s="31">
        <f t="shared" si="49"/>
        <v>1</v>
      </c>
    </row>
    <row r="837" spans="16:38">
      <c r="P837" s="53">
        <v>834</v>
      </c>
      <c r="Q837" s="54">
        <v>1</v>
      </c>
      <c r="R837" s="54">
        <v>1</v>
      </c>
      <c r="W837" s="31">
        <v>834</v>
      </c>
      <c r="X837" s="56">
        <v>0.86</v>
      </c>
      <c r="Y837" s="31">
        <v>2</v>
      </c>
      <c r="AB837" s="58">
        <f t="shared" ref="AB837:AB900" si="50">X837</f>
        <v>0.86</v>
      </c>
      <c r="AC837" s="54">
        <f t="shared" ref="AC837:AC900" si="51">Y837</f>
        <v>2</v>
      </c>
      <c r="AF837" s="51">
        <v>834</v>
      </c>
      <c r="AG837" s="6">
        <v>20</v>
      </c>
      <c r="AH837" s="6">
        <v>2</v>
      </c>
      <c r="AK837" s="31">
        <f t="shared" si="49"/>
        <v>20</v>
      </c>
      <c r="AL837" s="31">
        <f t="shared" si="49"/>
        <v>2</v>
      </c>
    </row>
    <row r="838" spans="16:38">
      <c r="P838" s="53">
        <v>835</v>
      </c>
      <c r="Q838" s="54">
        <v>1</v>
      </c>
      <c r="R838" s="54">
        <v>9</v>
      </c>
      <c r="W838" s="31">
        <v>835</v>
      </c>
      <c r="X838" s="56">
        <v>0.86</v>
      </c>
      <c r="Y838" s="31">
        <v>10</v>
      </c>
      <c r="AB838" s="58">
        <f t="shared" si="50"/>
        <v>0.86</v>
      </c>
      <c r="AC838" s="54">
        <f t="shared" si="51"/>
        <v>10</v>
      </c>
      <c r="AF838" s="51">
        <v>835</v>
      </c>
      <c r="AG838" s="6">
        <v>20</v>
      </c>
      <c r="AH838" s="6">
        <v>10</v>
      </c>
      <c r="AK838" s="31">
        <f t="shared" si="49"/>
        <v>20</v>
      </c>
      <c r="AL838" s="31">
        <f t="shared" si="49"/>
        <v>10</v>
      </c>
    </row>
    <row r="839" spans="16:38">
      <c r="P839" s="53">
        <v>836</v>
      </c>
      <c r="Q839" s="54">
        <v>1</v>
      </c>
      <c r="R839" s="54">
        <v>29</v>
      </c>
      <c r="W839" s="31">
        <v>836</v>
      </c>
      <c r="X839" s="56">
        <v>0.93</v>
      </c>
      <c r="Y839" s="31">
        <v>30</v>
      </c>
      <c r="AB839" s="58">
        <f t="shared" si="50"/>
        <v>0.93</v>
      </c>
      <c r="AC839" s="54">
        <f t="shared" si="51"/>
        <v>30</v>
      </c>
      <c r="AF839" s="51">
        <v>836</v>
      </c>
      <c r="AG839" s="6">
        <v>18</v>
      </c>
      <c r="AH839" s="6">
        <v>30</v>
      </c>
      <c r="AK839" s="31">
        <f t="shared" si="49"/>
        <v>18</v>
      </c>
      <c r="AL839" s="31">
        <f t="shared" si="49"/>
        <v>30</v>
      </c>
    </row>
    <row r="840" spans="16:38">
      <c r="P840" s="53">
        <v>837</v>
      </c>
      <c r="Q840" s="54">
        <v>6</v>
      </c>
      <c r="R840" s="54">
        <v>89</v>
      </c>
      <c r="W840" s="31">
        <v>837</v>
      </c>
      <c r="X840" s="56">
        <v>0.86</v>
      </c>
      <c r="Y840" s="31">
        <v>95</v>
      </c>
      <c r="AB840" s="58">
        <f t="shared" si="50"/>
        <v>0.86</v>
      </c>
      <c r="AC840" s="54">
        <f t="shared" si="51"/>
        <v>95</v>
      </c>
      <c r="AF840" s="51">
        <v>837</v>
      </c>
      <c r="AG840" s="6">
        <v>18</v>
      </c>
      <c r="AH840" s="6">
        <v>95</v>
      </c>
      <c r="AK840" s="31">
        <f t="shared" si="49"/>
        <v>18</v>
      </c>
      <c r="AL840" s="31">
        <f t="shared" si="49"/>
        <v>95</v>
      </c>
    </row>
    <row r="841" spans="16:38">
      <c r="P841" s="53">
        <v>838</v>
      </c>
      <c r="Q841" s="54">
        <v>7</v>
      </c>
      <c r="R841" s="54">
        <v>223</v>
      </c>
      <c r="W841" s="31">
        <v>838</v>
      </c>
      <c r="X841" s="56">
        <v>1</v>
      </c>
      <c r="Y841" s="31">
        <v>230</v>
      </c>
      <c r="AB841" s="58">
        <f t="shared" si="50"/>
        <v>1</v>
      </c>
      <c r="AC841" s="54">
        <f t="shared" si="51"/>
        <v>230</v>
      </c>
      <c r="AF841" s="51">
        <v>838</v>
      </c>
      <c r="AG841" s="6">
        <v>16</v>
      </c>
      <c r="AH841" s="6">
        <v>230</v>
      </c>
      <c r="AK841" s="31">
        <f t="shared" si="49"/>
        <v>16</v>
      </c>
      <c r="AL841" s="31">
        <f t="shared" si="49"/>
        <v>230</v>
      </c>
    </row>
    <row r="842" spans="16:38">
      <c r="P842" s="53">
        <v>839</v>
      </c>
      <c r="Q842" s="54">
        <v>3</v>
      </c>
      <c r="R842" s="54">
        <v>115</v>
      </c>
      <c r="W842" s="31">
        <v>839</v>
      </c>
      <c r="X842" s="56">
        <v>0.8</v>
      </c>
      <c r="Y842" s="31">
        <v>118</v>
      </c>
      <c r="AB842" s="58">
        <f t="shared" si="50"/>
        <v>0.8</v>
      </c>
      <c r="AC842" s="54">
        <f t="shared" si="51"/>
        <v>118</v>
      </c>
      <c r="AF842" s="51">
        <v>839</v>
      </c>
      <c r="AG842" s="6">
        <v>22</v>
      </c>
      <c r="AH842" s="6">
        <v>118</v>
      </c>
      <c r="AK842" s="31">
        <f t="shared" si="49"/>
        <v>22</v>
      </c>
      <c r="AL842" s="31">
        <f t="shared" si="49"/>
        <v>118</v>
      </c>
    </row>
    <row r="843" spans="16:38">
      <c r="P843" s="53">
        <v>840</v>
      </c>
      <c r="Q843" s="54">
        <v>6</v>
      </c>
      <c r="R843" s="54">
        <v>49</v>
      </c>
      <c r="W843" s="31">
        <v>840</v>
      </c>
      <c r="X843" s="56">
        <v>0.75</v>
      </c>
      <c r="Y843" s="31">
        <v>55</v>
      </c>
      <c r="AB843" s="58">
        <f t="shared" si="50"/>
        <v>0.75</v>
      </c>
      <c r="AC843" s="54">
        <f t="shared" si="51"/>
        <v>55</v>
      </c>
      <c r="AF843" s="51">
        <v>840</v>
      </c>
      <c r="AG843" s="6">
        <v>24</v>
      </c>
      <c r="AH843" s="6">
        <v>55</v>
      </c>
      <c r="AK843" s="31">
        <f t="shared" si="49"/>
        <v>24</v>
      </c>
      <c r="AL843" s="31">
        <f t="shared" si="49"/>
        <v>55</v>
      </c>
    </row>
    <row r="844" spans="16:38">
      <c r="P844" s="53">
        <v>841</v>
      </c>
      <c r="Q844" s="54">
        <v>11</v>
      </c>
      <c r="R844" s="54">
        <v>36</v>
      </c>
      <c r="W844" s="31">
        <v>841</v>
      </c>
      <c r="X844" s="56">
        <v>0.65</v>
      </c>
      <c r="Y844" s="31">
        <v>47</v>
      </c>
      <c r="AB844" s="58">
        <f t="shared" si="50"/>
        <v>0.65</v>
      </c>
      <c r="AC844" s="54">
        <f t="shared" si="51"/>
        <v>47</v>
      </c>
      <c r="AF844" s="51">
        <v>841</v>
      </c>
      <c r="AG844" s="6">
        <v>30</v>
      </c>
      <c r="AH844" s="6">
        <v>47</v>
      </c>
      <c r="AK844" s="31">
        <f t="shared" si="49"/>
        <v>30</v>
      </c>
      <c r="AL844" s="31">
        <f t="shared" si="49"/>
        <v>47</v>
      </c>
    </row>
    <row r="845" spans="16:38">
      <c r="P845" s="53">
        <v>842</v>
      </c>
      <c r="Q845" s="54">
        <v>7</v>
      </c>
      <c r="R845" s="54">
        <v>59</v>
      </c>
      <c r="W845" s="31">
        <v>842</v>
      </c>
      <c r="X845" s="56">
        <v>0.62</v>
      </c>
      <c r="Y845" s="31">
        <v>66</v>
      </c>
      <c r="AB845" s="58">
        <f t="shared" si="50"/>
        <v>0.62</v>
      </c>
      <c r="AC845" s="54">
        <f t="shared" si="51"/>
        <v>66</v>
      </c>
      <c r="AF845" s="51">
        <v>842</v>
      </c>
      <c r="AG845" s="6">
        <v>32</v>
      </c>
      <c r="AH845" s="6">
        <v>66</v>
      </c>
      <c r="AK845" s="31">
        <f t="shared" si="49"/>
        <v>32</v>
      </c>
      <c r="AL845" s="31">
        <f t="shared" si="49"/>
        <v>66</v>
      </c>
    </row>
    <row r="846" spans="16:38">
      <c r="P846" s="53">
        <v>843</v>
      </c>
      <c r="Q846" s="54">
        <v>10</v>
      </c>
      <c r="R846" s="54">
        <v>54</v>
      </c>
      <c r="W846" s="31">
        <v>843</v>
      </c>
      <c r="X846" s="56">
        <v>0.56999999999999995</v>
      </c>
      <c r="Y846" s="31">
        <v>64</v>
      </c>
      <c r="AB846" s="58">
        <f t="shared" si="50"/>
        <v>0.56999999999999995</v>
      </c>
      <c r="AC846" s="54">
        <f t="shared" si="51"/>
        <v>64</v>
      </c>
      <c r="AF846" s="51">
        <v>843</v>
      </c>
      <c r="AG846" s="6">
        <v>36</v>
      </c>
      <c r="AH846" s="6">
        <v>64</v>
      </c>
      <c r="AK846" s="31">
        <f t="shared" si="49"/>
        <v>36</v>
      </c>
      <c r="AL846" s="31">
        <f t="shared" si="49"/>
        <v>64</v>
      </c>
    </row>
    <row r="847" spans="16:38">
      <c r="P847" s="53">
        <v>844</v>
      </c>
      <c r="Q847" s="54">
        <v>8</v>
      </c>
      <c r="R847" s="54">
        <v>52</v>
      </c>
      <c r="W847" s="31">
        <v>844</v>
      </c>
      <c r="X847" s="56">
        <v>0.56999999999999995</v>
      </c>
      <c r="Y847" s="31">
        <v>60</v>
      </c>
      <c r="AB847" s="58">
        <f t="shared" si="50"/>
        <v>0.56999999999999995</v>
      </c>
      <c r="AC847" s="54">
        <f t="shared" si="51"/>
        <v>60</v>
      </c>
      <c r="AF847" s="51">
        <v>844</v>
      </c>
      <c r="AG847" s="6">
        <v>36</v>
      </c>
      <c r="AH847" s="6">
        <v>60</v>
      </c>
      <c r="AK847" s="31">
        <f t="shared" si="49"/>
        <v>36</v>
      </c>
      <c r="AL847" s="31">
        <f t="shared" si="49"/>
        <v>60</v>
      </c>
    </row>
    <row r="848" spans="16:38">
      <c r="P848" s="53">
        <v>845</v>
      </c>
      <c r="Q848" s="54">
        <v>4</v>
      </c>
      <c r="R848" s="54">
        <v>46</v>
      </c>
      <c r="W848" s="31">
        <v>845</v>
      </c>
      <c r="X848" s="56">
        <v>0.54</v>
      </c>
      <c r="Y848" s="31">
        <v>50</v>
      </c>
      <c r="AB848" s="58">
        <f t="shared" si="50"/>
        <v>0.54</v>
      </c>
      <c r="AC848" s="54">
        <f t="shared" si="51"/>
        <v>50</v>
      </c>
      <c r="AF848" s="51">
        <v>845</v>
      </c>
      <c r="AG848" s="6">
        <v>38</v>
      </c>
      <c r="AH848" s="6">
        <v>50</v>
      </c>
      <c r="AK848" s="31">
        <f t="shared" si="49"/>
        <v>38</v>
      </c>
      <c r="AL848" s="31">
        <f t="shared" si="49"/>
        <v>50</v>
      </c>
    </row>
    <row r="849" spans="16:38">
      <c r="P849" s="53">
        <v>846</v>
      </c>
      <c r="Q849" s="54">
        <v>16</v>
      </c>
      <c r="R849" s="54">
        <v>98</v>
      </c>
      <c r="W849" s="31">
        <v>846</v>
      </c>
      <c r="X849" s="56">
        <v>0.56999999999999995</v>
      </c>
      <c r="Y849" s="31">
        <v>114</v>
      </c>
      <c r="AB849" s="58">
        <f t="shared" si="50"/>
        <v>0.56999999999999995</v>
      </c>
      <c r="AC849" s="54">
        <f t="shared" si="51"/>
        <v>114</v>
      </c>
      <c r="AF849" s="51">
        <v>846</v>
      </c>
      <c r="AG849" s="6">
        <v>36</v>
      </c>
      <c r="AH849" s="6">
        <v>114</v>
      </c>
      <c r="AK849" s="31">
        <f t="shared" si="49"/>
        <v>36</v>
      </c>
      <c r="AL849" s="31">
        <f t="shared" si="49"/>
        <v>114</v>
      </c>
    </row>
    <row r="850" spans="16:38">
      <c r="P850" s="53">
        <v>847</v>
      </c>
      <c r="Q850" s="54">
        <v>9</v>
      </c>
      <c r="R850" s="54">
        <v>207</v>
      </c>
      <c r="W850" s="31">
        <v>847</v>
      </c>
      <c r="X850" s="56">
        <v>0.7</v>
      </c>
      <c r="Y850" s="31">
        <v>216</v>
      </c>
      <c r="AB850" s="58">
        <f t="shared" si="50"/>
        <v>0.7</v>
      </c>
      <c r="AC850" s="54">
        <f t="shared" si="51"/>
        <v>216</v>
      </c>
      <c r="AF850" s="51">
        <v>847</v>
      </c>
      <c r="AG850" s="6">
        <v>32</v>
      </c>
      <c r="AH850" s="6">
        <v>216</v>
      </c>
      <c r="AK850" s="31">
        <f t="shared" si="49"/>
        <v>32</v>
      </c>
      <c r="AL850" s="31">
        <f t="shared" si="49"/>
        <v>216</v>
      </c>
    </row>
    <row r="851" spans="16:38">
      <c r="P851" s="53">
        <v>848</v>
      </c>
      <c r="Q851" s="54">
        <v>5</v>
      </c>
      <c r="R851" s="54">
        <v>170</v>
      </c>
      <c r="W851" s="31">
        <v>848</v>
      </c>
      <c r="X851" s="56">
        <v>0.66</v>
      </c>
      <c r="Y851" s="31">
        <v>175</v>
      </c>
      <c r="AB851" s="58">
        <f t="shared" si="50"/>
        <v>0.66</v>
      </c>
      <c r="AC851" s="54">
        <f t="shared" si="51"/>
        <v>175</v>
      </c>
      <c r="AF851" s="51">
        <v>848</v>
      </c>
      <c r="AG851" s="6">
        <v>34</v>
      </c>
      <c r="AH851" s="6">
        <v>175</v>
      </c>
      <c r="AK851" s="31">
        <f t="shared" si="49"/>
        <v>34</v>
      </c>
      <c r="AL851" s="31">
        <f t="shared" si="49"/>
        <v>175</v>
      </c>
    </row>
    <row r="852" spans="16:38">
      <c r="P852" s="53">
        <v>849</v>
      </c>
      <c r="Q852" s="54">
        <v>5</v>
      </c>
      <c r="R852" s="54">
        <v>123</v>
      </c>
      <c r="W852" s="31">
        <v>849</v>
      </c>
      <c r="X852" s="56">
        <v>0.7</v>
      </c>
      <c r="Y852" s="31">
        <v>128</v>
      </c>
      <c r="AB852" s="58">
        <f t="shared" si="50"/>
        <v>0.7</v>
      </c>
      <c r="AC852" s="54">
        <f t="shared" si="51"/>
        <v>128</v>
      </c>
      <c r="AF852" s="51">
        <v>849</v>
      </c>
      <c r="AG852" s="6">
        <v>32</v>
      </c>
      <c r="AH852" s="6">
        <v>128</v>
      </c>
      <c r="AK852" s="31">
        <f t="shared" si="49"/>
        <v>32</v>
      </c>
      <c r="AL852" s="31">
        <f t="shared" si="49"/>
        <v>128</v>
      </c>
    </row>
    <row r="853" spans="16:38">
      <c r="P853" s="53">
        <v>850</v>
      </c>
      <c r="Q853" s="54">
        <v>6</v>
      </c>
      <c r="R853" s="54">
        <v>82</v>
      </c>
      <c r="W853" s="31">
        <v>850</v>
      </c>
      <c r="X853" s="56">
        <v>0.7</v>
      </c>
      <c r="Y853" s="31">
        <v>88</v>
      </c>
      <c r="AB853" s="58">
        <f t="shared" si="50"/>
        <v>0.7</v>
      </c>
      <c r="AC853" s="54">
        <f t="shared" si="51"/>
        <v>88</v>
      </c>
      <c r="AF853" s="51">
        <v>850</v>
      </c>
      <c r="AG853" s="6">
        <v>32</v>
      </c>
      <c r="AH853" s="6">
        <v>88</v>
      </c>
      <c r="AK853" s="31">
        <f t="shared" ref="AK853:AL916" si="52">AG853</f>
        <v>32</v>
      </c>
      <c r="AL853" s="31">
        <f t="shared" si="52"/>
        <v>88</v>
      </c>
    </row>
    <row r="854" spans="16:38">
      <c r="P854" s="53">
        <v>851</v>
      </c>
      <c r="Q854" s="54">
        <v>3</v>
      </c>
      <c r="R854" s="54">
        <v>75</v>
      </c>
      <c r="W854" s="31">
        <v>851</v>
      </c>
      <c r="X854" s="56">
        <v>0.7</v>
      </c>
      <c r="Y854" s="31">
        <v>78</v>
      </c>
      <c r="AB854" s="58">
        <f t="shared" si="50"/>
        <v>0.7</v>
      </c>
      <c r="AC854" s="54">
        <f t="shared" si="51"/>
        <v>78</v>
      </c>
      <c r="AF854" s="51">
        <v>851</v>
      </c>
      <c r="AG854" s="6">
        <v>32</v>
      </c>
      <c r="AH854" s="6">
        <v>78</v>
      </c>
      <c r="AK854" s="31">
        <f t="shared" si="52"/>
        <v>32</v>
      </c>
      <c r="AL854" s="31">
        <f t="shared" si="52"/>
        <v>78</v>
      </c>
    </row>
    <row r="855" spans="16:38">
      <c r="P855" s="53">
        <v>852</v>
      </c>
      <c r="Q855" s="54">
        <v>3</v>
      </c>
      <c r="R855" s="54">
        <v>34</v>
      </c>
      <c r="W855" s="31">
        <v>852</v>
      </c>
      <c r="X855" s="56">
        <v>0.81</v>
      </c>
      <c r="Y855" s="31">
        <v>37</v>
      </c>
      <c r="AB855" s="58">
        <f t="shared" si="50"/>
        <v>0.81</v>
      </c>
      <c r="AC855" s="54">
        <f t="shared" si="51"/>
        <v>37</v>
      </c>
      <c r="AF855" s="51">
        <v>852</v>
      </c>
      <c r="AG855" s="6">
        <v>28.000000000000004</v>
      </c>
      <c r="AH855" s="6">
        <v>37</v>
      </c>
      <c r="AK855" s="31">
        <f t="shared" si="52"/>
        <v>28.000000000000004</v>
      </c>
      <c r="AL855" s="31">
        <f t="shared" si="52"/>
        <v>37</v>
      </c>
    </row>
    <row r="856" spans="16:38">
      <c r="P856" s="53">
        <v>853</v>
      </c>
      <c r="Q856" s="54">
        <v>6</v>
      </c>
      <c r="R856" s="54">
        <v>19</v>
      </c>
      <c r="W856" s="31">
        <v>853</v>
      </c>
      <c r="X856" s="56">
        <v>0.81</v>
      </c>
      <c r="Y856" s="31">
        <v>25</v>
      </c>
      <c r="AB856" s="58">
        <f t="shared" si="50"/>
        <v>0.81</v>
      </c>
      <c r="AC856" s="54">
        <f t="shared" si="51"/>
        <v>25</v>
      </c>
      <c r="AF856" s="51">
        <v>853</v>
      </c>
      <c r="AG856" s="6">
        <v>30</v>
      </c>
      <c r="AH856" s="6">
        <v>25</v>
      </c>
      <c r="AK856" s="31">
        <f t="shared" si="52"/>
        <v>30</v>
      </c>
      <c r="AL856" s="31">
        <f t="shared" si="52"/>
        <v>25</v>
      </c>
    </row>
    <row r="857" spans="16:38">
      <c r="P857" s="53">
        <v>854</v>
      </c>
      <c r="Q857" s="54">
        <v>4</v>
      </c>
      <c r="R857" s="54">
        <v>6</v>
      </c>
      <c r="W857" s="31">
        <v>854</v>
      </c>
      <c r="X857" s="56">
        <v>0.87</v>
      </c>
      <c r="Y857" s="31">
        <v>10</v>
      </c>
      <c r="AB857" s="58">
        <f t="shared" si="50"/>
        <v>0.87</v>
      </c>
      <c r="AC857" s="54">
        <f t="shared" si="51"/>
        <v>10</v>
      </c>
      <c r="AF857" s="51">
        <v>854</v>
      </c>
      <c r="AG857" s="6">
        <v>28.000000000000004</v>
      </c>
      <c r="AH857" s="6">
        <v>10</v>
      </c>
      <c r="AK857" s="31">
        <f t="shared" si="52"/>
        <v>28.000000000000004</v>
      </c>
      <c r="AL857" s="31">
        <f t="shared" si="52"/>
        <v>10</v>
      </c>
    </row>
    <row r="858" spans="16:38">
      <c r="P858" s="53">
        <v>855</v>
      </c>
      <c r="Q858" s="54">
        <v>0</v>
      </c>
      <c r="R858" s="54">
        <v>4</v>
      </c>
      <c r="W858" s="31">
        <v>855</v>
      </c>
      <c r="X858" s="56">
        <v>0.87</v>
      </c>
      <c r="Y858" s="31">
        <v>4</v>
      </c>
      <c r="AB858" s="58">
        <f t="shared" si="50"/>
        <v>0.87</v>
      </c>
      <c r="AC858" s="54">
        <f t="shared" si="51"/>
        <v>4</v>
      </c>
      <c r="AF858" s="51">
        <v>855</v>
      </c>
      <c r="AG858" s="6">
        <v>28.000000000000004</v>
      </c>
      <c r="AH858" s="6">
        <v>4</v>
      </c>
      <c r="AK858" s="31">
        <f t="shared" si="52"/>
        <v>28.000000000000004</v>
      </c>
      <c r="AL858" s="31">
        <f t="shared" si="52"/>
        <v>4</v>
      </c>
    </row>
    <row r="859" spans="16:38">
      <c r="P859" s="53">
        <v>856</v>
      </c>
      <c r="Q859" s="54">
        <v>1</v>
      </c>
      <c r="R859" s="54">
        <v>1</v>
      </c>
      <c r="W859" s="31">
        <v>856</v>
      </c>
      <c r="X859" s="56">
        <v>0.93</v>
      </c>
      <c r="Y859" s="31">
        <v>2</v>
      </c>
      <c r="AB859" s="58">
        <f t="shared" si="50"/>
        <v>0.93</v>
      </c>
      <c r="AC859" s="54">
        <f t="shared" si="51"/>
        <v>2</v>
      </c>
      <c r="AF859" s="51">
        <v>856</v>
      </c>
      <c r="AG859" s="6">
        <v>26</v>
      </c>
      <c r="AH859" s="6">
        <v>2</v>
      </c>
      <c r="AK859" s="31">
        <f t="shared" si="52"/>
        <v>26</v>
      </c>
      <c r="AL859" s="31">
        <f t="shared" si="52"/>
        <v>2</v>
      </c>
    </row>
    <row r="860" spans="16:38">
      <c r="P860" s="53">
        <v>857</v>
      </c>
      <c r="Q860" s="54">
        <v>0</v>
      </c>
      <c r="R860" s="54">
        <v>1</v>
      </c>
      <c r="W860" s="31">
        <v>857</v>
      </c>
      <c r="X860" s="56">
        <v>0.93</v>
      </c>
      <c r="Y860" s="31">
        <v>1</v>
      </c>
      <c r="AB860" s="58">
        <f t="shared" si="50"/>
        <v>0.93</v>
      </c>
      <c r="AC860" s="54">
        <f t="shared" si="51"/>
        <v>1</v>
      </c>
      <c r="AF860" s="51">
        <v>857</v>
      </c>
      <c r="AG860" s="6">
        <v>28.000000000000004</v>
      </c>
      <c r="AH860" s="6">
        <v>1</v>
      </c>
      <c r="AK860" s="31">
        <f t="shared" si="52"/>
        <v>28.000000000000004</v>
      </c>
      <c r="AL860" s="31">
        <f t="shared" si="52"/>
        <v>1</v>
      </c>
    </row>
    <row r="861" spans="16:38">
      <c r="P861" s="53">
        <v>858</v>
      </c>
      <c r="Q861" s="54">
        <v>0</v>
      </c>
      <c r="R861" s="54">
        <v>3</v>
      </c>
      <c r="W861" s="31">
        <v>858</v>
      </c>
      <c r="X861" s="56">
        <v>0.93</v>
      </c>
      <c r="Y861" s="31">
        <v>3</v>
      </c>
      <c r="AB861" s="58">
        <f t="shared" si="50"/>
        <v>0.93</v>
      </c>
      <c r="AC861" s="54">
        <f t="shared" si="51"/>
        <v>3</v>
      </c>
      <c r="AF861" s="51">
        <v>858</v>
      </c>
      <c r="AG861" s="6">
        <v>26</v>
      </c>
      <c r="AH861" s="6">
        <v>3</v>
      </c>
      <c r="AK861" s="31">
        <f t="shared" si="52"/>
        <v>26</v>
      </c>
      <c r="AL861" s="31">
        <f t="shared" si="52"/>
        <v>3</v>
      </c>
    </row>
    <row r="862" spans="16:38">
      <c r="P862" s="53">
        <v>859</v>
      </c>
      <c r="Q862" s="54">
        <v>0</v>
      </c>
      <c r="R862" s="54">
        <v>2</v>
      </c>
      <c r="W862" s="31">
        <v>859</v>
      </c>
      <c r="X862" s="56">
        <v>0.81</v>
      </c>
      <c r="Y862" s="31">
        <v>2</v>
      </c>
      <c r="AB862" s="58">
        <f t="shared" si="50"/>
        <v>0.81</v>
      </c>
      <c r="AC862" s="54">
        <f t="shared" si="51"/>
        <v>2</v>
      </c>
      <c r="AF862" s="51">
        <v>859</v>
      </c>
      <c r="AG862" s="6">
        <v>26</v>
      </c>
      <c r="AH862" s="6">
        <v>2</v>
      </c>
      <c r="AK862" s="31">
        <f t="shared" si="52"/>
        <v>26</v>
      </c>
      <c r="AL862" s="31">
        <f t="shared" si="52"/>
        <v>2</v>
      </c>
    </row>
    <row r="863" spans="16:38">
      <c r="P863" s="53">
        <v>860</v>
      </c>
      <c r="Q863" s="54">
        <v>0</v>
      </c>
      <c r="R863" s="54">
        <v>39</v>
      </c>
      <c r="W863" s="31">
        <v>860</v>
      </c>
      <c r="X863" s="56">
        <v>0.7</v>
      </c>
      <c r="Y863" s="31">
        <v>39</v>
      </c>
      <c r="AB863" s="58">
        <f t="shared" si="50"/>
        <v>0.7</v>
      </c>
      <c r="AC863" s="54">
        <f t="shared" si="51"/>
        <v>39</v>
      </c>
      <c r="AF863" s="51">
        <v>860</v>
      </c>
      <c r="AG863" s="6">
        <v>26</v>
      </c>
      <c r="AH863" s="6">
        <v>39</v>
      </c>
      <c r="AK863" s="31">
        <f t="shared" si="52"/>
        <v>26</v>
      </c>
      <c r="AL863" s="31">
        <f t="shared" si="52"/>
        <v>39</v>
      </c>
    </row>
    <row r="864" spans="16:38">
      <c r="P864" s="53">
        <v>861</v>
      </c>
      <c r="Q864" s="54">
        <v>3</v>
      </c>
      <c r="R864" s="54">
        <v>97</v>
      </c>
      <c r="W864" s="31">
        <v>861</v>
      </c>
      <c r="X864" s="56">
        <v>0.65</v>
      </c>
      <c r="Y864" s="31">
        <v>100</v>
      </c>
      <c r="AB864" s="58">
        <f t="shared" si="50"/>
        <v>0.65</v>
      </c>
      <c r="AC864" s="54">
        <f t="shared" si="51"/>
        <v>100</v>
      </c>
      <c r="AF864" s="51">
        <v>861</v>
      </c>
      <c r="AG864" s="6">
        <v>24</v>
      </c>
      <c r="AH864" s="6">
        <v>100</v>
      </c>
      <c r="AK864" s="31">
        <f t="shared" si="52"/>
        <v>24</v>
      </c>
      <c r="AL864" s="31">
        <f t="shared" si="52"/>
        <v>100</v>
      </c>
    </row>
    <row r="865" spans="16:38">
      <c r="P865" s="53">
        <v>862</v>
      </c>
      <c r="Q865" s="54">
        <v>7</v>
      </c>
      <c r="R865" s="54">
        <v>236</v>
      </c>
      <c r="W865" s="31">
        <v>862</v>
      </c>
      <c r="X865" s="56">
        <v>0.56000000000000005</v>
      </c>
      <c r="Y865" s="31">
        <v>243</v>
      </c>
      <c r="AB865" s="58">
        <f t="shared" si="50"/>
        <v>0.56000000000000005</v>
      </c>
      <c r="AC865" s="54">
        <f t="shared" si="51"/>
        <v>243</v>
      </c>
      <c r="AF865" s="51">
        <v>862</v>
      </c>
      <c r="AG865" s="6">
        <v>24</v>
      </c>
      <c r="AH865" s="6">
        <v>243</v>
      </c>
      <c r="AK865" s="31">
        <f t="shared" si="52"/>
        <v>24</v>
      </c>
      <c r="AL865" s="31">
        <f t="shared" si="52"/>
        <v>243</v>
      </c>
    </row>
    <row r="866" spans="16:38">
      <c r="P866" s="53">
        <v>863</v>
      </c>
      <c r="Q866" s="54">
        <v>7</v>
      </c>
      <c r="R866" s="54">
        <v>128</v>
      </c>
      <c r="W866" s="31">
        <v>863</v>
      </c>
      <c r="X866" s="56">
        <v>0.52</v>
      </c>
      <c r="Y866" s="31">
        <v>135</v>
      </c>
      <c r="AB866" s="58">
        <f t="shared" si="50"/>
        <v>0.52</v>
      </c>
      <c r="AC866" s="54">
        <f t="shared" si="51"/>
        <v>135</v>
      </c>
      <c r="AF866" s="51">
        <v>863</v>
      </c>
      <c r="AG866" s="6">
        <v>24</v>
      </c>
      <c r="AH866" s="6">
        <v>135</v>
      </c>
      <c r="AK866" s="31">
        <f t="shared" si="52"/>
        <v>24</v>
      </c>
      <c r="AL866" s="31">
        <f t="shared" si="52"/>
        <v>135</v>
      </c>
    </row>
    <row r="867" spans="16:38">
      <c r="P867" s="53">
        <v>864</v>
      </c>
      <c r="Q867" s="54">
        <v>4</v>
      </c>
      <c r="R867" s="54">
        <v>44</v>
      </c>
      <c r="W867" s="31">
        <v>864</v>
      </c>
      <c r="X867" s="56">
        <v>0.47</v>
      </c>
      <c r="Y867" s="31">
        <v>48</v>
      </c>
      <c r="AB867" s="58">
        <f t="shared" si="50"/>
        <v>0.47</v>
      </c>
      <c r="AC867" s="54">
        <f t="shared" si="51"/>
        <v>48</v>
      </c>
      <c r="AF867" s="51">
        <v>864</v>
      </c>
      <c r="AG867" s="6">
        <v>22</v>
      </c>
      <c r="AH867" s="6">
        <v>48</v>
      </c>
      <c r="AK867" s="31">
        <f t="shared" si="52"/>
        <v>22</v>
      </c>
      <c r="AL867" s="31">
        <f t="shared" si="52"/>
        <v>48</v>
      </c>
    </row>
    <row r="868" spans="16:38">
      <c r="P868" s="53">
        <v>865</v>
      </c>
      <c r="Q868" s="54">
        <v>1</v>
      </c>
      <c r="R868" s="54">
        <v>49</v>
      </c>
      <c r="W868" s="31">
        <v>865</v>
      </c>
      <c r="X868" s="56">
        <v>0.47</v>
      </c>
      <c r="Y868" s="31">
        <v>50</v>
      </c>
      <c r="AB868" s="58">
        <f t="shared" si="50"/>
        <v>0.47</v>
      </c>
      <c r="AC868" s="54">
        <f t="shared" si="51"/>
        <v>50</v>
      </c>
      <c r="AF868" s="51">
        <v>865</v>
      </c>
      <c r="AG868" s="6">
        <v>22</v>
      </c>
      <c r="AH868" s="6">
        <v>50</v>
      </c>
      <c r="AK868" s="31">
        <f t="shared" si="52"/>
        <v>22</v>
      </c>
      <c r="AL868" s="31">
        <f t="shared" si="52"/>
        <v>50</v>
      </c>
    </row>
    <row r="869" spans="16:38">
      <c r="P869" s="53">
        <v>866</v>
      </c>
      <c r="Q869" s="54">
        <v>2</v>
      </c>
      <c r="R869" s="54">
        <v>63</v>
      </c>
      <c r="W869" s="31">
        <v>866</v>
      </c>
      <c r="X869" s="56">
        <v>0.38</v>
      </c>
      <c r="Y869" s="31">
        <v>65</v>
      </c>
      <c r="AB869" s="58">
        <f t="shared" si="50"/>
        <v>0.38</v>
      </c>
      <c r="AC869" s="54">
        <f t="shared" si="51"/>
        <v>65</v>
      </c>
      <c r="AF869" s="51">
        <v>866</v>
      </c>
      <c r="AG869" s="6">
        <v>24</v>
      </c>
      <c r="AH869" s="6">
        <v>65</v>
      </c>
      <c r="AK869" s="31">
        <f t="shared" si="52"/>
        <v>24</v>
      </c>
      <c r="AL869" s="31">
        <f t="shared" si="52"/>
        <v>65</v>
      </c>
    </row>
    <row r="870" spans="16:38">
      <c r="P870" s="53">
        <v>867</v>
      </c>
      <c r="Q870" s="54">
        <v>2</v>
      </c>
      <c r="R870" s="54">
        <v>48</v>
      </c>
      <c r="W870" s="31">
        <v>867</v>
      </c>
      <c r="X870" s="56">
        <v>0.32</v>
      </c>
      <c r="Y870" s="31">
        <v>50</v>
      </c>
      <c r="AB870" s="58">
        <f t="shared" si="50"/>
        <v>0.32</v>
      </c>
      <c r="AC870" s="54">
        <f t="shared" si="51"/>
        <v>50</v>
      </c>
      <c r="AF870" s="51">
        <v>867</v>
      </c>
      <c r="AG870" s="6">
        <v>24</v>
      </c>
      <c r="AH870" s="6">
        <v>50</v>
      </c>
      <c r="AK870" s="31">
        <f t="shared" si="52"/>
        <v>24</v>
      </c>
      <c r="AL870" s="31">
        <f t="shared" si="52"/>
        <v>50</v>
      </c>
    </row>
    <row r="871" spans="16:38">
      <c r="P871" s="53">
        <v>868</v>
      </c>
      <c r="Q871" s="54">
        <v>3</v>
      </c>
      <c r="R871" s="54">
        <v>61</v>
      </c>
      <c r="W871" s="31">
        <v>868</v>
      </c>
      <c r="X871" s="56">
        <v>0.37</v>
      </c>
      <c r="Y871" s="31">
        <v>64</v>
      </c>
      <c r="AB871" s="58">
        <f t="shared" si="50"/>
        <v>0.37</v>
      </c>
      <c r="AC871" s="54">
        <f t="shared" si="51"/>
        <v>64</v>
      </c>
      <c r="AF871" s="51">
        <v>868</v>
      </c>
      <c r="AG871" s="6">
        <v>22</v>
      </c>
      <c r="AH871" s="6">
        <v>64</v>
      </c>
      <c r="AK871" s="31">
        <f t="shared" si="52"/>
        <v>22</v>
      </c>
      <c r="AL871" s="31">
        <f t="shared" si="52"/>
        <v>64</v>
      </c>
    </row>
    <row r="872" spans="16:38">
      <c r="P872" s="53">
        <v>869</v>
      </c>
      <c r="Q872" s="54">
        <v>6</v>
      </c>
      <c r="R872" s="54">
        <v>45</v>
      </c>
      <c r="W872" s="31">
        <v>869</v>
      </c>
      <c r="X872" s="56">
        <v>0.35</v>
      </c>
      <c r="Y872" s="31">
        <v>51</v>
      </c>
      <c r="AB872" s="58">
        <f t="shared" si="50"/>
        <v>0.35</v>
      </c>
      <c r="AC872" s="54">
        <f t="shared" si="51"/>
        <v>51</v>
      </c>
      <c r="AF872" s="51">
        <v>869</v>
      </c>
      <c r="AG872" s="6">
        <v>22</v>
      </c>
      <c r="AH872" s="6">
        <v>51</v>
      </c>
      <c r="AK872" s="31">
        <f t="shared" si="52"/>
        <v>22</v>
      </c>
      <c r="AL872" s="31">
        <f t="shared" si="52"/>
        <v>51</v>
      </c>
    </row>
    <row r="873" spans="16:38">
      <c r="P873" s="53">
        <v>870</v>
      </c>
      <c r="Q873" s="54">
        <v>4</v>
      </c>
      <c r="R873" s="54">
        <v>79</v>
      </c>
      <c r="W873" s="31">
        <v>870</v>
      </c>
      <c r="X873" s="56">
        <v>0.35</v>
      </c>
      <c r="Y873" s="31">
        <v>83</v>
      </c>
      <c r="AB873" s="58">
        <f t="shared" si="50"/>
        <v>0.35</v>
      </c>
      <c r="AC873" s="54">
        <f t="shared" si="51"/>
        <v>83</v>
      </c>
      <c r="AF873" s="51">
        <v>870</v>
      </c>
      <c r="AG873" s="6">
        <v>22</v>
      </c>
      <c r="AH873" s="6">
        <v>83</v>
      </c>
      <c r="AK873" s="31">
        <f t="shared" si="52"/>
        <v>22</v>
      </c>
      <c r="AL873" s="31">
        <f t="shared" si="52"/>
        <v>83</v>
      </c>
    </row>
    <row r="874" spans="16:38">
      <c r="P874" s="53">
        <v>871</v>
      </c>
      <c r="Q874" s="54">
        <v>4</v>
      </c>
      <c r="R874" s="54">
        <v>172</v>
      </c>
      <c r="W874" s="31">
        <v>871</v>
      </c>
      <c r="X874" s="56">
        <v>0.32</v>
      </c>
      <c r="Y874" s="31">
        <v>176</v>
      </c>
      <c r="AB874" s="58">
        <f t="shared" si="50"/>
        <v>0.32</v>
      </c>
      <c r="AC874" s="54">
        <f t="shared" si="51"/>
        <v>176</v>
      </c>
      <c r="AF874" s="51">
        <v>871</v>
      </c>
      <c r="AG874" s="6">
        <v>22</v>
      </c>
      <c r="AH874" s="6">
        <v>176</v>
      </c>
      <c r="AK874" s="31">
        <f t="shared" si="52"/>
        <v>22</v>
      </c>
      <c r="AL874" s="31">
        <f t="shared" si="52"/>
        <v>176</v>
      </c>
    </row>
    <row r="875" spans="16:38">
      <c r="P875" s="53">
        <v>872</v>
      </c>
      <c r="Q875" s="54">
        <v>1</v>
      </c>
      <c r="R875" s="54">
        <v>151</v>
      </c>
      <c r="W875" s="31">
        <v>872</v>
      </c>
      <c r="X875" s="56">
        <v>0.32</v>
      </c>
      <c r="Y875" s="31">
        <v>152</v>
      </c>
      <c r="AB875" s="58">
        <f t="shared" si="50"/>
        <v>0.32</v>
      </c>
      <c r="AC875" s="54">
        <f t="shared" si="51"/>
        <v>152</v>
      </c>
      <c r="AF875" s="51">
        <v>872</v>
      </c>
      <c r="AG875" s="6">
        <v>20</v>
      </c>
      <c r="AH875" s="6">
        <v>152</v>
      </c>
      <c r="AK875" s="31">
        <f t="shared" si="52"/>
        <v>20</v>
      </c>
      <c r="AL875" s="31">
        <f t="shared" si="52"/>
        <v>152</v>
      </c>
    </row>
    <row r="876" spans="16:38">
      <c r="P876" s="53">
        <v>873</v>
      </c>
      <c r="Q876" s="54">
        <v>1</v>
      </c>
      <c r="R876" s="54">
        <v>100</v>
      </c>
      <c r="W876" s="31">
        <v>873</v>
      </c>
      <c r="X876" s="56">
        <v>0.4</v>
      </c>
      <c r="Y876" s="31">
        <v>101</v>
      </c>
      <c r="AB876" s="58">
        <f t="shared" si="50"/>
        <v>0.4</v>
      </c>
      <c r="AC876" s="54">
        <f t="shared" si="51"/>
        <v>101</v>
      </c>
      <c r="AF876" s="51">
        <v>873</v>
      </c>
      <c r="AG876" s="6">
        <v>16</v>
      </c>
      <c r="AH876" s="6">
        <v>101</v>
      </c>
      <c r="AK876" s="31">
        <f t="shared" si="52"/>
        <v>16</v>
      </c>
      <c r="AL876" s="31">
        <f t="shared" si="52"/>
        <v>101</v>
      </c>
    </row>
    <row r="877" spans="16:38">
      <c r="P877" s="53">
        <v>874</v>
      </c>
      <c r="Q877" s="54">
        <v>3</v>
      </c>
      <c r="R877" s="54">
        <v>53</v>
      </c>
      <c r="W877" s="31">
        <v>874</v>
      </c>
      <c r="X877" s="56">
        <v>0.4</v>
      </c>
      <c r="Y877" s="31">
        <v>56</v>
      </c>
      <c r="AB877" s="58">
        <f t="shared" si="50"/>
        <v>0.4</v>
      </c>
      <c r="AC877" s="54">
        <f t="shared" si="51"/>
        <v>56</v>
      </c>
      <c r="AF877" s="51">
        <v>874</v>
      </c>
      <c r="AG877" s="6">
        <v>16</v>
      </c>
      <c r="AH877" s="6">
        <v>56</v>
      </c>
      <c r="AK877" s="31">
        <f t="shared" si="52"/>
        <v>16</v>
      </c>
      <c r="AL877" s="31">
        <f t="shared" si="52"/>
        <v>56</v>
      </c>
    </row>
    <row r="878" spans="16:38">
      <c r="P878" s="53">
        <v>875</v>
      </c>
      <c r="Q878" s="54">
        <v>8</v>
      </c>
      <c r="R878" s="54">
        <v>46</v>
      </c>
      <c r="W878" s="31">
        <v>875</v>
      </c>
      <c r="X878" s="56">
        <v>0.33</v>
      </c>
      <c r="Y878" s="31">
        <v>54</v>
      </c>
      <c r="AB878" s="58">
        <f t="shared" si="50"/>
        <v>0.33</v>
      </c>
      <c r="AC878" s="54">
        <f t="shared" si="51"/>
        <v>54</v>
      </c>
      <c r="AF878" s="51">
        <v>875</v>
      </c>
      <c r="AG878" s="6">
        <v>14.000000000000002</v>
      </c>
      <c r="AH878" s="6">
        <v>54</v>
      </c>
      <c r="AK878" s="31">
        <f t="shared" si="52"/>
        <v>14.000000000000002</v>
      </c>
      <c r="AL878" s="31">
        <f t="shared" si="52"/>
        <v>54</v>
      </c>
    </row>
    <row r="879" spans="16:38">
      <c r="P879" s="53">
        <v>876</v>
      </c>
      <c r="Q879" s="54">
        <v>0</v>
      </c>
      <c r="R879" s="54">
        <v>29</v>
      </c>
      <c r="W879" s="31">
        <v>876</v>
      </c>
      <c r="X879" s="56">
        <v>0.33</v>
      </c>
      <c r="Y879" s="31">
        <v>29</v>
      </c>
      <c r="AB879" s="58">
        <f t="shared" si="50"/>
        <v>0.33</v>
      </c>
      <c r="AC879" s="54">
        <f t="shared" si="51"/>
        <v>29</v>
      </c>
      <c r="AF879" s="51">
        <v>876</v>
      </c>
      <c r="AG879" s="6">
        <v>12</v>
      </c>
      <c r="AH879" s="6">
        <v>29</v>
      </c>
      <c r="AK879" s="31">
        <f t="shared" si="52"/>
        <v>12</v>
      </c>
      <c r="AL879" s="31">
        <f t="shared" si="52"/>
        <v>29</v>
      </c>
    </row>
    <row r="880" spans="16:38">
      <c r="P880" s="53">
        <v>877</v>
      </c>
      <c r="Q880" s="54">
        <v>3</v>
      </c>
      <c r="R880" s="54">
        <v>9</v>
      </c>
      <c r="W880" s="31">
        <v>877</v>
      </c>
      <c r="X880" s="56">
        <v>0.33</v>
      </c>
      <c r="Y880" s="31">
        <v>12</v>
      </c>
      <c r="AB880" s="58">
        <f t="shared" si="50"/>
        <v>0.33</v>
      </c>
      <c r="AC880" s="54">
        <f t="shared" si="51"/>
        <v>12</v>
      </c>
      <c r="AF880" s="51">
        <v>877</v>
      </c>
      <c r="AG880" s="6">
        <v>12</v>
      </c>
      <c r="AH880" s="6">
        <v>12</v>
      </c>
      <c r="AK880" s="31">
        <f t="shared" si="52"/>
        <v>12</v>
      </c>
      <c r="AL880" s="31">
        <f t="shared" si="52"/>
        <v>12</v>
      </c>
    </row>
    <row r="881" spans="16:38">
      <c r="P881" s="53">
        <v>878</v>
      </c>
      <c r="Q881" s="54">
        <v>0</v>
      </c>
      <c r="R881" s="54">
        <v>17</v>
      </c>
      <c r="W881" s="31">
        <v>878</v>
      </c>
      <c r="X881" s="56">
        <v>0.36</v>
      </c>
      <c r="Y881" s="31">
        <v>17</v>
      </c>
      <c r="AB881" s="58">
        <f t="shared" si="50"/>
        <v>0.36</v>
      </c>
      <c r="AC881" s="54">
        <f t="shared" si="51"/>
        <v>17</v>
      </c>
      <c r="AF881" s="51">
        <v>878</v>
      </c>
      <c r="AG881" s="6">
        <v>10</v>
      </c>
      <c r="AH881" s="6">
        <v>17</v>
      </c>
      <c r="AK881" s="31">
        <f t="shared" si="52"/>
        <v>10</v>
      </c>
      <c r="AL881" s="31">
        <f t="shared" si="52"/>
        <v>17</v>
      </c>
    </row>
    <row r="882" spans="16:38">
      <c r="P882" s="53">
        <v>879</v>
      </c>
      <c r="Q882" s="54">
        <v>0</v>
      </c>
      <c r="R882" s="54">
        <v>7</v>
      </c>
      <c r="W882" s="31">
        <v>879</v>
      </c>
      <c r="X882" s="56">
        <v>0.36</v>
      </c>
      <c r="Y882" s="31">
        <v>7</v>
      </c>
      <c r="AB882" s="58">
        <f t="shared" si="50"/>
        <v>0.36</v>
      </c>
      <c r="AC882" s="54">
        <f t="shared" si="51"/>
        <v>7</v>
      </c>
      <c r="AF882" s="51">
        <v>879</v>
      </c>
      <c r="AG882" s="6">
        <v>10</v>
      </c>
      <c r="AH882" s="6">
        <v>7</v>
      </c>
      <c r="AK882" s="31">
        <f t="shared" si="52"/>
        <v>10</v>
      </c>
      <c r="AL882" s="31">
        <f t="shared" si="52"/>
        <v>7</v>
      </c>
    </row>
    <row r="883" spans="16:38">
      <c r="P883" s="53">
        <v>880</v>
      </c>
      <c r="Q883" s="54">
        <v>1</v>
      </c>
      <c r="R883" s="54">
        <v>2</v>
      </c>
      <c r="W883" s="31">
        <v>880</v>
      </c>
      <c r="X883" s="56">
        <v>0.38</v>
      </c>
      <c r="Y883" s="31">
        <v>3</v>
      </c>
      <c r="AB883" s="58">
        <f t="shared" si="50"/>
        <v>0.38</v>
      </c>
      <c r="AC883" s="54">
        <f t="shared" si="51"/>
        <v>3</v>
      </c>
      <c r="AF883" s="51">
        <v>880</v>
      </c>
      <c r="AG883" s="6">
        <v>8</v>
      </c>
      <c r="AH883" s="6">
        <v>3</v>
      </c>
      <c r="AK883" s="31">
        <f t="shared" si="52"/>
        <v>8</v>
      </c>
      <c r="AL883" s="31">
        <f t="shared" si="52"/>
        <v>3</v>
      </c>
    </row>
    <row r="884" spans="16:38">
      <c r="P884" s="53">
        <v>881</v>
      </c>
      <c r="Q884" s="54">
        <v>0</v>
      </c>
      <c r="R884" s="54">
        <v>2</v>
      </c>
      <c r="W884" s="31">
        <v>881</v>
      </c>
      <c r="X884" s="56">
        <v>0.45</v>
      </c>
      <c r="Y884" s="31">
        <v>2</v>
      </c>
      <c r="AB884" s="58">
        <f t="shared" si="50"/>
        <v>0.45</v>
      </c>
      <c r="AC884" s="54">
        <f t="shared" si="51"/>
        <v>2</v>
      </c>
      <c r="AF884" s="51">
        <v>881</v>
      </c>
      <c r="AG884" s="6">
        <v>6</v>
      </c>
      <c r="AH884" s="6">
        <v>2</v>
      </c>
      <c r="AK884" s="31">
        <f t="shared" si="52"/>
        <v>6</v>
      </c>
      <c r="AL884" s="31">
        <f t="shared" si="52"/>
        <v>2</v>
      </c>
    </row>
    <row r="885" spans="16:38">
      <c r="P885" s="53">
        <v>882</v>
      </c>
      <c r="Q885" s="54">
        <v>0</v>
      </c>
      <c r="R885" s="54">
        <v>7</v>
      </c>
      <c r="W885" s="31">
        <v>882</v>
      </c>
      <c r="X885" s="56">
        <v>0.45</v>
      </c>
      <c r="Y885" s="31">
        <v>7</v>
      </c>
      <c r="AB885" s="58">
        <f t="shared" si="50"/>
        <v>0.45</v>
      </c>
      <c r="AC885" s="54">
        <f t="shared" si="51"/>
        <v>7</v>
      </c>
      <c r="AF885" s="51">
        <v>882</v>
      </c>
      <c r="AG885" s="6">
        <v>6</v>
      </c>
      <c r="AH885" s="6">
        <v>7</v>
      </c>
      <c r="AK885" s="31">
        <f t="shared" si="52"/>
        <v>6</v>
      </c>
      <c r="AL885" s="31">
        <f t="shared" si="52"/>
        <v>7</v>
      </c>
    </row>
    <row r="886" spans="16:38">
      <c r="P886" s="53">
        <v>883</v>
      </c>
      <c r="Q886" s="54">
        <v>0</v>
      </c>
      <c r="R886" s="54">
        <v>43</v>
      </c>
      <c r="W886" s="31">
        <v>883</v>
      </c>
      <c r="X886" s="56">
        <v>0.45</v>
      </c>
      <c r="Y886" s="31">
        <v>43</v>
      </c>
      <c r="AB886" s="58">
        <f t="shared" si="50"/>
        <v>0.45</v>
      </c>
      <c r="AC886" s="54">
        <f t="shared" si="51"/>
        <v>43</v>
      </c>
      <c r="AF886" s="51">
        <v>883</v>
      </c>
      <c r="AG886" s="6">
        <v>6</v>
      </c>
      <c r="AH886" s="6">
        <v>43</v>
      </c>
      <c r="AK886" s="31">
        <f t="shared" si="52"/>
        <v>6</v>
      </c>
      <c r="AL886" s="31">
        <f t="shared" si="52"/>
        <v>43</v>
      </c>
    </row>
    <row r="887" spans="16:38">
      <c r="P887" s="53">
        <v>884</v>
      </c>
      <c r="Q887" s="54">
        <v>4</v>
      </c>
      <c r="R887" s="54">
        <v>95</v>
      </c>
      <c r="W887" s="31">
        <v>884</v>
      </c>
      <c r="X887" s="56">
        <v>0.49</v>
      </c>
      <c r="Y887" s="31">
        <v>99</v>
      </c>
      <c r="AB887" s="58">
        <f t="shared" si="50"/>
        <v>0.49</v>
      </c>
      <c r="AC887" s="54">
        <f t="shared" si="51"/>
        <v>99</v>
      </c>
      <c r="AF887" s="51">
        <v>884</v>
      </c>
      <c r="AG887" s="6">
        <v>6</v>
      </c>
      <c r="AH887" s="6">
        <v>99</v>
      </c>
      <c r="AK887" s="31">
        <f t="shared" si="52"/>
        <v>6</v>
      </c>
      <c r="AL887" s="31">
        <f t="shared" si="52"/>
        <v>99</v>
      </c>
    </row>
    <row r="888" spans="16:38">
      <c r="P888" s="53">
        <v>885</v>
      </c>
      <c r="Q888" s="54">
        <v>1</v>
      </c>
      <c r="R888" s="54">
        <v>198</v>
      </c>
      <c r="W888" s="31">
        <v>885</v>
      </c>
      <c r="X888" s="56">
        <v>0.42</v>
      </c>
      <c r="Y888" s="31">
        <v>199</v>
      </c>
      <c r="AB888" s="58">
        <f t="shared" si="50"/>
        <v>0.42</v>
      </c>
      <c r="AC888" s="54">
        <f t="shared" si="51"/>
        <v>199</v>
      </c>
      <c r="AF888" s="51">
        <v>885</v>
      </c>
      <c r="AG888" s="6">
        <v>10</v>
      </c>
      <c r="AH888" s="6">
        <v>199</v>
      </c>
      <c r="AK888" s="31">
        <f t="shared" si="52"/>
        <v>10</v>
      </c>
      <c r="AL888" s="31">
        <f t="shared" si="52"/>
        <v>199</v>
      </c>
    </row>
    <row r="889" spans="16:38">
      <c r="P889" s="53">
        <v>886</v>
      </c>
      <c r="Q889" s="54">
        <v>4</v>
      </c>
      <c r="R889" s="54">
        <v>119</v>
      </c>
      <c r="W889" s="31">
        <v>886</v>
      </c>
      <c r="X889" s="56">
        <v>0.39</v>
      </c>
      <c r="Y889" s="31">
        <v>123</v>
      </c>
      <c r="AB889" s="58">
        <f t="shared" si="50"/>
        <v>0.39</v>
      </c>
      <c r="AC889" s="54">
        <f t="shared" si="51"/>
        <v>123</v>
      </c>
      <c r="AF889" s="51">
        <v>886</v>
      </c>
      <c r="AG889" s="6">
        <v>12</v>
      </c>
      <c r="AH889" s="6">
        <v>123</v>
      </c>
      <c r="AK889" s="31">
        <f t="shared" si="52"/>
        <v>12</v>
      </c>
      <c r="AL889" s="31">
        <f t="shared" si="52"/>
        <v>123</v>
      </c>
    </row>
    <row r="890" spans="16:38">
      <c r="P890" s="53">
        <v>887</v>
      </c>
      <c r="Q890" s="54">
        <v>8</v>
      </c>
      <c r="R890" s="54">
        <v>51</v>
      </c>
      <c r="W890" s="31">
        <v>887</v>
      </c>
      <c r="X890" s="56">
        <v>0.36</v>
      </c>
      <c r="Y890" s="31">
        <v>59</v>
      </c>
      <c r="AB890" s="58">
        <f t="shared" si="50"/>
        <v>0.36</v>
      </c>
      <c r="AC890" s="54">
        <f t="shared" si="51"/>
        <v>59</v>
      </c>
      <c r="AF890" s="51">
        <v>887</v>
      </c>
      <c r="AG890" s="6">
        <v>14.000000000000002</v>
      </c>
      <c r="AH890" s="6">
        <v>59</v>
      </c>
      <c r="AK890" s="31">
        <f t="shared" si="52"/>
        <v>14.000000000000002</v>
      </c>
      <c r="AL890" s="31">
        <f t="shared" si="52"/>
        <v>59</v>
      </c>
    </row>
    <row r="891" spans="16:38">
      <c r="P891" s="53">
        <v>888</v>
      </c>
      <c r="Q891" s="54">
        <v>1</v>
      </c>
      <c r="R891" s="54">
        <v>40</v>
      </c>
      <c r="W891" s="31">
        <v>888</v>
      </c>
      <c r="X891" s="56">
        <v>0.43</v>
      </c>
      <c r="Y891" s="31">
        <v>41</v>
      </c>
      <c r="AB891" s="58">
        <f t="shared" si="50"/>
        <v>0.43</v>
      </c>
      <c r="AC891" s="54">
        <f t="shared" si="51"/>
        <v>41</v>
      </c>
      <c r="AF891" s="51">
        <v>888</v>
      </c>
      <c r="AG891" s="6">
        <v>14.000000000000002</v>
      </c>
      <c r="AH891" s="6">
        <v>41</v>
      </c>
      <c r="AK891" s="31">
        <f t="shared" si="52"/>
        <v>14.000000000000002</v>
      </c>
      <c r="AL891" s="31">
        <f t="shared" si="52"/>
        <v>41</v>
      </c>
    </row>
    <row r="892" spans="16:38">
      <c r="P892" s="53">
        <v>889</v>
      </c>
      <c r="Q892" s="54">
        <v>4</v>
      </c>
      <c r="R892" s="54">
        <v>57</v>
      </c>
      <c r="W892" s="31">
        <v>889</v>
      </c>
      <c r="X892" s="56">
        <v>0.4</v>
      </c>
      <c r="Y892" s="31">
        <v>61</v>
      </c>
      <c r="AB892" s="58">
        <f t="shared" si="50"/>
        <v>0.4</v>
      </c>
      <c r="AC892" s="54">
        <f t="shared" si="51"/>
        <v>61</v>
      </c>
      <c r="AF892" s="51">
        <v>889</v>
      </c>
      <c r="AG892" s="6">
        <v>18</v>
      </c>
      <c r="AH892" s="6">
        <v>61</v>
      </c>
      <c r="AK892" s="31">
        <f t="shared" si="52"/>
        <v>18</v>
      </c>
      <c r="AL892" s="31">
        <f t="shared" si="52"/>
        <v>61</v>
      </c>
    </row>
    <row r="893" spans="16:38">
      <c r="P893" s="53">
        <v>890</v>
      </c>
      <c r="Q893" s="54">
        <v>2</v>
      </c>
      <c r="R893" s="54">
        <v>67</v>
      </c>
      <c r="W893" s="31">
        <v>890</v>
      </c>
      <c r="X893" s="56">
        <v>0.4</v>
      </c>
      <c r="Y893" s="31">
        <v>69</v>
      </c>
      <c r="AB893" s="58">
        <f t="shared" si="50"/>
        <v>0.4</v>
      </c>
      <c r="AC893" s="54">
        <f t="shared" si="51"/>
        <v>69</v>
      </c>
      <c r="AF893" s="51">
        <v>890</v>
      </c>
      <c r="AG893" s="6">
        <v>18</v>
      </c>
      <c r="AH893" s="6">
        <v>69</v>
      </c>
      <c r="AK893" s="31">
        <f t="shared" si="52"/>
        <v>18</v>
      </c>
      <c r="AL893" s="31">
        <f t="shared" si="52"/>
        <v>69</v>
      </c>
    </row>
    <row r="894" spans="16:38">
      <c r="P894" s="53">
        <v>891</v>
      </c>
      <c r="Q894" s="54">
        <v>2</v>
      </c>
      <c r="R894" s="54">
        <v>56</v>
      </c>
      <c r="W894" s="31">
        <v>891</v>
      </c>
      <c r="X894" s="56">
        <v>0.34</v>
      </c>
      <c r="Y894" s="31">
        <v>58</v>
      </c>
      <c r="AB894" s="58">
        <f t="shared" si="50"/>
        <v>0.34</v>
      </c>
      <c r="AC894" s="54">
        <f t="shared" si="51"/>
        <v>58</v>
      </c>
      <c r="AF894" s="51">
        <v>891</v>
      </c>
      <c r="AG894" s="6">
        <v>20</v>
      </c>
      <c r="AH894" s="6">
        <v>58</v>
      </c>
      <c r="AK894" s="31">
        <f t="shared" si="52"/>
        <v>20</v>
      </c>
      <c r="AL894" s="31">
        <f t="shared" si="52"/>
        <v>58</v>
      </c>
    </row>
    <row r="895" spans="16:38">
      <c r="P895" s="53">
        <v>892</v>
      </c>
      <c r="Q895" s="54">
        <v>3</v>
      </c>
      <c r="R895" s="54">
        <v>61</v>
      </c>
      <c r="W895" s="31">
        <v>892</v>
      </c>
      <c r="X895" s="56">
        <v>0.34</v>
      </c>
      <c r="Y895" s="31">
        <v>64</v>
      </c>
      <c r="AB895" s="58">
        <f t="shared" si="50"/>
        <v>0.34</v>
      </c>
      <c r="AC895" s="54">
        <f t="shared" si="51"/>
        <v>64</v>
      </c>
      <c r="AF895" s="51">
        <v>892</v>
      </c>
      <c r="AG895" s="6">
        <v>20</v>
      </c>
      <c r="AH895" s="6">
        <v>64</v>
      </c>
      <c r="AK895" s="31">
        <f t="shared" si="52"/>
        <v>20</v>
      </c>
      <c r="AL895" s="31">
        <f t="shared" si="52"/>
        <v>64</v>
      </c>
    </row>
    <row r="896" spans="16:38">
      <c r="P896" s="53">
        <v>893</v>
      </c>
      <c r="Q896" s="54">
        <v>7</v>
      </c>
      <c r="R896" s="54">
        <v>72</v>
      </c>
      <c r="W896" s="31">
        <v>893</v>
      </c>
      <c r="X896" s="56">
        <v>0.37</v>
      </c>
      <c r="Y896" s="31">
        <v>79</v>
      </c>
      <c r="AB896" s="58">
        <f t="shared" si="50"/>
        <v>0.37</v>
      </c>
      <c r="AC896" s="54">
        <f t="shared" si="51"/>
        <v>79</v>
      </c>
      <c r="AF896" s="51">
        <v>893</v>
      </c>
      <c r="AG896" s="6">
        <v>20</v>
      </c>
      <c r="AH896" s="6">
        <v>79</v>
      </c>
      <c r="AK896" s="31">
        <f t="shared" si="52"/>
        <v>20</v>
      </c>
      <c r="AL896" s="31">
        <f t="shared" si="52"/>
        <v>79</v>
      </c>
    </row>
    <row r="897" spans="16:38">
      <c r="P897" s="53">
        <v>894</v>
      </c>
      <c r="Q897" s="54">
        <v>9</v>
      </c>
      <c r="R897" s="54">
        <v>157</v>
      </c>
      <c r="W897" s="31">
        <v>894</v>
      </c>
      <c r="X897" s="56">
        <v>0.34</v>
      </c>
      <c r="Y897" s="31">
        <v>166</v>
      </c>
      <c r="AB897" s="58">
        <f t="shared" si="50"/>
        <v>0.34</v>
      </c>
      <c r="AC897" s="54">
        <f t="shared" si="51"/>
        <v>166</v>
      </c>
      <c r="AF897" s="51">
        <v>894</v>
      </c>
      <c r="AG897" s="6">
        <v>20</v>
      </c>
      <c r="AH897" s="6">
        <v>166</v>
      </c>
      <c r="AK897" s="31">
        <f t="shared" si="52"/>
        <v>20</v>
      </c>
      <c r="AL897" s="31">
        <f t="shared" si="52"/>
        <v>166</v>
      </c>
    </row>
    <row r="898" spans="16:38">
      <c r="P898" s="53">
        <v>895</v>
      </c>
      <c r="Q898" s="54">
        <v>2</v>
      </c>
      <c r="R898" s="54">
        <v>168</v>
      </c>
      <c r="W898" s="31">
        <v>895</v>
      </c>
      <c r="X898" s="56">
        <v>0.47</v>
      </c>
      <c r="Y898" s="31">
        <v>170</v>
      </c>
      <c r="AB898" s="58">
        <f t="shared" si="50"/>
        <v>0.47</v>
      </c>
      <c r="AC898" s="54">
        <f t="shared" si="51"/>
        <v>170</v>
      </c>
      <c r="AF898" s="51">
        <v>895</v>
      </c>
      <c r="AG898" s="6">
        <v>18</v>
      </c>
      <c r="AH898" s="6">
        <v>170</v>
      </c>
      <c r="AK898" s="31">
        <f t="shared" si="52"/>
        <v>18</v>
      </c>
      <c r="AL898" s="31">
        <f t="shared" si="52"/>
        <v>170</v>
      </c>
    </row>
    <row r="899" spans="16:38">
      <c r="P899" s="53">
        <v>896</v>
      </c>
      <c r="Q899" s="54">
        <v>1</v>
      </c>
      <c r="R899" s="54">
        <v>87</v>
      </c>
      <c r="W899" s="31">
        <v>896</v>
      </c>
      <c r="X899" s="56">
        <v>0.86</v>
      </c>
      <c r="Y899" s="31">
        <v>88</v>
      </c>
      <c r="AB899" s="58">
        <f t="shared" si="50"/>
        <v>0.86</v>
      </c>
      <c r="AC899" s="54">
        <f t="shared" si="51"/>
        <v>88</v>
      </c>
      <c r="AF899" s="51">
        <v>896</v>
      </c>
      <c r="AG899" s="6">
        <v>14.000000000000002</v>
      </c>
      <c r="AH899" s="6">
        <v>88</v>
      </c>
      <c r="AK899" s="31">
        <f t="shared" si="52"/>
        <v>14.000000000000002</v>
      </c>
      <c r="AL899" s="31">
        <f t="shared" si="52"/>
        <v>88</v>
      </c>
    </row>
    <row r="900" spans="16:38">
      <c r="P900" s="53">
        <v>897</v>
      </c>
      <c r="Q900" s="54">
        <v>0</v>
      </c>
      <c r="R900" s="54">
        <v>84</v>
      </c>
      <c r="W900" s="31">
        <v>897</v>
      </c>
      <c r="X900" s="56">
        <v>0.86</v>
      </c>
      <c r="Y900" s="31">
        <v>84</v>
      </c>
      <c r="AB900" s="58">
        <f t="shared" si="50"/>
        <v>0.86</v>
      </c>
      <c r="AC900" s="54">
        <f t="shared" si="51"/>
        <v>84</v>
      </c>
      <c r="AF900" s="51">
        <v>897</v>
      </c>
      <c r="AG900" s="6">
        <v>14.000000000000002</v>
      </c>
      <c r="AH900" s="6">
        <v>84</v>
      </c>
      <c r="AK900" s="31">
        <f t="shared" si="52"/>
        <v>14.000000000000002</v>
      </c>
      <c r="AL900" s="31">
        <f t="shared" si="52"/>
        <v>84</v>
      </c>
    </row>
    <row r="901" spans="16:38">
      <c r="P901" s="53">
        <v>898</v>
      </c>
      <c r="Q901" s="54">
        <v>0</v>
      </c>
      <c r="R901" s="54">
        <v>83</v>
      </c>
      <c r="W901" s="31">
        <v>898</v>
      </c>
      <c r="X901" s="56">
        <v>0.86</v>
      </c>
      <c r="Y901" s="31">
        <v>83</v>
      </c>
      <c r="AB901" s="58">
        <f t="shared" ref="AB901:AB964" si="53">X901</f>
        <v>0.86</v>
      </c>
      <c r="AC901" s="54">
        <f t="shared" ref="AC901:AC964" si="54">Y901</f>
        <v>83</v>
      </c>
      <c r="AF901" s="51">
        <v>898</v>
      </c>
      <c r="AG901" s="6">
        <v>14.000000000000002</v>
      </c>
      <c r="AH901" s="6">
        <v>83</v>
      </c>
      <c r="AK901" s="31">
        <f t="shared" si="52"/>
        <v>14.000000000000002</v>
      </c>
      <c r="AL901" s="31">
        <f t="shared" si="52"/>
        <v>83</v>
      </c>
    </row>
    <row r="902" spans="16:38">
      <c r="P902" s="53">
        <v>899</v>
      </c>
      <c r="Q902" s="54">
        <v>4</v>
      </c>
      <c r="R902" s="54">
        <v>42</v>
      </c>
      <c r="W902" s="31">
        <v>899</v>
      </c>
      <c r="X902" s="56">
        <v>0.8</v>
      </c>
      <c r="Y902" s="31">
        <v>46</v>
      </c>
      <c r="AB902" s="58">
        <f t="shared" si="53"/>
        <v>0.8</v>
      </c>
      <c r="AC902" s="54">
        <f t="shared" si="54"/>
        <v>46</v>
      </c>
      <c r="AF902" s="51">
        <v>899</v>
      </c>
      <c r="AG902" s="6">
        <v>16</v>
      </c>
      <c r="AH902" s="6">
        <v>46</v>
      </c>
      <c r="AK902" s="31">
        <f t="shared" si="52"/>
        <v>16</v>
      </c>
      <c r="AL902" s="31">
        <f t="shared" si="52"/>
        <v>46</v>
      </c>
    </row>
    <row r="903" spans="16:38">
      <c r="P903" s="53">
        <v>900</v>
      </c>
      <c r="Q903" s="54">
        <v>0</v>
      </c>
      <c r="R903" s="54">
        <v>37</v>
      </c>
      <c r="W903" s="31">
        <v>900</v>
      </c>
      <c r="X903" s="56">
        <v>0.8</v>
      </c>
      <c r="Y903" s="31">
        <v>37</v>
      </c>
      <c r="AB903" s="58">
        <f t="shared" si="53"/>
        <v>0.8</v>
      </c>
      <c r="AC903" s="54">
        <f t="shared" si="54"/>
        <v>37</v>
      </c>
      <c r="AF903" s="51">
        <v>900</v>
      </c>
      <c r="AG903" s="6">
        <v>16</v>
      </c>
      <c r="AH903" s="6">
        <v>37</v>
      </c>
      <c r="AK903" s="31">
        <f t="shared" si="52"/>
        <v>16</v>
      </c>
      <c r="AL903" s="31">
        <f t="shared" si="52"/>
        <v>37</v>
      </c>
    </row>
    <row r="904" spans="16:38">
      <c r="P904" s="53">
        <v>901</v>
      </c>
      <c r="Q904" s="54">
        <v>0</v>
      </c>
      <c r="R904" s="54">
        <v>16</v>
      </c>
      <c r="W904" s="31">
        <v>901</v>
      </c>
      <c r="X904" s="56">
        <v>0.86</v>
      </c>
      <c r="Y904" s="31">
        <v>16</v>
      </c>
      <c r="AB904" s="58">
        <f t="shared" si="53"/>
        <v>0.86</v>
      </c>
      <c r="AC904" s="54">
        <f t="shared" si="54"/>
        <v>16</v>
      </c>
      <c r="AF904" s="51">
        <v>901</v>
      </c>
      <c r="AG904" s="6">
        <v>14.000000000000002</v>
      </c>
      <c r="AH904" s="6">
        <v>16</v>
      </c>
      <c r="AK904" s="31">
        <f t="shared" si="52"/>
        <v>14.000000000000002</v>
      </c>
      <c r="AL904" s="31">
        <f t="shared" si="52"/>
        <v>16</v>
      </c>
    </row>
    <row r="905" spans="16:38">
      <c r="P905" s="53">
        <v>902</v>
      </c>
      <c r="Q905" s="54">
        <v>0</v>
      </c>
      <c r="R905" s="54">
        <v>7</v>
      </c>
      <c r="W905" s="31">
        <v>902</v>
      </c>
      <c r="X905" s="56">
        <v>0.8</v>
      </c>
      <c r="Y905" s="31">
        <v>7</v>
      </c>
      <c r="AB905" s="58">
        <f t="shared" si="53"/>
        <v>0.8</v>
      </c>
      <c r="AC905" s="54">
        <f t="shared" si="54"/>
        <v>7</v>
      </c>
      <c r="AF905" s="51">
        <v>902</v>
      </c>
      <c r="AG905" s="6">
        <v>14.000000000000002</v>
      </c>
      <c r="AH905" s="6">
        <v>7</v>
      </c>
      <c r="AK905" s="31">
        <f t="shared" si="52"/>
        <v>14.000000000000002</v>
      </c>
      <c r="AL905" s="31">
        <f t="shared" si="52"/>
        <v>7</v>
      </c>
    </row>
    <row r="906" spans="16:38">
      <c r="P906" s="53">
        <v>903</v>
      </c>
      <c r="Q906" s="54">
        <v>0</v>
      </c>
      <c r="R906" s="54">
        <v>3</v>
      </c>
      <c r="W906" s="31">
        <v>903</v>
      </c>
      <c r="X906" s="56">
        <v>0.8</v>
      </c>
      <c r="Y906" s="31">
        <v>3</v>
      </c>
      <c r="AB906" s="58">
        <f t="shared" si="53"/>
        <v>0.8</v>
      </c>
      <c r="AC906" s="54">
        <f t="shared" si="54"/>
        <v>3</v>
      </c>
      <c r="AF906" s="51">
        <v>903</v>
      </c>
      <c r="AG906" s="6">
        <v>14.000000000000002</v>
      </c>
      <c r="AH906" s="6">
        <v>3</v>
      </c>
      <c r="AK906" s="31">
        <f t="shared" si="52"/>
        <v>14.000000000000002</v>
      </c>
      <c r="AL906" s="31">
        <f t="shared" si="52"/>
        <v>3</v>
      </c>
    </row>
    <row r="907" spans="16:38">
      <c r="P907" s="53">
        <v>904</v>
      </c>
      <c r="Q907" s="54">
        <v>0</v>
      </c>
      <c r="R907" s="54">
        <v>1</v>
      </c>
      <c r="W907" s="31">
        <v>904</v>
      </c>
      <c r="X907" s="56">
        <v>0.59</v>
      </c>
      <c r="Y907" s="31">
        <v>1</v>
      </c>
      <c r="AB907" s="58">
        <f t="shared" si="53"/>
        <v>0.59</v>
      </c>
      <c r="AC907" s="54">
        <f t="shared" si="54"/>
        <v>1</v>
      </c>
      <c r="AF907" s="51">
        <v>904</v>
      </c>
      <c r="AG907" s="6">
        <v>14.000000000000002</v>
      </c>
      <c r="AH907" s="6">
        <v>1</v>
      </c>
      <c r="AK907" s="31">
        <f t="shared" si="52"/>
        <v>14.000000000000002</v>
      </c>
      <c r="AL907" s="31">
        <f t="shared" si="52"/>
        <v>1</v>
      </c>
    </row>
    <row r="908" spans="16:38">
      <c r="P908" s="53">
        <v>905</v>
      </c>
      <c r="Q908" s="54">
        <v>0</v>
      </c>
      <c r="R908" s="54">
        <v>6</v>
      </c>
      <c r="W908" s="31">
        <v>905</v>
      </c>
      <c r="X908" s="56">
        <v>0.5</v>
      </c>
      <c r="Y908" s="31">
        <v>6</v>
      </c>
      <c r="AB908" s="58">
        <f t="shared" si="53"/>
        <v>0.5</v>
      </c>
      <c r="AC908" s="54">
        <f t="shared" si="54"/>
        <v>6</v>
      </c>
      <c r="AF908" s="51">
        <v>905</v>
      </c>
      <c r="AG908" s="6">
        <v>12</v>
      </c>
      <c r="AH908" s="6">
        <v>6</v>
      </c>
      <c r="AK908" s="31">
        <f t="shared" si="52"/>
        <v>12</v>
      </c>
      <c r="AL908" s="31">
        <f t="shared" si="52"/>
        <v>6</v>
      </c>
    </row>
    <row r="909" spans="16:38">
      <c r="P909" s="53">
        <v>906</v>
      </c>
      <c r="Q909" s="54">
        <v>0</v>
      </c>
      <c r="R909" s="54">
        <v>26</v>
      </c>
      <c r="W909" s="31">
        <v>906</v>
      </c>
      <c r="X909" s="56">
        <v>0.54</v>
      </c>
      <c r="Y909" s="31">
        <v>26</v>
      </c>
      <c r="AB909" s="58">
        <f t="shared" si="53"/>
        <v>0.54</v>
      </c>
      <c r="AC909" s="54">
        <f t="shared" si="54"/>
        <v>26</v>
      </c>
      <c r="AF909" s="51">
        <v>906</v>
      </c>
      <c r="AG909" s="6">
        <v>12</v>
      </c>
      <c r="AH909" s="6">
        <v>26</v>
      </c>
      <c r="AK909" s="31">
        <f t="shared" si="52"/>
        <v>12</v>
      </c>
      <c r="AL909" s="31">
        <f t="shared" si="52"/>
        <v>26</v>
      </c>
    </row>
    <row r="910" spans="16:38">
      <c r="P910" s="53">
        <v>907</v>
      </c>
      <c r="Q910" s="54">
        <v>0</v>
      </c>
      <c r="R910" s="54">
        <v>99</v>
      </c>
      <c r="W910" s="31">
        <v>907</v>
      </c>
      <c r="X910" s="56">
        <v>0.5</v>
      </c>
      <c r="Y910" s="31">
        <v>99</v>
      </c>
      <c r="AB910" s="58">
        <f t="shared" si="53"/>
        <v>0.5</v>
      </c>
      <c r="AC910" s="54">
        <f t="shared" si="54"/>
        <v>99</v>
      </c>
      <c r="AF910" s="51">
        <v>907</v>
      </c>
      <c r="AG910" s="6">
        <v>10</v>
      </c>
      <c r="AH910" s="6">
        <v>99</v>
      </c>
      <c r="AK910" s="31">
        <f t="shared" si="52"/>
        <v>10</v>
      </c>
      <c r="AL910" s="31">
        <f t="shared" si="52"/>
        <v>99</v>
      </c>
    </row>
    <row r="911" spans="16:38">
      <c r="P911" s="53">
        <v>908</v>
      </c>
      <c r="Q911" s="54">
        <v>5</v>
      </c>
      <c r="R911" s="54">
        <v>173</v>
      </c>
      <c r="W911" s="31">
        <v>908</v>
      </c>
      <c r="X911" s="56">
        <v>0.49</v>
      </c>
      <c r="Y911" s="31">
        <v>178</v>
      </c>
      <c r="AB911" s="58">
        <f t="shared" si="53"/>
        <v>0.49</v>
      </c>
      <c r="AC911" s="54">
        <f t="shared" si="54"/>
        <v>178</v>
      </c>
      <c r="AF911" s="51">
        <v>908</v>
      </c>
      <c r="AG911" s="6">
        <v>10</v>
      </c>
      <c r="AH911" s="6">
        <v>178</v>
      </c>
      <c r="AK911" s="31">
        <f t="shared" si="52"/>
        <v>10</v>
      </c>
      <c r="AL911" s="31">
        <f t="shared" si="52"/>
        <v>178</v>
      </c>
    </row>
    <row r="912" spans="16:38">
      <c r="P912" s="53">
        <v>909</v>
      </c>
      <c r="Q912" s="54">
        <v>1</v>
      </c>
      <c r="R912" s="54">
        <v>121</v>
      </c>
      <c r="W912" s="31">
        <v>909</v>
      </c>
      <c r="X912" s="56">
        <v>0.42</v>
      </c>
      <c r="Y912" s="31">
        <v>122</v>
      </c>
      <c r="AB912" s="58">
        <f t="shared" si="53"/>
        <v>0.42</v>
      </c>
      <c r="AC912" s="54">
        <f t="shared" si="54"/>
        <v>122</v>
      </c>
      <c r="AF912" s="51">
        <v>909</v>
      </c>
      <c r="AG912" s="6">
        <v>12</v>
      </c>
      <c r="AH912" s="6">
        <v>122</v>
      </c>
      <c r="AK912" s="31">
        <f t="shared" si="52"/>
        <v>12</v>
      </c>
      <c r="AL912" s="31">
        <f t="shared" si="52"/>
        <v>122</v>
      </c>
    </row>
    <row r="913" spans="16:38">
      <c r="P913" s="53">
        <v>910</v>
      </c>
      <c r="Q913" s="54">
        <v>1</v>
      </c>
      <c r="R913" s="54">
        <v>34</v>
      </c>
      <c r="W913" s="31">
        <v>910</v>
      </c>
      <c r="X913" s="56">
        <v>0.42</v>
      </c>
      <c r="Y913" s="31">
        <v>35</v>
      </c>
      <c r="AB913" s="58">
        <f t="shared" si="53"/>
        <v>0.42</v>
      </c>
      <c r="AC913" s="54">
        <f t="shared" si="54"/>
        <v>35</v>
      </c>
      <c r="AF913" s="51">
        <v>910</v>
      </c>
      <c r="AG913" s="6">
        <v>12</v>
      </c>
      <c r="AH913" s="6">
        <v>35</v>
      </c>
      <c r="AK913" s="31">
        <f t="shared" si="52"/>
        <v>12</v>
      </c>
      <c r="AL913" s="31">
        <f t="shared" si="52"/>
        <v>35</v>
      </c>
    </row>
    <row r="914" spans="16:38">
      <c r="P914" s="53">
        <v>911</v>
      </c>
      <c r="Q914" s="54">
        <v>1</v>
      </c>
      <c r="R914" s="54">
        <v>44</v>
      </c>
      <c r="W914" s="31">
        <v>911</v>
      </c>
      <c r="X914" s="56">
        <v>0.39</v>
      </c>
      <c r="Y914" s="31">
        <v>45</v>
      </c>
      <c r="AB914" s="58">
        <f t="shared" si="53"/>
        <v>0.39</v>
      </c>
      <c r="AC914" s="54">
        <f t="shared" si="54"/>
        <v>45</v>
      </c>
      <c r="AF914" s="51">
        <v>911</v>
      </c>
      <c r="AG914" s="6">
        <v>14.000000000000002</v>
      </c>
      <c r="AH914" s="6">
        <v>45</v>
      </c>
      <c r="AK914" s="31">
        <f t="shared" si="52"/>
        <v>14.000000000000002</v>
      </c>
      <c r="AL914" s="31">
        <f t="shared" si="52"/>
        <v>45</v>
      </c>
    </row>
    <row r="915" spans="16:38">
      <c r="P915" s="53">
        <v>912</v>
      </c>
      <c r="Q915" s="54">
        <v>4</v>
      </c>
      <c r="R915" s="54">
        <v>65</v>
      </c>
      <c r="W915" s="31">
        <v>912</v>
      </c>
      <c r="X915" s="56">
        <v>0.34</v>
      </c>
      <c r="Y915" s="31">
        <v>69</v>
      </c>
      <c r="AB915" s="58">
        <f t="shared" si="53"/>
        <v>0.34</v>
      </c>
      <c r="AC915" s="54">
        <f t="shared" si="54"/>
        <v>69</v>
      </c>
      <c r="AF915" s="51">
        <v>912</v>
      </c>
      <c r="AG915" s="6">
        <v>16</v>
      </c>
      <c r="AH915" s="6">
        <v>69</v>
      </c>
      <c r="AK915" s="31">
        <f t="shared" si="52"/>
        <v>16</v>
      </c>
      <c r="AL915" s="31">
        <f t="shared" si="52"/>
        <v>69</v>
      </c>
    </row>
    <row r="916" spans="16:38">
      <c r="P916" s="53">
        <v>913</v>
      </c>
      <c r="Q916" s="54">
        <v>3</v>
      </c>
      <c r="R916" s="54">
        <v>59</v>
      </c>
      <c r="W916" s="31">
        <v>913</v>
      </c>
      <c r="X916" s="56">
        <v>0.28999999999999998</v>
      </c>
      <c r="Y916" s="31">
        <v>62</v>
      </c>
      <c r="AB916" s="58">
        <f t="shared" si="53"/>
        <v>0.28999999999999998</v>
      </c>
      <c r="AC916" s="54">
        <f t="shared" si="54"/>
        <v>62</v>
      </c>
      <c r="AF916" s="51">
        <v>913</v>
      </c>
      <c r="AG916" s="6">
        <v>18</v>
      </c>
      <c r="AH916" s="6">
        <v>62</v>
      </c>
      <c r="AK916" s="31">
        <f t="shared" si="52"/>
        <v>18</v>
      </c>
      <c r="AL916" s="31">
        <f t="shared" si="52"/>
        <v>62</v>
      </c>
    </row>
    <row r="917" spans="16:38">
      <c r="P917" s="53">
        <v>914</v>
      </c>
      <c r="Q917" s="54">
        <v>6</v>
      </c>
      <c r="R917" s="54">
        <v>42</v>
      </c>
      <c r="W917" s="31">
        <v>914</v>
      </c>
      <c r="X917" s="56">
        <v>0.27</v>
      </c>
      <c r="Y917" s="31">
        <v>48</v>
      </c>
      <c r="AB917" s="58">
        <f t="shared" si="53"/>
        <v>0.27</v>
      </c>
      <c r="AC917" s="54">
        <f t="shared" si="54"/>
        <v>48</v>
      </c>
      <c r="AF917" s="51">
        <v>914</v>
      </c>
      <c r="AG917" s="6">
        <v>20</v>
      </c>
      <c r="AH917" s="6">
        <v>48</v>
      </c>
      <c r="AK917" s="31">
        <f t="shared" ref="AK917:AL980" si="55">AG917</f>
        <v>20</v>
      </c>
      <c r="AL917" s="31">
        <f t="shared" si="55"/>
        <v>48</v>
      </c>
    </row>
    <row r="918" spans="16:38">
      <c r="P918" s="53">
        <v>915</v>
      </c>
      <c r="Q918" s="54">
        <v>0</v>
      </c>
      <c r="R918" s="54">
        <v>50</v>
      </c>
      <c r="W918" s="31">
        <v>915</v>
      </c>
      <c r="X918" s="56">
        <v>0.25</v>
      </c>
      <c r="Y918" s="31">
        <v>50</v>
      </c>
      <c r="AB918" s="58">
        <f t="shared" si="53"/>
        <v>0.25</v>
      </c>
      <c r="AC918" s="54">
        <f t="shared" si="54"/>
        <v>50</v>
      </c>
      <c r="AF918" s="51">
        <v>915</v>
      </c>
      <c r="AG918" s="6">
        <v>20</v>
      </c>
      <c r="AH918" s="6">
        <v>50</v>
      </c>
      <c r="AK918" s="31">
        <f t="shared" si="55"/>
        <v>20</v>
      </c>
      <c r="AL918" s="31">
        <f t="shared" si="55"/>
        <v>50</v>
      </c>
    </row>
    <row r="919" spans="16:38">
      <c r="P919" s="53">
        <v>916</v>
      </c>
      <c r="Q919" s="54">
        <v>4</v>
      </c>
      <c r="R919" s="54">
        <v>76</v>
      </c>
      <c r="W919" s="31">
        <v>916</v>
      </c>
      <c r="X919" s="56">
        <v>0.27</v>
      </c>
      <c r="Y919" s="31">
        <v>80</v>
      </c>
      <c r="AB919" s="58">
        <f t="shared" si="53"/>
        <v>0.27</v>
      </c>
      <c r="AC919" s="54">
        <f t="shared" si="54"/>
        <v>80</v>
      </c>
      <c r="AF919" s="51">
        <v>916</v>
      </c>
      <c r="AG919" s="6">
        <v>20</v>
      </c>
      <c r="AH919" s="6">
        <v>80</v>
      </c>
      <c r="AK919" s="31">
        <f t="shared" si="55"/>
        <v>20</v>
      </c>
      <c r="AL919" s="31">
        <f t="shared" si="55"/>
        <v>80</v>
      </c>
    </row>
    <row r="920" spans="16:38">
      <c r="P920" s="53">
        <v>917</v>
      </c>
      <c r="Q920" s="54">
        <v>6</v>
      </c>
      <c r="R920" s="54">
        <v>159</v>
      </c>
      <c r="W920" s="31">
        <v>917</v>
      </c>
      <c r="X920" s="56">
        <v>0.26</v>
      </c>
      <c r="Y920" s="31">
        <v>165</v>
      </c>
      <c r="AB920" s="58">
        <f t="shared" si="53"/>
        <v>0.26</v>
      </c>
      <c r="AC920" s="54">
        <f t="shared" si="54"/>
        <v>165</v>
      </c>
      <c r="AF920" s="51">
        <v>917</v>
      </c>
      <c r="AG920" s="6">
        <v>18</v>
      </c>
      <c r="AH920" s="6">
        <v>165</v>
      </c>
      <c r="AK920" s="31">
        <f t="shared" si="55"/>
        <v>18</v>
      </c>
      <c r="AL920" s="31">
        <f t="shared" si="55"/>
        <v>165</v>
      </c>
    </row>
    <row r="921" spans="16:38">
      <c r="P921" s="53">
        <v>918</v>
      </c>
      <c r="Q921" s="54">
        <v>3</v>
      </c>
      <c r="R921" s="54">
        <v>157</v>
      </c>
      <c r="W921" s="31">
        <v>918</v>
      </c>
      <c r="X921" s="56">
        <v>0.28000000000000003</v>
      </c>
      <c r="Y921" s="31">
        <v>160</v>
      </c>
      <c r="AB921" s="58">
        <f t="shared" si="53"/>
        <v>0.28000000000000003</v>
      </c>
      <c r="AC921" s="54">
        <f t="shared" si="54"/>
        <v>160</v>
      </c>
      <c r="AF921" s="51">
        <v>918</v>
      </c>
      <c r="AG921" s="6">
        <v>16</v>
      </c>
      <c r="AH921" s="6">
        <v>160</v>
      </c>
      <c r="AK921" s="31">
        <f t="shared" si="55"/>
        <v>16</v>
      </c>
      <c r="AL921" s="31">
        <f t="shared" si="55"/>
        <v>160</v>
      </c>
    </row>
    <row r="922" spans="16:38">
      <c r="P922" s="53">
        <v>919</v>
      </c>
      <c r="Q922" s="54">
        <v>2</v>
      </c>
      <c r="R922" s="54">
        <v>110</v>
      </c>
      <c r="W922" s="31">
        <v>919</v>
      </c>
      <c r="X922" s="56">
        <v>0.28000000000000003</v>
      </c>
      <c r="Y922" s="31">
        <v>112</v>
      </c>
      <c r="AB922" s="58">
        <f t="shared" si="53"/>
        <v>0.28000000000000003</v>
      </c>
      <c r="AC922" s="54">
        <f t="shared" si="54"/>
        <v>112</v>
      </c>
      <c r="AF922" s="51">
        <v>919</v>
      </c>
      <c r="AG922" s="6">
        <v>14.000000000000002</v>
      </c>
      <c r="AH922" s="6">
        <v>112</v>
      </c>
      <c r="AK922" s="31">
        <f t="shared" si="55"/>
        <v>14.000000000000002</v>
      </c>
      <c r="AL922" s="31">
        <f t="shared" si="55"/>
        <v>112</v>
      </c>
    </row>
    <row r="923" spans="16:38">
      <c r="P923" s="53">
        <v>920</v>
      </c>
      <c r="Q923" s="54">
        <v>4</v>
      </c>
      <c r="R923" s="54">
        <v>93</v>
      </c>
      <c r="W923" s="31">
        <v>920</v>
      </c>
      <c r="X923" s="56">
        <v>0.31</v>
      </c>
      <c r="Y923" s="31">
        <v>97</v>
      </c>
      <c r="AB923" s="58">
        <f t="shared" si="53"/>
        <v>0.31</v>
      </c>
      <c r="AC923" s="54">
        <f t="shared" si="54"/>
        <v>97</v>
      </c>
      <c r="AF923" s="51">
        <v>920</v>
      </c>
      <c r="AG923" s="6">
        <v>14.000000000000002</v>
      </c>
      <c r="AH923" s="6">
        <v>97</v>
      </c>
      <c r="AK923" s="31">
        <f t="shared" si="55"/>
        <v>14.000000000000002</v>
      </c>
      <c r="AL923" s="31">
        <f t="shared" si="55"/>
        <v>97</v>
      </c>
    </row>
    <row r="924" spans="16:38">
      <c r="P924" s="53">
        <v>921</v>
      </c>
      <c r="Q924" s="54">
        <v>2</v>
      </c>
      <c r="R924" s="54">
        <v>70</v>
      </c>
      <c r="W924" s="31">
        <v>921</v>
      </c>
      <c r="X924" s="56">
        <v>0.39</v>
      </c>
      <c r="Y924" s="31">
        <v>72</v>
      </c>
      <c r="AB924" s="58">
        <f t="shared" si="53"/>
        <v>0.39</v>
      </c>
      <c r="AC924" s="54">
        <f t="shared" si="54"/>
        <v>72</v>
      </c>
      <c r="AF924" s="51">
        <v>921</v>
      </c>
      <c r="AG924" s="6">
        <v>14.000000000000002</v>
      </c>
      <c r="AH924" s="6">
        <v>72</v>
      </c>
      <c r="AK924" s="31">
        <f t="shared" si="55"/>
        <v>14.000000000000002</v>
      </c>
      <c r="AL924" s="31">
        <f t="shared" si="55"/>
        <v>72</v>
      </c>
    </row>
    <row r="925" spans="16:38">
      <c r="P925" s="53">
        <v>922</v>
      </c>
      <c r="Q925" s="54">
        <v>4</v>
      </c>
      <c r="R925" s="54">
        <v>47</v>
      </c>
      <c r="W925" s="31">
        <v>922</v>
      </c>
      <c r="X925" s="56">
        <v>0.39</v>
      </c>
      <c r="Y925" s="31">
        <v>51</v>
      </c>
      <c r="AB925" s="58">
        <f t="shared" si="53"/>
        <v>0.39</v>
      </c>
      <c r="AC925" s="54">
        <f t="shared" si="54"/>
        <v>51</v>
      </c>
      <c r="AF925" s="51">
        <v>922</v>
      </c>
      <c r="AG925" s="6">
        <v>12</v>
      </c>
      <c r="AH925" s="6">
        <v>51</v>
      </c>
      <c r="AK925" s="31">
        <f t="shared" si="55"/>
        <v>12</v>
      </c>
      <c r="AL925" s="31">
        <f t="shared" si="55"/>
        <v>51</v>
      </c>
    </row>
    <row r="926" spans="16:38">
      <c r="P926" s="53">
        <v>923</v>
      </c>
      <c r="Q926" s="54">
        <v>1</v>
      </c>
      <c r="R926" s="54">
        <v>33</v>
      </c>
      <c r="W926" s="31">
        <v>923</v>
      </c>
      <c r="X926" s="56">
        <v>0.42</v>
      </c>
      <c r="Y926" s="31">
        <v>34</v>
      </c>
      <c r="AB926" s="58">
        <f t="shared" si="53"/>
        <v>0.42</v>
      </c>
      <c r="AC926" s="54">
        <f t="shared" si="54"/>
        <v>34</v>
      </c>
      <c r="AF926" s="51">
        <v>923</v>
      </c>
      <c r="AG926" s="6">
        <v>12</v>
      </c>
      <c r="AH926" s="6">
        <v>34</v>
      </c>
      <c r="AK926" s="31">
        <f t="shared" si="55"/>
        <v>12</v>
      </c>
      <c r="AL926" s="31">
        <f t="shared" si="55"/>
        <v>34</v>
      </c>
    </row>
    <row r="927" spans="16:38">
      <c r="P927" s="53">
        <v>924</v>
      </c>
      <c r="Q927" s="54">
        <v>2</v>
      </c>
      <c r="R927" s="54">
        <v>12</v>
      </c>
      <c r="W927" s="31">
        <v>924</v>
      </c>
      <c r="X927" s="56">
        <v>0.49</v>
      </c>
      <c r="Y927" s="31">
        <v>14</v>
      </c>
      <c r="AB927" s="58">
        <f t="shared" si="53"/>
        <v>0.49</v>
      </c>
      <c r="AC927" s="54">
        <f t="shared" si="54"/>
        <v>14</v>
      </c>
      <c r="AF927" s="51">
        <v>924</v>
      </c>
      <c r="AG927" s="6">
        <v>10</v>
      </c>
      <c r="AH927" s="6">
        <v>14</v>
      </c>
      <c r="AK927" s="31">
        <f t="shared" si="55"/>
        <v>10</v>
      </c>
      <c r="AL927" s="31">
        <f t="shared" si="55"/>
        <v>14</v>
      </c>
    </row>
    <row r="928" spans="16:38">
      <c r="P928" s="53">
        <v>925</v>
      </c>
      <c r="Q928" s="54">
        <v>1</v>
      </c>
      <c r="R928" s="54">
        <v>6</v>
      </c>
      <c r="W928" s="31">
        <v>925</v>
      </c>
      <c r="X928" s="56">
        <v>0.54</v>
      </c>
      <c r="Y928" s="31">
        <v>7</v>
      </c>
      <c r="AB928" s="58">
        <f t="shared" si="53"/>
        <v>0.54</v>
      </c>
      <c r="AC928" s="54">
        <f t="shared" si="54"/>
        <v>7</v>
      </c>
      <c r="AF928" s="51">
        <v>925</v>
      </c>
      <c r="AG928" s="6">
        <v>10</v>
      </c>
      <c r="AH928" s="6">
        <v>7</v>
      </c>
      <c r="AK928" s="31">
        <f t="shared" si="55"/>
        <v>10</v>
      </c>
      <c r="AL928" s="31">
        <f t="shared" si="55"/>
        <v>7</v>
      </c>
    </row>
    <row r="929" spans="16:38">
      <c r="P929" s="53">
        <v>926</v>
      </c>
      <c r="Q929" s="54">
        <v>0</v>
      </c>
      <c r="R929" s="54">
        <v>3</v>
      </c>
      <c r="W929" s="31">
        <v>926</v>
      </c>
      <c r="X929" s="56">
        <v>0.54</v>
      </c>
      <c r="Y929" s="31">
        <v>3</v>
      </c>
      <c r="AB929" s="58">
        <f t="shared" si="53"/>
        <v>0.54</v>
      </c>
      <c r="AC929" s="54">
        <f t="shared" si="54"/>
        <v>3</v>
      </c>
      <c r="AF929" s="51">
        <v>926</v>
      </c>
      <c r="AG929" s="6">
        <v>10</v>
      </c>
      <c r="AH929" s="6">
        <v>3</v>
      </c>
      <c r="AK929" s="31">
        <f t="shared" si="55"/>
        <v>10</v>
      </c>
      <c r="AL929" s="31">
        <f t="shared" si="55"/>
        <v>3</v>
      </c>
    </row>
    <row r="930" spans="16:38">
      <c r="P930" s="53">
        <v>927</v>
      </c>
      <c r="Q930" s="54">
        <v>0</v>
      </c>
      <c r="R930" s="54">
        <v>4</v>
      </c>
      <c r="W930" s="31">
        <v>927</v>
      </c>
      <c r="X930" s="56">
        <v>0.63</v>
      </c>
      <c r="Y930" s="31">
        <v>4</v>
      </c>
      <c r="AB930" s="58">
        <f t="shared" si="53"/>
        <v>0.63</v>
      </c>
      <c r="AC930" s="54">
        <f t="shared" si="54"/>
        <v>4</v>
      </c>
      <c r="AF930" s="51">
        <v>927</v>
      </c>
      <c r="AG930" s="6">
        <v>8</v>
      </c>
      <c r="AH930" s="6">
        <v>4</v>
      </c>
      <c r="AK930" s="31">
        <f t="shared" si="55"/>
        <v>8</v>
      </c>
      <c r="AL930" s="31">
        <f t="shared" si="55"/>
        <v>4</v>
      </c>
    </row>
    <row r="931" spans="16:38">
      <c r="P931" s="53">
        <v>928</v>
      </c>
      <c r="Q931" s="54">
        <v>1</v>
      </c>
      <c r="R931" s="54">
        <v>23</v>
      </c>
      <c r="W931" s="31">
        <v>928</v>
      </c>
      <c r="X931" s="56">
        <v>0.68</v>
      </c>
      <c r="Y931" s="31">
        <v>24</v>
      </c>
      <c r="AB931" s="58">
        <f t="shared" si="53"/>
        <v>0.68</v>
      </c>
      <c r="AC931" s="54">
        <f t="shared" si="54"/>
        <v>24</v>
      </c>
      <c r="AF931" s="51">
        <v>928</v>
      </c>
      <c r="AG931" s="6">
        <v>10</v>
      </c>
      <c r="AH931" s="6">
        <v>24</v>
      </c>
      <c r="AK931" s="31">
        <f t="shared" si="55"/>
        <v>10</v>
      </c>
      <c r="AL931" s="31">
        <f t="shared" si="55"/>
        <v>24</v>
      </c>
    </row>
    <row r="932" spans="16:38">
      <c r="P932" s="53">
        <v>929</v>
      </c>
      <c r="Q932" s="54">
        <v>1</v>
      </c>
      <c r="R932" s="54">
        <v>73</v>
      </c>
      <c r="W932" s="31">
        <v>929</v>
      </c>
      <c r="X932" s="56">
        <v>0.73</v>
      </c>
      <c r="Y932" s="31">
        <v>74</v>
      </c>
      <c r="AB932" s="58">
        <f t="shared" si="53"/>
        <v>0.73</v>
      </c>
      <c r="AC932" s="54">
        <f t="shared" si="54"/>
        <v>74</v>
      </c>
      <c r="AF932" s="51">
        <v>929</v>
      </c>
      <c r="AG932" s="6">
        <v>8</v>
      </c>
      <c r="AH932" s="6">
        <v>74</v>
      </c>
      <c r="AK932" s="31">
        <f t="shared" si="55"/>
        <v>8</v>
      </c>
      <c r="AL932" s="31">
        <f t="shared" si="55"/>
        <v>74</v>
      </c>
    </row>
    <row r="933" spans="16:38">
      <c r="P933" s="53">
        <v>930</v>
      </c>
      <c r="Q933" s="54">
        <v>4</v>
      </c>
      <c r="R933" s="54">
        <v>212</v>
      </c>
      <c r="W933" s="31">
        <v>930</v>
      </c>
      <c r="X933" s="56">
        <v>0.74</v>
      </c>
      <c r="Y933" s="31">
        <v>216</v>
      </c>
      <c r="AB933" s="58">
        <f t="shared" si="53"/>
        <v>0.74</v>
      </c>
      <c r="AC933" s="54">
        <f t="shared" si="54"/>
        <v>216</v>
      </c>
      <c r="AF933" s="51">
        <v>930</v>
      </c>
      <c r="AG933" s="6">
        <v>10</v>
      </c>
      <c r="AH933" s="6">
        <v>216</v>
      </c>
      <c r="AK933" s="31">
        <f t="shared" si="55"/>
        <v>10</v>
      </c>
      <c r="AL933" s="31">
        <f t="shared" si="55"/>
        <v>216</v>
      </c>
    </row>
    <row r="934" spans="16:38">
      <c r="P934" s="53">
        <v>931</v>
      </c>
      <c r="Q934" s="54">
        <v>8</v>
      </c>
      <c r="R934" s="54">
        <v>132</v>
      </c>
      <c r="W934" s="31">
        <v>931</v>
      </c>
      <c r="X934" s="56">
        <v>0.74</v>
      </c>
      <c r="Y934" s="31">
        <v>140</v>
      </c>
      <c r="AB934" s="58">
        <f t="shared" si="53"/>
        <v>0.74</v>
      </c>
      <c r="AC934" s="54">
        <f t="shared" si="54"/>
        <v>140</v>
      </c>
      <c r="AF934" s="51">
        <v>931</v>
      </c>
      <c r="AG934" s="6">
        <v>12</v>
      </c>
      <c r="AH934" s="6">
        <v>140</v>
      </c>
      <c r="AK934" s="31">
        <f t="shared" si="55"/>
        <v>12</v>
      </c>
      <c r="AL934" s="31">
        <f t="shared" si="55"/>
        <v>140</v>
      </c>
    </row>
    <row r="935" spans="16:38">
      <c r="P935" s="53">
        <v>932</v>
      </c>
      <c r="Q935" s="54">
        <v>5</v>
      </c>
      <c r="R935" s="54">
        <v>39</v>
      </c>
      <c r="W935" s="31">
        <v>932</v>
      </c>
      <c r="X935" s="56">
        <v>0.69</v>
      </c>
      <c r="Y935" s="31">
        <v>44</v>
      </c>
      <c r="AB935" s="58">
        <f t="shared" si="53"/>
        <v>0.69</v>
      </c>
      <c r="AC935" s="54">
        <f t="shared" si="54"/>
        <v>44</v>
      </c>
      <c r="AF935" s="51">
        <v>932</v>
      </c>
      <c r="AG935" s="6">
        <v>14.000000000000002</v>
      </c>
      <c r="AH935" s="6">
        <v>44</v>
      </c>
      <c r="AK935" s="31">
        <f t="shared" si="55"/>
        <v>14.000000000000002</v>
      </c>
      <c r="AL935" s="31">
        <f t="shared" si="55"/>
        <v>44</v>
      </c>
    </row>
    <row r="936" spans="16:38">
      <c r="P936" s="53">
        <v>933</v>
      </c>
      <c r="Q936" s="54">
        <v>12</v>
      </c>
      <c r="R936" s="54">
        <v>52</v>
      </c>
      <c r="W936" s="31">
        <v>933</v>
      </c>
      <c r="X936" s="56">
        <v>0.47</v>
      </c>
      <c r="Y936" s="31">
        <v>64</v>
      </c>
      <c r="AB936" s="58">
        <f t="shared" si="53"/>
        <v>0.47</v>
      </c>
      <c r="AC936" s="54">
        <f t="shared" si="54"/>
        <v>64</v>
      </c>
      <c r="AF936" s="51">
        <v>933</v>
      </c>
      <c r="AG936" s="6">
        <v>22</v>
      </c>
      <c r="AH936" s="6">
        <v>64</v>
      </c>
      <c r="AK936" s="31">
        <f t="shared" si="55"/>
        <v>22</v>
      </c>
      <c r="AL936" s="31">
        <f t="shared" si="55"/>
        <v>64</v>
      </c>
    </row>
    <row r="937" spans="16:38">
      <c r="P937" s="53">
        <v>934</v>
      </c>
      <c r="Q937" s="54">
        <v>7</v>
      </c>
      <c r="R937" s="54">
        <v>64</v>
      </c>
      <c r="W937" s="31">
        <v>934</v>
      </c>
      <c r="X937" s="56">
        <v>0.47</v>
      </c>
      <c r="Y937" s="31">
        <v>71</v>
      </c>
      <c r="AB937" s="58">
        <f t="shared" si="53"/>
        <v>0.47</v>
      </c>
      <c r="AC937" s="54">
        <f t="shared" si="54"/>
        <v>71</v>
      </c>
      <c r="AF937" s="51">
        <v>934</v>
      </c>
      <c r="AG937" s="6">
        <v>22</v>
      </c>
      <c r="AH937" s="6">
        <v>71</v>
      </c>
      <c r="AK937" s="31">
        <f t="shared" si="55"/>
        <v>22</v>
      </c>
      <c r="AL937" s="31">
        <f t="shared" si="55"/>
        <v>71</v>
      </c>
    </row>
    <row r="938" spans="16:38">
      <c r="P938" s="53">
        <v>935</v>
      </c>
      <c r="Q938" s="54">
        <v>21</v>
      </c>
      <c r="R938" s="54">
        <v>89</v>
      </c>
      <c r="W938" s="31">
        <v>935</v>
      </c>
      <c r="X938" s="56">
        <v>0.35</v>
      </c>
      <c r="Y938" s="31">
        <v>110</v>
      </c>
      <c r="AB938" s="58">
        <f t="shared" si="53"/>
        <v>0.35</v>
      </c>
      <c r="AC938" s="54">
        <f t="shared" si="54"/>
        <v>110</v>
      </c>
      <c r="AF938" s="51">
        <v>935</v>
      </c>
      <c r="AG938" s="6">
        <v>24</v>
      </c>
      <c r="AH938" s="6">
        <v>110</v>
      </c>
      <c r="AK938" s="31">
        <f t="shared" si="55"/>
        <v>24</v>
      </c>
      <c r="AL938" s="31">
        <f t="shared" si="55"/>
        <v>110</v>
      </c>
    </row>
    <row r="939" spans="16:38">
      <c r="P939" s="53">
        <v>936</v>
      </c>
      <c r="Q939" s="54">
        <v>17</v>
      </c>
      <c r="R939" s="54">
        <v>67</v>
      </c>
      <c r="W939" s="31">
        <v>936</v>
      </c>
      <c r="X939" s="56">
        <v>0.26</v>
      </c>
      <c r="Y939" s="31">
        <v>84</v>
      </c>
      <c r="AB939" s="58">
        <f t="shared" si="53"/>
        <v>0.26</v>
      </c>
      <c r="AC939" s="54">
        <f t="shared" si="54"/>
        <v>84</v>
      </c>
      <c r="AF939" s="51">
        <v>936</v>
      </c>
      <c r="AG939" s="6">
        <v>30</v>
      </c>
      <c r="AH939" s="6">
        <v>84</v>
      </c>
      <c r="AK939" s="31">
        <f t="shared" si="55"/>
        <v>30</v>
      </c>
      <c r="AL939" s="31">
        <f t="shared" si="55"/>
        <v>84</v>
      </c>
    </row>
    <row r="940" spans="16:38">
      <c r="P940" s="53">
        <v>937</v>
      </c>
      <c r="Q940" s="54">
        <v>12</v>
      </c>
      <c r="R940" s="54">
        <v>62</v>
      </c>
      <c r="W940" s="31">
        <v>937</v>
      </c>
      <c r="X940" s="56">
        <v>0.21</v>
      </c>
      <c r="Y940" s="31">
        <v>74</v>
      </c>
      <c r="AB940" s="58">
        <f t="shared" si="53"/>
        <v>0.21</v>
      </c>
      <c r="AC940" s="54">
        <f t="shared" si="54"/>
        <v>74</v>
      </c>
      <c r="AF940" s="51">
        <v>937</v>
      </c>
      <c r="AG940" s="6">
        <v>32</v>
      </c>
      <c r="AH940" s="6">
        <v>74</v>
      </c>
      <c r="AK940" s="31">
        <f t="shared" si="55"/>
        <v>32</v>
      </c>
      <c r="AL940" s="31">
        <f t="shared" si="55"/>
        <v>74</v>
      </c>
    </row>
    <row r="941" spans="16:38">
      <c r="P941" s="53">
        <v>938</v>
      </c>
      <c r="Q941" s="54">
        <v>14</v>
      </c>
      <c r="R941" s="54">
        <v>111</v>
      </c>
      <c r="W941" s="31">
        <v>938</v>
      </c>
      <c r="X941" s="56">
        <v>0.28000000000000003</v>
      </c>
      <c r="Y941" s="31">
        <v>125</v>
      </c>
      <c r="AB941" s="58">
        <f t="shared" si="53"/>
        <v>0.28000000000000003</v>
      </c>
      <c r="AC941" s="54">
        <f t="shared" si="54"/>
        <v>125</v>
      </c>
      <c r="AF941" s="51">
        <v>938</v>
      </c>
      <c r="AG941" s="6">
        <v>30</v>
      </c>
      <c r="AH941" s="6">
        <v>125</v>
      </c>
      <c r="AK941" s="31">
        <f t="shared" si="55"/>
        <v>30</v>
      </c>
      <c r="AL941" s="31">
        <f t="shared" si="55"/>
        <v>125</v>
      </c>
    </row>
    <row r="942" spans="16:38">
      <c r="P942" s="53">
        <v>939</v>
      </c>
      <c r="Q942" s="54">
        <v>18</v>
      </c>
      <c r="R942" s="54">
        <v>193</v>
      </c>
      <c r="W942" s="31">
        <v>939</v>
      </c>
      <c r="X942" s="56">
        <v>0.24</v>
      </c>
      <c r="Y942" s="31">
        <v>211</v>
      </c>
      <c r="AB942" s="58">
        <f t="shared" si="53"/>
        <v>0.24</v>
      </c>
      <c r="AC942" s="54">
        <f t="shared" si="54"/>
        <v>211</v>
      </c>
      <c r="AF942" s="51">
        <v>939</v>
      </c>
      <c r="AG942" s="6">
        <v>30</v>
      </c>
      <c r="AH942" s="6">
        <v>211</v>
      </c>
      <c r="AK942" s="31">
        <f t="shared" si="55"/>
        <v>30</v>
      </c>
      <c r="AL942" s="31">
        <f t="shared" si="55"/>
        <v>211</v>
      </c>
    </row>
    <row r="943" spans="16:38">
      <c r="P943" s="53">
        <v>940</v>
      </c>
      <c r="Q943" s="54">
        <v>9</v>
      </c>
      <c r="R943" s="54">
        <v>165</v>
      </c>
      <c r="W943" s="31">
        <v>940</v>
      </c>
      <c r="X943" s="56">
        <v>0.28000000000000003</v>
      </c>
      <c r="Y943" s="31">
        <v>174</v>
      </c>
      <c r="AB943" s="58">
        <f t="shared" si="53"/>
        <v>0.28000000000000003</v>
      </c>
      <c r="AC943" s="54">
        <f t="shared" si="54"/>
        <v>174</v>
      </c>
      <c r="AF943" s="51">
        <v>940</v>
      </c>
      <c r="AG943" s="6">
        <v>28.000000000000004</v>
      </c>
      <c r="AH943" s="6">
        <v>174</v>
      </c>
      <c r="AK943" s="31">
        <f t="shared" si="55"/>
        <v>28.000000000000004</v>
      </c>
      <c r="AL943" s="31">
        <f t="shared" si="55"/>
        <v>174</v>
      </c>
    </row>
    <row r="944" spans="16:38">
      <c r="P944" s="53">
        <v>941</v>
      </c>
      <c r="Q944" s="54">
        <v>7</v>
      </c>
      <c r="R944" s="54">
        <v>94</v>
      </c>
      <c r="W944" s="31">
        <v>941</v>
      </c>
      <c r="X944" s="56">
        <v>0.33</v>
      </c>
      <c r="Y944" s="31">
        <v>101</v>
      </c>
      <c r="AB944" s="58">
        <f t="shared" si="53"/>
        <v>0.33</v>
      </c>
      <c r="AC944" s="54">
        <f t="shared" si="54"/>
        <v>101</v>
      </c>
      <c r="AF944" s="51">
        <v>941</v>
      </c>
      <c r="AG944" s="6">
        <v>26</v>
      </c>
      <c r="AH944" s="6">
        <v>101</v>
      </c>
      <c r="AK944" s="31">
        <f t="shared" si="55"/>
        <v>26</v>
      </c>
      <c r="AL944" s="31">
        <f t="shared" si="55"/>
        <v>101</v>
      </c>
    </row>
    <row r="945" spans="16:38">
      <c r="P945" s="53">
        <v>942</v>
      </c>
      <c r="Q945" s="54">
        <v>2</v>
      </c>
      <c r="R945" s="54">
        <v>61</v>
      </c>
      <c r="W945" s="31">
        <v>942</v>
      </c>
      <c r="X945" s="56">
        <v>0.55000000000000004</v>
      </c>
      <c r="Y945" s="31">
        <v>63</v>
      </c>
      <c r="AB945" s="58">
        <f t="shared" si="53"/>
        <v>0.55000000000000004</v>
      </c>
      <c r="AC945" s="54">
        <f t="shared" si="54"/>
        <v>63</v>
      </c>
      <c r="AF945" s="51">
        <v>942</v>
      </c>
      <c r="AG945" s="6">
        <v>22</v>
      </c>
      <c r="AH945" s="6">
        <v>63</v>
      </c>
      <c r="AK945" s="31">
        <f t="shared" si="55"/>
        <v>22</v>
      </c>
      <c r="AL945" s="31">
        <f t="shared" si="55"/>
        <v>63</v>
      </c>
    </row>
    <row r="946" spans="16:38">
      <c r="P946" s="53">
        <v>943</v>
      </c>
      <c r="Q946" s="54">
        <v>1</v>
      </c>
      <c r="R946" s="54">
        <v>46</v>
      </c>
      <c r="W946" s="31">
        <v>943</v>
      </c>
      <c r="X946" s="56">
        <v>0.59</v>
      </c>
      <c r="Y946" s="31">
        <v>47</v>
      </c>
      <c r="AB946" s="58">
        <f t="shared" si="53"/>
        <v>0.59</v>
      </c>
      <c r="AC946" s="54">
        <f t="shared" si="54"/>
        <v>47</v>
      </c>
      <c r="AF946" s="51">
        <v>943</v>
      </c>
      <c r="AG946" s="6">
        <v>20</v>
      </c>
      <c r="AH946" s="6">
        <v>47</v>
      </c>
      <c r="AK946" s="31">
        <f t="shared" si="55"/>
        <v>20</v>
      </c>
      <c r="AL946" s="31">
        <f t="shared" si="55"/>
        <v>47</v>
      </c>
    </row>
    <row r="947" spans="16:38">
      <c r="P947" s="53">
        <v>944</v>
      </c>
      <c r="Q947" s="54">
        <v>2</v>
      </c>
      <c r="R947" s="54">
        <v>41</v>
      </c>
      <c r="W947" s="31">
        <v>944</v>
      </c>
      <c r="X947" s="56">
        <v>0.64</v>
      </c>
      <c r="Y947" s="31">
        <v>43</v>
      </c>
      <c r="AB947" s="58">
        <f t="shared" si="53"/>
        <v>0.64</v>
      </c>
      <c r="AC947" s="54">
        <f t="shared" si="54"/>
        <v>43</v>
      </c>
      <c r="AF947" s="51">
        <v>944</v>
      </c>
      <c r="AG947" s="6">
        <v>20</v>
      </c>
      <c r="AH947" s="6">
        <v>43</v>
      </c>
      <c r="AK947" s="31">
        <f t="shared" si="55"/>
        <v>20</v>
      </c>
      <c r="AL947" s="31">
        <f t="shared" si="55"/>
        <v>43</v>
      </c>
    </row>
    <row r="948" spans="16:38">
      <c r="P948" s="53">
        <v>945</v>
      </c>
      <c r="Q948" s="54">
        <v>5</v>
      </c>
      <c r="R948" s="54">
        <v>48</v>
      </c>
      <c r="W948" s="31">
        <v>945</v>
      </c>
      <c r="X948" s="56">
        <v>0.69</v>
      </c>
      <c r="Y948" s="31">
        <v>53</v>
      </c>
      <c r="AB948" s="58">
        <f t="shared" si="53"/>
        <v>0.69</v>
      </c>
      <c r="AC948" s="54">
        <f t="shared" si="54"/>
        <v>53</v>
      </c>
      <c r="AF948" s="51">
        <v>945</v>
      </c>
      <c r="AG948" s="6">
        <v>18</v>
      </c>
      <c r="AH948" s="6">
        <v>53</v>
      </c>
      <c r="AK948" s="31">
        <f t="shared" si="55"/>
        <v>18</v>
      </c>
      <c r="AL948" s="31">
        <f t="shared" si="55"/>
        <v>53</v>
      </c>
    </row>
    <row r="949" spans="16:38">
      <c r="P949" s="53">
        <v>946</v>
      </c>
      <c r="Q949" s="54">
        <v>3</v>
      </c>
      <c r="R949" s="54">
        <v>27</v>
      </c>
      <c r="W949" s="31">
        <v>946</v>
      </c>
      <c r="X949" s="56">
        <v>0.69</v>
      </c>
      <c r="Y949" s="31">
        <v>30</v>
      </c>
      <c r="AB949" s="58">
        <f t="shared" si="53"/>
        <v>0.69</v>
      </c>
      <c r="AC949" s="54">
        <f t="shared" si="54"/>
        <v>30</v>
      </c>
      <c r="AF949" s="51">
        <v>946</v>
      </c>
      <c r="AG949" s="6">
        <v>16</v>
      </c>
      <c r="AH949" s="6">
        <v>30</v>
      </c>
      <c r="AK949" s="31">
        <f t="shared" si="55"/>
        <v>16</v>
      </c>
      <c r="AL949" s="31">
        <f t="shared" si="55"/>
        <v>30</v>
      </c>
    </row>
    <row r="950" spans="16:38">
      <c r="P950" s="53">
        <v>947</v>
      </c>
      <c r="Q950" s="54">
        <v>2</v>
      </c>
      <c r="R950" s="54">
        <v>22</v>
      </c>
      <c r="W950" s="31">
        <v>947</v>
      </c>
      <c r="X950" s="56">
        <v>0.86</v>
      </c>
      <c r="Y950" s="31">
        <v>24</v>
      </c>
      <c r="AB950" s="58">
        <f t="shared" si="53"/>
        <v>0.86</v>
      </c>
      <c r="AC950" s="54">
        <f t="shared" si="54"/>
        <v>24</v>
      </c>
      <c r="AF950" s="51">
        <v>947</v>
      </c>
      <c r="AG950" s="6">
        <v>14.000000000000002</v>
      </c>
      <c r="AH950" s="6">
        <v>24</v>
      </c>
      <c r="AK950" s="31">
        <f t="shared" si="55"/>
        <v>14.000000000000002</v>
      </c>
      <c r="AL950" s="31">
        <f t="shared" si="55"/>
        <v>24</v>
      </c>
    </row>
    <row r="951" spans="16:38">
      <c r="P951" s="53">
        <v>948</v>
      </c>
      <c r="Q951" s="54">
        <v>2</v>
      </c>
      <c r="R951" s="54">
        <v>13</v>
      </c>
      <c r="W951" s="31">
        <v>948</v>
      </c>
      <c r="X951" s="56">
        <v>0.8</v>
      </c>
      <c r="Y951" s="31">
        <v>15</v>
      </c>
      <c r="AB951" s="58">
        <f t="shared" si="53"/>
        <v>0.8</v>
      </c>
      <c r="AC951" s="54">
        <f t="shared" si="54"/>
        <v>15</v>
      </c>
      <c r="AF951" s="51">
        <v>948</v>
      </c>
      <c r="AG951" s="6">
        <v>14.000000000000002</v>
      </c>
      <c r="AH951" s="6">
        <v>15</v>
      </c>
      <c r="AK951" s="31">
        <f t="shared" si="55"/>
        <v>14.000000000000002</v>
      </c>
      <c r="AL951" s="31">
        <f t="shared" si="55"/>
        <v>15</v>
      </c>
    </row>
    <row r="952" spans="16:38">
      <c r="P952" s="53">
        <v>949</v>
      </c>
      <c r="Q952" s="54">
        <v>3</v>
      </c>
      <c r="R952" s="54">
        <v>7</v>
      </c>
      <c r="W952" s="31">
        <v>949</v>
      </c>
      <c r="X952" s="56">
        <v>0.8</v>
      </c>
      <c r="Y952" s="31">
        <v>10</v>
      </c>
      <c r="AB952" s="58">
        <f t="shared" si="53"/>
        <v>0.8</v>
      </c>
      <c r="AC952" s="54">
        <f t="shared" si="54"/>
        <v>10</v>
      </c>
      <c r="AF952" s="51">
        <v>949</v>
      </c>
      <c r="AG952" s="6">
        <v>12</v>
      </c>
      <c r="AH952" s="6">
        <v>10</v>
      </c>
      <c r="AK952" s="31">
        <f t="shared" si="55"/>
        <v>12</v>
      </c>
      <c r="AL952" s="31">
        <f t="shared" si="55"/>
        <v>10</v>
      </c>
    </row>
    <row r="953" spans="16:38">
      <c r="P953" s="53">
        <v>950</v>
      </c>
      <c r="Q953" s="54">
        <v>0</v>
      </c>
      <c r="R953" s="54">
        <v>4</v>
      </c>
      <c r="W953" s="31">
        <v>950</v>
      </c>
      <c r="X953" s="56">
        <v>0.74</v>
      </c>
      <c r="Y953" s="31">
        <v>4</v>
      </c>
      <c r="AB953" s="58">
        <f t="shared" si="53"/>
        <v>0.74</v>
      </c>
      <c r="AC953" s="54">
        <f t="shared" si="54"/>
        <v>4</v>
      </c>
      <c r="AF953" s="51">
        <v>950</v>
      </c>
      <c r="AG953" s="6">
        <v>12</v>
      </c>
      <c r="AH953" s="6">
        <v>4</v>
      </c>
      <c r="AK953" s="31">
        <f t="shared" si="55"/>
        <v>12</v>
      </c>
      <c r="AL953" s="31">
        <f t="shared" si="55"/>
        <v>4</v>
      </c>
    </row>
    <row r="954" spans="16:38">
      <c r="P954" s="53">
        <v>951</v>
      </c>
      <c r="Q954" s="54">
        <v>0</v>
      </c>
      <c r="R954" s="54">
        <v>1</v>
      </c>
      <c r="W954" s="31">
        <v>951</v>
      </c>
      <c r="X954" s="56">
        <v>0.74</v>
      </c>
      <c r="Y954" s="31">
        <v>1</v>
      </c>
      <c r="AB954" s="58">
        <f t="shared" si="53"/>
        <v>0.74</v>
      </c>
      <c r="AC954" s="54">
        <f t="shared" si="54"/>
        <v>1</v>
      </c>
      <c r="AF954" s="51">
        <v>951</v>
      </c>
      <c r="AG954" s="6">
        <v>12</v>
      </c>
      <c r="AH954" s="6">
        <v>1</v>
      </c>
      <c r="AK954" s="31">
        <f t="shared" si="55"/>
        <v>12</v>
      </c>
      <c r="AL954" s="31">
        <f t="shared" si="55"/>
        <v>1</v>
      </c>
    </row>
    <row r="955" spans="16:38">
      <c r="P955" s="53">
        <v>952</v>
      </c>
      <c r="Q955" s="54">
        <v>1</v>
      </c>
      <c r="R955" s="54">
        <v>1</v>
      </c>
      <c r="W955" s="31">
        <v>952</v>
      </c>
      <c r="X955" s="56">
        <v>0.93</v>
      </c>
      <c r="Y955" s="31">
        <v>2</v>
      </c>
      <c r="AB955" s="58">
        <f t="shared" si="53"/>
        <v>0.93</v>
      </c>
      <c r="AC955" s="54">
        <f t="shared" si="54"/>
        <v>2</v>
      </c>
      <c r="AF955" s="51">
        <v>952</v>
      </c>
      <c r="AG955" s="6">
        <v>12</v>
      </c>
      <c r="AH955" s="6">
        <v>2</v>
      </c>
      <c r="AK955" s="31">
        <f t="shared" si="55"/>
        <v>12</v>
      </c>
      <c r="AL955" s="31">
        <f t="shared" si="55"/>
        <v>2</v>
      </c>
    </row>
    <row r="956" spans="16:38">
      <c r="P956" s="53">
        <v>953</v>
      </c>
      <c r="Q956" s="54">
        <v>2</v>
      </c>
      <c r="R956" s="54">
        <v>9</v>
      </c>
      <c r="W956" s="31">
        <v>953</v>
      </c>
      <c r="X956" s="56">
        <v>0.8</v>
      </c>
      <c r="Y956" s="31">
        <v>11</v>
      </c>
      <c r="AB956" s="58">
        <f t="shared" si="53"/>
        <v>0.8</v>
      </c>
      <c r="AC956" s="54">
        <f t="shared" si="54"/>
        <v>11</v>
      </c>
      <c r="AF956" s="51">
        <v>953</v>
      </c>
      <c r="AG956" s="6">
        <v>12</v>
      </c>
      <c r="AH956" s="6">
        <v>11</v>
      </c>
      <c r="AK956" s="31">
        <f t="shared" si="55"/>
        <v>12</v>
      </c>
      <c r="AL956" s="31">
        <f t="shared" si="55"/>
        <v>11</v>
      </c>
    </row>
    <row r="957" spans="16:38">
      <c r="P957" s="53">
        <v>954</v>
      </c>
      <c r="Q957" s="54">
        <v>2</v>
      </c>
      <c r="R957" s="54">
        <v>28</v>
      </c>
      <c r="W957" s="31">
        <v>954</v>
      </c>
      <c r="X957" s="56">
        <v>0.86</v>
      </c>
      <c r="Y957" s="31">
        <v>30</v>
      </c>
      <c r="AB957" s="58">
        <f t="shared" si="53"/>
        <v>0.86</v>
      </c>
      <c r="AC957" s="54">
        <f t="shared" si="54"/>
        <v>30</v>
      </c>
      <c r="AF957" s="51">
        <v>954</v>
      </c>
      <c r="AG957" s="6">
        <v>14.000000000000002</v>
      </c>
      <c r="AH957" s="6">
        <v>30</v>
      </c>
      <c r="AK957" s="31">
        <f t="shared" si="55"/>
        <v>14.000000000000002</v>
      </c>
      <c r="AL957" s="31">
        <f t="shared" si="55"/>
        <v>30</v>
      </c>
    </row>
    <row r="958" spans="16:38">
      <c r="P958" s="53">
        <v>955</v>
      </c>
      <c r="Q958" s="54">
        <v>5</v>
      </c>
      <c r="R958" s="54">
        <v>38</v>
      </c>
      <c r="W958" s="31">
        <v>955</v>
      </c>
      <c r="X958" s="56">
        <v>0.64</v>
      </c>
      <c r="Y958" s="31">
        <v>43</v>
      </c>
      <c r="AB958" s="58">
        <f t="shared" si="53"/>
        <v>0.64</v>
      </c>
      <c r="AC958" s="54">
        <f t="shared" si="54"/>
        <v>43</v>
      </c>
      <c r="AF958" s="51">
        <v>955</v>
      </c>
      <c r="AG958" s="6">
        <v>16</v>
      </c>
      <c r="AH958" s="6">
        <v>43</v>
      </c>
      <c r="AK958" s="31">
        <f t="shared" si="55"/>
        <v>16</v>
      </c>
      <c r="AL958" s="31">
        <f t="shared" si="55"/>
        <v>43</v>
      </c>
    </row>
    <row r="959" spans="16:38">
      <c r="P959" s="53">
        <v>956</v>
      </c>
      <c r="Q959" s="54">
        <v>13</v>
      </c>
      <c r="R959" s="54">
        <v>71</v>
      </c>
      <c r="W959" s="31">
        <v>956</v>
      </c>
      <c r="X959" s="56">
        <v>0.41</v>
      </c>
      <c r="Y959" s="31">
        <v>84</v>
      </c>
      <c r="AB959" s="58">
        <f t="shared" si="53"/>
        <v>0.41</v>
      </c>
      <c r="AC959" s="54">
        <f t="shared" si="54"/>
        <v>84</v>
      </c>
      <c r="AF959" s="51">
        <v>956</v>
      </c>
      <c r="AG959" s="6">
        <v>22</v>
      </c>
      <c r="AH959" s="6">
        <v>84</v>
      </c>
      <c r="AK959" s="31">
        <f t="shared" si="55"/>
        <v>22</v>
      </c>
      <c r="AL959" s="31">
        <f t="shared" si="55"/>
        <v>84</v>
      </c>
    </row>
    <row r="960" spans="16:38">
      <c r="P960" s="53">
        <v>957</v>
      </c>
      <c r="Q960" s="54">
        <v>30</v>
      </c>
      <c r="R960" s="54">
        <v>84</v>
      </c>
      <c r="W960" s="31">
        <v>957</v>
      </c>
      <c r="X960" s="56">
        <v>0.28000000000000003</v>
      </c>
      <c r="Y960" s="31">
        <v>114</v>
      </c>
      <c r="AB960" s="58">
        <f t="shared" si="53"/>
        <v>0.28000000000000003</v>
      </c>
      <c r="AC960" s="54">
        <f t="shared" si="54"/>
        <v>114</v>
      </c>
      <c r="AF960" s="51">
        <v>957</v>
      </c>
      <c r="AG960" s="6">
        <v>30</v>
      </c>
      <c r="AH960" s="6">
        <v>114</v>
      </c>
      <c r="AK960" s="31">
        <f t="shared" si="55"/>
        <v>30</v>
      </c>
      <c r="AL960" s="31">
        <f t="shared" si="55"/>
        <v>114</v>
      </c>
    </row>
    <row r="961" spans="16:38">
      <c r="P961" s="53">
        <v>958</v>
      </c>
      <c r="Q961" s="54">
        <v>27</v>
      </c>
      <c r="R961" s="54">
        <v>93</v>
      </c>
      <c r="W961" s="31">
        <v>958</v>
      </c>
      <c r="X961" s="56">
        <v>0.39</v>
      </c>
      <c r="Y961" s="31">
        <v>120</v>
      </c>
      <c r="AB961" s="58">
        <f t="shared" si="53"/>
        <v>0.39</v>
      </c>
      <c r="AC961" s="54">
        <f t="shared" si="54"/>
        <v>120</v>
      </c>
      <c r="AF961" s="51">
        <v>958</v>
      </c>
      <c r="AG961" s="6">
        <v>30</v>
      </c>
      <c r="AH961" s="6">
        <v>120</v>
      </c>
      <c r="AK961" s="31">
        <f t="shared" si="55"/>
        <v>30</v>
      </c>
      <c r="AL961" s="31">
        <f t="shared" si="55"/>
        <v>120</v>
      </c>
    </row>
    <row r="962" spans="16:38">
      <c r="P962" s="53">
        <v>959</v>
      </c>
      <c r="Q962" s="54">
        <v>32</v>
      </c>
      <c r="R962" s="54">
        <v>103</v>
      </c>
      <c r="W962" s="31">
        <v>959</v>
      </c>
      <c r="X962" s="56">
        <v>0.39</v>
      </c>
      <c r="Y962" s="31">
        <v>135</v>
      </c>
      <c r="AB962" s="58">
        <f t="shared" si="53"/>
        <v>0.39</v>
      </c>
      <c r="AC962" s="54">
        <f t="shared" si="54"/>
        <v>135</v>
      </c>
      <c r="AF962" s="51">
        <v>959</v>
      </c>
      <c r="AG962" s="6">
        <v>30</v>
      </c>
      <c r="AH962" s="6">
        <v>135</v>
      </c>
      <c r="AK962" s="31">
        <f t="shared" si="55"/>
        <v>30</v>
      </c>
      <c r="AL962" s="31">
        <f t="shared" si="55"/>
        <v>135</v>
      </c>
    </row>
    <row r="963" spans="16:38">
      <c r="P963" s="53">
        <v>960</v>
      </c>
      <c r="Q963" s="54">
        <v>30</v>
      </c>
      <c r="R963" s="54">
        <v>90</v>
      </c>
      <c r="W963" s="31">
        <v>960</v>
      </c>
      <c r="X963" s="56">
        <v>0.31</v>
      </c>
      <c r="Y963" s="31">
        <v>120</v>
      </c>
      <c r="AB963" s="58">
        <f t="shared" si="53"/>
        <v>0.31</v>
      </c>
      <c r="AC963" s="54">
        <f t="shared" si="54"/>
        <v>120</v>
      </c>
      <c r="AF963" s="51">
        <v>960</v>
      </c>
      <c r="AG963" s="6">
        <v>34</v>
      </c>
      <c r="AH963" s="6">
        <v>120</v>
      </c>
      <c r="AK963" s="31">
        <f t="shared" si="55"/>
        <v>34</v>
      </c>
      <c r="AL963" s="31">
        <f t="shared" si="55"/>
        <v>120</v>
      </c>
    </row>
    <row r="964" spans="16:38">
      <c r="P964" s="53">
        <v>961</v>
      </c>
      <c r="Q964" s="54">
        <v>47</v>
      </c>
      <c r="R964" s="54">
        <v>127</v>
      </c>
      <c r="W964" s="31">
        <v>961</v>
      </c>
      <c r="X964" s="56">
        <v>0.28999999999999998</v>
      </c>
      <c r="Y964" s="31">
        <v>174</v>
      </c>
      <c r="AB964" s="58">
        <f t="shared" si="53"/>
        <v>0.28999999999999998</v>
      </c>
      <c r="AC964" s="54">
        <f t="shared" si="54"/>
        <v>174</v>
      </c>
      <c r="AF964" s="51">
        <v>961</v>
      </c>
      <c r="AG964" s="6">
        <v>34</v>
      </c>
      <c r="AH964" s="6">
        <v>174</v>
      </c>
      <c r="AK964" s="31">
        <f t="shared" si="55"/>
        <v>34</v>
      </c>
      <c r="AL964" s="31">
        <f t="shared" si="55"/>
        <v>174</v>
      </c>
    </row>
    <row r="965" spans="16:38">
      <c r="P965" s="53">
        <v>962</v>
      </c>
      <c r="Q965" s="54">
        <v>42</v>
      </c>
      <c r="R965" s="54">
        <v>103</v>
      </c>
      <c r="W965" s="31">
        <v>962</v>
      </c>
      <c r="X965" s="56">
        <v>0.28999999999999998</v>
      </c>
      <c r="Y965" s="31">
        <v>145</v>
      </c>
      <c r="AB965" s="58">
        <f t="shared" ref="AB965:AB1003" si="56">X965</f>
        <v>0.28999999999999998</v>
      </c>
      <c r="AC965" s="54">
        <f t="shared" ref="AC965:AC1003" si="57">Y965</f>
        <v>145</v>
      </c>
      <c r="AF965" s="51">
        <v>962</v>
      </c>
      <c r="AG965" s="6">
        <v>34</v>
      </c>
      <c r="AH965" s="6">
        <v>145</v>
      </c>
      <c r="AK965" s="31">
        <f t="shared" si="55"/>
        <v>34</v>
      </c>
      <c r="AL965" s="31">
        <f t="shared" si="55"/>
        <v>145</v>
      </c>
    </row>
    <row r="966" spans="16:38">
      <c r="P966" s="53">
        <v>963</v>
      </c>
      <c r="Q966" s="54">
        <v>24</v>
      </c>
      <c r="R966" s="54">
        <v>113</v>
      </c>
      <c r="W966" s="31">
        <v>963</v>
      </c>
      <c r="X966" s="56">
        <v>0.31</v>
      </c>
      <c r="Y966" s="31">
        <v>137</v>
      </c>
      <c r="AB966" s="58">
        <f t="shared" si="56"/>
        <v>0.31</v>
      </c>
      <c r="AC966" s="54">
        <f t="shared" si="57"/>
        <v>137</v>
      </c>
      <c r="AF966" s="51">
        <v>963</v>
      </c>
      <c r="AG966" s="6">
        <v>32</v>
      </c>
      <c r="AH966" s="6">
        <v>137</v>
      </c>
      <c r="AK966" s="31">
        <f t="shared" si="55"/>
        <v>32</v>
      </c>
      <c r="AL966" s="31">
        <f t="shared" si="55"/>
        <v>137</v>
      </c>
    </row>
    <row r="967" spans="16:38">
      <c r="P967" s="53">
        <v>964</v>
      </c>
      <c r="Q967" s="54">
        <v>4</v>
      </c>
      <c r="R967" s="54">
        <v>60</v>
      </c>
      <c r="W967" s="31">
        <v>964</v>
      </c>
      <c r="X967" s="56">
        <v>0.38</v>
      </c>
      <c r="Y967" s="31">
        <v>64</v>
      </c>
      <c r="AB967" s="58">
        <f t="shared" si="56"/>
        <v>0.38</v>
      </c>
      <c r="AC967" s="54">
        <f t="shared" si="57"/>
        <v>64</v>
      </c>
      <c r="AF967" s="51">
        <v>964</v>
      </c>
      <c r="AG967" s="6">
        <v>28.000000000000004</v>
      </c>
      <c r="AH967" s="6">
        <v>64</v>
      </c>
      <c r="AK967" s="31">
        <f t="shared" si="55"/>
        <v>28.000000000000004</v>
      </c>
      <c r="AL967" s="31">
        <f t="shared" si="55"/>
        <v>64</v>
      </c>
    </row>
    <row r="968" spans="16:38">
      <c r="P968" s="53">
        <v>965</v>
      </c>
      <c r="Q968" s="54">
        <v>2</v>
      </c>
      <c r="R968" s="54">
        <v>39</v>
      </c>
      <c r="W968" s="31">
        <v>965</v>
      </c>
      <c r="X968" s="56">
        <v>0.38</v>
      </c>
      <c r="Y968" s="31">
        <v>41</v>
      </c>
      <c r="AB968" s="58">
        <f t="shared" si="56"/>
        <v>0.38</v>
      </c>
      <c r="AC968" s="54">
        <f t="shared" si="57"/>
        <v>41</v>
      </c>
      <c r="AF968" s="51">
        <v>965</v>
      </c>
      <c r="AG968" s="6">
        <v>28.000000000000004</v>
      </c>
      <c r="AH968" s="6">
        <v>41</v>
      </c>
      <c r="AK968" s="31">
        <f t="shared" si="55"/>
        <v>28.000000000000004</v>
      </c>
      <c r="AL968" s="31">
        <f t="shared" si="55"/>
        <v>41</v>
      </c>
    </row>
    <row r="969" spans="16:38">
      <c r="P969" s="53">
        <v>966</v>
      </c>
      <c r="Q969" s="54">
        <v>1</v>
      </c>
      <c r="R969" s="54">
        <v>39</v>
      </c>
      <c r="W969" s="31">
        <v>966</v>
      </c>
      <c r="X969" s="56">
        <v>0.41</v>
      </c>
      <c r="Y969" s="31">
        <v>40</v>
      </c>
      <c r="AB969" s="58">
        <f t="shared" si="56"/>
        <v>0.41</v>
      </c>
      <c r="AC969" s="54">
        <f t="shared" si="57"/>
        <v>40</v>
      </c>
      <c r="AF969" s="51">
        <v>966</v>
      </c>
      <c r="AG969" s="6">
        <v>26</v>
      </c>
      <c r="AH969" s="6">
        <v>40</v>
      </c>
      <c r="AK969" s="31">
        <f t="shared" si="55"/>
        <v>26</v>
      </c>
      <c r="AL969" s="31">
        <f t="shared" si="55"/>
        <v>40</v>
      </c>
    </row>
    <row r="970" spans="16:38">
      <c r="P970" s="53">
        <v>967</v>
      </c>
      <c r="Q970" s="54">
        <v>9</v>
      </c>
      <c r="R970" s="54">
        <v>42</v>
      </c>
      <c r="W970" s="31">
        <v>967</v>
      </c>
      <c r="X970" s="56">
        <v>0.41</v>
      </c>
      <c r="Y970" s="31">
        <v>51</v>
      </c>
      <c r="AB970" s="58">
        <f t="shared" si="56"/>
        <v>0.41</v>
      </c>
      <c r="AC970" s="54">
        <f t="shared" si="57"/>
        <v>51</v>
      </c>
      <c r="AF970" s="51">
        <v>967</v>
      </c>
      <c r="AG970" s="6">
        <v>26</v>
      </c>
      <c r="AH970" s="6">
        <v>51</v>
      </c>
      <c r="AK970" s="31">
        <f t="shared" si="55"/>
        <v>26</v>
      </c>
      <c r="AL970" s="31">
        <f t="shared" si="55"/>
        <v>51</v>
      </c>
    </row>
    <row r="971" spans="16:38">
      <c r="P971" s="53">
        <v>968</v>
      </c>
      <c r="Q971" s="54">
        <v>6</v>
      </c>
      <c r="R971" s="54">
        <v>39</v>
      </c>
      <c r="W971" s="31">
        <v>968</v>
      </c>
      <c r="X971" s="56">
        <v>0.44</v>
      </c>
      <c r="Y971" s="31">
        <v>45</v>
      </c>
      <c r="AB971" s="58">
        <f t="shared" si="56"/>
        <v>0.44</v>
      </c>
      <c r="AC971" s="54">
        <f t="shared" si="57"/>
        <v>45</v>
      </c>
      <c r="AF971" s="51">
        <v>968</v>
      </c>
      <c r="AG971" s="6">
        <v>24</v>
      </c>
      <c r="AH971" s="6">
        <v>45</v>
      </c>
      <c r="AK971" s="31">
        <f t="shared" si="55"/>
        <v>24</v>
      </c>
      <c r="AL971" s="31">
        <f t="shared" si="55"/>
        <v>45</v>
      </c>
    </row>
    <row r="972" spans="16:38">
      <c r="P972" s="53">
        <v>969</v>
      </c>
      <c r="Q972" s="54">
        <v>1</v>
      </c>
      <c r="R972" s="54">
        <v>31</v>
      </c>
      <c r="W972" s="31">
        <v>969</v>
      </c>
      <c r="X972" s="56">
        <v>0.51</v>
      </c>
      <c r="Y972" s="31">
        <v>32</v>
      </c>
      <c r="AB972" s="58">
        <f t="shared" si="56"/>
        <v>0.51</v>
      </c>
      <c r="AC972" s="54">
        <f t="shared" si="57"/>
        <v>32</v>
      </c>
      <c r="AF972" s="51">
        <v>969</v>
      </c>
      <c r="AG972" s="6">
        <v>22</v>
      </c>
      <c r="AH972" s="6">
        <v>32</v>
      </c>
      <c r="AK972" s="31">
        <f t="shared" si="55"/>
        <v>22</v>
      </c>
      <c r="AL972" s="31">
        <f t="shared" si="55"/>
        <v>32</v>
      </c>
    </row>
    <row r="973" spans="16:38">
      <c r="P973" s="53">
        <v>970</v>
      </c>
      <c r="Q973" s="54">
        <v>5</v>
      </c>
      <c r="R973" s="54">
        <v>34</v>
      </c>
      <c r="W973" s="31">
        <v>970</v>
      </c>
      <c r="X973" s="56">
        <v>0.64</v>
      </c>
      <c r="Y973" s="31">
        <v>39</v>
      </c>
      <c r="AB973" s="58">
        <f t="shared" si="56"/>
        <v>0.64</v>
      </c>
      <c r="AC973" s="54">
        <f t="shared" si="57"/>
        <v>39</v>
      </c>
      <c r="AF973" s="51">
        <v>970</v>
      </c>
      <c r="AG973" s="6">
        <v>20</v>
      </c>
      <c r="AH973" s="6">
        <v>39</v>
      </c>
      <c r="AK973" s="31">
        <f t="shared" si="55"/>
        <v>20</v>
      </c>
      <c r="AL973" s="31">
        <f t="shared" si="55"/>
        <v>39</v>
      </c>
    </row>
    <row r="974" spans="16:38">
      <c r="P974" s="53">
        <v>971</v>
      </c>
      <c r="Q974" s="54">
        <v>1</v>
      </c>
      <c r="R974" s="54">
        <v>23</v>
      </c>
      <c r="W974" s="31">
        <v>971</v>
      </c>
      <c r="X974" s="56">
        <v>0.59</v>
      </c>
      <c r="Y974" s="31">
        <v>24</v>
      </c>
      <c r="AB974" s="58">
        <f t="shared" si="56"/>
        <v>0.59</v>
      </c>
      <c r="AC974" s="54">
        <f t="shared" si="57"/>
        <v>24</v>
      </c>
      <c r="AF974" s="51">
        <v>971</v>
      </c>
      <c r="AG974" s="6">
        <v>20</v>
      </c>
      <c r="AH974" s="6">
        <v>24</v>
      </c>
      <c r="AK974" s="31">
        <f t="shared" si="55"/>
        <v>20</v>
      </c>
      <c r="AL974" s="31">
        <f t="shared" si="55"/>
        <v>24</v>
      </c>
    </row>
    <row r="975" spans="16:38">
      <c r="P975" s="53">
        <v>972</v>
      </c>
      <c r="Q975" s="54">
        <v>1</v>
      </c>
      <c r="R975" s="54">
        <v>19</v>
      </c>
      <c r="W975" s="31">
        <v>972</v>
      </c>
      <c r="X975" s="56">
        <v>0.75</v>
      </c>
      <c r="Y975" s="31">
        <v>20</v>
      </c>
      <c r="AB975" s="58">
        <f t="shared" si="56"/>
        <v>0.75</v>
      </c>
      <c r="AC975" s="54">
        <f t="shared" si="57"/>
        <v>20</v>
      </c>
      <c r="AF975" s="51">
        <v>972</v>
      </c>
      <c r="AG975" s="6">
        <v>20</v>
      </c>
      <c r="AH975" s="6">
        <v>20</v>
      </c>
      <c r="AK975" s="31">
        <f t="shared" si="55"/>
        <v>20</v>
      </c>
      <c r="AL975" s="31">
        <f t="shared" si="55"/>
        <v>20</v>
      </c>
    </row>
    <row r="976" spans="16:38">
      <c r="P976" s="53">
        <v>973</v>
      </c>
      <c r="Q976" s="54">
        <v>4</v>
      </c>
      <c r="R976" s="54">
        <v>8</v>
      </c>
      <c r="W976" s="31">
        <v>973</v>
      </c>
      <c r="X976" s="56">
        <v>0.69</v>
      </c>
      <c r="Y976" s="31">
        <v>12</v>
      </c>
      <c r="AB976" s="58">
        <f t="shared" si="56"/>
        <v>0.69</v>
      </c>
      <c r="AC976" s="54">
        <f t="shared" si="57"/>
        <v>12</v>
      </c>
      <c r="AF976" s="51">
        <v>973</v>
      </c>
      <c r="AG976" s="6">
        <v>20</v>
      </c>
      <c r="AH976" s="6">
        <v>12</v>
      </c>
      <c r="AK976" s="31">
        <f t="shared" si="55"/>
        <v>20</v>
      </c>
      <c r="AL976" s="31">
        <f t="shared" si="55"/>
        <v>12</v>
      </c>
    </row>
    <row r="977" spans="16:38">
      <c r="P977" s="53">
        <v>974</v>
      </c>
      <c r="Q977" s="54">
        <v>0</v>
      </c>
      <c r="R977" s="54">
        <v>2</v>
      </c>
      <c r="W977" s="31">
        <v>974</v>
      </c>
      <c r="X977" s="56">
        <v>0.69</v>
      </c>
      <c r="Y977" s="31">
        <v>2</v>
      </c>
      <c r="AB977" s="58">
        <f t="shared" si="56"/>
        <v>0.69</v>
      </c>
      <c r="AC977" s="54">
        <f t="shared" si="57"/>
        <v>2</v>
      </c>
      <c r="AF977" s="51">
        <v>974</v>
      </c>
      <c r="AG977" s="6">
        <v>20</v>
      </c>
      <c r="AH977" s="6">
        <v>2</v>
      </c>
      <c r="AK977" s="31">
        <f t="shared" si="55"/>
        <v>20</v>
      </c>
      <c r="AL977" s="31">
        <f t="shared" si="55"/>
        <v>2</v>
      </c>
    </row>
    <row r="978" spans="16:38">
      <c r="P978" s="53">
        <v>975</v>
      </c>
      <c r="Q978" s="54">
        <v>2</v>
      </c>
      <c r="R978" s="54">
        <v>3</v>
      </c>
      <c r="W978" s="31">
        <v>975</v>
      </c>
      <c r="X978" s="56">
        <v>0.69</v>
      </c>
      <c r="Y978" s="31">
        <v>5</v>
      </c>
      <c r="AB978" s="58">
        <f t="shared" si="56"/>
        <v>0.69</v>
      </c>
      <c r="AC978" s="54">
        <f t="shared" si="57"/>
        <v>5</v>
      </c>
      <c r="AF978" s="51">
        <v>975</v>
      </c>
      <c r="AG978" s="6">
        <v>20</v>
      </c>
      <c r="AH978" s="6">
        <v>5</v>
      </c>
      <c r="AK978" s="31">
        <f t="shared" si="55"/>
        <v>20</v>
      </c>
      <c r="AL978" s="31">
        <f t="shared" si="55"/>
        <v>5</v>
      </c>
    </row>
    <row r="979" spans="16:38">
      <c r="P979" s="53">
        <v>976</v>
      </c>
      <c r="Q979" s="54">
        <v>0</v>
      </c>
      <c r="R979" s="54">
        <v>3</v>
      </c>
      <c r="W979" s="31">
        <v>976</v>
      </c>
      <c r="X979" s="56">
        <v>0.55000000000000004</v>
      </c>
      <c r="Y979" s="31">
        <v>3</v>
      </c>
      <c r="AB979" s="58">
        <f t="shared" si="56"/>
        <v>0.55000000000000004</v>
      </c>
      <c r="AC979" s="54">
        <f t="shared" si="57"/>
        <v>3</v>
      </c>
      <c r="AF979" s="51">
        <v>976</v>
      </c>
      <c r="AG979" s="6">
        <v>22</v>
      </c>
      <c r="AH979" s="6">
        <v>3</v>
      </c>
      <c r="AK979" s="31">
        <f t="shared" si="55"/>
        <v>22</v>
      </c>
      <c r="AL979" s="31">
        <f t="shared" si="55"/>
        <v>3</v>
      </c>
    </row>
    <row r="980" spans="16:38">
      <c r="P980" s="53">
        <v>977</v>
      </c>
      <c r="Q980" s="54">
        <v>1</v>
      </c>
      <c r="R980" s="54">
        <v>11</v>
      </c>
      <c r="W980" s="31">
        <v>977</v>
      </c>
      <c r="X980" s="56">
        <v>0.64</v>
      </c>
      <c r="Y980" s="31">
        <v>12</v>
      </c>
      <c r="AB980" s="58">
        <f t="shared" si="56"/>
        <v>0.64</v>
      </c>
      <c r="AC980" s="54">
        <f t="shared" si="57"/>
        <v>12</v>
      </c>
      <c r="AF980" s="51">
        <v>977</v>
      </c>
      <c r="AG980" s="6">
        <v>22</v>
      </c>
      <c r="AH980" s="6">
        <v>12</v>
      </c>
      <c r="AK980" s="31">
        <f t="shared" si="55"/>
        <v>22</v>
      </c>
      <c r="AL980" s="31">
        <f t="shared" si="55"/>
        <v>12</v>
      </c>
    </row>
    <row r="981" spans="16:38">
      <c r="P981" s="53">
        <v>978</v>
      </c>
      <c r="Q981" s="54">
        <v>12</v>
      </c>
      <c r="R981" s="54">
        <v>35</v>
      </c>
      <c r="W981" s="31">
        <v>978</v>
      </c>
      <c r="X981" s="56">
        <v>0.6</v>
      </c>
      <c r="Y981" s="31">
        <v>47</v>
      </c>
      <c r="AB981" s="58">
        <f t="shared" si="56"/>
        <v>0.6</v>
      </c>
      <c r="AC981" s="54">
        <f t="shared" si="57"/>
        <v>47</v>
      </c>
      <c r="AF981" s="51">
        <v>978</v>
      </c>
      <c r="AG981" s="6">
        <v>24</v>
      </c>
      <c r="AH981" s="6">
        <v>47</v>
      </c>
      <c r="AK981" s="31">
        <f t="shared" ref="AK981:AL1003" si="58">AG981</f>
        <v>24</v>
      </c>
      <c r="AL981" s="31">
        <f t="shared" si="58"/>
        <v>47</v>
      </c>
    </row>
    <row r="982" spans="16:38">
      <c r="P982" s="53">
        <v>979</v>
      </c>
      <c r="Q982" s="54">
        <v>19</v>
      </c>
      <c r="R982" s="54">
        <v>86</v>
      </c>
      <c r="W982" s="31">
        <v>979</v>
      </c>
      <c r="X982" s="56">
        <v>0.45</v>
      </c>
      <c r="Y982" s="31">
        <v>105</v>
      </c>
      <c r="AB982" s="58">
        <f t="shared" si="56"/>
        <v>0.45</v>
      </c>
      <c r="AC982" s="54">
        <f t="shared" si="57"/>
        <v>105</v>
      </c>
      <c r="AF982" s="51">
        <v>979</v>
      </c>
      <c r="AG982" s="6">
        <v>30</v>
      </c>
      <c r="AH982" s="6">
        <v>105</v>
      </c>
      <c r="AK982" s="31">
        <f t="shared" si="58"/>
        <v>30</v>
      </c>
      <c r="AL982" s="31">
        <f t="shared" si="58"/>
        <v>105</v>
      </c>
    </row>
    <row r="983" spans="16:38">
      <c r="P983" s="53">
        <v>980</v>
      </c>
      <c r="Q983" s="54">
        <v>26</v>
      </c>
      <c r="R983" s="54">
        <v>86</v>
      </c>
      <c r="W983" s="31">
        <v>980</v>
      </c>
      <c r="X983" s="56">
        <v>0.39</v>
      </c>
      <c r="Y983" s="31">
        <v>112</v>
      </c>
      <c r="AB983" s="58">
        <f t="shared" si="56"/>
        <v>0.39</v>
      </c>
      <c r="AC983" s="54">
        <f t="shared" si="57"/>
        <v>112</v>
      </c>
      <c r="AF983" s="51">
        <v>980</v>
      </c>
      <c r="AG983" s="6">
        <v>32</v>
      </c>
      <c r="AH983" s="6">
        <v>112</v>
      </c>
      <c r="AK983" s="31">
        <f t="shared" si="58"/>
        <v>32</v>
      </c>
      <c r="AL983" s="31">
        <f t="shared" si="58"/>
        <v>112</v>
      </c>
    </row>
    <row r="984" spans="16:38">
      <c r="P984" s="53">
        <v>981</v>
      </c>
      <c r="Q984" s="54">
        <v>58</v>
      </c>
      <c r="R984" s="54">
        <v>94</v>
      </c>
      <c r="W984" s="31">
        <v>981</v>
      </c>
      <c r="X984" s="56">
        <v>0.32</v>
      </c>
      <c r="Y984" s="31">
        <v>152</v>
      </c>
      <c r="AB984" s="58">
        <f t="shared" si="56"/>
        <v>0.32</v>
      </c>
      <c r="AC984" s="54">
        <f t="shared" si="57"/>
        <v>152</v>
      </c>
      <c r="AF984" s="51">
        <v>981</v>
      </c>
      <c r="AG984" s="6">
        <v>36</v>
      </c>
      <c r="AH984" s="6">
        <v>152</v>
      </c>
      <c r="AK984" s="31">
        <f t="shared" si="58"/>
        <v>36</v>
      </c>
      <c r="AL984" s="31">
        <f t="shared" si="58"/>
        <v>152</v>
      </c>
    </row>
    <row r="985" spans="16:38">
      <c r="P985" s="53">
        <v>982</v>
      </c>
      <c r="Q985" s="54">
        <v>62</v>
      </c>
      <c r="R985" s="54">
        <v>92</v>
      </c>
      <c r="W985" s="31">
        <v>982</v>
      </c>
      <c r="X985" s="56">
        <v>0.28999999999999998</v>
      </c>
      <c r="Y985" s="31">
        <v>154</v>
      </c>
      <c r="AB985" s="58">
        <f t="shared" si="56"/>
        <v>0.28999999999999998</v>
      </c>
      <c r="AC985" s="54">
        <f t="shared" si="57"/>
        <v>154</v>
      </c>
      <c r="AF985" s="51">
        <v>982</v>
      </c>
      <c r="AG985" s="6">
        <v>38</v>
      </c>
      <c r="AH985" s="6">
        <v>154</v>
      </c>
      <c r="AK985" s="31">
        <f t="shared" si="58"/>
        <v>38</v>
      </c>
      <c r="AL985" s="31">
        <f t="shared" si="58"/>
        <v>154</v>
      </c>
    </row>
    <row r="986" spans="16:38">
      <c r="P986" s="53">
        <v>983</v>
      </c>
      <c r="Q986" s="54">
        <v>51</v>
      </c>
      <c r="R986" s="54">
        <v>110</v>
      </c>
      <c r="W986" s="31">
        <v>983</v>
      </c>
      <c r="X986" s="56">
        <v>0.3</v>
      </c>
      <c r="Y986" s="31">
        <v>161</v>
      </c>
      <c r="AB986" s="58">
        <f t="shared" si="56"/>
        <v>0.3</v>
      </c>
      <c r="AC986" s="54">
        <f t="shared" si="57"/>
        <v>161</v>
      </c>
      <c r="AF986" s="51">
        <v>983</v>
      </c>
      <c r="AG986" s="6">
        <v>40</v>
      </c>
      <c r="AH986" s="6">
        <v>161</v>
      </c>
      <c r="AK986" s="31">
        <f t="shared" si="58"/>
        <v>40</v>
      </c>
      <c r="AL986" s="31">
        <f t="shared" si="58"/>
        <v>161</v>
      </c>
    </row>
    <row r="987" spans="16:38">
      <c r="P987" s="53">
        <v>984</v>
      </c>
      <c r="Q987" s="54">
        <v>40</v>
      </c>
      <c r="R987" s="54">
        <v>122</v>
      </c>
      <c r="W987" s="31">
        <v>984</v>
      </c>
      <c r="X987" s="56">
        <v>0.3</v>
      </c>
      <c r="Y987" s="31">
        <v>162</v>
      </c>
      <c r="AB987" s="58">
        <f t="shared" si="56"/>
        <v>0.3</v>
      </c>
      <c r="AC987" s="54">
        <f t="shared" si="57"/>
        <v>162</v>
      </c>
      <c r="AF987" s="51">
        <v>984</v>
      </c>
      <c r="AG987" s="6">
        <v>40</v>
      </c>
      <c r="AH987" s="6">
        <v>162</v>
      </c>
      <c r="AK987" s="31">
        <f t="shared" si="58"/>
        <v>40</v>
      </c>
      <c r="AL987" s="31">
        <f t="shared" si="58"/>
        <v>162</v>
      </c>
    </row>
    <row r="988" spans="16:38">
      <c r="P988" s="53">
        <v>985</v>
      </c>
      <c r="Q988" s="54">
        <v>28</v>
      </c>
      <c r="R988" s="54">
        <v>106</v>
      </c>
      <c r="W988" s="31">
        <v>985</v>
      </c>
      <c r="X988" s="56">
        <v>0.28000000000000003</v>
      </c>
      <c r="Y988" s="31">
        <v>134</v>
      </c>
      <c r="AB988" s="58">
        <f t="shared" si="56"/>
        <v>0.28000000000000003</v>
      </c>
      <c r="AC988" s="54">
        <f t="shared" si="57"/>
        <v>134</v>
      </c>
      <c r="AF988" s="51">
        <v>985</v>
      </c>
      <c r="AG988" s="6">
        <v>42</v>
      </c>
      <c r="AH988" s="6">
        <v>134</v>
      </c>
      <c r="AK988" s="31">
        <f t="shared" si="58"/>
        <v>42</v>
      </c>
      <c r="AL988" s="31">
        <f t="shared" si="58"/>
        <v>134</v>
      </c>
    </row>
    <row r="989" spans="16:38">
      <c r="P989" s="53">
        <v>986</v>
      </c>
      <c r="Q989" s="54">
        <v>30</v>
      </c>
      <c r="R989" s="54">
        <v>95</v>
      </c>
      <c r="W989" s="31">
        <v>986</v>
      </c>
      <c r="X989" s="56">
        <v>0.28000000000000003</v>
      </c>
      <c r="Y989" s="31">
        <v>125</v>
      </c>
      <c r="AB989" s="58">
        <f t="shared" si="56"/>
        <v>0.28000000000000003</v>
      </c>
      <c r="AC989" s="54">
        <f t="shared" si="57"/>
        <v>125</v>
      </c>
      <c r="AF989" s="51">
        <v>986</v>
      </c>
      <c r="AG989" s="6">
        <v>42</v>
      </c>
      <c r="AH989" s="6">
        <v>125</v>
      </c>
      <c r="AK989" s="31">
        <f t="shared" si="58"/>
        <v>42</v>
      </c>
      <c r="AL989" s="31">
        <f t="shared" si="58"/>
        <v>125</v>
      </c>
    </row>
    <row r="990" spans="16:38">
      <c r="P990" s="53">
        <v>987</v>
      </c>
      <c r="Q990" s="54">
        <v>17</v>
      </c>
      <c r="R990" s="54">
        <v>78</v>
      </c>
      <c r="W990" s="31">
        <v>987</v>
      </c>
      <c r="X990" s="56">
        <v>0.32</v>
      </c>
      <c r="Y990" s="31">
        <v>95</v>
      </c>
      <c r="AB990" s="58">
        <f t="shared" si="56"/>
        <v>0.32</v>
      </c>
      <c r="AC990" s="54">
        <f t="shared" si="57"/>
        <v>95</v>
      </c>
      <c r="AF990" s="51">
        <v>987</v>
      </c>
      <c r="AG990" s="6">
        <v>40</v>
      </c>
      <c r="AH990" s="6">
        <v>95</v>
      </c>
      <c r="AK990" s="31">
        <f t="shared" si="58"/>
        <v>40</v>
      </c>
      <c r="AL990" s="31">
        <f t="shared" si="58"/>
        <v>95</v>
      </c>
    </row>
    <row r="991" spans="16:38">
      <c r="P991" s="53">
        <v>988</v>
      </c>
      <c r="Q991" s="54">
        <v>11</v>
      </c>
      <c r="R991" s="54">
        <v>50</v>
      </c>
      <c r="W991" s="31">
        <v>988</v>
      </c>
      <c r="X991" s="56">
        <v>0.35</v>
      </c>
      <c r="Y991" s="31">
        <v>61</v>
      </c>
      <c r="AB991" s="58">
        <f t="shared" si="56"/>
        <v>0.35</v>
      </c>
      <c r="AC991" s="54">
        <f t="shared" si="57"/>
        <v>61</v>
      </c>
      <c r="AF991" s="51">
        <v>988</v>
      </c>
      <c r="AG991" s="6">
        <v>40</v>
      </c>
      <c r="AH991" s="6">
        <v>61</v>
      </c>
      <c r="AK991" s="31">
        <f t="shared" si="58"/>
        <v>40</v>
      </c>
      <c r="AL991" s="31">
        <f t="shared" si="58"/>
        <v>61</v>
      </c>
    </row>
    <row r="992" spans="16:38">
      <c r="P992" s="53">
        <v>989</v>
      </c>
      <c r="Q992" s="54">
        <v>15</v>
      </c>
      <c r="R992" s="54">
        <v>32</v>
      </c>
      <c r="W992" s="31">
        <v>989</v>
      </c>
      <c r="X992" s="56">
        <v>0.35</v>
      </c>
      <c r="Y992" s="31">
        <v>47</v>
      </c>
      <c r="AB992" s="58">
        <f t="shared" si="56"/>
        <v>0.35</v>
      </c>
      <c r="AC992" s="54">
        <f t="shared" si="57"/>
        <v>47</v>
      </c>
      <c r="AF992" s="51">
        <v>989</v>
      </c>
      <c r="AG992" s="6">
        <v>40</v>
      </c>
      <c r="AH992" s="6">
        <v>47</v>
      </c>
      <c r="AK992" s="31">
        <f t="shared" si="58"/>
        <v>40</v>
      </c>
      <c r="AL992" s="31">
        <f t="shared" si="58"/>
        <v>47</v>
      </c>
    </row>
    <row r="993" spans="16:38">
      <c r="P993" s="53">
        <v>990</v>
      </c>
      <c r="Q993" s="54">
        <v>6</v>
      </c>
      <c r="R993" s="54">
        <v>45</v>
      </c>
      <c r="W993" s="31">
        <v>990</v>
      </c>
      <c r="X993" s="56">
        <v>0.35</v>
      </c>
      <c r="Y993" s="31">
        <v>51</v>
      </c>
      <c r="AB993" s="58">
        <f t="shared" si="56"/>
        <v>0.35</v>
      </c>
      <c r="AC993" s="54">
        <f t="shared" si="57"/>
        <v>51</v>
      </c>
      <c r="AF993" s="51">
        <v>990</v>
      </c>
      <c r="AG993" s="6">
        <v>40</v>
      </c>
      <c r="AH993" s="6">
        <v>51</v>
      </c>
      <c r="AK993" s="31">
        <f t="shared" si="58"/>
        <v>40</v>
      </c>
      <c r="AL993" s="31">
        <f t="shared" si="58"/>
        <v>51</v>
      </c>
    </row>
    <row r="994" spans="16:38">
      <c r="P994" s="53">
        <v>991</v>
      </c>
      <c r="Q994" s="54">
        <v>5</v>
      </c>
      <c r="R994" s="54">
        <v>31</v>
      </c>
      <c r="W994" s="31">
        <v>991</v>
      </c>
      <c r="X994" s="56">
        <v>0.35</v>
      </c>
      <c r="Y994" s="31">
        <v>36</v>
      </c>
      <c r="AB994" s="58">
        <f t="shared" si="56"/>
        <v>0.35</v>
      </c>
      <c r="AC994" s="54">
        <f t="shared" si="57"/>
        <v>36</v>
      </c>
      <c r="AF994" s="51">
        <v>991</v>
      </c>
      <c r="AG994" s="6">
        <v>40</v>
      </c>
      <c r="AH994" s="6">
        <v>36</v>
      </c>
      <c r="AK994" s="31">
        <f t="shared" si="58"/>
        <v>40</v>
      </c>
      <c r="AL994" s="31">
        <f t="shared" si="58"/>
        <v>36</v>
      </c>
    </row>
    <row r="995" spans="16:38">
      <c r="P995" s="53">
        <v>992</v>
      </c>
      <c r="Q995" s="54">
        <v>3</v>
      </c>
      <c r="R995" s="54">
        <v>27</v>
      </c>
      <c r="W995" s="31">
        <v>992</v>
      </c>
      <c r="X995" s="56">
        <v>0.35</v>
      </c>
      <c r="Y995" s="31">
        <v>30</v>
      </c>
      <c r="AB995" s="58">
        <f t="shared" si="56"/>
        <v>0.35</v>
      </c>
      <c r="AC995" s="54">
        <f t="shared" si="57"/>
        <v>30</v>
      </c>
      <c r="AF995" s="51">
        <v>992</v>
      </c>
      <c r="AG995" s="6">
        <v>40</v>
      </c>
      <c r="AH995" s="6">
        <v>30</v>
      </c>
      <c r="AK995" s="31">
        <f t="shared" si="58"/>
        <v>40</v>
      </c>
      <c r="AL995" s="31">
        <f t="shared" si="58"/>
        <v>30</v>
      </c>
    </row>
    <row r="996" spans="16:38">
      <c r="P996" s="53">
        <v>993</v>
      </c>
      <c r="Q996" s="54">
        <v>3</v>
      </c>
      <c r="R996" s="54">
        <v>8</v>
      </c>
      <c r="W996" s="31">
        <v>993</v>
      </c>
      <c r="X996" s="56">
        <v>0.37</v>
      </c>
      <c r="Y996" s="31">
        <v>11</v>
      </c>
      <c r="AB996" s="58">
        <f t="shared" si="56"/>
        <v>0.37</v>
      </c>
      <c r="AC996" s="54">
        <f t="shared" si="57"/>
        <v>11</v>
      </c>
      <c r="AF996" s="51">
        <v>993</v>
      </c>
      <c r="AG996" s="6">
        <v>38</v>
      </c>
      <c r="AH996" s="6">
        <v>11</v>
      </c>
      <c r="AK996" s="31">
        <f t="shared" si="58"/>
        <v>38</v>
      </c>
      <c r="AL996" s="31">
        <f t="shared" si="58"/>
        <v>11</v>
      </c>
    </row>
    <row r="997" spans="16:38">
      <c r="P997" s="53">
        <v>994</v>
      </c>
      <c r="Q997" s="54">
        <v>1</v>
      </c>
      <c r="R997" s="54">
        <v>6</v>
      </c>
      <c r="W997" s="31">
        <v>994</v>
      </c>
      <c r="X997" s="56">
        <v>0.37</v>
      </c>
      <c r="Y997" s="31">
        <v>7</v>
      </c>
      <c r="AB997" s="58">
        <f t="shared" si="56"/>
        <v>0.37</v>
      </c>
      <c r="AC997" s="54">
        <f t="shared" si="57"/>
        <v>7</v>
      </c>
      <c r="AF997" s="51">
        <v>994</v>
      </c>
      <c r="AG997" s="6">
        <v>38</v>
      </c>
      <c r="AH997" s="6">
        <v>7</v>
      </c>
      <c r="AK997" s="31">
        <f t="shared" si="58"/>
        <v>38</v>
      </c>
      <c r="AL997" s="31">
        <f t="shared" si="58"/>
        <v>7</v>
      </c>
    </row>
    <row r="998" spans="16:38">
      <c r="P998" s="53">
        <v>995</v>
      </c>
      <c r="Q998" s="54">
        <v>0</v>
      </c>
      <c r="R998" s="54">
        <v>2</v>
      </c>
      <c r="W998" s="31">
        <v>995</v>
      </c>
      <c r="X998" s="56">
        <v>0.4</v>
      </c>
      <c r="Y998" s="31">
        <v>2</v>
      </c>
      <c r="AB998" s="58">
        <f t="shared" si="56"/>
        <v>0.4</v>
      </c>
      <c r="AC998" s="54">
        <f t="shared" si="57"/>
        <v>2</v>
      </c>
      <c r="AF998" s="51">
        <v>995</v>
      </c>
      <c r="AG998" s="6">
        <v>36</v>
      </c>
      <c r="AH998" s="6">
        <v>2</v>
      </c>
      <c r="AK998" s="31">
        <f t="shared" si="58"/>
        <v>36</v>
      </c>
      <c r="AL998" s="31">
        <f t="shared" si="58"/>
        <v>2</v>
      </c>
    </row>
    <row r="999" spans="16:38">
      <c r="P999" s="53">
        <v>996</v>
      </c>
      <c r="Q999" s="54">
        <v>1</v>
      </c>
      <c r="R999" s="54">
        <v>1</v>
      </c>
      <c r="W999" s="31">
        <v>996</v>
      </c>
      <c r="X999" s="56">
        <v>0.46</v>
      </c>
      <c r="Y999" s="31">
        <v>2</v>
      </c>
      <c r="AB999" s="58">
        <f t="shared" si="56"/>
        <v>0.46</v>
      </c>
      <c r="AC999" s="54">
        <f t="shared" si="57"/>
        <v>2</v>
      </c>
      <c r="AF999" s="51">
        <v>996</v>
      </c>
      <c r="AG999" s="6">
        <v>34</v>
      </c>
      <c r="AH999" s="6">
        <v>2</v>
      </c>
      <c r="AK999" s="31">
        <f t="shared" si="58"/>
        <v>34</v>
      </c>
      <c r="AL999" s="31">
        <f t="shared" si="58"/>
        <v>2</v>
      </c>
    </row>
    <row r="1000" spans="16:38">
      <c r="P1000" s="53">
        <v>997</v>
      </c>
      <c r="Q1000" s="54">
        <v>0</v>
      </c>
      <c r="R1000" s="54">
        <v>2</v>
      </c>
      <c r="W1000" s="31">
        <v>997</v>
      </c>
      <c r="X1000" s="56">
        <v>0.53</v>
      </c>
      <c r="Y1000" s="31">
        <v>2</v>
      </c>
      <c r="AB1000" s="58">
        <f t="shared" si="56"/>
        <v>0.53</v>
      </c>
      <c r="AC1000" s="54">
        <f t="shared" si="57"/>
        <v>2</v>
      </c>
      <c r="AF1000" s="51">
        <v>997</v>
      </c>
      <c r="AG1000" s="6">
        <v>32</v>
      </c>
      <c r="AH1000" s="6">
        <v>2</v>
      </c>
      <c r="AK1000" s="31">
        <f t="shared" si="58"/>
        <v>32</v>
      </c>
      <c r="AL1000" s="31">
        <f t="shared" si="58"/>
        <v>2</v>
      </c>
    </row>
    <row r="1001" spans="16:38">
      <c r="P1001" s="53">
        <v>998</v>
      </c>
      <c r="Q1001" s="54">
        <v>0</v>
      </c>
      <c r="R1001" s="54">
        <v>3</v>
      </c>
      <c r="W1001" s="31">
        <v>998</v>
      </c>
      <c r="X1001" s="56">
        <v>0.53</v>
      </c>
      <c r="Y1001" s="31">
        <v>3</v>
      </c>
      <c r="AB1001" s="58">
        <f t="shared" si="56"/>
        <v>0.53</v>
      </c>
      <c r="AC1001" s="54">
        <f t="shared" si="57"/>
        <v>3</v>
      </c>
      <c r="AF1001" s="51">
        <v>998</v>
      </c>
      <c r="AG1001" s="6">
        <v>32</v>
      </c>
      <c r="AH1001" s="6">
        <v>3</v>
      </c>
      <c r="AK1001" s="31">
        <f t="shared" si="58"/>
        <v>32</v>
      </c>
      <c r="AL1001" s="31">
        <f t="shared" si="58"/>
        <v>3</v>
      </c>
    </row>
    <row r="1002" spans="16:38">
      <c r="P1002" s="53">
        <v>999</v>
      </c>
      <c r="Q1002" s="54">
        <v>1</v>
      </c>
      <c r="R1002" s="54">
        <v>25</v>
      </c>
      <c r="W1002" s="31">
        <v>999</v>
      </c>
      <c r="X1002" s="56">
        <v>0.46</v>
      </c>
      <c r="Y1002" s="31">
        <v>26</v>
      </c>
      <c r="AB1002" s="58">
        <f t="shared" si="56"/>
        <v>0.46</v>
      </c>
      <c r="AC1002" s="54">
        <f t="shared" si="57"/>
        <v>26</v>
      </c>
      <c r="AF1002" s="51">
        <v>999</v>
      </c>
      <c r="AG1002" s="6">
        <v>34</v>
      </c>
      <c r="AH1002" s="6">
        <v>26</v>
      </c>
      <c r="AK1002" s="31">
        <f t="shared" si="58"/>
        <v>34</v>
      </c>
      <c r="AL1002" s="31">
        <f t="shared" si="58"/>
        <v>26</v>
      </c>
    </row>
    <row r="1003" spans="16:38">
      <c r="P1003" s="53">
        <v>1000</v>
      </c>
      <c r="Q1003" s="54">
        <v>2</v>
      </c>
      <c r="R1003" s="54">
        <v>96</v>
      </c>
      <c r="W1003" s="31">
        <v>1000</v>
      </c>
      <c r="X1003" s="56">
        <v>0.46</v>
      </c>
      <c r="Y1003" s="31">
        <v>98</v>
      </c>
      <c r="AB1003" s="58">
        <f t="shared" si="56"/>
        <v>0.46</v>
      </c>
      <c r="AC1003" s="54">
        <f t="shared" si="57"/>
        <v>98</v>
      </c>
      <c r="AF1003" s="51">
        <v>1000</v>
      </c>
      <c r="AG1003" s="6">
        <v>34</v>
      </c>
      <c r="AH1003" s="6">
        <v>98</v>
      </c>
      <c r="AK1003" s="31">
        <f t="shared" si="58"/>
        <v>34</v>
      </c>
      <c r="AL1003" s="31">
        <f t="shared" si="58"/>
        <v>98</v>
      </c>
    </row>
    <row r="1004" spans="16:38">
      <c r="P1004" s="53" t="s">
        <v>50</v>
      </c>
      <c r="Q1004" s="54">
        <v>4921</v>
      </c>
      <c r="R1004" s="54">
        <v>53383</v>
      </c>
      <c r="W1004" s="31" t="s">
        <v>50</v>
      </c>
      <c r="X1004" s="56">
        <v>582.48000000000036</v>
      </c>
      <c r="Y1004" s="31">
        <v>58304</v>
      </c>
      <c r="AF1004" s="51" t="s">
        <v>50</v>
      </c>
      <c r="AG1004" s="6">
        <v>20590</v>
      </c>
      <c r="AH1004" s="6">
        <v>58304</v>
      </c>
    </row>
  </sheetData>
  <sortState xmlns:xlrd2="http://schemas.microsoft.com/office/spreadsheetml/2017/richdata2" ref="K5:N29">
    <sortCondition ref="K5:K29" customList="12 AM,1 AM,2 AM,3 AM,4 AM,5 AM,6 AM,7 AM,8 AM,9 AM,10 AM,11 AM,12 PM,1 PM,2 PM,3 PM,4 PM,5 PM,6 PM,7 PM,8 PM,9 PM,10 PM,11 PM"/>
  </sortState>
  <mergeCells count="2">
    <mergeCell ref="AB2:AC2"/>
    <mergeCell ref="AK2:AL2"/>
  </mergeCell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E467D-029A-46C7-A9FA-57FBCD94EFBF}">
  <dimension ref="A1:U1004"/>
  <sheetViews>
    <sheetView workbookViewId="0">
      <selection activeCell="A8" sqref="A8"/>
    </sheetView>
  </sheetViews>
  <sheetFormatPr defaultRowHeight="14.4"/>
  <cols>
    <col min="2" max="2" width="15.109375" style="62" bestFit="1" customWidth="1"/>
    <col min="3" max="3" width="8.88671875" style="7"/>
    <col min="6" max="6" width="8" style="5" bestFit="1" customWidth="1"/>
    <col min="7" max="7" width="8.88671875" style="5"/>
    <col min="8" max="8" width="11.33203125" style="39" bestFit="1" customWidth="1"/>
    <col min="9" max="9" width="16.77734375" style="5" bestFit="1" customWidth="1"/>
    <col min="10" max="10" width="8.88671875" style="5"/>
    <col min="11" max="11" width="10.44140625" style="5" bestFit="1" customWidth="1"/>
    <col min="12" max="12" width="18.77734375" bestFit="1" customWidth="1"/>
    <col min="13" max="13" width="13.44140625" bestFit="1" customWidth="1"/>
    <col min="14" max="14" width="13.6640625" style="11" bestFit="1" customWidth="1"/>
    <col min="15" max="15" width="12" bestFit="1" customWidth="1"/>
    <col min="16" max="16" width="15.44140625" bestFit="1" customWidth="1"/>
    <col min="17" max="17" width="10.77734375" bestFit="1" customWidth="1"/>
    <col min="18" max="18" width="10.77734375" customWidth="1"/>
    <col min="19" max="19" width="14" hidden="1" customWidth="1"/>
    <col min="20" max="20" width="16.44140625" hidden="1" customWidth="1"/>
    <col min="21" max="21" width="18.44140625" hidden="1" customWidth="1"/>
  </cols>
  <sheetData>
    <row r="1" spans="1:21">
      <c r="A1" s="18" t="s">
        <v>0</v>
      </c>
      <c r="B1" s="67" t="s">
        <v>19</v>
      </c>
      <c r="C1" s="19" t="s">
        <v>6</v>
      </c>
      <c r="D1" s="18" t="s">
        <v>34</v>
      </c>
      <c r="E1" s="18" t="s">
        <v>10</v>
      </c>
      <c r="F1" s="18" t="s">
        <v>16</v>
      </c>
      <c r="G1" s="18" t="s">
        <v>17</v>
      </c>
      <c r="H1" s="36" t="s">
        <v>18</v>
      </c>
      <c r="I1" s="18" t="s">
        <v>20</v>
      </c>
      <c r="J1" s="18" t="s">
        <v>21</v>
      </c>
      <c r="K1" s="18" t="s">
        <v>22</v>
      </c>
      <c r="L1" s="18" t="s">
        <v>39</v>
      </c>
      <c r="M1" s="18" t="s">
        <v>38</v>
      </c>
      <c r="N1" s="27" t="s">
        <v>24</v>
      </c>
      <c r="O1" s="20" t="s">
        <v>36</v>
      </c>
      <c r="P1" s="20" t="s">
        <v>37</v>
      </c>
      <c r="Q1" s="20" t="s">
        <v>35</v>
      </c>
      <c r="R1" s="20" t="s">
        <v>48</v>
      </c>
      <c r="S1" s="20" t="s">
        <v>44</v>
      </c>
      <c r="T1" s="20" t="s">
        <v>46</v>
      </c>
      <c r="U1" s="20" t="s">
        <v>47</v>
      </c>
    </row>
    <row r="2" spans="1:21">
      <c r="A2" s="21">
        <v>1</v>
      </c>
      <c r="B2" s="68">
        <v>40544</v>
      </c>
      <c r="C2" s="22" t="b">
        <v>0</v>
      </c>
      <c r="D2" s="21" t="str">
        <f>TEXT(B2,"dddd")</f>
        <v>Saturday</v>
      </c>
      <c r="E2" s="23">
        <v>0.28789999999999999</v>
      </c>
      <c r="F2" s="23">
        <f>YEAR('Merged raw data'!$B2)</f>
        <v>2011</v>
      </c>
      <c r="G2" s="23" t="str">
        <f>TEXT('Merged raw data'!$B2,"mmmm")</f>
        <v>January</v>
      </c>
      <c r="H2" s="37" t="str">
        <f>TEXT(TIME('Merged raw data'!F2,0,0),"h AM/PM")</f>
        <v>12 AM</v>
      </c>
      <c r="I2" s="23" t="str">
        <f>IF(OR('Merged raw data'!H2=1,'Merged raw data'!H2=2,'Merged raw data'!H2=3,'Merged raw data'!H2=4,'Merged raw data'!H2=5),"weekday","weekend")</f>
        <v>weekend</v>
      </c>
      <c r="J2" s="23" t="s">
        <v>23</v>
      </c>
      <c r="K2" s="23" t="str">
        <f>IF('Merged raw data'!I2=1,"Clear",IF('Merged raw data'!I2=2,"Mist",IF('Merged raw data'!I2=3,"Rain",IF('Merged raw data'!I2=4,"Storm","NA"))))</f>
        <v>Clear</v>
      </c>
      <c r="L2" s="24">
        <v>0.81</v>
      </c>
      <c r="M2" s="24">
        <v>0.23</v>
      </c>
      <c r="N2" s="21">
        <f>'Merged raw data'!$J2*100</f>
        <v>24</v>
      </c>
      <c r="O2" s="21">
        <v>3</v>
      </c>
      <c r="P2" s="21">
        <v>13</v>
      </c>
      <c r="Q2" s="21">
        <v>16</v>
      </c>
      <c r="R2" s="21" t="str">
        <f>IF(Q2&gt;=outliers!I4,"High",IF(Q2&lt;=outliers!I3,"Low","Moderate"))</f>
        <v>Low</v>
      </c>
      <c r="S2" s="8" t="str">
        <f>IF(OR(Q2&lt;outliers!$I$6,Q2&gt;outliers!$I$7),"Outlier","Normal")</f>
        <v>Normal</v>
      </c>
      <c r="T2" s="8" t="str">
        <f>IF(OR(L2&lt;outliers!$J$6,L2&gt;outliers!$J$7),"Outlier","Normal")</f>
        <v>Normal</v>
      </c>
      <c r="U2" s="8" t="str">
        <f>IF(OR(M2&lt;outliers!$K$6,M2&gt;outliers!$K$7),"Outlier","Normal")</f>
        <v>Normal</v>
      </c>
    </row>
    <row r="3" spans="1:21">
      <c r="A3" s="21">
        <v>2</v>
      </c>
      <c r="B3" s="68">
        <v>40544</v>
      </c>
      <c r="C3" s="22" t="b">
        <v>0</v>
      </c>
      <c r="D3" s="21" t="str">
        <f t="shared" ref="D3:D66" si="0">TEXT(B3,"dddd")</f>
        <v>Saturday</v>
      </c>
      <c r="E3" s="23">
        <v>0.2727</v>
      </c>
      <c r="F3" s="23">
        <f>YEAR('Merged raw data'!$B3)</f>
        <v>2011</v>
      </c>
      <c r="G3" s="23" t="str">
        <f>TEXT('Merged raw data'!$B3,"mmmm")</f>
        <v>January</v>
      </c>
      <c r="H3" s="37" t="str">
        <f>TEXT(TIME('Merged raw data'!F3,0,0),"h AM/PM")</f>
        <v>1 AM</v>
      </c>
      <c r="I3" s="23" t="str">
        <f>IF(OR('Merged raw data'!H3=1,'Merged raw data'!H3=2,'Merged raw data'!H3=3,'Merged raw data'!H3=4,'Merged raw data'!H3=5),"weekday","weekend")</f>
        <v>weekend</v>
      </c>
      <c r="J3" s="23" t="s">
        <v>23</v>
      </c>
      <c r="K3" s="23" t="str">
        <f>IF('Merged raw data'!I3=1,"Clear",IF('Merged raw data'!I3=2,"Mist",IF('Merged raw data'!I3=3,"Rain",IF('Merged raw data'!I3=4,"Storm","NA"))))</f>
        <v>Clear</v>
      </c>
      <c r="L3" s="24">
        <v>0.8</v>
      </c>
      <c r="M3" s="24">
        <v>0.23</v>
      </c>
      <c r="N3" s="21">
        <f>'Merged raw data'!$J3*100</f>
        <v>22</v>
      </c>
      <c r="O3" s="21">
        <v>8</v>
      </c>
      <c r="P3" s="21">
        <v>32</v>
      </c>
      <c r="Q3" s="21">
        <v>40</v>
      </c>
      <c r="R3" s="21" t="str">
        <f>IF(Q3&gt;=outliers!I5,"High",IF(Q3&lt;=outliers!I4,"Low","Moderate"))</f>
        <v>Low</v>
      </c>
      <c r="S3" s="8" t="str">
        <f>IF(OR(Q3&lt;outliers!$I$6,Q3&gt;outliers!$I$7),"Outlier","Normal")</f>
        <v>Normal</v>
      </c>
      <c r="T3" s="8" t="str">
        <f>IF(OR(L3&lt;outliers!$J$6,L3&gt;outliers!$J$7),"Outlier","Normal")</f>
        <v>Normal</v>
      </c>
      <c r="U3" s="8" t="str">
        <f>IF(OR(M3&lt;outliers!$K$6,M3&gt;outliers!$K$7),"Outlier","Normal")</f>
        <v>Normal</v>
      </c>
    </row>
    <row r="4" spans="1:21">
      <c r="A4" s="21">
        <v>3</v>
      </c>
      <c r="B4" s="68">
        <v>40544</v>
      </c>
      <c r="C4" s="22" t="b">
        <v>0</v>
      </c>
      <c r="D4" s="21" t="str">
        <f t="shared" si="0"/>
        <v>Saturday</v>
      </c>
      <c r="E4" s="23">
        <v>0.2727</v>
      </c>
      <c r="F4" s="23">
        <f>YEAR('Merged raw data'!$B4)</f>
        <v>2011</v>
      </c>
      <c r="G4" s="23" t="str">
        <f>TEXT('Merged raw data'!$B4,"mmmm")</f>
        <v>January</v>
      </c>
      <c r="H4" s="37" t="str">
        <f>TEXT(TIME('Merged raw data'!F4,0,0),"h AM/PM")</f>
        <v>2 AM</v>
      </c>
      <c r="I4" s="23" t="str">
        <f>IF(OR('Merged raw data'!H4=1,'Merged raw data'!H4=2,'Merged raw data'!H4=3,'Merged raw data'!H4=4,'Merged raw data'!H4=5),"weekday","weekend")</f>
        <v>weekend</v>
      </c>
      <c r="J4" s="23" t="s">
        <v>23</v>
      </c>
      <c r="K4" s="23" t="str">
        <f>IF('Merged raw data'!I4=1,"Clear",IF('Merged raw data'!I4=2,"Mist",IF('Merged raw data'!I4=3,"Rain",IF('Merged raw data'!I4=4,"Storm","NA"))))</f>
        <v>Clear</v>
      </c>
      <c r="L4" s="24">
        <v>0.8</v>
      </c>
      <c r="M4" s="24">
        <v>0.23</v>
      </c>
      <c r="N4" s="21">
        <f>'Merged raw data'!$J4*100</f>
        <v>22</v>
      </c>
      <c r="O4" s="21">
        <v>5</v>
      </c>
      <c r="P4" s="21">
        <v>27</v>
      </c>
      <c r="Q4" s="21">
        <v>32</v>
      </c>
      <c r="R4" s="21" t="str">
        <f>IF(Q4&gt;=outliers!I6,"High",IF(Q4&lt;=outliers!I5,"Low","Moderate"))</f>
        <v>High</v>
      </c>
      <c r="S4" s="8" t="str">
        <f>IF(OR(Q4&lt;outliers!$I$6,Q4&gt;outliers!$I$7),"Outlier","Normal")</f>
        <v>Normal</v>
      </c>
      <c r="T4" s="8" t="str">
        <f>IF(OR(L4&lt;outliers!$J$6,L4&gt;outliers!$J$7),"Outlier","Normal")</f>
        <v>Normal</v>
      </c>
      <c r="U4" s="8" t="str">
        <f>IF(OR(M4&lt;outliers!$K$6,M4&gt;outliers!$K$7),"Outlier","Normal")</f>
        <v>Normal</v>
      </c>
    </row>
    <row r="5" spans="1:21">
      <c r="A5" s="21">
        <v>4</v>
      </c>
      <c r="B5" s="68">
        <v>40544</v>
      </c>
      <c r="C5" s="22" t="b">
        <v>0</v>
      </c>
      <c r="D5" s="21" t="str">
        <f t="shared" si="0"/>
        <v>Saturday</v>
      </c>
      <c r="E5" s="23">
        <v>0.28789999999999999</v>
      </c>
      <c r="F5" s="23">
        <f>YEAR('Merged raw data'!$B5)</f>
        <v>2011</v>
      </c>
      <c r="G5" s="23" t="str">
        <f>TEXT('Merged raw data'!$B5,"mmmm")</f>
        <v>January</v>
      </c>
      <c r="H5" s="37" t="str">
        <f>TEXT(TIME('Merged raw data'!F5,0,0),"h AM/PM")</f>
        <v>3 AM</v>
      </c>
      <c r="I5" s="23" t="str">
        <f>IF(OR('Merged raw data'!H5=1,'Merged raw data'!H5=2,'Merged raw data'!H5=3,'Merged raw data'!H5=4,'Merged raw data'!H5=5),"weekday","weekend")</f>
        <v>weekend</v>
      </c>
      <c r="J5" s="23" t="s">
        <v>23</v>
      </c>
      <c r="K5" s="23" t="str">
        <f>IF('Merged raw data'!I5=1,"Clear",IF('Merged raw data'!I5=2,"Mist",IF('Merged raw data'!I5=3,"Rain",IF('Merged raw data'!I5=4,"Storm","NA"))))</f>
        <v>Clear</v>
      </c>
      <c r="L5" s="24">
        <v>0.75</v>
      </c>
      <c r="M5" s="24">
        <v>0.23</v>
      </c>
      <c r="N5" s="21">
        <f>'Merged raw data'!$J5*100</f>
        <v>24</v>
      </c>
      <c r="O5" s="21">
        <v>3</v>
      </c>
      <c r="P5" s="21">
        <v>10</v>
      </c>
      <c r="Q5" s="21">
        <v>13</v>
      </c>
      <c r="R5" s="21" t="str">
        <f>IF(Q5&gt;=outliers!I7,"High",IF(Q5&lt;=outliers!I6,"Low","Moderate"))</f>
        <v>Moderate</v>
      </c>
      <c r="S5" s="8" t="str">
        <f>IF(OR(Q5&lt;outliers!$I$6,Q5&gt;outliers!$I$7),"Outlier","Normal")</f>
        <v>Normal</v>
      </c>
      <c r="T5" s="8" t="str">
        <f>IF(OR(L5&lt;outliers!$J$6,L5&gt;outliers!$J$7),"Outlier","Normal")</f>
        <v>Normal</v>
      </c>
      <c r="U5" s="8" t="str">
        <f>IF(OR(M5&lt;outliers!$K$6,M5&gt;outliers!$K$7),"Outlier","Normal")</f>
        <v>Normal</v>
      </c>
    </row>
    <row r="6" spans="1:21">
      <c r="A6" s="21">
        <v>5</v>
      </c>
      <c r="B6" s="68">
        <v>40544</v>
      </c>
      <c r="C6" s="22" t="b">
        <v>0</v>
      </c>
      <c r="D6" s="21" t="str">
        <f t="shared" si="0"/>
        <v>Saturday</v>
      </c>
      <c r="E6" s="23">
        <v>0.28789999999999999</v>
      </c>
      <c r="F6" s="23">
        <f>YEAR('Merged raw data'!$B6)</f>
        <v>2011</v>
      </c>
      <c r="G6" s="23" t="str">
        <f>TEXT('Merged raw data'!$B6,"mmmm")</f>
        <v>January</v>
      </c>
      <c r="H6" s="37" t="str">
        <f>TEXT(TIME('Merged raw data'!F6,0,0),"h AM/PM")</f>
        <v>4 AM</v>
      </c>
      <c r="I6" s="23" t="str">
        <f>IF(OR('Merged raw data'!H6=1,'Merged raw data'!H6=2,'Merged raw data'!H6=3,'Merged raw data'!H6=4,'Merged raw data'!H6=5),"weekday","weekend")</f>
        <v>weekend</v>
      </c>
      <c r="J6" s="23" t="s">
        <v>23</v>
      </c>
      <c r="K6" s="23" t="str">
        <f>IF('Merged raw data'!I6=1,"Clear",IF('Merged raw data'!I6=2,"Mist",IF('Merged raw data'!I6=3,"Rain",IF('Merged raw data'!I6=4,"Storm","NA"))))</f>
        <v>Clear</v>
      </c>
      <c r="L6" s="24">
        <v>0.75</v>
      </c>
      <c r="M6" s="24">
        <v>0.23</v>
      </c>
      <c r="N6" s="21">
        <f>'Merged raw data'!$J6*100</f>
        <v>24</v>
      </c>
      <c r="O6" s="21">
        <v>0</v>
      </c>
      <c r="P6" s="21">
        <v>1</v>
      </c>
      <c r="Q6" s="21">
        <v>1</v>
      </c>
      <c r="R6" s="21" t="str">
        <f>IF(Q6&gt;=outliers!I8,"High",IF(Q6&lt;=outliers!I7,"Low","Moderate"))</f>
        <v>High</v>
      </c>
      <c r="S6" s="8" t="str">
        <f>IF(OR(Q6&lt;outliers!$I$6,Q6&gt;outliers!$I$7),"Outlier","Normal")</f>
        <v>Normal</v>
      </c>
      <c r="T6" s="8" t="str">
        <f>IF(OR(L6&lt;outliers!$J$6,L6&gt;outliers!$J$7),"Outlier","Normal")</f>
        <v>Normal</v>
      </c>
      <c r="U6" s="8" t="str">
        <f>IF(OR(M6&lt;outliers!$K$6,M6&gt;outliers!$K$7),"Outlier","Normal")</f>
        <v>Normal</v>
      </c>
    </row>
    <row r="7" spans="1:21">
      <c r="A7" s="21">
        <v>6</v>
      </c>
      <c r="B7" s="68">
        <v>40544</v>
      </c>
      <c r="C7" s="22" t="b">
        <v>0</v>
      </c>
      <c r="D7" s="21" t="str">
        <f t="shared" si="0"/>
        <v>Saturday</v>
      </c>
      <c r="E7" s="23">
        <v>0.2576</v>
      </c>
      <c r="F7" s="23">
        <f>YEAR('Merged raw data'!$B7)</f>
        <v>2011</v>
      </c>
      <c r="G7" s="23" t="str">
        <f>TEXT('Merged raw data'!$B7,"mmmm")</f>
        <v>January</v>
      </c>
      <c r="H7" s="37" t="str">
        <f>TEXT(TIME('Merged raw data'!F7,0,0),"h AM/PM")</f>
        <v>5 AM</v>
      </c>
      <c r="I7" s="23" t="str">
        <f>IF(OR('Merged raw data'!H7=1,'Merged raw data'!H7=2,'Merged raw data'!H7=3,'Merged raw data'!H7=4,'Merged raw data'!H7=5),"weekday","weekend")</f>
        <v>weekend</v>
      </c>
      <c r="J7" s="23" t="s">
        <v>23</v>
      </c>
      <c r="K7" s="23" t="str">
        <f>IF('Merged raw data'!I7=1,"Clear",IF('Merged raw data'!I7=2,"Mist",IF('Merged raw data'!I7=3,"Rain",IF('Merged raw data'!I7=4,"Storm","NA"))))</f>
        <v>Mist</v>
      </c>
      <c r="L7" s="24">
        <v>0.75</v>
      </c>
      <c r="M7" s="24">
        <v>8.9599999999999999E-2</v>
      </c>
      <c r="N7" s="21">
        <f>'Merged raw data'!$J7*100</f>
        <v>24</v>
      </c>
      <c r="O7" s="21">
        <v>0</v>
      </c>
      <c r="P7" s="21">
        <v>1</v>
      </c>
      <c r="Q7" s="21">
        <v>1</v>
      </c>
      <c r="R7" s="21" t="str">
        <f>IF(Q7&gt;=outliers!I9,"High",IF(Q7&lt;=outliers!I8,"Low","Moderate"))</f>
        <v>High</v>
      </c>
      <c r="S7" s="8" t="str">
        <f>IF(OR(Q7&lt;outliers!$I$6,Q7&gt;outliers!$I$7),"Outlier","Normal")</f>
        <v>Normal</v>
      </c>
      <c r="T7" s="8" t="str">
        <f>IF(OR(L7&lt;outliers!$J$6,L7&gt;outliers!$J$7),"Outlier","Normal")</f>
        <v>Normal</v>
      </c>
      <c r="U7" s="8" t="str">
        <f>IF(OR(M7&lt;outliers!$K$6,M7&gt;outliers!$K$7),"Outlier","Normal")</f>
        <v>Normal</v>
      </c>
    </row>
    <row r="8" spans="1:21">
      <c r="A8" s="21">
        <v>7</v>
      </c>
      <c r="B8" s="68">
        <v>40544</v>
      </c>
      <c r="C8" s="22" t="b">
        <v>0</v>
      </c>
      <c r="D8" s="21" t="str">
        <f t="shared" si="0"/>
        <v>Saturday</v>
      </c>
      <c r="E8" s="23">
        <v>0.2727</v>
      </c>
      <c r="F8" s="23">
        <f>YEAR('Merged raw data'!$B8)</f>
        <v>2011</v>
      </c>
      <c r="G8" s="23" t="str">
        <f>TEXT('Merged raw data'!$B8,"mmmm")</f>
        <v>January</v>
      </c>
      <c r="H8" s="37" t="str">
        <f>TEXT(TIME('Merged raw data'!F8,0,0),"h AM/PM")</f>
        <v>6 AM</v>
      </c>
      <c r="I8" s="23" t="str">
        <f>IF(OR('Merged raw data'!H8=1,'Merged raw data'!H8=2,'Merged raw data'!H8=3,'Merged raw data'!H8=4,'Merged raw data'!H8=5),"weekday","weekend")</f>
        <v>weekend</v>
      </c>
      <c r="J8" s="23" t="s">
        <v>23</v>
      </c>
      <c r="K8" s="23" t="str">
        <f>IF('Merged raw data'!I8=1,"Clear",IF('Merged raw data'!I8=2,"Mist",IF('Merged raw data'!I8=3,"Rain",IF('Merged raw data'!I8=4,"Storm","NA"))))</f>
        <v>Clear</v>
      </c>
      <c r="L8" s="24">
        <v>0.8</v>
      </c>
      <c r="M8" s="24">
        <v>0.23</v>
      </c>
      <c r="N8" s="21">
        <f>'Merged raw data'!$J8*100</f>
        <v>22</v>
      </c>
      <c r="O8" s="21">
        <v>2</v>
      </c>
      <c r="P8" s="21">
        <v>0</v>
      </c>
      <c r="Q8" s="21">
        <v>2</v>
      </c>
      <c r="R8" s="21" t="str">
        <f>IF(Q8&gt;=outliers!I10,"High",IF(Q8&lt;=outliers!I9,"Low","Moderate"))</f>
        <v>High</v>
      </c>
      <c r="S8" s="8" t="str">
        <f>IF(OR(Q8&lt;outliers!$I$6,Q8&gt;outliers!$I$7),"Outlier","Normal")</f>
        <v>Normal</v>
      </c>
      <c r="T8" s="8" t="str">
        <f>IF(OR(L8&lt;outliers!$J$6,L8&gt;outliers!$J$7),"Outlier","Normal")</f>
        <v>Normal</v>
      </c>
      <c r="U8" s="8" t="str">
        <f>IF(OR(M8&lt;outliers!$K$6,M8&gt;outliers!$K$7),"Outlier","Normal")</f>
        <v>Normal</v>
      </c>
    </row>
    <row r="9" spans="1:21">
      <c r="A9" s="21">
        <v>8</v>
      </c>
      <c r="B9" s="68">
        <v>40544</v>
      </c>
      <c r="C9" s="22" t="b">
        <v>0</v>
      </c>
      <c r="D9" s="21" t="str">
        <f t="shared" si="0"/>
        <v>Saturday</v>
      </c>
      <c r="E9" s="23">
        <v>0.2576</v>
      </c>
      <c r="F9" s="23">
        <f>YEAR('Merged raw data'!$B9)</f>
        <v>2011</v>
      </c>
      <c r="G9" s="23" t="str">
        <f>TEXT('Merged raw data'!$B9,"mmmm")</f>
        <v>January</v>
      </c>
      <c r="H9" s="37" t="str">
        <f>TEXT(TIME('Merged raw data'!F9,0,0),"h AM/PM")</f>
        <v>7 AM</v>
      </c>
      <c r="I9" s="23" t="str">
        <f>IF(OR('Merged raw data'!H9=1,'Merged raw data'!H9=2,'Merged raw data'!H9=3,'Merged raw data'!H9=4,'Merged raw data'!H9=5),"weekday","weekend")</f>
        <v>weekend</v>
      </c>
      <c r="J9" s="23" t="s">
        <v>23</v>
      </c>
      <c r="K9" s="23" t="str">
        <f>IF('Merged raw data'!I9=1,"Clear",IF('Merged raw data'!I9=2,"Mist",IF('Merged raw data'!I9=3,"Rain",IF('Merged raw data'!I9=4,"Storm","NA"))))</f>
        <v>Clear</v>
      </c>
      <c r="L9" s="24">
        <v>0.86</v>
      </c>
      <c r="M9" s="24">
        <v>0.23</v>
      </c>
      <c r="N9" s="21">
        <f>'Merged raw data'!$J9*100</f>
        <v>20</v>
      </c>
      <c r="O9" s="21">
        <v>1</v>
      </c>
      <c r="P9" s="21">
        <v>2</v>
      </c>
      <c r="Q9" s="21">
        <v>3</v>
      </c>
      <c r="R9" s="21" t="str">
        <f>IF(Q9&gt;=outliers!I11,"High",IF(Q9&lt;=outliers!I10,"Low","Moderate"))</f>
        <v>High</v>
      </c>
      <c r="S9" s="8" t="str">
        <f>IF(OR(Q9&lt;outliers!$I$6,Q9&gt;outliers!$I$7),"Outlier","Normal")</f>
        <v>Normal</v>
      </c>
      <c r="T9" s="8" t="str">
        <f>IF(OR(L9&lt;outliers!$J$6,L9&gt;outliers!$J$7),"Outlier","Normal")</f>
        <v>Normal</v>
      </c>
      <c r="U9" s="8" t="str">
        <f>IF(OR(M9&lt;outliers!$K$6,M9&gt;outliers!$K$7),"Outlier","Normal")</f>
        <v>Normal</v>
      </c>
    </row>
    <row r="10" spans="1:21">
      <c r="A10" s="21">
        <v>9</v>
      </c>
      <c r="B10" s="68">
        <v>40544</v>
      </c>
      <c r="C10" s="22" t="b">
        <v>0</v>
      </c>
      <c r="D10" s="21" t="str">
        <f t="shared" si="0"/>
        <v>Saturday</v>
      </c>
      <c r="E10" s="23">
        <v>0.21</v>
      </c>
      <c r="F10" s="23">
        <f>YEAR('Merged raw data'!$B10)</f>
        <v>2011</v>
      </c>
      <c r="G10" s="23" t="str">
        <f>TEXT('Merged raw data'!$B10,"mmmm")</f>
        <v>January</v>
      </c>
      <c r="H10" s="37" t="str">
        <f>TEXT(TIME('Merged raw data'!F10,0,0),"h AM/PM")</f>
        <v>8 AM</v>
      </c>
      <c r="I10" s="23" t="str">
        <f>IF(OR('Merged raw data'!H10=1,'Merged raw data'!H10=2,'Merged raw data'!H10=3,'Merged raw data'!H10=4,'Merged raw data'!H10=5),"weekday","weekend")</f>
        <v>weekend</v>
      </c>
      <c r="J10" s="23" t="s">
        <v>23</v>
      </c>
      <c r="K10" s="23" t="str">
        <f>IF('Merged raw data'!I10=1,"Clear",IF('Merged raw data'!I10=2,"Mist",IF('Merged raw data'!I10=3,"Rain",IF('Merged raw data'!I10=4,"Storm","NA"))))</f>
        <v>Clear</v>
      </c>
      <c r="L10" s="24">
        <v>0.75</v>
      </c>
      <c r="M10" s="24">
        <v>0.23</v>
      </c>
      <c r="N10" s="21">
        <f>'Merged raw data'!$J10*100</f>
        <v>24</v>
      </c>
      <c r="O10" s="21">
        <v>1</v>
      </c>
      <c r="P10" s="21">
        <v>7</v>
      </c>
      <c r="Q10" s="21">
        <v>8</v>
      </c>
      <c r="R10" s="21" t="str">
        <f>IF(Q10&gt;=outliers!I12,"High",IF(Q10&lt;=outliers!I11,"Low","Moderate"))</f>
        <v>High</v>
      </c>
      <c r="S10" s="8" t="str">
        <f>IF(OR(Q10&lt;outliers!$I$6,Q10&gt;outliers!$I$7),"Outlier","Normal")</f>
        <v>Normal</v>
      </c>
      <c r="T10" s="8" t="str">
        <f>IF(OR(L10&lt;outliers!$J$6,L10&gt;outliers!$J$7),"Outlier","Normal")</f>
        <v>Normal</v>
      </c>
      <c r="U10" s="8" t="str">
        <f>IF(OR(M10&lt;outliers!$K$6,M10&gt;outliers!$K$7),"Outlier","Normal")</f>
        <v>Normal</v>
      </c>
    </row>
    <row r="11" spans="1:21">
      <c r="A11" s="21">
        <v>10</v>
      </c>
      <c r="B11" s="68">
        <v>40544</v>
      </c>
      <c r="C11" s="22" t="b">
        <v>0</v>
      </c>
      <c r="D11" s="21" t="str">
        <f t="shared" si="0"/>
        <v>Saturday</v>
      </c>
      <c r="E11" s="23">
        <v>0.34849999999999998</v>
      </c>
      <c r="F11" s="23">
        <f>YEAR('Merged raw data'!$B11)</f>
        <v>2011</v>
      </c>
      <c r="G11" s="23" t="str">
        <f>TEXT('Merged raw data'!$B11,"mmmm")</f>
        <v>January</v>
      </c>
      <c r="H11" s="37" t="str">
        <f>TEXT(TIME('Merged raw data'!F11,0,0),"h AM/PM")</f>
        <v>9 AM</v>
      </c>
      <c r="I11" s="23" t="str">
        <f>IF(OR('Merged raw data'!H11=1,'Merged raw data'!H11=2,'Merged raw data'!H11=3,'Merged raw data'!H11=4,'Merged raw data'!H11=5),"weekday","weekend")</f>
        <v>weekend</v>
      </c>
      <c r="J11" s="23" t="s">
        <v>23</v>
      </c>
      <c r="K11" s="23" t="str">
        <f>IF('Merged raw data'!I11=1,"Clear",IF('Merged raw data'!I11=2,"Mist",IF('Merged raw data'!I11=3,"Rain",IF('Merged raw data'!I11=4,"Storm","NA"))))</f>
        <v>Clear</v>
      </c>
      <c r="L11" s="24">
        <v>0.76</v>
      </c>
      <c r="M11" s="24">
        <v>0.23</v>
      </c>
      <c r="N11" s="21">
        <f>'Merged raw data'!$J11*100</f>
        <v>32</v>
      </c>
      <c r="O11" s="21">
        <v>8</v>
      </c>
      <c r="P11" s="21">
        <v>6</v>
      </c>
      <c r="Q11" s="21">
        <v>14</v>
      </c>
      <c r="R11" s="21" t="str">
        <f>IF(Q11&gt;=outliers!I13,"High",IF(Q11&lt;=outliers!I12,"Low","Moderate"))</f>
        <v>High</v>
      </c>
      <c r="S11" s="8" t="str">
        <f>IF(OR(Q11&lt;outliers!$I$6,Q11&gt;outliers!$I$7),"Outlier","Normal")</f>
        <v>Normal</v>
      </c>
      <c r="T11" s="8" t="str">
        <f>IF(OR(L11&lt;outliers!$J$6,L11&gt;outliers!$J$7),"Outlier","Normal")</f>
        <v>Normal</v>
      </c>
      <c r="U11" s="8" t="str">
        <f>IF(OR(M11&lt;outliers!$K$6,M11&gt;outliers!$K$7),"Outlier","Normal")</f>
        <v>Normal</v>
      </c>
    </row>
    <row r="12" spans="1:21">
      <c r="A12" s="21">
        <v>11</v>
      </c>
      <c r="B12" s="68">
        <v>40544</v>
      </c>
      <c r="C12" s="22" t="b">
        <v>0</v>
      </c>
      <c r="D12" s="21" t="str">
        <f t="shared" si="0"/>
        <v>Saturday</v>
      </c>
      <c r="E12" s="23">
        <v>0.39389999999999997</v>
      </c>
      <c r="F12" s="23">
        <f>YEAR('Merged raw data'!$B12)</f>
        <v>2011</v>
      </c>
      <c r="G12" s="23" t="str">
        <f>TEXT('Merged raw data'!$B12,"mmmm")</f>
        <v>January</v>
      </c>
      <c r="H12" s="37" t="str">
        <f>TEXT(TIME('Merged raw data'!F12,0,0),"h AM/PM")</f>
        <v>10 AM</v>
      </c>
      <c r="I12" s="23" t="str">
        <f>IF(OR('Merged raw data'!H12=1,'Merged raw data'!H12=2,'Merged raw data'!H12=3,'Merged raw data'!H12=4,'Merged raw data'!H12=5),"weekday","weekend")</f>
        <v>weekend</v>
      </c>
      <c r="J12" s="23" t="s">
        <v>23</v>
      </c>
      <c r="K12" s="23" t="str">
        <f>IF('Merged raw data'!I12=1,"Clear",IF('Merged raw data'!I12=2,"Mist",IF('Merged raw data'!I12=3,"Rain",IF('Merged raw data'!I12=4,"Storm","NA"))))</f>
        <v>Clear</v>
      </c>
      <c r="L12" s="24">
        <v>0.76</v>
      </c>
      <c r="M12" s="24">
        <v>0.25369999999999998</v>
      </c>
      <c r="N12" s="21">
        <f>'Merged raw data'!$J12*100</f>
        <v>38</v>
      </c>
      <c r="O12" s="21">
        <v>12</v>
      </c>
      <c r="P12" s="21">
        <v>24</v>
      </c>
      <c r="Q12" s="21">
        <v>36</v>
      </c>
      <c r="R12" s="21" t="str">
        <f>IF(Q12&gt;=outliers!I14,"High",IF(Q12&lt;=outliers!I13,"Low","Moderate"))</f>
        <v>High</v>
      </c>
      <c r="S12" s="8" t="str">
        <f>IF(OR(Q12&lt;outliers!$I$6,Q12&gt;outliers!$I$7),"Outlier","Normal")</f>
        <v>Normal</v>
      </c>
      <c r="T12" s="8" t="str">
        <f>IF(OR(L12&lt;outliers!$J$6,L12&gt;outliers!$J$7),"Outlier","Normal")</f>
        <v>Normal</v>
      </c>
      <c r="U12" s="8" t="str">
        <f>IF(OR(M12&lt;outliers!$K$6,M12&gt;outliers!$K$7),"Outlier","Normal")</f>
        <v>Normal</v>
      </c>
    </row>
    <row r="13" spans="1:21">
      <c r="A13" s="21">
        <v>12</v>
      </c>
      <c r="B13" s="68">
        <v>40544</v>
      </c>
      <c r="C13" s="22" t="b">
        <v>0</v>
      </c>
      <c r="D13" s="21" t="str">
        <f t="shared" si="0"/>
        <v>Saturday</v>
      </c>
      <c r="E13" s="23">
        <v>0.33329999999999999</v>
      </c>
      <c r="F13" s="23">
        <f>YEAR('Merged raw data'!$B13)</f>
        <v>2011</v>
      </c>
      <c r="G13" s="23" t="str">
        <f>TEXT('Merged raw data'!$B13,"mmmm")</f>
        <v>January</v>
      </c>
      <c r="H13" s="37" t="str">
        <f>TEXT(TIME('Merged raw data'!F13,0,0),"h AM/PM")</f>
        <v>11 AM</v>
      </c>
      <c r="I13" s="23" t="str">
        <f>IF(OR('Merged raw data'!H13=1,'Merged raw data'!H13=2,'Merged raw data'!H13=3,'Merged raw data'!H13=4,'Merged raw data'!H13=5),"weekday","weekend")</f>
        <v>weekend</v>
      </c>
      <c r="J13" s="23" t="s">
        <v>23</v>
      </c>
      <c r="K13" s="23" t="str">
        <f>IF('Merged raw data'!I13=1,"Clear",IF('Merged raw data'!I13=2,"Mist",IF('Merged raw data'!I13=3,"Rain",IF('Merged raw data'!I13=4,"Storm","NA"))))</f>
        <v>Clear</v>
      </c>
      <c r="L13" s="24">
        <v>0.81</v>
      </c>
      <c r="M13" s="24">
        <v>0.28360000000000002</v>
      </c>
      <c r="N13" s="21">
        <f>'Merged raw data'!$J13*100</f>
        <v>36</v>
      </c>
      <c r="O13" s="21">
        <v>26</v>
      </c>
      <c r="P13" s="21">
        <v>30</v>
      </c>
      <c r="Q13" s="21">
        <v>56</v>
      </c>
      <c r="R13" s="21" t="str">
        <f>IF(Q13&gt;=outliers!I15,"High",IF(Q13&lt;=outliers!I14,"Low","Moderate"))</f>
        <v>High</v>
      </c>
      <c r="S13" s="8" t="str">
        <f>IF(OR(Q13&lt;outliers!$I$6,Q13&gt;outliers!$I$7),"Outlier","Normal")</f>
        <v>Normal</v>
      </c>
      <c r="T13" s="8" t="str">
        <f>IF(OR(L13&lt;outliers!$J$6,L13&gt;outliers!$J$7),"Outlier","Normal")</f>
        <v>Normal</v>
      </c>
      <c r="U13" s="8" t="str">
        <f>IF(OR(M13&lt;outliers!$K$6,M13&gt;outliers!$K$7),"Outlier","Normal")</f>
        <v>Normal</v>
      </c>
    </row>
    <row r="14" spans="1:21">
      <c r="A14" s="21">
        <v>13</v>
      </c>
      <c r="B14" s="68">
        <v>40544</v>
      </c>
      <c r="C14" s="22" t="b">
        <v>0</v>
      </c>
      <c r="D14" s="21" t="str">
        <f t="shared" si="0"/>
        <v>Saturday</v>
      </c>
      <c r="E14" s="23">
        <v>0.42420000000000002</v>
      </c>
      <c r="F14" s="23">
        <f>YEAR('Merged raw data'!$B14)</f>
        <v>2011</v>
      </c>
      <c r="G14" s="23" t="str">
        <f>TEXT('Merged raw data'!$B14,"mmmm")</f>
        <v>January</v>
      </c>
      <c r="H14" s="37" t="str">
        <f>TEXT(TIME('Merged raw data'!F14,0,0),"h AM/PM")</f>
        <v>12 PM</v>
      </c>
      <c r="I14" s="23" t="str">
        <f>IF(OR('Merged raw data'!H14=1,'Merged raw data'!H14=2,'Merged raw data'!H14=3,'Merged raw data'!H14=4,'Merged raw data'!H14=5),"weekday","weekend")</f>
        <v>weekend</v>
      </c>
      <c r="J14" s="23" t="s">
        <v>23</v>
      </c>
      <c r="K14" s="23" t="str">
        <f>IF('Merged raw data'!I14=1,"Clear",IF('Merged raw data'!I14=2,"Mist",IF('Merged raw data'!I14=3,"Rain",IF('Merged raw data'!I14=4,"Storm","NA"))))</f>
        <v>Clear</v>
      </c>
      <c r="L14" s="24">
        <v>0.77</v>
      </c>
      <c r="M14" s="24">
        <v>0.28360000000000002</v>
      </c>
      <c r="N14" s="21">
        <f>'Merged raw data'!$J14*100</f>
        <v>42</v>
      </c>
      <c r="O14" s="21">
        <v>29</v>
      </c>
      <c r="P14" s="21">
        <v>55</v>
      </c>
      <c r="Q14" s="21">
        <v>84</v>
      </c>
      <c r="R14" s="21" t="str">
        <f>IF(Q14&gt;=outliers!I16,"High",IF(Q14&lt;=outliers!I15,"Low","Moderate"))</f>
        <v>High</v>
      </c>
      <c r="S14" s="8" t="str">
        <f>IF(OR(Q14&lt;outliers!$I$6,Q14&gt;outliers!$I$7),"Outlier","Normal")</f>
        <v>Normal</v>
      </c>
      <c r="T14" s="8" t="str">
        <f>IF(OR(L14&lt;outliers!$J$6,L14&gt;outliers!$J$7),"Outlier","Normal")</f>
        <v>Normal</v>
      </c>
      <c r="U14" s="8" t="str">
        <f>IF(OR(M14&lt;outliers!$K$6,M14&gt;outliers!$K$7),"Outlier","Normal")</f>
        <v>Normal</v>
      </c>
    </row>
    <row r="15" spans="1:21">
      <c r="A15" s="21">
        <v>14</v>
      </c>
      <c r="B15" s="68">
        <v>40544</v>
      </c>
      <c r="C15" s="22" t="b">
        <v>0</v>
      </c>
      <c r="D15" s="21" t="str">
        <f t="shared" si="0"/>
        <v>Saturday</v>
      </c>
      <c r="E15" s="23">
        <v>0.45450000000000002</v>
      </c>
      <c r="F15" s="23">
        <f>YEAR('Merged raw data'!$B15)</f>
        <v>2011</v>
      </c>
      <c r="G15" s="23" t="str">
        <f>TEXT('Merged raw data'!$B15,"mmmm")</f>
        <v>January</v>
      </c>
      <c r="H15" s="37" t="str">
        <f>TEXT(TIME('Merged raw data'!F15,0,0),"h AM/PM")</f>
        <v>1 PM</v>
      </c>
      <c r="I15" s="23" t="str">
        <f>IF(OR('Merged raw data'!H15=1,'Merged raw data'!H15=2,'Merged raw data'!H15=3,'Merged raw data'!H15=4,'Merged raw data'!H15=5),"weekday","weekend")</f>
        <v>weekend</v>
      </c>
      <c r="J15" s="23" t="s">
        <v>23</v>
      </c>
      <c r="K15" s="23" t="str">
        <f>IF('Merged raw data'!I15=1,"Clear",IF('Merged raw data'!I15=2,"Mist",IF('Merged raw data'!I15=3,"Rain",IF('Merged raw data'!I15=4,"Storm","NA"))))</f>
        <v>Mist</v>
      </c>
      <c r="L15" s="24">
        <v>0.72</v>
      </c>
      <c r="M15" s="24">
        <v>0.29849999999999999</v>
      </c>
      <c r="N15" s="21">
        <f>'Merged raw data'!$J15*100</f>
        <v>46</v>
      </c>
      <c r="O15" s="21">
        <v>47</v>
      </c>
      <c r="P15" s="21">
        <v>47</v>
      </c>
      <c r="Q15" s="21">
        <v>94</v>
      </c>
      <c r="R15" s="21" t="str">
        <f>IF(Q15&gt;=outliers!I17,"High",IF(Q15&lt;=outliers!I16,"Low","Moderate"))</f>
        <v>High</v>
      </c>
      <c r="S15" s="8" t="str">
        <f>IF(OR(Q15&lt;outliers!$I$6,Q15&gt;outliers!$I$7),"Outlier","Normal")</f>
        <v>Normal</v>
      </c>
      <c r="T15" s="8" t="str">
        <f>IF(OR(L15&lt;outliers!$J$6,L15&gt;outliers!$J$7),"Outlier","Normal")</f>
        <v>Normal</v>
      </c>
      <c r="U15" s="8" t="str">
        <f>IF(OR(M15&lt;outliers!$K$6,M15&gt;outliers!$K$7),"Outlier","Normal")</f>
        <v>Normal</v>
      </c>
    </row>
    <row r="16" spans="1:21">
      <c r="A16" s="21">
        <v>15</v>
      </c>
      <c r="B16" s="68">
        <v>40544</v>
      </c>
      <c r="C16" s="22" t="b">
        <v>0</v>
      </c>
      <c r="D16" s="21" t="str">
        <f t="shared" si="0"/>
        <v>Saturday</v>
      </c>
      <c r="E16" s="23">
        <v>0.45450000000000002</v>
      </c>
      <c r="F16" s="23">
        <f>YEAR('Merged raw data'!$B16)</f>
        <v>2011</v>
      </c>
      <c r="G16" s="23" t="str">
        <f>TEXT('Merged raw data'!$B16,"mmmm")</f>
        <v>January</v>
      </c>
      <c r="H16" s="37" t="str">
        <f>TEXT(TIME('Merged raw data'!F16,0,0),"h AM/PM")</f>
        <v>2 PM</v>
      </c>
      <c r="I16" s="23" t="str">
        <f>IF(OR('Merged raw data'!H16=1,'Merged raw data'!H16=2,'Merged raw data'!H16=3,'Merged raw data'!H16=4,'Merged raw data'!H16=5),"weekday","weekend")</f>
        <v>weekend</v>
      </c>
      <c r="J16" s="23" t="s">
        <v>23</v>
      </c>
      <c r="K16" s="23" t="str">
        <f>IF('Merged raw data'!I16=1,"Clear",IF('Merged raw data'!I16=2,"Mist",IF('Merged raw data'!I16=3,"Rain",IF('Merged raw data'!I16=4,"Storm","NA"))))</f>
        <v>Mist</v>
      </c>
      <c r="L16" s="24">
        <v>0.72</v>
      </c>
      <c r="M16" s="24">
        <v>0.28360000000000002</v>
      </c>
      <c r="N16" s="21">
        <f>'Merged raw data'!$J16*100</f>
        <v>46</v>
      </c>
      <c r="O16" s="21">
        <v>35</v>
      </c>
      <c r="P16" s="21">
        <v>71</v>
      </c>
      <c r="Q16" s="21">
        <v>106</v>
      </c>
      <c r="R16" s="21" t="str">
        <f>IF(Q16&gt;=outliers!I18,"High",IF(Q16&lt;=outliers!I17,"Low","Moderate"))</f>
        <v>High</v>
      </c>
      <c r="S16" s="8" t="str">
        <f>IF(OR(Q16&lt;outliers!$I$6,Q16&gt;outliers!$I$7),"Outlier","Normal")</f>
        <v>Normal</v>
      </c>
      <c r="T16" s="8" t="str">
        <f>IF(OR(L16&lt;outliers!$J$6,L16&gt;outliers!$J$7),"Outlier","Normal")</f>
        <v>Normal</v>
      </c>
      <c r="U16" s="8" t="str">
        <f>IF(OR(M16&lt;outliers!$K$6,M16&gt;outliers!$K$7),"Outlier","Normal")</f>
        <v>Normal</v>
      </c>
    </row>
    <row r="17" spans="1:21">
      <c r="A17" s="21">
        <v>16</v>
      </c>
      <c r="B17" s="68">
        <v>40544</v>
      </c>
      <c r="C17" s="22" t="b">
        <v>0</v>
      </c>
      <c r="D17" s="21" t="str">
        <f t="shared" si="0"/>
        <v>Saturday</v>
      </c>
      <c r="E17" s="23">
        <v>0.43940000000000001</v>
      </c>
      <c r="F17" s="23">
        <f>YEAR('Merged raw data'!$B17)</f>
        <v>2011</v>
      </c>
      <c r="G17" s="23" t="str">
        <f>TEXT('Merged raw data'!$B17,"mmmm")</f>
        <v>January</v>
      </c>
      <c r="H17" s="37" t="str">
        <f>TEXT(TIME('Merged raw data'!F17,0,0),"h AM/PM")</f>
        <v>3 PM</v>
      </c>
      <c r="I17" s="23" t="str">
        <f>IF(OR('Merged raw data'!H17=1,'Merged raw data'!H17=2,'Merged raw data'!H17=3,'Merged raw data'!H17=4,'Merged raw data'!H17=5),"weekday","weekend")</f>
        <v>weekend</v>
      </c>
      <c r="J17" s="23" t="s">
        <v>23</v>
      </c>
      <c r="K17" s="23" t="str">
        <f>IF('Merged raw data'!I17=1,"Clear",IF('Merged raw data'!I17=2,"Mist",IF('Merged raw data'!I17=3,"Rain",IF('Merged raw data'!I17=4,"Storm","NA"))))</f>
        <v>Mist</v>
      </c>
      <c r="L17" s="24">
        <v>0.77</v>
      </c>
      <c r="M17" s="24">
        <v>0.29849999999999999</v>
      </c>
      <c r="N17" s="21">
        <f>'Merged raw data'!$J17*100</f>
        <v>44</v>
      </c>
      <c r="O17" s="21">
        <v>40</v>
      </c>
      <c r="P17" s="21">
        <v>70</v>
      </c>
      <c r="Q17" s="21">
        <v>110</v>
      </c>
      <c r="R17" s="21" t="str">
        <f>IF(Q17&gt;=outliers!I19,"High",IF(Q17&lt;=outliers!I18,"Low","Moderate"))</f>
        <v>High</v>
      </c>
      <c r="S17" s="8" t="str">
        <f>IF(OR(Q17&lt;outliers!$I$6,Q17&gt;outliers!$I$7),"Outlier","Normal")</f>
        <v>Normal</v>
      </c>
      <c r="T17" s="8" t="str">
        <f>IF(OR(L17&lt;outliers!$J$6,L17&gt;outliers!$J$7),"Outlier","Normal")</f>
        <v>Normal</v>
      </c>
      <c r="U17" s="8" t="str">
        <f>IF(OR(M17&lt;outliers!$K$6,M17&gt;outliers!$K$7),"Outlier","Normal")</f>
        <v>Normal</v>
      </c>
    </row>
    <row r="18" spans="1:21">
      <c r="A18" s="21">
        <v>17</v>
      </c>
      <c r="B18" s="68">
        <v>40544</v>
      </c>
      <c r="C18" s="22" t="b">
        <v>0</v>
      </c>
      <c r="D18" s="21" t="str">
        <f t="shared" si="0"/>
        <v>Saturday</v>
      </c>
      <c r="E18" s="23">
        <v>0.42420000000000002</v>
      </c>
      <c r="F18" s="23">
        <f>YEAR('Merged raw data'!$B18)</f>
        <v>2011</v>
      </c>
      <c r="G18" s="23" t="str">
        <f>TEXT('Merged raw data'!$B18,"mmmm")</f>
        <v>January</v>
      </c>
      <c r="H18" s="37" t="str">
        <f>TEXT(TIME('Merged raw data'!F18,0,0),"h AM/PM")</f>
        <v>4 PM</v>
      </c>
      <c r="I18" s="23" t="str">
        <f>IF(OR('Merged raw data'!H18=1,'Merged raw data'!H18=2,'Merged raw data'!H18=3,'Merged raw data'!H18=4,'Merged raw data'!H18=5),"weekday","weekend")</f>
        <v>weekend</v>
      </c>
      <c r="J18" s="23" t="s">
        <v>23</v>
      </c>
      <c r="K18" s="23" t="str">
        <f>IF('Merged raw data'!I18=1,"Clear",IF('Merged raw data'!I18=2,"Mist",IF('Merged raw data'!I18=3,"Rain",IF('Merged raw data'!I18=4,"Storm","NA"))))</f>
        <v>Mist</v>
      </c>
      <c r="L18" s="24">
        <v>0.82</v>
      </c>
      <c r="M18" s="24">
        <v>0.29849999999999999</v>
      </c>
      <c r="N18" s="21">
        <f>'Merged raw data'!$J18*100</f>
        <v>42</v>
      </c>
      <c r="O18" s="21">
        <v>41</v>
      </c>
      <c r="P18" s="21">
        <v>52</v>
      </c>
      <c r="Q18" s="21">
        <v>93</v>
      </c>
      <c r="R18" s="21" t="str">
        <f>IF(Q18&gt;=outliers!I20,"High",IF(Q18&lt;=outliers!I19,"Low","Moderate"))</f>
        <v>High</v>
      </c>
      <c r="S18" s="8" t="str">
        <f>IF(OR(Q18&lt;outliers!$I$6,Q18&gt;outliers!$I$7),"Outlier","Normal")</f>
        <v>Normal</v>
      </c>
      <c r="T18" s="8" t="str">
        <f>IF(OR(L18&lt;outliers!$J$6,L18&gt;outliers!$J$7),"Outlier","Normal")</f>
        <v>Normal</v>
      </c>
      <c r="U18" s="8" t="str">
        <f>IF(OR(M18&lt;outliers!$K$6,M18&gt;outliers!$K$7),"Outlier","Normal")</f>
        <v>Normal</v>
      </c>
    </row>
    <row r="19" spans="1:21">
      <c r="A19" s="21">
        <v>18</v>
      </c>
      <c r="B19" s="68">
        <v>40544</v>
      </c>
      <c r="C19" s="22" t="b">
        <v>0</v>
      </c>
      <c r="D19" s="21" t="str">
        <f t="shared" si="0"/>
        <v>Saturday</v>
      </c>
      <c r="E19" s="23">
        <v>0.21</v>
      </c>
      <c r="F19" s="23">
        <f>YEAR('Merged raw data'!$B19)</f>
        <v>2011</v>
      </c>
      <c r="G19" s="23" t="str">
        <f>TEXT('Merged raw data'!$B19,"mmmm")</f>
        <v>January</v>
      </c>
      <c r="H19" s="37" t="str">
        <f>TEXT(TIME('Merged raw data'!F19,0,0),"h AM/PM")</f>
        <v>5 PM</v>
      </c>
      <c r="I19" s="23" t="str">
        <f>IF(OR('Merged raw data'!H19=1,'Merged raw data'!H19=2,'Merged raw data'!H19=3,'Merged raw data'!H19=4,'Merged raw data'!H19=5),"weekday","weekend")</f>
        <v>weekend</v>
      </c>
      <c r="J19" s="23" t="s">
        <v>23</v>
      </c>
      <c r="K19" s="23" t="str">
        <f>IF('Merged raw data'!I19=1,"Clear",IF('Merged raw data'!I19=2,"Mist",IF('Merged raw data'!I19=3,"Rain",IF('Merged raw data'!I19=4,"Storm","NA"))))</f>
        <v>Mist</v>
      </c>
      <c r="L19" s="24">
        <v>0.82</v>
      </c>
      <c r="M19" s="24">
        <v>0.28360000000000002</v>
      </c>
      <c r="N19" s="21">
        <f>'Merged raw data'!$J19*100</f>
        <v>44</v>
      </c>
      <c r="O19" s="21">
        <v>15</v>
      </c>
      <c r="P19" s="21">
        <v>52</v>
      </c>
      <c r="Q19" s="21">
        <v>67</v>
      </c>
      <c r="R19" s="21" t="str">
        <f>IF(Q19&gt;=outliers!I21,"High",IF(Q19&lt;=outliers!I20,"Low","Moderate"))</f>
        <v>High</v>
      </c>
      <c r="S19" s="8" t="str">
        <f>IF(OR(Q19&lt;outliers!$I$6,Q19&gt;outliers!$I$7),"Outlier","Normal")</f>
        <v>Normal</v>
      </c>
      <c r="T19" s="8" t="str">
        <f>IF(OR(L19&lt;outliers!$J$6,L19&gt;outliers!$J$7),"Outlier","Normal")</f>
        <v>Normal</v>
      </c>
      <c r="U19" s="8" t="str">
        <f>IF(OR(M19&lt;outliers!$K$6,M19&gt;outliers!$K$7),"Outlier","Normal")</f>
        <v>Normal</v>
      </c>
    </row>
    <row r="20" spans="1:21">
      <c r="A20" s="21">
        <v>19</v>
      </c>
      <c r="B20" s="68">
        <v>40544</v>
      </c>
      <c r="C20" s="22" t="b">
        <v>0</v>
      </c>
      <c r="D20" s="21" t="str">
        <f t="shared" si="0"/>
        <v>Saturday</v>
      </c>
      <c r="E20" s="23">
        <v>0.42420000000000002</v>
      </c>
      <c r="F20" s="23">
        <f>YEAR('Merged raw data'!$B20)</f>
        <v>2011</v>
      </c>
      <c r="G20" s="23" t="str">
        <f>TEXT('Merged raw data'!$B20,"mmmm")</f>
        <v>January</v>
      </c>
      <c r="H20" s="37" t="str">
        <f>TEXT(TIME('Merged raw data'!F20,0,0),"h AM/PM")</f>
        <v>6 PM</v>
      </c>
      <c r="I20" s="23" t="str">
        <f>IF(OR('Merged raw data'!H20=1,'Merged raw data'!H20=2,'Merged raw data'!H20=3,'Merged raw data'!H20=4,'Merged raw data'!H20=5),"weekday","weekend")</f>
        <v>weekend</v>
      </c>
      <c r="J20" s="23" t="s">
        <v>23</v>
      </c>
      <c r="K20" s="23" t="str">
        <f>IF('Merged raw data'!I20=1,"Clear",IF('Merged raw data'!I20=2,"Mist",IF('Merged raw data'!I20=3,"Rain",IF('Merged raw data'!I20=4,"Storm","NA"))))</f>
        <v>Rain</v>
      </c>
      <c r="L20" s="24">
        <v>0.88</v>
      </c>
      <c r="M20" s="24">
        <v>0.25369999999999998</v>
      </c>
      <c r="N20" s="21">
        <f>'Merged raw data'!$J20*100</f>
        <v>42</v>
      </c>
      <c r="O20" s="21">
        <v>9</v>
      </c>
      <c r="P20" s="21">
        <v>26</v>
      </c>
      <c r="Q20" s="21">
        <v>35</v>
      </c>
      <c r="R20" s="21" t="str">
        <f>IF(Q20&gt;=outliers!I22,"High",IF(Q20&lt;=outliers!I21,"Low","Moderate"))</f>
        <v>High</v>
      </c>
      <c r="S20" s="8" t="str">
        <f>IF(OR(Q20&lt;outliers!$I$6,Q20&gt;outliers!$I$7),"Outlier","Normal")</f>
        <v>Normal</v>
      </c>
      <c r="T20" s="8" t="str">
        <f>IF(OR(L20&lt;outliers!$J$6,L20&gt;outliers!$J$7),"Outlier","Normal")</f>
        <v>Normal</v>
      </c>
      <c r="U20" s="8" t="str">
        <f>IF(OR(M20&lt;outliers!$K$6,M20&gt;outliers!$K$7),"Outlier","Normal")</f>
        <v>Normal</v>
      </c>
    </row>
    <row r="21" spans="1:21">
      <c r="A21" s="21">
        <v>20</v>
      </c>
      <c r="B21" s="68">
        <v>40544</v>
      </c>
      <c r="C21" s="22" t="b">
        <v>0</v>
      </c>
      <c r="D21" s="21" t="str">
        <f t="shared" si="0"/>
        <v>Saturday</v>
      </c>
      <c r="E21" s="23">
        <v>0.42420000000000002</v>
      </c>
      <c r="F21" s="23">
        <f>YEAR('Merged raw data'!$B21)</f>
        <v>2011</v>
      </c>
      <c r="G21" s="23" t="str">
        <f>TEXT('Merged raw data'!$B21,"mmmm")</f>
        <v>January</v>
      </c>
      <c r="H21" s="37" t="str">
        <f>TEXT(TIME('Merged raw data'!F21,0,0),"h AM/PM")</f>
        <v>7 PM</v>
      </c>
      <c r="I21" s="23" t="str">
        <f>IF(OR('Merged raw data'!H21=1,'Merged raw data'!H21=2,'Merged raw data'!H21=3,'Merged raw data'!H21=4,'Merged raw data'!H21=5),"weekday","weekend")</f>
        <v>weekend</v>
      </c>
      <c r="J21" s="23" t="s">
        <v>23</v>
      </c>
      <c r="K21" s="23" t="str">
        <f>IF('Merged raw data'!I21=1,"Clear",IF('Merged raw data'!I21=2,"Mist",IF('Merged raw data'!I21=3,"Rain",IF('Merged raw data'!I21=4,"Storm","NA"))))</f>
        <v>Rain</v>
      </c>
      <c r="L21" s="24">
        <v>0.88</v>
      </c>
      <c r="M21" s="24">
        <v>0.25369999999999998</v>
      </c>
      <c r="N21" s="21">
        <f>'Merged raw data'!$J21*100</f>
        <v>42</v>
      </c>
      <c r="O21" s="21">
        <v>6</v>
      </c>
      <c r="P21" s="21">
        <v>31</v>
      </c>
      <c r="Q21" s="21">
        <v>37</v>
      </c>
      <c r="R21" s="21" t="str">
        <f>IF(Q21&gt;=outliers!I23,"High",IF(Q21&lt;=outliers!I22,"Low","Moderate"))</f>
        <v>High</v>
      </c>
      <c r="S21" s="8" t="str">
        <f>IF(OR(Q21&lt;outliers!$I$6,Q21&gt;outliers!$I$7),"Outlier","Normal")</f>
        <v>Normal</v>
      </c>
      <c r="T21" s="8" t="str">
        <f>IF(OR(L21&lt;outliers!$J$6,L21&gt;outliers!$J$7),"Outlier","Normal")</f>
        <v>Normal</v>
      </c>
      <c r="U21" s="8" t="str">
        <f>IF(OR(M21&lt;outliers!$K$6,M21&gt;outliers!$K$7),"Outlier","Normal")</f>
        <v>Normal</v>
      </c>
    </row>
    <row r="22" spans="1:21">
      <c r="A22" s="21">
        <v>21</v>
      </c>
      <c r="B22" s="68">
        <v>40544</v>
      </c>
      <c r="C22" s="22" t="b">
        <v>0</v>
      </c>
      <c r="D22" s="21" t="str">
        <f t="shared" si="0"/>
        <v>Saturday</v>
      </c>
      <c r="E22" s="23">
        <v>0.40910000000000002</v>
      </c>
      <c r="F22" s="23">
        <f>YEAR('Merged raw data'!$B22)</f>
        <v>2011</v>
      </c>
      <c r="G22" s="23" t="str">
        <f>TEXT('Merged raw data'!$B22,"mmmm")</f>
        <v>January</v>
      </c>
      <c r="H22" s="37" t="str">
        <f>TEXT(TIME('Merged raw data'!F22,0,0),"h AM/PM")</f>
        <v>8 PM</v>
      </c>
      <c r="I22" s="23" t="str">
        <f>IF(OR('Merged raw data'!H22=1,'Merged raw data'!H22=2,'Merged raw data'!H22=3,'Merged raw data'!H22=4,'Merged raw data'!H22=5),"weekday","weekend")</f>
        <v>weekend</v>
      </c>
      <c r="J22" s="23" t="s">
        <v>23</v>
      </c>
      <c r="K22" s="23" t="str">
        <f>IF('Merged raw data'!I22=1,"Clear",IF('Merged raw data'!I22=2,"Mist",IF('Merged raw data'!I22=3,"Rain",IF('Merged raw data'!I22=4,"Storm","NA"))))</f>
        <v>Mist</v>
      </c>
      <c r="L22" s="24">
        <v>0.87</v>
      </c>
      <c r="M22" s="24">
        <v>0.25369999999999998</v>
      </c>
      <c r="N22" s="21">
        <f>'Merged raw data'!$J22*100</f>
        <v>40</v>
      </c>
      <c r="O22" s="21">
        <v>11</v>
      </c>
      <c r="P22" s="21">
        <v>25</v>
      </c>
      <c r="Q22" s="21">
        <v>36</v>
      </c>
      <c r="R22" s="21" t="str">
        <f>IF(Q22&gt;=outliers!I24,"High",IF(Q22&lt;=outliers!I23,"Low","Moderate"))</f>
        <v>High</v>
      </c>
      <c r="S22" s="8" t="str">
        <f>IF(OR(Q22&lt;outliers!$I$6,Q22&gt;outliers!$I$7),"Outlier","Normal")</f>
        <v>Normal</v>
      </c>
      <c r="T22" s="8" t="str">
        <f>IF(OR(L22&lt;outliers!$J$6,L22&gt;outliers!$J$7),"Outlier","Normal")</f>
        <v>Normal</v>
      </c>
      <c r="U22" s="8" t="str">
        <f>IF(OR(M22&lt;outliers!$K$6,M22&gt;outliers!$K$7),"Outlier","Normal")</f>
        <v>Normal</v>
      </c>
    </row>
    <row r="23" spans="1:21">
      <c r="A23" s="21">
        <v>22</v>
      </c>
      <c r="B23" s="68">
        <v>40544</v>
      </c>
      <c r="C23" s="22" t="b">
        <v>0</v>
      </c>
      <c r="D23" s="21" t="str">
        <f t="shared" si="0"/>
        <v>Saturday</v>
      </c>
      <c r="E23" s="23">
        <v>0.40910000000000002</v>
      </c>
      <c r="F23" s="23">
        <f>YEAR('Merged raw data'!$B23)</f>
        <v>2011</v>
      </c>
      <c r="G23" s="23" t="str">
        <f>TEXT('Merged raw data'!$B23,"mmmm")</f>
        <v>January</v>
      </c>
      <c r="H23" s="37" t="str">
        <f>TEXT(TIME('Merged raw data'!F23,0,0),"h AM/PM")</f>
        <v>9 PM</v>
      </c>
      <c r="I23" s="23" t="str">
        <f>IF(OR('Merged raw data'!H23=1,'Merged raw data'!H23=2,'Merged raw data'!H23=3,'Merged raw data'!H23=4,'Merged raw data'!H23=5),"weekday","weekend")</f>
        <v>weekend</v>
      </c>
      <c r="J23" s="23" t="s">
        <v>23</v>
      </c>
      <c r="K23" s="23" t="str">
        <f>IF('Merged raw data'!I23=1,"Clear",IF('Merged raw data'!I23=2,"Mist",IF('Merged raw data'!I23=3,"Rain",IF('Merged raw data'!I23=4,"Storm","NA"))))</f>
        <v>Mist</v>
      </c>
      <c r="L23" s="24">
        <v>0.87</v>
      </c>
      <c r="M23" s="24">
        <v>0.19400000000000001</v>
      </c>
      <c r="N23" s="21">
        <f>'Merged raw data'!$J23*100</f>
        <v>40</v>
      </c>
      <c r="O23" s="21">
        <v>3</v>
      </c>
      <c r="P23" s="21">
        <v>31</v>
      </c>
      <c r="Q23" s="21">
        <v>34</v>
      </c>
      <c r="R23" s="21" t="str">
        <f>IF(Q23&gt;=outliers!I25,"High",IF(Q23&lt;=outliers!I24,"Low","Moderate"))</f>
        <v>High</v>
      </c>
      <c r="S23" s="8" t="str">
        <f>IF(OR(Q23&lt;outliers!$I$6,Q23&gt;outliers!$I$7),"Outlier","Normal")</f>
        <v>Normal</v>
      </c>
      <c r="T23" s="8" t="str">
        <f>IF(OR(L23&lt;outliers!$J$6,L23&gt;outliers!$J$7),"Outlier","Normal")</f>
        <v>Normal</v>
      </c>
      <c r="U23" s="8" t="str">
        <f>IF(OR(M23&lt;outliers!$K$6,M23&gt;outliers!$K$7),"Outlier","Normal")</f>
        <v>Normal</v>
      </c>
    </row>
    <row r="24" spans="1:21">
      <c r="A24" s="21">
        <v>23</v>
      </c>
      <c r="B24" s="68">
        <v>40544</v>
      </c>
      <c r="C24" s="22" t="b">
        <v>0</v>
      </c>
      <c r="D24" s="21" t="str">
        <f t="shared" si="0"/>
        <v>Saturday</v>
      </c>
      <c r="E24" s="23">
        <v>0.40910000000000002</v>
      </c>
      <c r="F24" s="23">
        <f>YEAR('Merged raw data'!$B24)</f>
        <v>2011</v>
      </c>
      <c r="G24" s="23" t="str">
        <f>TEXT('Merged raw data'!$B24,"mmmm")</f>
        <v>January</v>
      </c>
      <c r="H24" s="37" t="str">
        <f>TEXT(TIME('Merged raw data'!F24,0,0),"h AM/PM")</f>
        <v>10 PM</v>
      </c>
      <c r="I24" s="23" t="str">
        <f>IF(OR('Merged raw data'!H24=1,'Merged raw data'!H24=2,'Merged raw data'!H24=3,'Merged raw data'!H24=4,'Merged raw data'!H24=5),"weekday","weekend")</f>
        <v>weekend</v>
      </c>
      <c r="J24" s="23" t="s">
        <v>23</v>
      </c>
      <c r="K24" s="23" t="str">
        <f>IF('Merged raw data'!I24=1,"Clear",IF('Merged raw data'!I24=2,"Mist",IF('Merged raw data'!I24=3,"Rain",IF('Merged raw data'!I24=4,"Storm","NA"))))</f>
        <v>Mist</v>
      </c>
      <c r="L24" s="24">
        <v>0.94</v>
      </c>
      <c r="M24" s="24">
        <v>0.22389999999999999</v>
      </c>
      <c r="N24" s="21">
        <f>'Merged raw data'!$J24*100</f>
        <v>40</v>
      </c>
      <c r="O24" s="21">
        <v>11</v>
      </c>
      <c r="P24" s="21">
        <v>17</v>
      </c>
      <c r="Q24" s="21">
        <v>28</v>
      </c>
      <c r="R24" s="21" t="str">
        <f>IF(Q24&gt;=outliers!I26,"High",IF(Q24&lt;=outliers!I25,"Low","Moderate"))</f>
        <v>High</v>
      </c>
      <c r="S24" s="8" t="str">
        <f>IF(OR(Q24&lt;outliers!$I$6,Q24&gt;outliers!$I$7),"Outlier","Normal")</f>
        <v>Normal</v>
      </c>
      <c r="T24" s="8" t="str">
        <f>IF(OR(L24&lt;outliers!$J$6,L24&gt;outliers!$J$7),"Outlier","Normal")</f>
        <v>Normal</v>
      </c>
      <c r="U24" s="8" t="str">
        <f>IF(OR(M24&lt;outliers!$K$6,M24&gt;outliers!$K$7),"Outlier","Normal")</f>
        <v>Normal</v>
      </c>
    </row>
    <row r="25" spans="1:21">
      <c r="A25" s="21">
        <v>24</v>
      </c>
      <c r="B25" s="68">
        <v>40544</v>
      </c>
      <c r="C25" s="22" t="b">
        <v>0</v>
      </c>
      <c r="D25" s="21" t="str">
        <f t="shared" si="0"/>
        <v>Saturday</v>
      </c>
      <c r="E25" s="23">
        <v>0.21</v>
      </c>
      <c r="F25" s="23">
        <f>YEAR('Merged raw data'!$B25)</f>
        <v>2011</v>
      </c>
      <c r="G25" s="23" t="str">
        <f>TEXT('Merged raw data'!$B25,"mmmm")</f>
        <v>January</v>
      </c>
      <c r="H25" s="37" t="str">
        <f>TEXT(TIME('Merged raw data'!F25,0,0),"h AM/PM")</f>
        <v>11 PM</v>
      </c>
      <c r="I25" s="23" t="str">
        <f>IF(OR('Merged raw data'!H25=1,'Merged raw data'!H25=2,'Merged raw data'!H25=3,'Merged raw data'!H25=4,'Merged raw data'!H25=5),"weekday","weekend")</f>
        <v>weekend</v>
      </c>
      <c r="J25" s="23" t="s">
        <v>23</v>
      </c>
      <c r="K25" s="23" t="str">
        <f>IF('Merged raw data'!I25=1,"Clear",IF('Merged raw data'!I25=2,"Mist",IF('Merged raw data'!I25=3,"Rain",IF('Merged raw data'!I25=4,"Storm","NA"))))</f>
        <v>Mist</v>
      </c>
      <c r="L25" s="24">
        <v>0.88</v>
      </c>
      <c r="M25" s="24">
        <v>0.29849999999999999</v>
      </c>
      <c r="N25" s="21">
        <f>'Merged raw data'!$J25*100</f>
        <v>46</v>
      </c>
      <c r="O25" s="21">
        <v>15</v>
      </c>
      <c r="P25" s="21">
        <v>24</v>
      </c>
      <c r="Q25" s="21">
        <v>39</v>
      </c>
      <c r="R25" s="21" t="str">
        <f>IF(Q25&gt;=outliers!I27,"High",IF(Q25&lt;=outliers!I26,"Low","Moderate"))</f>
        <v>High</v>
      </c>
      <c r="S25" s="8" t="str">
        <f>IF(OR(Q25&lt;outliers!$I$6,Q25&gt;outliers!$I$7),"Outlier","Normal")</f>
        <v>Normal</v>
      </c>
      <c r="T25" s="8" t="str">
        <f>IF(OR(L25&lt;outliers!$J$6,L25&gt;outliers!$J$7),"Outlier","Normal")</f>
        <v>Normal</v>
      </c>
      <c r="U25" s="8" t="str">
        <f>IF(OR(M25&lt;outliers!$K$6,M25&gt;outliers!$K$7),"Outlier","Normal")</f>
        <v>Normal</v>
      </c>
    </row>
    <row r="26" spans="1:21">
      <c r="A26" s="21">
        <v>25</v>
      </c>
      <c r="B26" s="68">
        <v>40545</v>
      </c>
      <c r="C26" s="22" t="b">
        <v>0</v>
      </c>
      <c r="D26" s="21" t="str">
        <f t="shared" si="0"/>
        <v>Sunday</v>
      </c>
      <c r="E26" s="23">
        <v>0.45450000000000002</v>
      </c>
      <c r="F26" s="23">
        <f>YEAR('Merged raw data'!$B26)</f>
        <v>2011</v>
      </c>
      <c r="G26" s="23" t="str">
        <f>TEXT('Merged raw data'!$B26,"mmmm")</f>
        <v>January</v>
      </c>
      <c r="H26" s="37" t="str">
        <f>TEXT(TIME('Merged raw data'!F26,0,0),"h AM/PM")</f>
        <v>12 AM</v>
      </c>
      <c r="I26" s="23" t="str">
        <f>IF(OR('Merged raw data'!H26=1,'Merged raw data'!H26=2,'Merged raw data'!H26=3,'Merged raw data'!H26=4,'Merged raw data'!H26=5),"weekday","weekend")</f>
        <v>weekend</v>
      </c>
      <c r="J26" s="23" t="s">
        <v>23</v>
      </c>
      <c r="K26" s="23" t="str">
        <f>IF('Merged raw data'!I26=1,"Clear",IF('Merged raw data'!I26=2,"Mist",IF('Merged raw data'!I26=3,"Rain",IF('Merged raw data'!I26=4,"Storm","NA"))))</f>
        <v>Mist</v>
      </c>
      <c r="L26" s="24">
        <v>0.88</v>
      </c>
      <c r="M26" s="24">
        <v>0.29849999999999999</v>
      </c>
      <c r="N26" s="21">
        <f>'Merged raw data'!$J26*100</f>
        <v>46</v>
      </c>
      <c r="O26" s="21">
        <v>4</v>
      </c>
      <c r="P26" s="21">
        <v>13</v>
      </c>
      <c r="Q26" s="21">
        <v>17</v>
      </c>
      <c r="R26" s="21" t="str">
        <f>IF(Q26&gt;=outliers!I28,"High",IF(Q26&lt;=outliers!I27,"Low","Moderate"))</f>
        <v>High</v>
      </c>
      <c r="S26" s="8" t="str">
        <f>IF(OR(Q26&lt;outliers!$I$6,Q26&gt;outliers!$I$7),"Outlier","Normal")</f>
        <v>Normal</v>
      </c>
      <c r="T26" s="8" t="str">
        <f>IF(OR(L26&lt;outliers!$J$6,L26&gt;outliers!$J$7),"Outlier","Normal")</f>
        <v>Normal</v>
      </c>
      <c r="U26" s="8" t="str">
        <f>IF(OR(M26&lt;outliers!$K$6,M26&gt;outliers!$K$7),"Outlier","Normal")</f>
        <v>Normal</v>
      </c>
    </row>
    <row r="27" spans="1:21">
      <c r="A27" s="21">
        <v>26</v>
      </c>
      <c r="B27" s="68">
        <v>40545</v>
      </c>
      <c r="C27" s="22" t="b">
        <v>0</v>
      </c>
      <c r="D27" s="21" t="str">
        <f t="shared" si="0"/>
        <v>Sunday</v>
      </c>
      <c r="E27" s="23">
        <v>0.43940000000000001</v>
      </c>
      <c r="F27" s="23">
        <f>YEAR('Merged raw data'!$B27)</f>
        <v>2011</v>
      </c>
      <c r="G27" s="23" t="str">
        <f>TEXT('Merged raw data'!$B27,"mmmm")</f>
        <v>January</v>
      </c>
      <c r="H27" s="37" t="str">
        <f>TEXT(TIME('Merged raw data'!F27,0,0),"h AM/PM")</f>
        <v>1 AM</v>
      </c>
      <c r="I27" s="23" t="str">
        <f>IF(OR('Merged raw data'!H27=1,'Merged raw data'!H27=2,'Merged raw data'!H27=3,'Merged raw data'!H27=4,'Merged raw data'!H27=5),"weekday","weekend")</f>
        <v>weekend</v>
      </c>
      <c r="J27" s="23" t="s">
        <v>23</v>
      </c>
      <c r="K27" s="23" t="str">
        <f>IF('Merged raw data'!I27=1,"Clear",IF('Merged raw data'!I27=2,"Mist",IF('Merged raw data'!I27=3,"Rain",IF('Merged raw data'!I27=4,"Storm","NA"))))</f>
        <v>Mist</v>
      </c>
      <c r="L27" s="24">
        <v>0.94</v>
      </c>
      <c r="M27" s="24">
        <v>0.25369999999999998</v>
      </c>
      <c r="N27" s="21">
        <f>'Merged raw data'!$J27*100</f>
        <v>44</v>
      </c>
      <c r="O27" s="21">
        <v>1</v>
      </c>
      <c r="P27" s="21">
        <v>16</v>
      </c>
      <c r="Q27" s="21">
        <v>17</v>
      </c>
      <c r="R27" s="21" t="str">
        <f>IF(Q27&gt;=outliers!I29,"High",IF(Q27&lt;=outliers!I28,"Low","Moderate"))</f>
        <v>High</v>
      </c>
      <c r="S27" s="8" t="str">
        <f>IF(OR(Q27&lt;outliers!$I$6,Q27&gt;outliers!$I$7),"Outlier","Normal")</f>
        <v>Normal</v>
      </c>
      <c r="T27" s="8" t="str">
        <f>IF(OR(L27&lt;outliers!$J$6,L27&gt;outliers!$J$7),"Outlier","Normal")</f>
        <v>Normal</v>
      </c>
      <c r="U27" s="8" t="str">
        <f>IF(OR(M27&lt;outliers!$K$6,M27&gt;outliers!$K$7),"Outlier","Normal")</f>
        <v>Normal</v>
      </c>
    </row>
    <row r="28" spans="1:21">
      <c r="A28" s="21">
        <v>27</v>
      </c>
      <c r="B28" s="68">
        <v>40545</v>
      </c>
      <c r="C28" s="22" t="b">
        <v>0</v>
      </c>
      <c r="D28" s="21" t="str">
        <f t="shared" si="0"/>
        <v>Sunday</v>
      </c>
      <c r="E28" s="23">
        <v>0.42420000000000002</v>
      </c>
      <c r="F28" s="23">
        <f>YEAR('Merged raw data'!$B28)</f>
        <v>2011</v>
      </c>
      <c r="G28" s="23" t="str">
        <f>TEXT('Merged raw data'!$B28,"mmmm")</f>
        <v>January</v>
      </c>
      <c r="H28" s="37" t="str">
        <f>TEXT(TIME('Merged raw data'!F28,0,0),"h AM/PM")</f>
        <v>2 AM</v>
      </c>
      <c r="I28" s="23" t="str">
        <f>IF(OR('Merged raw data'!H28=1,'Merged raw data'!H28=2,'Merged raw data'!H28=3,'Merged raw data'!H28=4,'Merged raw data'!H28=5),"weekday","weekend")</f>
        <v>weekend</v>
      </c>
      <c r="J28" s="23" t="s">
        <v>23</v>
      </c>
      <c r="K28" s="23" t="str">
        <f>IF('Merged raw data'!I28=1,"Clear",IF('Merged raw data'!I28=2,"Mist",IF('Merged raw data'!I28=3,"Rain",IF('Merged raw data'!I28=4,"Storm","NA"))))</f>
        <v>Mist</v>
      </c>
      <c r="L28" s="24">
        <v>1</v>
      </c>
      <c r="M28" s="24">
        <v>0.28360000000000002</v>
      </c>
      <c r="N28" s="21">
        <f>'Merged raw data'!$J28*100</f>
        <v>42</v>
      </c>
      <c r="O28" s="21">
        <v>1</v>
      </c>
      <c r="P28" s="21">
        <v>8</v>
      </c>
      <c r="Q28" s="21">
        <v>9</v>
      </c>
      <c r="R28" s="21" t="str">
        <f>IF(Q28&gt;=outliers!I30,"High",IF(Q28&lt;=outliers!I29,"Low","Moderate"))</f>
        <v>High</v>
      </c>
      <c r="S28" s="8" t="str">
        <f>IF(OR(Q28&lt;outliers!$I$6,Q28&gt;outliers!$I$7),"Outlier","Normal")</f>
        <v>Normal</v>
      </c>
      <c r="T28" s="8" t="str">
        <f>IF(OR(L28&lt;outliers!$J$6,L28&gt;outliers!$J$7),"Outlier","Normal")</f>
        <v>Normal</v>
      </c>
      <c r="U28" s="8" t="str">
        <f>IF(OR(M28&lt;outliers!$K$6,M28&gt;outliers!$K$7),"Outlier","Normal")</f>
        <v>Normal</v>
      </c>
    </row>
    <row r="29" spans="1:21">
      <c r="A29" s="21">
        <v>28</v>
      </c>
      <c r="B29" s="68">
        <v>40545</v>
      </c>
      <c r="C29" s="22" t="b">
        <v>0</v>
      </c>
      <c r="D29" s="21" t="str">
        <f t="shared" si="0"/>
        <v>Sunday</v>
      </c>
      <c r="E29" s="23">
        <v>0.45450000000000002</v>
      </c>
      <c r="F29" s="23">
        <f>YEAR('Merged raw data'!$B29)</f>
        <v>2011</v>
      </c>
      <c r="G29" s="23" t="str">
        <f>TEXT('Merged raw data'!$B29,"mmmm")</f>
        <v>January</v>
      </c>
      <c r="H29" s="37" t="str">
        <f>TEXT(TIME('Merged raw data'!F29,0,0),"h AM/PM")</f>
        <v>3 AM</v>
      </c>
      <c r="I29" s="23" t="str">
        <f>IF(OR('Merged raw data'!H29=1,'Merged raw data'!H29=2,'Merged raw data'!H29=3,'Merged raw data'!H29=4,'Merged raw data'!H29=5),"weekday","weekend")</f>
        <v>weekend</v>
      </c>
      <c r="J29" s="23" t="s">
        <v>23</v>
      </c>
      <c r="K29" s="23" t="str">
        <f>IF('Merged raw data'!I29=1,"Clear",IF('Merged raw data'!I29=2,"Mist",IF('Merged raw data'!I29=3,"Rain",IF('Merged raw data'!I29=4,"Storm","NA"))))</f>
        <v>Mist</v>
      </c>
      <c r="L29" s="24">
        <v>0.94</v>
      </c>
      <c r="M29" s="24">
        <v>0.19400000000000001</v>
      </c>
      <c r="N29" s="21">
        <f>'Merged raw data'!$J29*100</f>
        <v>46</v>
      </c>
      <c r="O29" s="21">
        <v>2</v>
      </c>
      <c r="P29" s="21">
        <v>4</v>
      </c>
      <c r="Q29" s="21">
        <v>6</v>
      </c>
      <c r="R29" s="21" t="str">
        <f>IF(Q29&gt;=outliers!I31,"High",IF(Q29&lt;=outliers!I30,"Low","Moderate"))</f>
        <v>High</v>
      </c>
      <c r="S29" s="8" t="str">
        <f>IF(OR(Q29&lt;outliers!$I$6,Q29&gt;outliers!$I$7),"Outlier","Normal")</f>
        <v>Normal</v>
      </c>
      <c r="T29" s="8" t="str">
        <f>IF(OR(L29&lt;outliers!$J$6,L29&gt;outliers!$J$7),"Outlier","Normal")</f>
        <v>Normal</v>
      </c>
      <c r="U29" s="8" t="str">
        <f>IF(OR(M29&lt;outliers!$K$6,M29&gt;outliers!$K$7),"Outlier","Normal")</f>
        <v>Normal</v>
      </c>
    </row>
    <row r="30" spans="1:21">
      <c r="A30" s="21">
        <v>29</v>
      </c>
      <c r="B30" s="68">
        <v>40545</v>
      </c>
      <c r="C30" s="22" t="b">
        <v>0</v>
      </c>
      <c r="D30" s="21" t="str">
        <f t="shared" si="0"/>
        <v>Sunday</v>
      </c>
      <c r="E30" s="23">
        <v>0.21</v>
      </c>
      <c r="F30" s="23">
        <f>YEAR('Merged raw data'!$B30)</f>
        <v>2011</v>
      </c>
      <c r="G30" s="23" t="str">
        <f>TEXT('Merged raw data'!$B30,"mmmm")</f>
        <v>January</v>
      </c>
      <c r="H30" s="37" t="str">
        <f>TEXT(TIME('Merged raw data'!F30,0,0),"h AM/PM")</f>
        <v>4 AM</v>
      </c>
      <c r="I30" s="23" t="str">
        <f>IF(OR('Merged raw data'!H30=1,'Merged raw data'!H30=2,'Merged raw data'!H30=3,'Merged raw data'!H30=4,'Merged raw data'!H30=5),"weekday","weekend")</f>
        <v>weekend</v>
      </c>
      <c r="J30" s="23" t="s">
        <v>23</v>
      </c>
      <c r="K30" s="23" t="str">
        <f>IF('Merged raw data'!I30=1,"Clear",IF('Merged raw data'!I30=2,"Mist",IF('Merged raw data'!I30=3,"Rain",IF('Merged raw data'!I30=4,"Storm","NA"))))</f>
        <v>Mist</v>
      </c>
      <c r="L30" s="24">
        <v>0.94</v>
      </c>
      <c r="M30" s="24">
        <v>0.19400000000000001</v>
      </c>
      <c r="N30" s="21">
        <f>'Merged raw data'!$J30*100</f>
        <v>46</v>
      </c>
      <c r="O30" s="21">
        <v>2</v>
      </c>
      <c r="P30" s="21">
        <v>1</v>
      </c>
      <c r="Q30" s="21">
        <v>3</v>
      </c>
      <c r="R30" s="21" t="str">
        <f>IF(Q30&gt;=outliers!I32,"High",IF(Q30&lt;=outliers!I31,"Low","Moderate"))</f>
        <v>High</v>
      </c>
      <c r="S30" s="8" t="str">
        <f>IF(OR(Q30&lt;outliers!$I$6,Q30&gt;outliers!$I$7),"Outlier","Normal")</f>
        <v>Normal</v>
      </c>
      <c r="T30" s="8" t="str">
        <f>IF(OR(L30&lt;outliers!$J$6,L30&gt;outliers!$J$7),"Outlier","Normal")</f>
        <v>Normal</v>
      </c>
      <c r="U30" s="8" t="str">
        <f>IF(OR(M30&lt;outliers!$K$6,M30&gt;outliers!$K$7),"Outlier","Normal")</f>
        <v>Normal</v>
      </c>
    </row>
    <row r="31" spans="1:21">
      <c r="A31" s="21">
        <v>30</v>
      </c>
      <c r="B31" s="68">
        <v>40545</v>
      </c>
      <c r="C31" s="22" t="b">
        <v>0</v>
      </c>
      <c r="D31" s="21" t="str">
        <f t="shared" si="0"/>
        <v>Sunday</v>
      </c>
      <c r="E31" s="23">
        <v>0.42420000000000002</v>
      </c>
      <c r="F31" s="23">
        <f>YEAR('Merged raw data'!$B31)</f>
        <v>2011</v>
      </c>
      <c r="G31" s="23" t="str">
        <f>TEXT('Merged raw data'!$B31,"mmmm")</f>
        <v>January</v>
      </c>
      <c r="H31" s="37" t="str">
        <f>TEXT(TIME('Merged raw data'!F31,0,0),"h AM/PM")</f>
        <v>6 AM</v>
      </c>
      <c r="I31" s="23" t="str">
        <f>IF(OR('Merged raw data'!H31=1,'Merged raw data'!H31=2,'Merged raw data'!H31=3,'Merged raw data'!H31=4,'Merged raw data'!H31=5),"weekday","weekend")</f>
        <v>weekend</v>
      </c>
      <c r="J31" s="23" t="s">
        <v>23</v>
      </c>
      <c r="K31" s="23" t="str">
        <f>IF('Merged raw data'!I31=1,"Clear",IF('Merged raw data'!I31=2,"Mist",IF('Merged raw data'!I31=3,"Rain",IF('Merged raw data'!I31=4,"Storm","NA"))))</f>
        <v>Rain</v>
      </c>
      <c r="L31" s="24">
        <v>0.77</v>
      </c>
      <c r="M31" s="24">
        <v>0.29849999999999999</v>
      </c>
      <c r="N31" s="21">
        <f>'Merged raw data'!$J31*100</f>
        <v>42</v>
      </c>
      <c r="O31" s="21">
        <v>0</v>
      </c>
      <c r="P31" s="21">
        <v>2</v>
      </c>
      <c r="Q31" s="21">
        <v>2</v>
      </c>
      <c r="R31" s="21" t="str">
        <f>IF(Q31&gt;=outliers!I33,"High",IF(Q31&lt;=outliers!I32,"Low","Moderate"))</f>
        <v>High</v>
      </c>
      <c r="S31" s="8" t="str">
        <f>IF(OR(Q31&lt;outliers!$I$6,Q31&gt;outliers!$I$7),"Outlier","Normal")</f>
        <v>Normal</v>
      </c>
      <c r="T31" s="8" t="str">
        <f>IF(OR(L31&lt;outliers!$J$6,L31&gt;outliers!$J$7),"Outlier","Normal")</f>
        <v>Normal</v>
      </c>
      <c r="U31" s="8" t="str">
        <f>IF(OR(M31&lt;outliers!$K$6,M31&gt;outliers!$K$7),"Outlier","Normal")</f>
        <v>Normal</v>
      </c>
    </row>
    <row r="32" spans="1:21">
      <c r="A32" s="21">
        <v>31</v>
      </c>
      <c r="B32" s="68">
        <v>40545</v>
      </c>
      <c r="C32" s="22" t="b">
        <v>0</v>
      </c>
      <c r="D32" s="21" t="str">
        <f t="shared" si="0"/>
        <v>Sunday</v>
      </c>
      <c r="E32" s="23">
        <v>0.40910000000000002</v>
      </c>
      <c r="F32" s="23">
        <f>YEAR('Merged raw data'!$B32)</f>
        <v>2011</v>
      </c>
      <c r="G32" s="23" t="str">
        <f>TEXT('Merged raw data'!$B32,"mmmm")</f>
        <v>January</v>
      </c>
      <c r="H32" s="37" t="str">
        <f>TEXT(TIME('Merged raw data'!F32,0,0),"h AM/PM")</f>
        <v>7 AM</v>
      </c>
      <c r="I32" s="23" t="str">
        <f>IF(OR('Merged raw data'!H32=1,'Merged raw data'!H32=2,'Merged raw data'!H32=3,'Merged raw data'!H32=4,'Merged raw data'!H32=5),"weekday","weekend")</f>
        <v>weekend</v>
      </c>
      <c r="J32" s="23" t="s">
        <v>23</v>
      </c>
      <c r="K32" s="23" t="str">
        <f>IF('Merged raw data'!I32=1,"Clear",IF('Merged raw data'!I32=2,"Mist",IF('Merged raw data'!I32=3,"Rain",IF('Merged raw data'!I32=4,"Storm","NA"))))</f>
        <v>Mist</v>
      </c>
      <c r="L32" s="24">
        <v>0.76</v>
      </c>
      <c r="M32" s="24">
        <v>0.19400000000000001</v>
      </c>
      <c r="N32" s="21">
        <f>'Merged raw data'!$J32*100</f>
        <v>40</v>
      </c>
      <c r="O32" s="21">
        <v>0</v>
      </c>
      <c r="P32" s="21">
        <v>1</v>
      </c>
      <c r="Q32" s="21">
        <v>1</v>
      </c>
      <c r="R32" s="21" t="str">
        <f>IF(Q32&gt;=outliers!I34,"High",IF(Q32&lt;=outliers!I33,"Low","Moderate"))</f>
        <v>High</v>
      </c>
      <c r="S32" s="8" t="str">
        <f>IF(OR(Q32&lt;outliers!$I$6,Q32&gt;outliers!$I$7),"Outlier","Normal")</f>
        <v>Normal</v>
      </c>
      <c r="T32" s="8" t="str">
        <f>IF(OR(L32&lt;outliers!$J$6,L32&gt;outliers!$J$7),"Outlier","Normal")</f>
        <v>Normal</v>
      </c>
      <c r="U32" s="8" t="str">
        <f>IF(OR(M32&lt;outliers!$K$6,M32&gt;outliers!$K$7),"Outlier","Normal")</f>
        <v>Normal</v>
      </c>
    </row>
    <row r="33" spans="1:21">
      <c r="A33" s="21">
        <v>32</v>
      </c>
      <c r="B33" s="68">
        <v>40545</v>
      </c>
      <c r="C33" s="22" t="b">
        <v>0</v>
      </c>
      <c r="D33" s="21" t="str">
        <f t="shared" si="0"/>
        <v>Sunday</v>
      </c>
      <c r="E33" s="23">
        <v>0.40910000000000002</v>
      </c>
      <c r="F33" s="23">
        <f>YEAR('Merged raw data'!$B33)</f>
        <v>2011</v>
      </c>
      <c r="G33" s="23" t="str">
        <f>TEXT('Merged raw data'!$B33,"mmmm")</f>
        <v>January</v>
      </c>
      <c r="H33" s="37" t="str">
        <f>TEXT(TIME('Merged raw data'!F33,0,0),"h AM/PM")</f>
        <v>8 AM</v>
      </c>
      <c r="I33" s="23" t="str">
        <f>IF(OR('Merged raw data'!H33=1,'Merged raw data'!H33=2,'Merged raw data'!H33=3,'Merged raw data'!H33=4,'Merged raw data'!H33=5),"weekday","weekend")</f>
        <v>weekend</v>
      </c>
      <c r="J33" s="23" t="s">
        <v>23</v>
      </c>
      <c r="K33" s="23" t="str">
        <f>IF('Merged raw data'!I33=1,"Clear",IF('Merged raw data'!I33=2,"Mist",IF('Merged raw data'!I33=3,"Rain",IF('Merged raw data'!I33=4,"Storm","NA"))))</f>
        <v>Rain</v>
      </c>
      <c r="L33" s="24">
        <v>0.71</v>
      </c>
      <c r="M33" s="24">
        <v>0.22389999999999999</v>
      </c>
      <c r="N33" s="21">
        <f>'Merged raw data'!$J33*100</f>
        <v>40</v>
      </c>
      <c r="O33" s="21">
        <v>0</v>
      </c>
      <c r="P33" s="21">
        <v>8</v>
      </c>
      <c r="Q33" s="21">
        <v>8</v>
      </c>
      <c r="R33" s="21" t="str">
        <f>IF(Q33&gt;=outliers!I35,"High",IF(Q33&lt;=outliers!I34,"Low","Moderate"))</f>
        <v>High</v>
      </c>
      <c r="S33" s="8" t="str">
        <f>IF(OR(Q33&lt;outliers!$I$6,Q33&gt;outliers!$I$7),"Outlier","Normal")</f>
        <v>Normal</v>
      </c>
      <c r="T33" s="8" t="str">
        <f>IF(OR(L33&lt;outliers!$J$6,L33&gt;outliers!$J$7),"Outlier","Normal")</f>
        <v>Normal</v>
      </c>
      <c r="U33" s="8" t="str">
        <f>IF(OR(M33&lt;outliers!$K$6,M33&gt;outliers!$K$7),"Outlier","Normal")</f>
        <v>Normal</v>
      </c>
    </row>
    <row r="34" spans="1:21">
      <c r="A34" s="21">
        <v>33</v>
      </c>
      <c r="B34" s="68">
        <v>40545</v>
      </c>
      <c r="C34" s="22" t="b">
        <v>0</v>
      </c>
      <c r="D34" s="21" t="str">
        <f t="shared" si="0"/>
        <v>Sunday</v>
      </c>
      <c r="E34" s="23">
        <v>0.21</v>
      </c>
      <c r="F34" s="23">
        <f>YEAR('Merged raw data'!$B34)</f>
        <v>2011</v>
      </c>
      <c r="G34" s="23" t="str">
        <f>TEXT('Merged raw data'!$B34,"mmmm")</f>
        <v>January</v>
      </c>
      <c r="H34" s="37" t="str">
        <f>TEXT(TIME('Merged raw data'!F34,0,0),"h AM/PM")</f>
        <v>9 AM</v>
      </c>
      <c r="I34" s="23" t="str">
        <f>IF(OR('Merged raw data'!H34=1,'Merged raw data'!H34=2,'Merged raw data'!H34=3,'Merged raw data'!H34=4,'Merged raw data'!H34=5),"weekday","weekend")</f>
        <v>weekend</v>
      </c>
      <c r="J34" s="23" t="s">
        <v>23</v>
      </c>
      <c r="K34" s="23" t="str">
        <f>IF('Merged raw data'!I34=1,"Clear",IF('Merged raw data'!I34=2,"Mist",IF('Merged raw data'!I34=3,"Rain",IF('Merged raw data'!I34=4,"Storm","NA"))))</f>
        <v>Mist</v>
      </c>
      <c r="L34" s="24">
        <v>0.76</v>
      </c>
      <c r="M34" s="24">
        <v>0.22389999999999999</v>
      </c>
      <c r="N34" s="21">
        <f>'Merged raw data'!$J34*100</f>
        <v>38</v>
      </c>
      <c r="O34" s="21">
        <v>1</v>
      </c>
      <c r="P34" s="21">
        <v>19</v>
      </c>
      <c r="Q34" s="21">
        <v>20</v>
      </c>
      <c r="R34" s="21" t="str">
        <f>IF(Q34&gt;=outliers!I36,"High",IF(Q34&lt;=outliers!I35,"Low","Moderate"))</f>
        <v>High</v>
      </c>
      <c r="S34" s="8" t="str">
        <f>IF(OR(Q34&lt;outliers!$I$6,Q34&gt;outliers!$I$7),"Outlier","Normal")</f>
        <v>Normal</v>
      </c>
      <c r="T34" s="8" t="str">
        <f>IF(OR(L34&lt;outliers!$J$6,L34&gt;outliers!$J$7),"Outlier","Normal")</f>
        <v>Normal</v>
      </c>
      <c r="U34" s="8" t="str">
        <f>IF(OR(M34&lt;outliers!$K$6,M34&gt;outliers!$K$7),"Outlier","Normal")</f>
        <v>Normal</v>
      </c>
    </row>
    <row r="35" spans="1:21">
      <c r="A35" s="21">
        <v>34</v>
      </c>
      <c r="B35" s="68">
        <v>40545</v>
      </c>
      <c r="C35" s="22" t="b">
        <v>0</v>
      </c>
      <c r="D35" s="21" t="str">
        <f t="shared" si="0"/>
        <v>Sunday</v>
      </c>
      <c r="E35" s="23">
        <v>0.34849999999999998</v>
      </c>
      <c r="F35" s="23">
        <f>YEAR('Merged raw data'!$B35)</f>
        <v>2011</v>
      </c>
      <c r="G35" s="23" t="str">
        <f>TEXT('Merged raw data'!$B35,"mmmm")</f>
        <v>January</v>
      </c>
      <c r="H35" s="37" t="str">
        <f>TEXT(TIME('Merged raw data'!F35,0,0),"h AM/PM")</f>
        <v>10 AM</v>
      </c>
      <c r="I35" s="23" t="str">
        <f>IF(OR('Merged raw data'!H35=1,'Merged raw data'!H35=2,'Merged raw data'!H35=3,'Merged raw data'!H35=4,'Merged raw data'!H35=5),"weekday","weekend")</f>
        <v>weekend</v>
      </c>
      <c r="J35" s="23" t="s">
        <v>23</v>
      </c>
      <c r="K35" s="23" t="str">
        <f>IF('Merged raw data'!I35=1,"Clear",IF('Merged raw data'!I35=2,"Mist",IF('Merged raw data'!I35=3,"Rain",IF('Merged raw data'!I35=4,"Storm","NA"))))</f>
        <v>Mist</v>
      </c>
      <c r="L35" s="24">
        <v>0.81</v>
      </c>
      <c r="M35" s="24">
        <v>0.22389999999999999</v>
      </c>
      <c r="N35" s="21">
        <f>'Merged raw data'!$J35*100</f>
        <v>36</v>
      </c>
      <c r="O35" s="21">
        <v>7</v>
      </c>
      <c r="P35" s="21">
        <v>46</v>
      </c>
      <c r="Q35" s="21">
        <v>53</v>
      </c>
      <c r="R35" s="21" t="str">
        <f>IF(Q35&gt;=outliers!I37,"High",IF(Q35&lt;=outliers!I36,"Low","Moderate"))</f>
        <v>High</v>
      </c>
      <c r="S35" s="8" t="str">
        <f>IF(OR(Q35&lt;outliers!$I$6,Q35&gt;outliers!$I$7),"Outlier","Normal")</f>
        <v>Normal</v>
      </c>
      <c r="T35" s="8" t="str">
        <f>IF(OR(L35&lt;outliers!$J$6,L35&gt;outliers!$J$7),"Outlier","Normal")</f>
        <v>Normal</v>
      </c>
      <c r="U35" s="8" t="str">
        <f>IF(OR(M35&lt;outliers!$K$6,M35&gt;outliers!$K$7),"Outlier","Normal")</f>
        <v>Normal</v>
      </c>
    </row>
    <row r="36" spans="1:21">
      <c r="A36" s="21">
        <v>35</v>
      </c>
      <c r="B36" s="68">
        <v>40545</v>
      </c>
      <c r="C36" s="22" t="b">
        <v>0</v>
      </c>
      <c r="D36" s="21" t="str">
        <f t="shared" si="0"/>
        <v>Sunday</v>
      </c>
      <c r="E36" s="23">
        <v>0.33329999999999999</v>
      </c>
      <c r="F36" s="23">
        <f>YEAR('Merged raw data'!$B36)</f>
        <v>2011</v>
      </c>
      <c r="G36" s="23" t="str">
        <f>TEXT('Merged raw data'!$B36,"mmmm")</f>
        <v>January</v>
      </c>
      <c r="H36" s="37" t="str">
        <f>TEXT(TIME('Merged raw data'!F36,0,0),"h AM/PM")</f>
        <v>11 AM</v>
      </c>
      <c r="I36" s="23" t="str">
        <f>IF(OR('Merged raw data'!H36=1,'Merged raw data'!H36=2,'Merged raw data'!H36=3,'Merged raw data'!H36=4,'Merged raw data'!H36=5),"weekday","weekend")</f>
        <v>weekend</v>
      </c>
      <c r="J36" s="23" t="s">
        <v>23</v>
      </c>
      <c r="K36" s="23" t="str">
        <f>IF('Merged raw data'!I36=1,"Clear",IF('Merged raw data'!I36=2,"Mist",IF('Merged raw data'!I36=3,"Rain",IF('Merged raw data'!I36=4,"Storm","NA"))))</f>
        <v>Mist</v>
      </c>
      <c r="L36" s="24">
        <v>0.71</v>
      </c>
      <c r="M36" s="24">
        <v>0.25369999999999998</v>
      </c>
      <c r="N36" s="21">
        <f>'Merged raw data'!$J36*100</f>
        <v>36</v>
      </c>
      <c r="O36" s="21">
        <v>16</v>
      </c>
      <c r="P36" s="21">
        <v>54</v>
      </c>
      <c r="Q36" s="21">
        <v>70</v>
      </c>
      <c r="R36" s="21" t="str">
        <f>IF(Q36&gt;=outliers!I38,"High",IF(Q36&lt;=outliers!I37,"Low","Moderate"))</f>
        <v>High</v>
      </c>
      <c r="S36" s="8" t="str">
        <f>IF(OR(Q36&lt;outliers!$I$6,Q36&gt;outliers!$I$7),"Outlier","Normal")</f>
        <v>Normal</v>
      </c>
      <c r="T36" s="8" t="str">
        <f>IF(OR(L36&lt;outliers!$J$6,L36&gt;outliers!$J$7),"Outlier","Normal")</f>
        <v>Normal</v>
      </c>
      <c r="U36" s="8" t="str">
        <f>IF(OR(M36&lt;outliers!$K$6,M36&gt;outliers!$K$7),"Outlier","Normal")</f>
        <v>Normal</v>
      </c>
    </row>
    <row r="37" spans="1:21">
      <c r="A37" s="21">
        <v>36</v>
      </c>
      <c r="B37" s="68">
        <v>40545</v>
      </c>
      <c r="C37" s="22" t="b">
        <v>0</v>
      </c>
      <c r="D37" s="21" t="str">
        <f t="shared" si="0"/>
        <v>Sunday</v>
      </c>
      <c r="E37" s="23">
        <v>0.33329999999999999</v>
      </c>
      <c r="F37" s="23">
        <f>YEAR('Merged raw data'!$B37)</f>
        <v>2011</v>
      </c>
      <c r="G37" s="23" t="str">
        <f>TEXT('Merged raw data'!$B37,"mmmm")</f>
        <v>January</v>
      </c>
      <c r="H37" s="37" t="str">
        <f>TEXT(TIME('Merged raw data'!F37,0,0),"h AM/PM")</f>
        <v>12 PM</v>
      </c>
      <c r="I37" s="23" t="str">
        <f>IF(OR('Merged raw data'!H37=1,'Merged raw data'!H37=2,'Merged raw data'!H37=3,'Merged raw data'!H37=4,'Merged raw data'!H37=5),"weekday","weekend")</f>
        <v>weekend</v>
      </c>
      <c r="J37" s="23" t="s">
        <v>23</v>
      </c>
      <c r="K37" s="23" t="str">
        <f>IF('Merged raw data'!I37=1,"Clear",IF('Merged raw data'!I37=2,"Mist",IF('Merged raw data'!I37=3,"Rain",IF('Merged raw data'!I37=4,"Storm","NA"))))</f>
        <v>Mist</v>
      </c>
      <c r="L37" s="24">
        <v>0.66</v>
      </c>
      <c r="M37" s="24">
        <v>0.29849999999999999</v>
      </c>
      <c r="N37" s="21">
        <f>'Merged raw data'!$J37*100</f>
        <v>36</v>
      </c>
      <c r="O37" s="21">
        <v>20</v>
      </c>
      <c r="P37" s="21">
        <v>73</v>
      </c>
      <c r="Q37" s="21">
        <v>93</v>
      </c>
      <c r="R37" s="21" t="str">
        <f>IF(Q37&gt;=outliers!I39,"High",IF(Q37&lt;=outliers!I38,"Low","Moderate"))</f>
        <v>High</v>
      </c>
      <c r="S37" s="8" t="str">
        <f>IF(OR(Q37&lt;outliers!$I$6,Q37&gt;outliers!$I$7),"Outlier","Normal")</f>
        <v>Normal</v>
      </c>
      <c r="T37" s="8" t="str">
        <f>IF(OR(L37&lt;outliers!$J$6,L37&gt;outliers!$J$7),"Outlier","Normal")</f>
        <v>Normal</v>
      </c>
      <c r="U37" s="8" t="str">
        <f>IF(OR(M37&lt;outliers!$K$6,M37&gt;outliers!$K$7),"Outlier","Normal")</f>
        <v>Normal</v>
      </c>
    </row>
    <row r="38" spans="1:21">
      <c r="A38" s="21">
        <v>37</v>
      </c>
      <c r="B38" s="68">
        <v>40545</v>
      </c>
      <c r="C38" s="22" t="b">
        <v>0</v>
      </c>
      <c r="D38" s="21" t="str">
        <f t="shared" si="0"/>
        <v>Sunday</v>
      </c>
      <c r="E38" s="23">
        <v>0.34849999999999998</v>
      </c>
      <c r="F38" s="23">
        <f>YEAR('Merged raw data'!$B38)</f>
        <v>2011</v>
      </c>
      <c r="G38" s="23" t="str">
        <f>TEXT('Merged raw data'!$B38,"mmmm")</f>
        <v>January</v>
      </c>
      <c r="H38" s="37" t="str">
        <f>TEXT(TIME('Merged raw data'!F38,0,0),"h AM/PM")</f>
        <v>1 PM</v>
      </c>
      <c r="I38" s="23" t="str">
        <f>IF(OR('Merged raw data'!H38=1,'Merged raw data'!H38=2,'Merged raw data'!H38=3,'Merged raw data'!H38=4,'Merged raw data'!H38=5),"weekday","weekend")</f>
        <v>weekend</v>
      </c>
      <c r="J38" s="23" t="s">
        <v>23</v>
      </c>
      <c r="K38" s="23" t="str">
        <f>IF('Merged raw data'!I38=1,"Clear",IF('Merged raw data'!I38=2,"Mist",IF('Merged raw data'!I38=3,"Rain",IF('Merged raw data'!I38=4,"Storm","NA"))))</f>
        <v>Mist</v>
      </c>
      <c r="L38" s="24">
        <v>0.66</v>
      </c>
      <c r="M38" s="24">
        <v>0.1343</v>
      </c>
      <c r="N38" s="21">
        <f>'Merged raw data'!$J38*100</f>
        <v>36</v>
      </c>
      <c r="O38" s="21">
        <v>11</v>
      </c>
      <c r="P38" s="21">
        <v>64</v>
      </c>
      <c r="Q38" s="21">
        <v>75</v>
      </c>
      <c r="R38" s="21" t="str">
        <f>IF(Q38&gt;=outliers!I40,"High",IF(Q38&lt;=outliers!I39,"Low","Moderate"))</f>
        <v>High</v>
      </c>
      <c r="S38" s="8" t="str">
        <f>IF(OR(Q38&lt;outliers!$I$6,Q38&gt;outliers!$I$7),"Outlier","Normal")</f>
        <v>Normal</v>
      </c>
      <c r="T38" s="8" t="str">
        <f>IF(OR(L38&lt;outliers!$J$6,L38&gt;outliers!$J$7),"Outlier","Normal")</f>
        <v>Normal</v>
      </c>
      <c r="U38" s="8" t="str">
        <f>IF(OR(M38&lt;outliers!$K$6,M38&gt;outliers!$K$7),"Outlier","Normal")</f>
        <v>Normal</v>
      </c>
    </row>
    <row r="39" spans="1:21">
      <c r="A39" s="21">
        <v>38</v>
      </c>
      <c r="B39" s="68">
        <v>40545</v>
      </c>
      <c r="C39" s="22" t="b">
        <v>0</v>
      </c>
      <c r="D39" s="21" t="str">
        <f t="shared" si="0"/>
        <v>Sunday</v>
      </c>
      <c r="E39" s="23">
        <v>0.21</v>
      </c>
      <c r="F39" s="23">
        <f>YEAR('Merged raw data'!$B39)</f>
        <v>2011</v>
      </c>
      <c r="G39" s="23" t="str">
        <f>TEXT('Merged raw data'!$B39,"mmmm")</f>
        <v>January</v>
      </c>
      <c r="H39" s="37" t="str">
        <f>TEXT(TIME('Merged raw data'!F39,0,0),"h AM/PM")</f>
        <v>2 PM</v>
      </c>
      <c r="I39" s="23" t="str">
        <f>IF(OR('Merged raw data'!H39=1,'Merged raw data'!H39=2,'Merged raw data'!H39=3,'Merged raw data'!H39=4,'Merged raw data'!H39=5),"weekday","weekend")</f>
        <v>weekend</v>
      </c>
      <c r="J39" s="23" t="s">
        <v>23</v>
      </c>
      <c r="K39" s="23" t="str">
        <f>IF('Merged raw data'!I39=1,"Clear",IF('Merged raw data'!I39=2,"Mist",IF('Merged raw data'!I39=3,"Rain",IF('Merged raw data'!I39=4,"Storm","NA"))))</f>
        <v>Rain</v>
      </c>
      <c r="L39" s="24">
        <v>0.76</v>
      </c>
      <c r="M39" s="24">
        <v>0.19400000000000001</v>
      </c>
      <c r="N39" s="21">
        <f>'Merged raw data'!$J39*100</f>
        <v>36</v>
      </c>
      <c r="O39" s="21">
        <v>4</v>
      </c>
      <c r="P39" s="21">
        <v>55</v>
      </c>
      <c r="Q39" s="21">
        <v>59</v>
      </c>
      <c r="R39" s="21" t="str">
        <f>IF(Q39&gt;=outliers!I41,"High",IF(Q39&lt;=outliers!I40,"Low","Moderate"))</f>
        <v>High</v>
      </c>
      <c r="S39" s="8" t="str">
        <f>IF(OR(Q39&lt;outliers!$I$6,Q39&gt;outliers!$I$7),"Outlier","Normal")</f>
        <v>Normal</v>
      </c>
      <c r="T39" s="8" t="str">
        <f>IF(OR(L39&lt;outliers!$J$6,L39&gt;outliers!$J$7),"Outlier","Normal")</f>
        <v>Normal</v>
      </c>
      <c r="U39" s="8" t="str">
        <f>IF(OR(M39&lt;outliers!$K$6,M39&gt;outliers!$K$7),"Outlier","Normal")</f>
        <v>Normal</v>
      </c>
    </row>
    <row r="40" spans="1:21">
      <c r="A40" s="21">
        <v>39</v>
      </c>
      <c r="B40" s="68">
        <v>40545</v>
      </c>
      <c r="C40" s="22" t="b">
        <v>0</v>
      </c>
      <c r="D40" s="21" t="str">
        <f t="shared" si="0"/>
        <v>Sunday</v>
      </c>
      <c r="E40" s="23">
        <v>0.33329999999999999</v>
      </c>
      <c r="F40" s="23">
        <f>YEAR('Merged raw data'!$B40)</f>
        <v>2011</v>
      </c>
      <c r="G40" s="23" t="str">
        <f>TEXT('Merged raw data'!$B40,"mmmm")</f>
        <v>January</v>
      </c>
      <c r="H40" s="37" t="str">
        <f>TEXT(TIME('Merged raw data'!F40,0,0),"h AM/PM")</f>
        <v>3 PM</v>
      </c>
      <c r="I40" s="23" t="str">
        <f>IF(OR('Merged raw data'!H40=1,'Merged raw data'!H40=2,'Merged raw data'!H40=3,'Merged raw data'!H40=4,'Merged raw data'!H40=5),"weekday","weekend")</f>
        <v>weekend</v>
      </c>
      <c r="J40" s="23" t="s">
        <v>23</v>
      </c>
      <c r="K40" s="23" t="str">
        <f>IF('Merged raw data'!I40=1,"Clear",IF('Merged raw data'!I40=2,"Mist",IF('Merged raw data'!I40=3,"Rain",IF('Merged raw data'!I40=4,"Storm","NA"))))</f>
        <v>Rain</v>
      </c>
      <c r="L40" s="24">
        <v>0.81</v>
      </c>
      <c r="M40" s="24">
        <v>0.16420000000000001</v>
      </c>
      <c r="N40" s="21">
        <f>'Merged raw data'!$J40*100</f>
        <v>34</v>
      </c>
      <c r="O40" s="21">
        <v>19</v>
      </c>
      <c r="P40" s="21">
        <v>55</v>
      </c>
      <c r="Q40" s="21">
        <v>74</v>
      </c>
      <c r="R40" s="21" t="str">
        <f>IF(Q40&gt;=outliers!I42,"High",IF(Q40&lt;=outliers!I41,"Low","Moderate"))</f>
        <v>High</v>
      </c>
      <c r="S40" s="8" t="str">
        <f>IF(OR(Q40&lt;outliers!$I$6,Q40&gt;outliers!$I$7),"Outlier","Normal")</f>
        <v>Normal</v>
      </c>
      <c r="T40" s="8" t="str">
        <f>IF(OR(L40&lt;outliers!$J$6,L40&gt;outliers!$J$7),"Outlier","Normal")</f>
        <v>Normal</v>
      </c>
      <c r="U40" s="8" t="str">
        <f>IF(OR(M40&lt;outliers!$K$6,M40&gt;outliers!$K$7),"Outlier","Normal")</f>
        <v>Normal</v>
      </c>
    </row>
    <row r="41" spans="1:21">
      <c r="A41" s="21">
        <v>40</v>
      </c>
      <c r="B41" s="68">
        <v>40545</v>
      </c>
      <c r="C41" s="22" t="b">
        <v>0</v>
      </c>
      <c r="D41" s="21" t="str">
        <f t="shared" si="0"/>
        <v>Sunday</v>
      </c>
      <c r="E41" s="23">
        <v>0.33329999999999999</v>
      </c>
      <c r="F41" s="23">
        <f>YEAR('Merged raw data'!$B41)</f>
        <v>2011</v>
      </c>
      <c r="G41" s="23" t="str">
        <f>TEXT('Merged raw data'!$B41,"mmmm")</f>
        <v>January</v>
      </c>
      <c r="H41" s="37" t="str">
        <f>TEXT(TIME('Merged raw data'!F41,0,0),"h AM/PM")</f>
        <v>4 PM</v>
      </c>
      <c r="I41" s="23" t="str">
        <f>IF(OR('Merged raw data'!H41=1,'Merged raw data'!H41=2,'Merged raw data'!H41=3,'Merged raw data'!H41=4,'Merged raw data'!H41=5),"weekday","weekend")</f>
        <v>weekend</v>
      </c>
      <c r="J41" s="23" t="s">
        <v>23</v>
      </c>
      <c r="K41" s="23" t="str">
        <f>IF('Merged raw data'!I41=1,"Clear",IF('Merged raw data'!I41=2,"Mist",IF('Merged raw data'!I41=3,"Rain",IF('Merged raw data'!I41=4,"Storm","NA"))))</f>
        <v>Rain</v>
      </c>
      <c r="L41" s="24">
        <v>0.71</v>
      </c>
      <c r="M41" s="24">
        <v>0.16420000000000001</v>
      </c>
      <c r="N41" s="21">
        <f>'Merged raw data'!$J41*100</f>
        <v>34</v>
      </c>
      <c r="O41" s="21">
        <v>9</v>
      </c>
      <c r="P41" s="21">
        <v>67</v>
      </c>
      <c r="Q41" s="21">
        <v>76</v>
      </c>
      <c r="R41" s="21" t="str">
        <f>IF(Q41&gt;=outliers!I43,"High",IF(Q41&lt;=outliers!I42,"Low","Moderate"))</f>
        <v>High</v>
      </c>
      <c r="S41" s="8" t="str">
        <f>IF(OR(Q41&lt;outliers!$I$6,Q41&gt;outliers!$I$7),"Outlier","Normal")</f>
        <v>Normal</v>
      </c>
      <c r="T41" s="8" t="str">
        <f>IF(OR(L41&lt;outliers!$J$6,L41&gt;outliers!$J$7),"Outlier","Normal")</f>
        <v>Normal</v>
      </c>
      <c r="U41" s="8" t="str">
        <f>IF(OR(M41&lt;outliers!$K$6,M41&gt;outliers!$K$7),"Outlier","Normal")</f>
        <v>Normal</v>
      </c>
    </row>
    <row r="42" spans="1:21">
      <c r="A42" s="21">
        <v>41</v>
      </c>
      <c r="B42" s="68">
        <v>40545</v>
      </c>
      <c r="C42" s="22" t="b">
        <v>0</v>
      </c>
      <c r="D42" s="21" t="str">
        <f t="shared" si="0"/>
        <v>Sunday</v>
      </c>
      <c r="E42" s="23">
        <v>0.33329999999999999</v>
      </c>
      <c r="F42" s="23">
        <f>YEAR('Merged raw data'!$B42)</f>
        <v>2011</v>
      </c>
      <c r="G42" s="23" t="str">
        <f>TEXT('Merged raw data'!$B42,"mmmm")</f>
        <v>January</v>
      </c>
      <c r="H42" s="37" t="str">
        <f>TEXT(TIME('Merged raw data'!F42,0,0),"h AM/PM")</f>
        <v>5 PM</v>
      </c>
      <c r="I42" s="23" t="str">
        <f>IF(OR('Merged raw data'!H42=1,'Merged raw data'!H42=2,'Merged raw data'!H42=3,'Merged raw data'!H42=4,'Merged raw data'!H42=5),"weekday","weekend")</f>
        <v>weekend</v>
      </c>
      <c r="J42" s="23" t="s">
        <v>23</v>
      </c>
      <c r="K42" s="23" t="str">
        <f>IF('Merged raw data'!I42=1,"Clear",IF('Merged raw data'!I42=2,"Mist",IF('Merged raw data'!I42=3,"Rain",IF('Merged raw data'!I42=4,"Storm","NA"))))</f>
        <v>Clear</v>
      </c>
      <c r="L42" s="24">
        <v>0.56999999999999995</v>
      </c>
      <c r="M42" s="24">
        <v>0.19400000000000001</v>
      </c>
      <c r="N42" s="21">
        <f>'Merged raw data'!$J42*100</f>
        <v>34</v>
      </c>
      <c r="O42" s="21">
        <v>7</v>
      </c>
      <c r="P42" s="21">
        <v>58</v>
      </c>
      <c r="Q42" s="21">
        <v>65</v>
      </c>
      <c r="R42" s="21" t="str">
        <f>IF(Q42&gt;=outliers!I44,"High",IF(Q42&lt;=outliers!I43,"Low","Moderate"))</f>
        <v>High</v>
      </c>
      <c r="S42" s="8" t="str">
        <f>IF(OR(Q42&lt;outliers!$I$6,Q42&gt;outliers!$I$7),"Outlier","Normal")</f>
        <v>Normal</v>
      </c>
      <c r="T42" s="8" t="str">
        <f>IF(OR(L42&lt;outliers!$J$6,L42&gt;outliers!$J$7),"Outlier","Normal")</f>
        <v>Normal</v>
      </c>
      <c r="U42" s="8" t="str">
        <f>IF(OR(M42&lt;outliers!$K$6,M42&gt;outliers!$K$7),"Outlier","Normal")</f>
        <v>Normal</v>
      </c>
    </row>
    <row r="43" spans="1:21">
      <c r="A43" s="21">
        <v>42</v>
      </c>
      <c r="B43" s="68">
        <v>40545</v>
      </c>
      <c r="C43" s="22" t="b">
        <v>0</v>
      </c>
      <c r="D43" s="21" t="str">
        <f t="shared" si="0"/>
        <v>Sunday</v>
      </c>
      <c r="E43" s="23">
        <v>0.33329999999999999</v>
      </c>
      <c r="F43" s="23">
        <f>YEAR('Merged raw data'!$B43)</f>
        <v>2011</v>
      </c>
      <c r="G43" s="23" t="str">
        <f>TEXT('Merged raw data'!$B43,"mmmm")</f>
        <v>January</v>
      </c>
      <c r="H43" s="37" t="str">
        <f>TEXT(TIME('Merged raw data'!F43,0,0),"h AM/PM")</f>
        <v>6 PM</v>
      </c>
      <c r="I43" s="23" t="str">
        <f>IF(OR('Merged raw data'!H43=1,'Merged raw data'!H43=2,'Merged raw data'!H43=3,'Merged raw data'!H43=4,'Merged raw data'!H43=5),"weekday","weekend")</f>
        <v>weekend</v>
      </c>
      <c r="J43" s="23" t="s">
        <v>23</v>
      </c>
      <c r="K43" s="23" t="str">
        <f>IF('Merged raw data'!I43=1,"Clear",IF('Merged raw data'!I43=2,"Mist",IF('Merged raw data'!I43=3,"Rain",IF('Merged raw data'!I43=4,"Storm","NA"))))</f>
        <v>Mist</v>
      </c>
      <c r="L43" s="24">
        <v>0.46</v>
      </c>
      <c r="M43" s="24">
        <v>0.32840000000000003</v>
      </c>
      <c r="N43" s="21">
        <f>'Merged raw data'!$J43*100</f>
        <v>36</v>
      </c>
      <c r="O43" s="21">
        <v>10</v>
      </c>
      <c r="P43" s="21">
        <v>43</v>
      </c>
      <c r="Q43" s="21">
        <v>53</v>
      </c>
      <c r="R43" s="21" t="str">
        <f>IF(Q43&gt;=outliers!I45,"High",IF(Q43&lt;=outliers!I44,"Low","Moderate"))</f>
        <v>High</v>
      </c>
      <c r="S43" s="8" t="str">
        <f>IF(OR(Q43&lt;outliers!$I$6,Q43&gt;outliers!$I$7),"Outlier","Normal")</f>
        <v>Normal</v>
      </c>
      <c r="T43" s="8" t="str">
        <f>IF(OR(L43&lt;outliers!$J$6,L43&gt;outliers!$J$7),"Outlier","Normal")</f>
        <v>Normal</v>
      </c>
      <c r="U43" s="8" t="str">
        <f>IF(OR(M43&lt;outliers!$K$6,M43&gt;outliers!$K$7),"Outlier","Normal")</f>
        <v>Normal</v>
      </c>
    </row>
    <row r="44" spans="1:21">
      <c r="A44" s="21">
        <v>43</v>
      </c>
      <c r="B44" s="68">
        <v>40545</v>
      </c>
      <c r="C44" s="22" t="b">
        <v>0</v>
      </c>
      <c r="D44" s="21" t="str">
        <f t="shared" si="0"/>
        <v>Sunday</v>
      </c>
      <c r="E44" s="23">
        <v>0.28789999999999999</v>
      </c>
      <c r="F44" s="23">
        <f>YEAR('Merged raw data'!$B44)</f>
        <v>2011</v>
      </c>
      <c r="G44" s="23" t="str">
        <f>TEXT('Merged raw data'!$B44,"mmmm")</f>
        <v>January</v>
      </c>
      <c r="H44" s="37" t="str">
        <f>TEXT(TIME('Merged raw data'!F44,0,0),"h AM/PM")</f>
        <v>7 PM</v>
      </c>
      <c r="I44" s="23" t="str">
        <f>IF(OR('Merged raw data'!H44=1,'Merged raw data'!H44=2,'Merged raw data'!H44=3,'Merged raw data'!H44=4,'Merged raw data'!H44=5),"weekday","weekend")</f>
        <v>weekend</v>
      </c>
      <c r="J44" s="23" t="s">
        <v>23</v>
      </c>
      <c r="K44" s="23" t="str">
        <f>IF('Merged raw data'!I44=1,"Clear",IF('Merged raw data'!I44=2,"Mist",IF('Merged raw data'!I44=3,"Rain",IF('Merged raw data'!I44=4,"Storm","NA"))))</f>
        <v>Clear</v>
      </c>
      <c r="L44" s="24">
        <v>0.42</v>
      </c>
      <c r="M44" s="24">
        <v>0.44779999999999998</v>
      </c>
      <c r="N44" s="21">
        <f>'Merged raw data'!$J44*100</f>
        <v>32</v>
      </c>
      <c r="O44" s="21">
        <v>1</v>
      </c>
      <c r="P44" s="21">
        <v>29</v>
      </c>
      <c r="Q44" s="21">
        <v>30</v>
      </c>
      <c r="R44" s="21" t="str">
        <f>IF(Q44&gt;=outliers!I46,"High",IF(Q44&lt;=outliers!I45,"Low","Moderate"))</f>
        <v>High</v>
      </c>
      <c r="S44" s="8" t="str">
        <f>IF(OR(Q44&lt;outliers!$I$6,Q44&gt;outliers!$I$7),"Outlier","Normal")</f>
        <v>Normal</v>
      </c>
      <c r="T44" s="8" t="str">
        <f>IF(OR(L44&lt;outliers!$J$6,L44&gt;outliers!$J$7),"Outlier","Normal")</f>
        <v>Normal</v>
      </c>
      <c r="U44" s="8" t="str">
        <f>IF(OR(M44&lt;outliers!$K$6,M44&gt;outliers!$K$7),"Outlier","Normal")</f>
        <v>Normal</v>
      </c>
    </row>
    <row r="45" spans="1:21">
      <c r="A45" s="21">
        <v>44</v>
      </c>
      <c r="B45" s="68">
        <v>40545</v>
      </c>
      <c r="C45" s="22" t="b">
        <v>0</v>
      </c>
      <c r="D45" s="21" t="str">
        <f t="shared" si="0"/>
        <v>Sunday</v>
      </c>
      <c r="E45" s="23">
        <v>0.21</v>
      </c>
      <c r="F45" s="23">
        <f>YEAR('Merged raw data'!$B45)</f>
        <v>2011</v>
      </c>
      <c r="G45" s="23" t="str">
        <f>TEXT('Merged raw data'!$B45,"mmmm")</f>
        <v>January</v>
      </c>
      <c r="H45" s="37" t="str">
        <f>TEXT(TIME('Merged raw data'!F45,0,0),"h AM/PM")</f>
        <v>8 PM</v>
      </c>
      <c r="I45" s="23" t="str">
        <f>IF(OR('Merged raw data'!H45=1,'Merged raw data'!H45=2,'Merged raw data'!H45=3,'Merged raw data'!H45=4,'Merged raw data'!H45=5),"weekday","weekend")</f>
        <v>weekend</v>
      </c>
      <c r="J45" s="23" t="s">
        <v>23</v>
      </c>
      <c r="K45" s="23" t="str">
        <f>IF('Merged raw data'!I45=1,"Clear",IF('Merged raw data'!I45=2,"Mist",IF('Merged raw data'!I45=3,"Rain",IF('Merged raw data'!I45=4,"Storm","NA"))))</f>
        <v>Clear</v>
      </c>
      <c r="L45" s="24">
        <v>0.39</v>
      </c>
      <c r="M45" s="24">
        <v>0.35820000000000002</v>
      </c>
      <c r="N45" s="21">
        <f>'Merged raw data'!$J45*100</f>
        <v>30</v>
      </c>
      <c r="O45" s="21">
        <v>5</v>
      </c>
      <c r="P45" s="21">
        <v>17</v>
      </c>
      <c r="Q45" s="21">
        <v>22</v>
      </c>
      <c r="R45" s="21" t="str">
        <f>IF(Q45&gt;=outliers!I47,"High",IF(Q45&lt;=outliers!I46,"Low","Moderate"))</f>
        <v>High</v>
      </c>
      <c r="S45" s="8" t="str">
        <f>IF(OR(Q45&lt;outliers!$I$6,Q45&gt;outliers!$I$7),"Outlier","Normal")</f>
        <v>Normal</v>
      </c>
      <c r="T45" s="8" t="str">
        <f>IF(OR(L45&lt;outliers!$J$6,L45&gt;outliers!$J$7),"Outlier","Normal")</f>
        <v>Normal</v>
      </c>
      <c r="U45" s="8" t="str">
        <f>IF(OR(M45&lt;outliers!$K$6,M45&gt;outliers!$K$7),"Outlier","Normal")</f>
        <v>Normal</v>
      </c>
    </row>
    <row r="46" spans="1:21">
      <c r="A46" s="21">
        <v>45</v>
      </c>
      <c r="B46" s="68">
        <v>40545</v>
      </c>
      <c r="C46" s="22" t="b">
        <v>0</v>
      </c>
      <c r="D46" s="21" t="str">
        <f t="shared" si="0"/>
        <v>Sunday</v>
      </c>
      <c r="E46" s="23">
        <v>0.2273</v>
      </c>
      <c r="F46" s="23">
        <f>YEAR('Merged raw data'!$B46)</f>
        <v>2011</v>
      </c>
      <c r="G46" s="23" t="str">
        <f>TEXT('Merged raw data'!$B46,"mmmm")</f>
        <v>January</v>
      </c>
      <c r="H46" s="37" t="str">
        <f>TEXT(TIME('Merged raw data'!F46,0,0),"h AM/PM")</f>
        <v>9 PM</v>
      </c>
      <c r="I46" s="23" t="str">
        <f>IF(OR('Merged raw data'!H46=1,'Merged raw data'!H46=2,'Merged raw data'!H46=3,'Merged raw data'!H46=4,'Merged raw data'!H46=5),"weekday","weekend")</f>
        <v>weekend</v>
      </c>
      <c r="J46" s="23" t="s">
        <v>23</v>
      </c>
      <c r="K46" s="23" t="str">
        <f>IF('Merged raw data'!I46=1,"Clear",IF('Merged raw data'!I46=2,"Mist",IF('Merged raw data'!I46=3,"Rain",IF('Merged raw data'!I46=4,"Storm","NA"))))</f>
        <v>Clear</v>
      </c>
      <c r="L46" s="24">
        <v>0.44</v>
      </c>
      <c r="M46" s="24">
        <v>0.32840000000000003</v>
      </c>
      <c r="N46" s="21">
        <f>'Merged raw data'!$J46*100</f>
        <v>26</v>
      </c>
      <c r="O46" s="21">
        <v>11</v>
      </c>
      <c r="P46" s="21">
        <v>20</v>
      </c>
      <c r="Q46" s="21">
        <v>31</v>
      </c>
      <c r="R46" s="21" t="str">
        <f>IF(Q46&gt;=outliers!I48,"High",IF(Q46&lt;=outliers!I47,"Low","Moderate"))</f>
        <v>High</v>
      </c>
      <c r="S46" s="8" t="str">
        <f>IF(OR(Q46&lt;outliers!$I$6,Q46&gt;outliers!$I$7),"Outlier","Normal")</f>
        <v>Normal</v>
      </c>
      <c r="T46" s="8" t="str">
        <f>IF(OR(L46&lt;outliers!$J$6,L46&gt;outliers!$J$7),"Outlier","Normal")</f>
        <v>Normal</v>
      </c>
      <c r="U46" s="8" t="str">
        <f>IF(OR(M46&lt;outliers!$K$6,M46&gt;outliers!$K$7),"Outlier","Normal")</f>
        <v>Normal</v>
      </c>
    </row>
    <row r="47" spans="1:21">
      <c r="A47" s="21">
        <v>46</v>
      </c>
      <c r="B47" s="68">
        <v>40545</v>
      </c>
      <c r="C47" s="22" t="b">
        <v>0</v>
      </c>
      <c r="D47" s="21" t="str">
        <f t="shared" si="0"/>
        <v>Sunday</v>
      </c>
      <c r="E47" s="23">
        <v>0.21210000000000001</v>
      </c>
      <c r="F47" s="23">
        <f>YEAR('Merged raw data'!$B47)</f>
        <v>2011</v>
      </c>
      <c r="G47" s="23" t="str">
        <f>TEXT('Merged raw data'!$B47,"mmmm")</f>
        <v>January</v>
      </c>
      <c r="H47" s="37" t="str">
        <f>TEXT(TIME('Merged raw data'!F47,0,0),"h AM/PM")</f>
        <v>10 PM</v>
      </c>
      <c r="I47" s="23" t="str">
        <f>IF(OR('Merged raw data'!H47=1,'Merged raw data'!H47=2,'Merged raw data'!H47=3,'Merged raw data'!H47=4,'Merged raw data'!H47=5),"weekday","weekend")</f>
        <v>weekend</v>
      </c>
      <c r="J47" s="23" t="s">
        <v>23</v>
      </c>
      <c r="K47" s="23" t="str">
        <f>IF('Merged raw data'!I47=1,"Clear",IF('Merged raw data'!I47=2,"Mist",IF('Merged raw data'!I47=3,"Rain",IF('Merged raw data'!I47=4,"Storm","NA"))))</f>
        <v>Clear</v>
      </c>
      <c r="L47" s="24">
        <v>0.44</v>
      </c>
      <c r="M47" s="24">
        <v>0.29849999999999999</v>
      </c>
      <c r="N47" s="21">
        <f>'Merged raw data'!$J47*100</f>
        <v>24</v>
      </c>
      <c r="O47" s="21">
        <v>0</v>
      </c>
      <c r="P47" s="21">
        <v>9</v>
      </c>
      <c r="Q47" s="21">
        <v>9</v>
      </c>
      <c r="R47" s="21" t="str">
        <f>IF(Q47&gt;=outliers!I49,"High",IF(Q47&lt;=outliers!I48,"Low","Moderate"))</f>
        <v>High</v>
      </c>
      <c r="S47" s="8" t="str">
        <f>IF(OR(Q47&lt;outliers!$I$6,Q47&gt;outliers!$I$7),"Outlier","Normal")</f>
        <v>Normal</v>
      </c>
      <c r="T47" s="8" t="str">
        <f>IF(OR(L47&lt;outliers!$J$6,L47&gt;outliers!$J$7),"Outlier","Normal")</f>
        <v>Normal</v>
      </c>
      <c r="U47" s="8" t="str">
        <f>IF(OR(M47&lt;outliers!$K$6,M47&gt;outliers!$K$7),"Outlier","Normal")</f>
        <v>Normal</v>
      </c>
    </row>
    <row r="48" spans="1:21">
      <c r="A48" s="21">
        <v>47</v>
      </c>
      <c r="B48" s="68">
        <v>40545</v>
      </c>
      <c r="C48" s="22" t="b">
        <v>0</v>
      </c>
      <c r="D48" s="21" t="str">
        <f t="shared" si="0"/>
        <v>Sunday</v>
      </c>
      <c r="E48" s="23">
        <v>0.2273</v>
      </c>
      <c r="F48" s="23">
        <f>YEAR('Merged raw data'!$B48)</f>
        <v>2011</v>
      </c>
      <c r="G48" s="23" t="str">
        <f>TEXT('Merged raw data'!$B48,"mmmm")</f>
        <v>January</v>
      </c>
      <c r="H48" s="37" t="str">
        <f>TEXT(TIME('Merged raw data'!F48,0,0),"h AM/PM")</f>
        <v>11 PM</v>
      </c>
      <c r="I48" s="23" t="str">
        <f>IF(OR('Merged raw data'!H48=1,'Merged raw data'!H48=2,'Merged raw data'!H48=3,'Merged raw data'!H48=4,'Merged raw data'!H48=5),"weekday","weekend")</f>
        <v>weekend</v>
      </c>
      <c r="J48" s="23" t="s">
        <v>23</v>
      </c>
      <c r="K48" s="23" t="str">
        <f>IF('Merged raw data'!I48=1,"Clear",IF('Merged raw data'!I48=2,"Mist",IF('Merged raw data'!I48=3,"Rain",IF('Merged raw data'!I48=4,"Storm","NA"))))</f>
        <v>Clear</v>
      </c>
      <c r="L48" s="24">
        <v>0.47</v>
      </c>
      <c r="M48" s="24">
        <v>0.16420000000000001</v>
      </c>
      <c r="N48" s="21">
        <f>'Merged raw data'!$J48*100</f>
        <v>22</v>
      </c>
      <c r="O48" s="21">
        <v>0</v>
      </c>
      <c r="P48" s="21">
        <v>8</v>
      </c>
      <c r="Q48" s="21">
        <v>8</v>
      </c>
      <c r="R48" s="21" t="str">
        <f>IF(Q48&gt;=outliers!I50,"High",IF(Q48&lt;=outliers!I49,"Low","Moderate"))</f>
        <v>High</v>
      </c>
      <c r="S48" s="8" t="str">
        <f>IF(OR(Q48&lt;outliers!$I$6,Q48&gt;outliers!$I$7),"Outlier","Normal")</f>
        <v>Normal</v>
      </c>
      <c r="T48" s="8" t="str">
        <f>IF(OR(L48&lt;outliers!$J$6,L48&gt;outliers!$J$7),"Outlier","Normal")</f>
        <v>Normal</v>
      </c>
      <c r="U48" s="8" t="str">
        <f>IF(OR(M48&lt;outliers!$K$6,M48&gt;outliers!$K$7),"Outlier","Normal")</f>
        <v>Normal</v>
      </c>
    </row>
    <row r="49" spans="1:21">
      <c r="A49" s="21">
        <v>48</v>
      </c>
      <c r="B49" s="68">
        <v>40546</v>
      </c>
      <c r="C49" s="22" t="b">
        <v>0</v>
      </c>
      <c r="D49" s="21" t="str">
        <f t="shared" si="0"/>
        <v>Monday</v>
      </c>
      <c r="E49" s="23">
        <v>0.19700000000000001</v>
      </c>
      <c r="F49" s="23">
        <f>YEAR('Merged raw data'!$B49)</f>
        <v>2011</v>
      </c>
      <c r="G49" s="23" t="str">
        <f>TEXT('Merged raw data'!$B49,"mmmm")</f>
        <v>January</v>
      </c>
      <c r="H49" s="37" t="str">
        <f>TEXT(TIME('Merged raw data'!F49,0,0),"h AM/PM")</f>
        <v>12 AM</v>
      </c>
      <c r="I49" s="23" t="str">
        <f>IF(OR('Merged raw data'!H49=1,'Merged raw data'!H49=2,'Merged raw data'!H49=3,'Merged raw data'!H49=4,'Merged raw data'!H49=5),"weekday","weekend")</f>
        <v>weekday</v>
      </c>
      <c r="J49" s="23" t="s">
        <v>23</v>
      </c>
      <c r="K49" s="23" t="str">
        <f>IF('Merged raw data'!I49=1,"Clear",IF('Merged raw data'!I49=2,"Mist",IF('Merged raw data'!I49=3,"Rain",IF('Merged raw data'!I49=4,"Storm","NA"))))</f>
        <v>Clear</v>
      </c>
      <c r="L49" s="24">
        <v>0.44</v>
      </c>
      <c r="M49" s="24">
        <v>0.35820000000000002</v>
      </c>
      <c r="N49" s="21">
        <f>'Merged raw data'!$J49*100</f>
        <v>22</v>
      </c>
      <c r="O49" s="21">
        <v>0</v>
      </c>
      <c r="P49" s="21">
        <v>5</v>
      </c>
      <c r="Q49" s="21">
        <v>5</v>
      </c>
      <c r="R49" s="21" t="str">
        <f>IF(Q49&gt;=outliers!I51,"High",IF(Q49&lt;=outliers!I50,"Low","Moderate"))</f>
        <v>High</v>
      </c>
      <c r="S49" s="8" t="str">
        <f>IF(OR(Q49&lt;outliers!$I$6,Q49&gt;outliers!$I$7),"Outlier","Normal")</f>
        <v>Normal</v>
      </c>
      <c r="T49" s="8" t="str">
        <f>IF(OR(L49&lt;outliers!$J$6,L49&gt;outliers!$J$7),"Outlier","Normal")</f>
        <v>Normal</v>
      </c>
      <c r="U49" s="8" t="str">
        <f>IF(OR(M49&lt;outliers!$K$6,M49&gt;outliers!$K$7),"Outlier","Normal")</f>
        <v>Normal</v>
      </c>
    </row>
    <row r="50" spans="1:21">
      <c r="A50" s="21">
        <v>49</v>
      </c>
      <c r="B50" s="68">
        <v>40546</v>
      </c>
      <c r="C50" s="22" t="b">
        <v>0</v>
      </c>
      <c r="D50" s="21" t="str">
        <f t="shared" si="0"/>
        <v>Monday</v>
      </c>
      <c r="E50" s="23">
        <v>0.21</v>
      </c>
      <c r="F50" s="23">
        <f>YEAR('Merged raw data'!$B50)</f>
        <v>2011</v>
      </c>
      <c r="G50" s="23" t="str">
        <f>TEXT('Merged raw data'!$B50,"mmmm")</f>
        <v>January</v>
      </c>
      <c r="H50" s="37" t="str">
        <f>TEXT(TIME('Merged raw data'!F50,0,0),"h AM/PM")</f>
        <v>1 AM</v>
      </c>
      <c r="I50" s="23" t="str">
        <f>IF(OR('Merged raw data'!H50=1,'Merged raw data'!H50=2,'Merged raw data'!H50=3,'Merged raw data'!H50=4,'Merged raw data'!H50=5),"weekday","weekend")</f>
        <v>weekday</v>
      </c>
      <c r="J50" s="23" t="s">
        <v>23</v>
      </c>
      <c r="K50" s="23" t="str">
        <f>IF('Merged raw data'!I50=1,"Clear",IF('Merged raw data'!I50=2,"Mist",IF('Merged raw data'!I50=3,"Rain",IF('Merged raw data'!I50=4,"Storm","NA"))))</f>
        <v>Clear</v>
      </c>
      <c r="L50" s="24">
        <v>0.44</v>
      </c>
      <c r="M50" s="24">
        <v>0.41789999999999999</v>
      </c>
      <c r="N50" s="21">
        <f>'Merged raw data'!$J50*100</f>
        <v>20</v>
      </c>
      <c r="O50" s="21">
        <v>0</v>
      </c>
      <c r="P50" s="21">
        <v>2</v>
      </c>
      <c r="Q50" s="21">
        <v>2</v>
      </c>
      <c r="R50" s="21" t="str">
        <f>IF(Q50&gt;=outliers!I52,"High",IF(Q50&lt;=outliers!I51,"Low","Moderate"))</f>
        <v>High</v>
      </c>
      <c r="S50" s="8" t="str">
        <f>IF(OR(Q50&lt;outliers!$I$6,Q50&gt;outliers!$I$7),"Outlier","Normal")</f>
        <v>Normal</v>
      </c>
      <c r="T50" s="8" t="str">
        <f>IF(OR(L50&lt;outliers!$J$6,L50&gt;outliers!$J$7),"Outlier","Normal")</f>
        <v>Normal</v>
      </c>
      <c r="U50" s="8" t="str">
        <f>IF(OR(M50&lt;outliers!$K$6,M50&gt;outliers!$K$7),"Outlier","Normal")</f>
        <v>Normal</v>
      </c>
    </row>
    <row r="51" spans="1:21">
      <c r="A51" s="21">
        <v>50</v>
      </c>
      <c r="B51" s="68">
        <v>40546</v>
      </c>
      <c r="C51" s="22" t="b">
        <v>0</v>
      </c>
      <c r="D51" s="21" t="str">
        <f t="shared" si="0"/>
        <v>Monday</v>
      </c>
      <c r="E51" s="23">
        <v>0.13639999999999999</v>
      </c>
      <c r="F51" s="23">
        <f>YEAR('Merged raw data'!$B51)</f>
        <v>2011</v>
      </c>
      <c r="G51" s="23" t="str">
        <f>TEXT('Merged raw data'!$B51,"mmmm")</f>
        <v>January</v>
      </c>
      <c r="H51" s="37" t="str">
        <f>TEXT(TIME('Merged raw data'!F51,0,0),"h AM/PM")</f>
        <v>4 AM</v>
      </c>
      <c r="I51" s="23" t="str">
        <f>IF(OR('Merged raw data'!H51=1,'Merged raw data'!H51=2,'Merged raw data'!H51=3,'Merged raw data'!H51=4,'Merged raw data'!H51=5),"weekday","weekend")</f>
        <v>weekday</v>
      </c>
      <c r="J51" s="23" t="s">
        <v>23</v>
      </c>
      <c r="K51" s="23" t="str">
        <f>IF('Merged raw data'!I51=1,"Clear",IF('Merged raw data'!I51=2,"Mist",IF('Merged raw data'!I51=3,"Rain",IF('Merged raw data'!I51=4,"Storm","NA"))))</f>
        <v>Clear</v>
      </c>
      <c r="L51" s="24">
        <v>0.47</v>
      </c>
      <c r="M51" s="24">
        <v>0.3881</v>
      </c>
      <c r="N51" s="21">
        <f>'Merged raw data'!$J51*100</f>
        <v>16</v>
      </c>
      <c r="O51" s="21">
        <v>0</v>
      </c>
      <c r="P51" s="21">
        <v>1</v>
      </c>
      <c r="Q51" s="21">
        <v>1</v>
      </c>
      <c r="R51" s="21" t="str">
        <f>IF(Q51&gt;=outliers!I53,"High",IF(Q51&lt;=outliers!I52,"Low","Moderate"))</f>
        <v>High</v>
      </c>
      <c r="S51" s="8" t="str">
        <f>IF(OR(Q51&lt;outliers!$I$6,Q51&gt;outliers!$I$7),"Outlier","Normal")</f>
        <v>Normal</v>
      </c>
      <c r="T51" s="8" t="str">
        <f>IF(OR(L51&lt;outliers!$J$6,L51&gt;outliers!$J$7),"Outlier","Normal")</f>
        <v>Normal</v>
      </c>
      <c r="U51" s="8" t="str">
        <f>IF(OR(M51&lt;outliers!$K$6,M51&gt;outliers!$K$7),"Outlier","Normal")</f>
        <v>Normal</v>
      </c>
    </row>
    <row r="52" spans="1:21">
      <c r="A52" s="21">
        <v>51</v>
      </c>
      <c r="B52" s="68">
        <v>40546</v>
      </c>
      <c r="C52" s="22" t="b">
        <v>0</v>
      </c>
      <c r="D52" s="21" t="str">
        <f t="shared" si="0"/>
        <v>Monday</v>
      </c>
      <c r="E52" s="23">
        <v>0.13639999999999999</v>
      </c>
      <c r="F52" s="23">
        <f>YEAR('Merged raw data'!$B52)</f>
        <v>2011</v>
      </c>
      <c r="G52" s="23" t="str">
        <f>TEXT('Merged raw data'!$B52,"mmmm")</f>
        <v>January</v>
      </c>
      <c r="H52" s="37" t="str">
        <f>TEXT(TIME('Merged raw data'!F52,0,0),"h AM/PM")</f>
        <v>5 AM</v>
      </c>
      <c r="I52" s="23" t="str">
        <f>IF(OR('Merged raw data'!H52=1,'Merged raw data'!H52=2,'Merged raw data'!H52=3,'Merged raw data'!H52=4,'Merged raw data'!H52=5),"weekday","weekend")</f>
        <v>weekday</v>
      </c>
      <c r="J52" s="23" t="s">
        <v>23</v>
      </c>
      <c r="K52" s="23" t="str">
        <f>IF('Merged raw data'!I52=1,"Clear",IF('Merged raw data'!I52=2,"Mist",IF('Merged raw data'!I52=3,"Rain",IF('Merged raw data'!I52=4,"Storm","NA"))))</f>
        <v>Clear</v>
      </c>
      <c r="L52" s="24">
        <v>0.47</v>
      </c>
      <c r="M52" s="24">
        <v>0.28360000000000002</v>
      </c>
      <c r="N52" s="21">
        <f>'Merged raw data'!$J52*100</f>
        <v>16</v>
      </c>
      <c r="O52" s="21">
        <v>0</v>
      </c>
      <c r="P52" s="21">
        <v>3</v>
      </c>
      <c r="Q52" s="21">
        <v>3</v>
      </c>
      <c r="R52" s="21" t="str">
        <f>IF(Q52&gt;=outliers!I54,"High",IF(Q52&lt;=outliers!I53,"Low","Moderate"))</f>
        <v>High</v>
      </c>
      <c r="S52" s="8" t="str">
        <f>IF(OR(Q52&lt;outliers!$I$6,Q52&gt;outliers!$I$7),"Outlier","Normal")</f>
        <v>Normal</v>
      </c>
      <c r="T52" s="8" t="str">
        <f>IF(OR(L52&lt;outliers!$J$6,L52&gt;outliers!$J$7),"Outlier","Normal")</f>
        <v>Normal</v>
      </c>
      <c r="U52" s="8" t="str">
        <f>IF(OR(M52&lt;outliers!$K$6,M52&gt;outliers!$K$7),"Outlier","Normal")</f>
        <v>Normal</v>
      </c>
    </row>
    <row r="53" spans="1:21">
      <c r="A53" s="21">
        <v>52</v>
      </c>
      <c r="B53" s="68">
        <v>40546</v>
      </c>
      <c r="C53" s="22" t="b">
        <v>0</v>
      </c>
      <c r="D53" s="21" t="str">
        <f t="shared" si="0"/>
        <v>Monday</v>
      </c>
      <c r="E53" s="23">
        <v>0.1061</v>
      </c>
      <c r="F53" s="23">
        <f>YEAR('Merged raw data'!$B53)</f>
        <v>2011</v>
      </c>
      <c r="G53" s="23" t="str">
        <f>TEXT('Merged raw data'!$B53,"mmmm")</f>
        <v>January</v>
      </c>
      <c r="H53" s="37" t="str">
        <f>TEXT(TIME('Merged raw data'!F53,0,0),"h AM/PM")</f>
        <v>6 AM</v>
      </c>
      <c r="I53" s="23" t="str">
        <f>IF(OR('Merged raw data'!H53=1,'Merged raw data'!H53=2,'Merged raw data'!H53=3,'Merged raw data'!H53=4,'Merged raw data'!H53=5),"weekday","weekend")</f>
        <v>weekday</v>
      </c>
      <c r="J53" s="23" t="s">
        <v>23</v>
      </c>
      <c r="K53" s="23" t="str">
        <f>IF('Merged raw data'!I53=1,"Clear",IF('Merged raw data'!I53=2,"Mist",IF('Merged raw data'!I53=3,"Rain",IF('Merged raw data'!I53=4,"Storm","NA"))))</f>
        <v>Clear</v>
      </c>
      <c r="L53" s="24">
        <v>0.5</v>
      </c>
      <c r="M53" s="24">
        <v>0.3881</v>
      </c>
      <c r="N53" s="21">
        <f>'Merged raw data'!$J53*100</f>
        <v>14.000000000000002</v>
      </c>
      <c r="O53" s="21">
        <v>0</v>
      </c>
      <c r="P53" s="21">
        <v>30</v>
      </c>
      <c r="Q53" s="21">
        <v>30</v>
      </c>
      <c r="R53" s="21" t="str">
        <f>IF(Q53&gt;=outliers!I55,"High",IF(Q53&lt;=outliers!I54,"Low","Moderate"))</f>
        <v>High</v>
      </c>
      <c r="S53" s="8" t="str">
        <f>IF(OR(Q53&lt;outliers!$I$6,Q53&gt;outliers!$I$7),"Outlier","Normal")</f>
        <v>Normal</v>
      </c>
      <c r="T53" s="8" t="str">
        <f>IF(OR(L53&lt;outliers!$J$6,L53&gt;outliers!$J$7),"Outlier","Normal")</f>
        <v>Normal</v>
      </c>
      <c r="U53" s="8" t="str">
        <f>IF(OR(M53&lt;outliers!$K$6,M53&gt;outliers!$K$7),"Outlier","Normal")</f>
        <v>Normal</v>
      </c>
    </row>
    <row r="54" spans="1:21">
      <c r="A54" s="21">
        <v>53</v>
      </c>
      <c r="B54" s="68">
        <v>40546</v>
      </c>
      <c r="C54" s="22" t="b">
        <v>0</v>
      </c>
      <c r="D54" s="21" t="str">
        <f t="shared" si="0"/>
        <v>Monday</v>
      </c>
      <c r="E54" s="23">
        <v>0.13639999999999999</v>
      </c>
      <c r="F54" s="23">
        <f>YEAR('Merged raw data'!$B54)</f>
        <v>2011</v>
      </c>
      <c r="G54" s="23" t="str">
        <f>TEXT('Merged raw data'!$B54,"mmmm")</f>
        <v>January</v>
      </c>
      <c r="H54" s="37" t="str">
        <f>TEXT(TIME('Merged raw data'!F54,0,0),"h AM/PM")</f>
        <v>7 AM</v>
      </c>
      <c r="I54" s="23" t="str">
        <f>IF(OR('Merged raw data'!H54=1,'Merged raw data'!H54=2,'Merged raw data'!H54=3,'Merged raw data'!H54=4,'Merged raw data'!H54=5),"weekday","weekend")</f>
        <v>weekday</v>
      </c>
      <c r="J54" s="23" t="s">
        <v>23</v>
      </c>
      <c r="K54" s="23" t="str">
        <f>IF('Merged raw data'!I54=1,"Clear",IF('Merged raw data'!I54=2,"Mist",IF('Merged raw data'!I54=3,"Rain",IF('Merged raw data'!I54=4,"Storm","NA"))))</f>
        <v>Clear</v>
      </c>
      <c r="L54" s="24">
        <v>0.5</v>
      </c>
      <c r="M54" s="24">
        <v>0.19400000000000001</v>
      </c>
      <c r="N54" s="21">
        <f>'Merged raw data'!$J54*100</f>
        <v>14.000000000000002</v>
      </c>
      <c r="O54" s="21">
        <v>1</v>
      </c>
      <c r="P54" s="21">
        <v>63</v>
      </c>
      <c r="Q54" s="21">
        <v>64</v>
      </c>
      <c r="R54" s="21" t="str">
        <f>IF(Q54&gt;=outliers!I56,"High",IF(Q54&lt;=outliers!I55,"Low","Moderate"))</f>
        <v>High</v>
      </c>
      <c r="S54" s="8" t="str">
        <f>IF(OR(Q54&lt;outliers!$I$6,Q54&gt;outliers!$I$7),"Outlier","Normal")</f>
        <v>Normal</v>
      </c>
      <c r="T54" s="8" t="str">
        <f>IF(OR(L54&lt;outliers!$J$6,L54&gt;outliers!$J$7),"Outlier","Normal")</f>
        <v>Normal</v>
      </c>
      <c r="U54" s="8" t="str">
        <f>IF(OR(M54&lt;outliers!$K$6,M54&gt;outliers!$K$7),"Outlier","Normal")</f>
        <v>Normal</v>
      </c>
    </row>
    <row r="55" spans="1:21">
      <c r="A55" s="21">
        <v>54</v>
      </c>
      <c r="B55" s="68">
        <v>40546</v>
      </c>
      <c r="C55" s="22" t="b">
        <v>0</v>
      </c>
      <c r="D55" s="21" t="str">
        <f t="shared" si="0"/>
        <v>Monday</v>
      </c>
      <c r="E55" s="23">
        <v>0.1212</v>
      </c>
      <c r="F55" s="23">
        <f>YEAR('Merged raw data'!$B55)</f>
        <v>2011</v>
      </c>
      <c r="G55" s="23" t="str">
        <f>TEXT('Merged raw data'!$B55,"mmmm")</f>
        <v>January</v>
      </c>
      <c r="H55" s="37" t="str">
        <f>TEXT(TIME('Merged raw data'!F55,0,0),"h AM/PM")</f>
        <v>8 AM</v>
      </c>
      <c r="I55" s="23" t="str">
        <f>IF(OR('Merged raw data'!H55=1,'Merged raw data'!H55=2,'Merged raw data'!H55=3,'Merged raw data'!H55=4,'Merged raw data'!H55=5),"weekday","weekend")</f>
        <v>weekday</v>
      </c>
      <c r="J55" s="23" t="s">
        <v>23</v>
      </c>
      <c r="K55" s="23" t="str">
        <f>IF('Merged raw data'!I55=1,"Clear",IF('Merged raw data'!I55=2,"Mist",IF('Merged raw data'!I55=3,"Rain",IF('Merged raw data'!I55=4,"Storm","NA"))))</f>
        <v>Clear</v>
      </c>
      <c r="L55" s="24">
        <v>0.5</v>
      </c>
      <c r="M55" s="24">
        <v>0.28360000000000002</v>
      </c>
      <c r="N55" s="21">
        <f>'Merged raw data'!$J55*100</f>
        <v>14.000000000000002</v>
      </c>
      <c r="O55" s="21">
        <v>1</v>
      </c>
      <c r="P55" s="21">
        <v>153</v>
      </c>
      <c r="Q55" s="21">
        <v>154</v>
      </c>
      <c r="R55" s="21" t="str">
        <f>IF(Q55&gt;=outliers!I57,"High",IF(Q55&lt;=outliers!I56,"Low","Moderate"))</f>
        <v>High</v>
      </c>
      <c r="S55" s="8" t="str">
        <f>IF(OR(Q55&lt;outliers!$I$6,Q55&gt;outliers!$I$7),"Outlier","Normal")</f>
        <v>Normal</v>
      </c>
      <c r="T55" s="8" t="str">
        <f>IF(OR(L55&lt;outliers!$J$6,L55&gt;outliers!$J$7),"Outlier","Normal")</f>
        <v>Normal</v>
      </c>
      <c r="U55" s="8" t="str">
        <f>IF(OR(M55&lt;outliers!$K$6,M55&gt;outliers!$K$7),"Outlier","Normal")</f>
        <v>Normal</v>
      </c>
    </row>
    <row r="56" spans="1:21">
      <c r="A56" s="21">
        <v>55</v>
      </c>
      <c r="B56" s="68">
        <v>40546</v>
      </c>
      <c r="C56" s="22" t="b">
        <v>0</v>
      </c>
      <c r="D56" s="21" t="str">
        <f t="shared" si="0"/>
        <v>Monday</v>
      </c>
      <c r="E56" s="23">
        <v>0.13639999999999999</v>
      </c>
      <c r="F56" s="23">
        <f>YEAR('Merged raw data'!$B56)</f>
        <v>2011</v>
      </c>
      <c r="G56" s="23" t="str">
        <f>TEXT('Merged raw data'!$B56,"mmmm")</f>
        <v>January</v>
      </c>
      <c r="H56" s="37" t="str">
        <f>TEXT(TIME('Merged raw data'!F56,0,0),"h AM/PM")</f>
        <v>9 AM</v>
      </c>
      <c r="I56" s="23" t="str">
        <f>IF(OR('Merged raw data'!H56=1,'Merged raw data'!H56=2,'Merged raw data'!H56=3,'Merged raw data'!H56=4,'Merged raw data'!H56=5),"weekday","weekend")</f>
        <v>weekday</v>
      </c>
      <c r="J56" s="23" t="s">
        <v>23</v>
      </c>
      <c r="K56" s="23" t="str">
        <f>IF('Merged raw data'!I56=1,"Clear",IF('Merged raw data'!I56=2,"Mist",IF('Merged raw data'!I56=3,"Rain",IF('Merged raw data'!I56=4,"Storm","NA"))))</f>
        <v>Clear</v>
      </c>
      <c r="L56" s="24">
        <v>0.43</v>
      </c>
      <c r="M56" s="24">
        <v>0.3881</v>
      </c>
      <c r="N56" s="21">
        <f>'Merged raw data'!$J56*100</f>
        <v>16</v>
      </c>
      <c r="O56" s="21">
        <v>7</v>
      </c>
      <c r="P56" s="21">
        <v>81</v>
      </c>
      <c r="Q56" s="21">
        <v>88</v>
      </c>
      <c r="R56" s="21" t="str">
        <f>IF(Q56&gt;=outliers!I58,"High",IF(Q56&lt;=outliers!I57,"Low","Moderate"))</f>
        <v>High</v>
      </c>
      <c r="S56" s="8" t="str">
        <f>IF(OR(Q56&lt;outliers!$I$6,Q56&gt;outliers!$I$7),"Outlier","Normal")</f>
        <v>Normal</v>
      </c>
      <c r="T56" s="8" t="str">
        <f>IF(OR(L56&lt;outliers!$J$6,L56&gt;outliers!$J$7),"Outlier","Normal")</f>
        <v>Normal</v>
      </c>
      <c r="U56" s="8" t="str">
        <f>IF(OR(M56&lt;outliers!$K$6,M56&gt;outliers!$K$7),"Outlier","Normal")</f>
        <v>Normal</v>
      </c>
    </row>
    <row r="57" spans="1:21">
      <c r="A57" s="21">
        <v>56</v>
      </c>
      <c r="B57" s="68">
        <v>40546</v>
      </c>
      <c r="C57" s="22" t="b">
        <v>0</v>
      </c>
      <c r="D57" s="21" t="str">
        <f t="shared" si="0"/>
        <v>Monday</v>
      </c>
      <c r="E57" s="23">
        <v>0.16669999999999999</v>
      </c>
      <c r="F57" s="23">
        <f>YEAR('Merged raw data'!$B57)</f>
        <v>2011</v>
      </c>
      <c r="G57" s="23" t="str">
        <f>TEXT('Merged raw data'!$B57,"mmmm")</f>
        <v>January</v>
      </c>
      <c r="H57" s="37" t="str">
        <f>TEXT(TIME('Merged raw data'!F57,0,0),"h AM/PM")</f>
        <v>10 AM</v>
      </c>
      <c r="I57" s="23" t="str">
        <f>IF(OR('Merged raw data'!H57=1,'Merged raw data'!H57=2,'Merged raw data'!H57=3,'Merged raw data'!H57=4,'Merged raw data'!H57=5),"weekday","weekend")</f>
        <v>weekday</v>
      </c>
      <c r="J57" s="23" t="s">
        <v>23</v>
      </c>
      <c r="K57" s="23" t="str">
        <f>IF('Merged raw data'!I57=1,"Clear",IF('Merged raw data'!I57=2,"Mist",IF('Merged raw data'!I57=3,"Rain",IF('Merged raw data'!I57=4,"Storm","NA"))))</f>
        <v>Clear</v>
      </c>
      <c r="L57" s="24">
        <v>0.43</v>
      </c>
      <c r="M57" s="24">
        <v>0.25369999999999998</v>
      </c>
      <c r="N57" s="21">
        <f>'Merged raw data'!$J57*100</f>
        <v>18</v>
      </c>
      <c r="O57" s="21">
        <v>11</v>
      </c>
      <c r="P57" s="21">
        <v>33</v>
      </c>
      <c r="Q57" s="21">
        <v>44</v>
      </c>
      <c r="R57" s="21" t="str">
        <f>IF(Q57&gt;=outliers!I59,"High",IF(Q57&lt;=outliers!I58,"Low","Moderate"))</f>
        <v>High</v>
      </c>
      <c r="S57" s="8" t="str">
        <f>IF(OR(Q57&lt;outliers!$I$6,Q57&gt;outliers!$I$7),"Outlier","Normal")</f>
        <v>Normal</v>
      </c>
      <c r="T57" s="8" t="str">
        <f>IF(OR(L57&lt;outliers!$J$6,L57&gt;outliers!$J$7),"Outlier","Normal")</f>
        <v>Normal</v>
      </c>
      <c r="U57" s="8" t="str">
        <f>IF(OR(M57&lt;outliers!$K$6,M57&gt;outliers!$K$7),"Outlier","Normal")</f>
        <v>Normal</v>
      </c>
    </row>
    <row r="58" spans="1:21">
      <c r="A58" s="21">
        <v>57</v>
      </c>
      <c r="B58" s="68">
        <v>40546</v>
      </c>
      <c r="C58" s="22" t="b">
        <v>0</v>
      </c>
      <c r="D58" s="21" t="str">
        <f t="shared" si="0"/>
        <v>Monday</v>
      </c>
      <c r="E58" s="23">
        <v>0.18179999999999999</v>
      </c>
      <c r="F58" s="23">
        <f>YEAR('Merged raw data'!$B58)</f>
        <v>2011</v>
      </c>
      <c r="G58" s="23" t="str">
        <f>TEXT('Merged raw data'!$B58,"mmmm")</f>
        <v>January</v>
      </c>
      <c r="H58" s="37" t="str">
        <f>TEXT(TIME('Merged raw data'!F58,0,0),"h AM/PM")</f>
        <v>11 AM</v>
      </c>
      <c r="I58" s="23" t="str">
        <f>IF(OR('Merged raw data'!H58=1,'Merged raw data'!H58=2,'Merged raw data'!H58=3,'Merged raw data'!H58=4,'Merged raw data'!H58=5),"weekday","weekend")</f>
        <v>weekday</v>
      </c>
      <c r="J58" s="23" t="s">
        <v>23</v>
      </c>
      <c r="K58" s="23" t="str">
        <f>IF('Merged raw data'!I58=1,"Clear",IF('Merged raw data'!I58=2,"Mist",IF('Merged raw data'!I58=3,"Rain",IF('Merged raw data'!I58=4,"Storm","NA"))))</f>
        <v>Clear</v>
      </c>
      <c r="L58" s="24">
        <v>0.4</v>
      </c>
      <c r="M58" s="24">
        <v>0.32840000000000003</v>
      </c>
      <c r="N58" s="21">
        <f>'Merged raw data'!$J58*100</f>
        <v>20</v>
      </c>
      <c r="O58" s="21">
        <v>10</v>
      </c>
      <c r="P58" s="21">
        <v>41</v>
      </c>
      <c r="Q58" s="21">
        <v>51</v>
      </c>
      <c r="R58" s="21" t="str">
        <f>IF(Q58&gt;=outliers!I60,"High",IF(Q58&lt;=outliers!I59,"Low","Moderate"))</f>
        <v>High</v>
      </c>
      <c r="S58" s="8" t="str">
        <f>IF(OR(Q58&lt;outliers!$I$6,Q58&gt;outliers!$I$7),"Outlier","Normal")</f>
        <v>Normal</v>
      </c>
      <c r="T58" s="8" t="str">
        <f>IF(OR(L58&lt;outliers!$J$6,L58&gt;outliers!$J$7),"Outlier","Normal")</f>
        <v>Normal</v>
      </c>
      <c r="U58" s="8" t="str">
        <f>IF(OR(M58&lt;outliers!$K$6,M58&gt;outliers!$K$7),"Outlier","Normal")</f>
        <v>Normal</v>
      </c>
    </row>
    <row r="59" spans="1:21">
      <c r="A59" s="21">
        <v>58</v>
      </c>
      <c r="B59" s="68">
        <v>40546</v>
      </c>
      <c r="C59" s="22" t="b">
        <v>0</v>
      </c>
      <c r="D59" s="21" t="str">
        <f t="shared" si="0"/>
        <v>Monday</v>
      </c>
      <c r="E59" s="23">
        <v>0.21210000000000001</v>
      </c>
      <c r="F59" s="23">
        <f>YEAR('Merged raw data'!$B59)</f>
        <v>2011</v>
      </c>
      <c r="G59" s="23" t="str">
        <f>TEXT('Merged raw data'!$B59,"mmmm")</f>
        <v>January</v>
      </c>
      <c r="H59" s="37" t="str">
        <f>TEXT(TIME('Merged raw data'!F59,0,0),"h AM/PM")</f>
        <v>12 PM</v>
      </c>
      <c r="I59" s="23" t="str">
        <f>IF(OR('Merged raw data'!H59=1,'Merged raw data'!H59=2,'Merged raw data'!H59=3,'Merged raw data'!H59=4,'Merged raw data'!H59=5),"weekday","weekend")</f>
        <v>weekday</v>
      </c>
      <c r="J59" s="23" t="s">
        <v>23</v>
      </c>
      <c r="K59" s="23" t="str">
        <f>IF('Merged raw data'!I59=1,"Clear",IF('Merged raw data'!I59=2,"Mist",IF('Merged raw data'!I59=3,"Rain",IF('Merged raw data'!I59=4,"Storm","NA"))))</f>
        <v>Clear</v>
      </c>
      <c r="L59" s="24">
        <v>0.35</v>
      </c>
      <c r="M59" s="24">
        <v>0.29849999999999999</v>
      </c>
      <c r="N59" s="21">
        <f>'Merged raw data'!$J59*100</f>
        <v>22</v>
      </c>
      <c r="O59" s="21">
        <v>13</v>
      </c>
      <c r="P59" s="21">
        <v>48</v>
      </c>
      <c r="Q59" s="21">
        <v>61</v>
      </c>
      <c r="R59" s="21" t="str">
        <f>IF(Q59&gt;=outliers!I61,"High",IF(Q59&lt;=outliers!I60,"Low","Moderate"))</f>
        <v>High</v>
      </c>
      <c r="S59" s="8" t="str">
        <f>IF(OR(Q59&lt;outliers!$I$6,Q59&gt;outliers!$I$7),"Outlier","Normal")</f>
        <v>Normal</v>
      </c>
      <c r="T59" s="8" t="str">
        <f>IF(OR(L59&lt;outliers!$J$6,L59&gt;outliers!$J$7),"Outlier","Normal")</f>
        <v>Normal</v>
      </c>
      <c r="U59" s="8" t="str">
        <f>IF(OR(M59&lt;outliers!$K$6,M59&gt;outliers!$K$7),"Outlier","Normal")</f>
        <v>Normal</v>
      </c>
    </row>
    <row r="60" spans="1:21">
      <c r="A60" s="21">
        <v>59</v>
      </c>
      <c r="B60" s="68">
        <v>40546</v>
      </c>
      <c r="C60" s="22" t="b">
        <v>0</v>
      </c>
      <c r="D60" s="21" t="str">
        <f t="shared" si="0"/>
        <v>Monday</v>
      </c>
      <c r="E60" s="23">
        <v>0.21</v>
      </c>
      <c r="F60" s="23">
        <f>YEAR('Merged raw data'!$B60)</f>
        <v>2011</v>
      </c>
      <c r="G60" s="23" t="str">
        <f>TEXT('Merged raw data'!$B60,"mmmm")</f>
        <v>January</v>
      </c>
      <c r="H60" s="37" t="str">
        <f>TEXT(TIME('Merged raw data'!F60,0,0),"h AM/PM")</f>
        <v>1 PM</v>
      </c>
      <c r="I60" s="23" t="str">
        <f>IF(OR('Merged raw data'!H60=1,'Merged raw data'!H60=2,'Merged raw data'!H60=3,'Merged raw data'!H60=4,'Merged raw data'!H60=5),"weekday","weekend")</f>
        <v>weekday</v>
      </c>
      <c r="J60" s="23" t="s">
        <v>23</v>
      </c>
      <c r="K60" s="23" t="str">
        <f>IF('Merged raw data'!I60=1,"Clear",IF('Merged raw data'!I60=2,"Mist",IF('Merged raw data'!I60=3,"Rain",IF('Merged raw data'!I60=4,"Storm","NA"))))</f>
        <v>Clear</v>
      </c>
      <c r="L60" s="24">
        <v>0.35</v>
      </c>
      <c r="M60" s="24">
        <v>0.28360000000000002</v>
      </c>
      <c r="N60" s="21">
        <f>'Merged raw data'!$J60*100</f>
        <v>24</v>
      </c>
      <c r="O60" s="21">
        <v>8</v>
      </c>
      <c r="P60" s="21">
        <v>53</v>
      </c>
      <c r="Q60" s="21">
        <v>61</v>
      </c>
      <c r="R60" s="21" t="str">
        <f>IF(Q60&gt;=outliers!I62,"High",IF(Q60&lt;=outliers!I61,"Low","Moderate"))</f>
        <v>High</v>
      </c>
      <c r="S60" s="8" t="str">
        <f>IF(OR(Q60&lt;outliers!$I$6,Q60&gt;outliers!$I$7),"Outlier","Normal")</f>
        <v>Normal</v>
      </c>
      <c r="T60" s="8" t="str">
        <f>IF(OR(L60&lt;outliers!$J$6,L60&gt;outliers!$J$7),"Outlier","Normal")</f>
        <v>Normal</v>
      </c>
      <c r="U60" s="8" t="str">
        <f>IF(OR(M60&lt;outliers!$K$6,M60&gt;outliers!$K$7),"Outlier","Normal")</f>
        <v>Normal</v>
      </c>
    </row>
    <row r="61" spans="1:21">
      <c r="A61" s="21">
        <v>60</v>
      </c>
      <c r="B61" s="68">
        <v>40546</v>
      </c>
      <c r="C61" s="22" t="b">
        <v>0</v>
      </c>
      <c r="D61" s="21" t="str">
        <f t="shared" si="0"/>
        <v>Monday</v>
      </c>
      <c r="E61" s="23">
        <v>0.2424</v>
      </c>
      <c r="F61" s="23">
        <f>YEAR('Merged raw data'!$B61)</f>
        <v>2011</v>
      </c>
      <c r="G61" s="23" t="str">
        <f>TEXT('Merged raw data'!$B61,"mmmm")</f>
        <v>January</v>
      </c>
      <c r="H61" s="37" t="str">
        <f>TEXT(TIME('Merged raw data'!F61,0,0),"h AM/PM")</f>
        <v>2 PM</v>
      </c>
      <c r="I61" s="23" t="str">
        <f>IF(OR('Merged raw data'!H61=1,'Merged raw data'!H61=2,'Merged raw data'!H61=3,'Merged raw data'!H61=4,'Merged raw data'!H61=5),"weekday","weekend")</f>
        <v>weekday</v>
      </c>
      <c r="J61" s="23" t="s">
        <v>23</v>
      </c>
      <c r="K61" s="23" t="str">
        <f>IF('Merged raw data'!I61=1,"Clear",IF('Merged raw data'!I61=2,"Mist",IF('Merged raw data'!I61=3,"Rain",IF('Merged raw data'!I61=4,"Storm","NA"))))</f>
        <v>Clear</v>
      </c>
      <c r="L61" s="24">
        <v>0.3</v>
      </c>
      <c r="M61" s="24">
        <v>0.28360000000000002</v>
      </c>
      <c r="N61" s="21">
        <f>'Merged raw data'!$J61*100</f>
        <v>26</v>
      </c>
      <c r="O61" s="21">
        <v>11</v>
      </c>
      <c r="P61" s="21">
        <v>66</v>
      </c>
      <c r="Q61" s="21">
        <v>77</v>
      </c>
      <c r="R61" s="21" t="str">
        <f>IF(Q61&gt;=outliers!I63,"High",IF(Q61&lt;=outliers!I62,"Low","Moderate"))</f>
        <v>High</v>
      </c>
      <c r="S61" s="8" t="str">
        <f>IF(OR(Q61&lt;outliers!$I$6,Q61&gt;outliers!$I$7),"Outlier","Normal")</f>
        <v>Normal</v>
      </c>
      <c r="T61" s="8" t="str">
        <f>IF(OR(L61&lt;outliers!$J$6,L61&gt;outliers!$J$7),"Outlier","Normal")</f>
        <v>Normal</v>
      </c>
      <c r="U61" s="8" t="str">
        <f>IF(OR(M61&lt;outliers!$K$6,M61&gt;outliers!$K$7),"Outlier","Normal")</f>
        <v>Normal</v>
      </c>
    </row>
    <row r="62" spans="1:21">
      <c r="A62" s="21">
        <v>61</v>
      </c>
      <c r="B62" s="68">
        <v>40546</v>
      </c>
      <c r="C62" s="22" t="b">
        <v>0</v>
      </c>
      <c r="D62" s="21" t="str">
        <f t="shared" si="0"/>
        <v>Monday</v>
      </c>
      <c r="E62" s="23">
        <v>0.2424</v>
      </c>
      <c r="F62" s="23">
        <f>YEAR('Merged raw data'!$B62)</f>
        <v>2011</v>
      </c>
      <c r="G62" s="23" t="str">
        <f>TEXT('Merged raw data'!$B62,"mmmm")</f>
        <v>January</v>
      </c>
      <c r="H62" s="37" t="str">
        <f>TEXT(TIME('Merged raw data'!F62,0,0),"h AM/PM")</f>
        <v>3 PM</v>
      </c>
      <c r="I62" s="23" t="str">
        <f>IF(OR('Merged raw data'!H62=1,'Merged raw data'!H62=2,'Merged raw data'!H62=3,'Merged raw data'!H62=4,'Merged raw data'!H62=5),"weekday","weekend")</f>
        <v>weekday</v>
      </c>
      <c r="J62" s="23" t="s">
        <v>23</v>
      </c>
      <c r="K62" s="23" t="str">
        <f>IF('Merged raw data'!I62=1,"Clear",IF('Merged raw data'!I62=2,"Mist",IF('Merged raw data'!I62=3,"Rain",IF('Merged raw data'!I62=4,"Storm","NA"))))</f>
        <v>Clear</v>
      </c>
      <c r="L62" s="24">
        <v>0.3</v>
      </c>
      <c r="M62" s="24">
        <v>0.25369999999999998</v>
      </c>
      <c r="N62" s="21">
        <f>'Merged raw data'!$J62*100</f>
        <v>26</v>
      </c>
      <c r="O62" s="21">
        <v>14</v>
      </c>
      <c r="P62" s="21">
        <v>58</v>
      </c>
      <c r="Q62" s="21">
        <v>72</v>
      </c>
      <c r="R62" s="21" t="str">
        <f>IF(Q62&gt;=outliers!I64,"High",IF(Q62&lt;=outliers!I63,"Low","Moderate"))</f>
        <v>High</v>
      </c>
      <c r="S62" s="8" t="str">
        <f>IF(OR(Q62&lt;outliers!$I$6,Q62&gt;outliers!$I$7),"Outlier","Normal")</f>
        <v>Normal</v>
      </c>
      <c r="T62" s="8" t="str">
        <f>IF(OR(L62&lt;outliers!$J$6,L62&gt;outliers!$J$7),"Outlier","Normal")</f>
        <v>Normal</v>
      </c>
      <c r="U62" s="8" t="str">
        <f>IF(OR(M62&lt;outliers!$K$6,M62&gt;outliers!$K$7),"Outlier","Normal")</f>
        <v>Normal</v>
      </c>
    </row>
    <row r="63" spans="1:21">
      <c r="A63" s="21">
        <v>62</v>
      </c>
      <c r="B63" s="68">
        <v>40546</v>
      </c>
      <c r="C63" s="22" t="b">
        <v>0</v>
      </c>
      <c r="D63" s="21" t="str">
        <f t="shared" si="0"/>
        <v>Monday</v>
      </c>
      <c r="E63" s="23">
        <v>0.2424</v>
      </c>
      <c r="F63" s="23">
        <f>YEAR('Merged raw data'!$B63)</f>
        <v>2011</v>
      </c>
      <c r="G63" s="23" t="str">
        <f>TEXT('Merged raw data'!$B63,"mmmm")</f>
        <v>January</v>
      </c>
      <c r="H63" s="37" t="str">
        <f>TEXT(TIME('Merged raw data'!F63,0,0),"h AM/PM")</f>
        <v>4 PM</v>
      </c>
      <c r="I63" s="23" t="str">
        <f>IF(OR('Merged raw data'!H63=1,'Merged raw data'!H63=2,'Merged raw data'!H63=3,'Merged raw data'!H63=4,'Merged raw data'!H63=5),"weekday","weekend")</f>
        <v>weekday</v>
      </c>
      <c r="J63" s="23" t="s">
        <v>23</v>
      </c>
      <c r="K63" s="23" t="str">
        <f>IF('Merged raw data'!I63=1,"Clear",IF('Merged raw data'!I63=2,"Mist",IF('Merged raw data'!I63=3,"Rain",IF('Merged raw data'!I63=4,"Storm","NA"))))</f>
        <v>Clear</v>
      </c>
      <c r="L63" s="24">
        <v>0.3</v>
      </c>
      <c r="M63" s="24">
        <v>0.25369999999999998</v>
      </c>
      <c r="N63" s="21">
        <f>'Merged raw data'!$J63*100</f>
        <v>26</v>
      </c>
      <c r="O63" s="21">
        <v>9</v>
      </c>
      <c r="P63" s="21">
        <v>67</v>
      </c>
      <c r="Q63" s="21">
        <v>76</v>
      </c>
      <c r="R63" s="21" t="str">
        <f>IF(Q63&gt;=outliers!I65,"High",IF(Q63&lt;=outliers!I64,"Low","Moderate"))</f>
        <v>High</v>
      </c>
      <c r="S63" s="8" t="str">
        <f>IF(OR(Q63&lt;outliers!$I$6,Q63&gt;outliers!$I$7),"Outlier","Normal")</f>
        <v>Normal</v>
      </c>
      <c r="T63" s="8" t="str">
        <f>IF(OR(L63&lt;outliers!$J$6,L63&gt;outliers!$J$7),"Outlier","Normal")</f>
        <v>Normal</v>
      </c>
      <c r="U63" s="8" t="str">
        <f>IF(OR(M63&lt;outliers!$K$6,M63&gt;outliers!$K$7),"Outlier","Normal")</f>
        <v>Normal</v>
      </c>
    </row>
    <row r="64" spans="1:21">
      <c r="A64" s="21">
        <v>63</v>
      </c>
      <c r="B64" s="68">
        <v>40546</v>
      </c>
      <c r="C64" s="22" t="b">
        <v>0</v>
      </c>
      <c r="D64" s="21" t="str">
        <f t="shared" si="0"/>
        <v>Monday</v>
      </c>
      <c r="E64" s="23">
        <v>0.2273</v>
      </c>
      <c r="F64" s="23">
        <f>YEAR('Merged raw data'!$B64)</f>
        <v>2011</v>
      </c>
      <c r="G64" s="23" t="str">
        <f>TEXT('Merged raw data'!$B64,"mmmm")</f>
        <v>January</v>
      </c>
      <c r="H64" s="37" t="str">
        <f>TEXT(TIME('Merged raw data'!F64,0,0),"h AM/PM")</f>
        <v>5 PM</v>
      </c>
      <c r="I64" s="23" t="str">
        <f>IF(OR('Merged raw data'!H64=1,'Merged raw data'!H64=2,'Merged raw data'!H64=3,'Merged raw data'!H64=4,'Merged raw data'!H64=5),"weekday","weekend")</f>
        <v>weekday</v>
      </c>
      <c r="J64" s="23" t="s">
        <v>23</v>
      </c>
      <c r="K64" s="23" t="str">
        <f>IF('Merged raw data'!I64=1,"Clear",IF('Merged raw data'!I64=2,"Mist",IF('Merged raw data'!I64=3,"Rain",IF('Merged raw data'!I64=4,"Storm","NA"))))</f>
        <v>Clear</v>
      </c>
      <c r="L64" s="24">
        <v>0.3</v>
      </c>
      <c r="M64" s="24">
        <v>0.22389999999999999</v>
      </c>
      <c r="N64" s="21">
        <f>'Merged raw data'!$J64*100</f>
        <v>24</v>
      </c>
      <c r="O64" s="21">
        <v>11</v>
      </c>
      <c r="P64" s="21">
        <v>146</v>
      </c>
      <c r="Q64" s="21">
        <v>157</v>
      </c>
      <c r="R64" s="21" t="str">
        <f>IF(Q64&gt;=outliers!I66,"High",IF(Q64&lt;=outliers!I65,"Low","Moderate"))</f>
        <v>High</v>
      </c>
      <c r="S64" s="8" t="str">
        <f>IF(OR(Q64&lt;outliers!$I$6,Q64&gt;outliers!$I$7),"Outlier","Normal")</f>
        <v>Normal</v>
      </c>
      <c r="T64" s="8" t="str">
        <f>IF(OR(L64&lt;outliers!$J$6,L64&gt;outliers!$J$7),"Outlier","Normal")</f>
        <v>Normal</v>
      </c>
      <c r="U64" s="8" t="str">
        <f>IF(OR(M64&lt;outliers!$K$6,M64&gt;outliers!$K$7),"Outlier","Normal")</f>
        <v>Normal</v>
      </c>
    </row>
    <row r="65" spans="1:21">
      <c r="A65" s="21">
        <v>64</v>
      </c>
      <c r="B65" s="68">
        <v>40546</v>
      </c>
      <c r="C65" s="22" t="b">
        <v>0</v>
      </c>
      <c r="D65" s="21" t="str">
        <f t="shared" si="0"/>
        <v>Monday</v>
      </c>
      <c r="E65" s="23">
        <v>0.2576</v>
      </c>
      <c r="F65" s="23">
        <f>YEAR('Merged raw data'!$B65)</f>
        <v>2011</v>
      </c>
      <c r="G65" s="23" t="str">
        <f>TEXT('Merged raw data'!$B65,"mmmm")</f>
        <v>January</v>
      </c>
      <c r="H65" s="37" t="str">
        <f>TEXT(TIME('Merged raw data'!F65,0,0),"h AM/PM")</f>
        <v>6 PM</v>
      </c>
      <c r="I65" s="23" t="str">
        <f>IF(OR('Merged raw data'!H65=1,'Merged raw data'!H65=2,'Merged raw data'!H65=3,'Merged raw data'!H65=4,'Merged raw data'!H65=5),"weekday","weekend")</f>
        <v>weekday</v>
      </c>
      <c r="J65" s="23" t="s">
        <v>23</v>
      </c>
      <c r="K65" s="23" t="str">
        <f>IF('Merged raw data'!I65=1,"Clear",IF('Merged raw data'!I65=2,"Mist",IF('Merged raw data'!I65=3,"Rain",IF('Merged raw data'!I65=4,"Storm","NA"))))</f>
        <v>Clear</v>
      </c>
      <c r="L65" s="24">
        <v>0.32</v>
      </c>
      <c r="M65" s="24">
        <v>0.1045</v>
      </c>
      <c r="N65" s="21">
        <f>'Merged raw data'!$J65*100</f>
        <v>24</v>
      </c>
      <c r="O65" s="21">
        <v>9</v>
      </c>
      <c r="P65" s="21">
        <v>148</v>
      </c>
      <c r="Q65" s="21">
        <v>157</v>
      </c>
      <c r="R65" s="21" t="str">
        <f>IF(Q65&gt;=outliers!I67,"High",IF(Q65&lt;=outliers!I66,"Low","Moderate"))</f>
        <v>High</v>
      </c>
      <c r="S65" s="8" t="str">
        <f>IF(OR(Q65&lt;outliers!$I$6,Q65&gt;outliers!$I$7),"Outlier","Normal")</f>
        <v>Normal</v>
      </c>
      <c r="T65" s="8" t="str">
        <f>IF(OR(L65&lt;outliers!$J$6,L65&gt;outliers!$J$7),"Outlier","Normal")</f>
        <v>Normal</v>
      </c>
      <c r="U65" s="8" t="str">
        <f>IF(OR(M65&lt;outliers!$K$6,M65&gt;outliers!$K$7),"Outlier","Normal")</f>
        <v>Normal</v>
      </c>
    </row>
    <row r="66" spans="1:21">
      <c r="A66" s="21">
        <v>65</v>
      </c>
      <c r="B66" s="68">
        <v>40546</v>
      </c>
      <c r="C66" s="22" t="b">
        <v>0</v>
      </c>
      <c r="D66" s="21" t="str">
        <f t="shared" si="0"/>
        <v>Monday</v>
      </c>
      <c r="E66" s="23">
        <v>0.2576</v>
      </c>
      <c r="F66" s="23">
        <f>YEAR('Merged raw data'!$B66)</f>
        <v>2011</v>
      </c>
      <c r="G66" s="23" t="str">
        <f>TEXT('Merged raw data'!$B66,"mmmm")</f>
        <v>January</v>
      </c>
      <c r="H66" s="37" t="str">
        <f>TEXT(TIME('Merged raw data'!F66,0,0),"h AM/PM")</f>
        <v>7 PM</v>
      </c>
      <c r="I66" s="23" t="str">
        <f>IF(OR('Merged raw data'!H66=1,'Merged raw data'!H66=2,'Merged raw data'!H66=3,'Merged raw data'!H66=4,'Merged raw data'!H66=5),"weekday","weekend")</f>
        <v>weekday</v>
      </c>
      <c r="J66" s="23" t="s">
        <v>23</v>
      </c>
      <c r="K66" s="23" t="str">
        <f>IF('Merged raw data'!I66=1,"Clear",IF('Merged raw data'!I66=2,"Mist",IF('Merged raw data'!I66=3,"Rain",IF('Merged raw data'!I66=4,"Storm","NA"))))</f>
        <v>Clear</v>
      </c>
      <c r="L66" s="24">
        <v>0.47</v>
      </c>
      <c r="M66" s="24">
        <v>0.23</v>
      </c>
      <c r="N66" s="21">
        <f>'Merged raw data'!$J66*100</f>
        <v>20</v>
      </c>
      <c r="O66" s="21">
        <v>8</v>
      </c>
      <c r="P66" s="21">
        <v>102</v>
      </c>
      <c r="Q66" s="21">
        <v>110</v>
      </c>
      <c r="R66" s="21" t="str">
        <f>IF(Q66&gt;=outliers!I68,"High",IF(Q66&lt;=outliers!I67,"Low","Moderate"))</f>
        <v>High</v>
      </c>
      <c r="S66" s="8" t="str">
        <f>IF(OR(Q66&lt;outliers!$I$6,Q66&gt;outliers!$I$7),"Outlier","Normal")</f>
        <v>Normal</v>
      </c>
      <c r="T66" s="8" t="str">
        <f>IF(OR(L66&lt;outliers!$J$6,L66&gt;outliers!$J$7),"Outlier","Normal")</f>
        <v>Normal</v>
      </c>
      <c r="U66" s="8" t="str">
        <f>IF(OR(M66&lt;outliers!$K$6,M66&gt;outliers!$K$7),"Outlier","Normal")</f>
        <v>Normal</v>
      </c>
    </row>
    <row r="67" spans="1:21">
      <c r="A67" s="21">
        <v>66</v>
      </c>
      <c r="B67" s="68">
        <v>40546</v>
      </c>
      <c r="C67" s="22" t="b">
        <v>0</v>
      </c>
      <c r="D67" s="21" t="str">
        <f t="shared" ref="D67:D130" si="1">TEXT(B67,"dddd")</f>
        <v>Monday</v>
      </c>
      <c r="E67" s="23">
        <v>0.21</v>
      </c>
      <c r="F67" s="23">
        <f>YEAR('Merged raw data'!$B67)</f>
        <v>2011</v>
      </c>
      <c r="G67" s="23" t="str">
        <f>TEXT('Merged raw data'!$B67,"mmmm")</f>
        <v>January</v>
      </c>
      <c r="H67" s="37" t="str">
        <f>TEXT(TIME('Merged raw data'!F67,0,0),"h AM/PM")</f>
        <v>8 PM</v>
      </c>
      <c r="I67" s="23" t="str">
        <f>IF(OR('Merged raw data'!H67=1,'Merged raw data'!H67=2,'Merged raw data'!H67=3,'Merged raw data'!H67=4,'Merged raw data'!H67=5),"weekday","weekend")</f>
        <v>weekday</v>
      </c>
      <c r="J67" s="23" t="s">
        <v>23</v>
      </c>
      <c r="K67" s="23" t="str">
        <f>IF('Merged raw data'!I67=1,"Clear",IF('Merged raw data'!I67=2,"Mist",IF('Merged raw data'!I67=3,"Rain",IF('Merged raw data'!I67=4,"Storm","NA"))))</f>
        <v>Clear</v>
      </c>
      <c r="L67" s="24">
        <v>0.47</v>
      </c>
      <c r="M67" s="24">
        <v>0.1045</v>
      </c>
      <c r="N67" s="21">
        <f>'Merged raw data'!$J67*100</f>
        <v>20</v>
      </c>
      <c r="O67" s="21">
        <v>3</v>
      </c>
      <c r="P67" s="21">
        <v>49</v>
      </c>
      <c r="Q67" s="21">
        <v>52</v>
      </c>
      <c r="R67" s="21" t="str">
        <f>IF(Q67&gt;=outliers!I69,"High",IF(Q67&lt;=outliers!I68,"Low","Moderate"))</f>
        <v>High</v>
      </c>
      <c r="S67" s="8" t="str">
        <f>IF(OR(Q67&lt;outliers!$I$6,Q67&gt;outliers!$I$7),"Outlier","Normal")</f>
        <v>Normal</v>
      </c>
      <c r="T67" s="8" t="str">
        <f>IF(OR(L67&lt;outliers!$J$6,L67&gt;outliers!$J$7),"Outlier","Normal")</f>
        <v>Normal</v>
      </c>
      <c r="U67" s="8" t="str">
        <f>IF(OR(M67&lt;outliers!$K$6,M67&gt;outliers!$K$7),"Outlier","Normal")</f>
        <v>Normal</v>
      </c>
    </row>
    <row r="68" spans="1:21">
      <c r="A68" s="21">
        <v>67</v>
      </c>
      <c r="B68" s="68">
        <v>40546</v>
      </c>
      <c r="C68" s="22" t="b">
        <v>0</v>
      </c>
      <c r="D68" s="21" t="str">
        <f t="shared" si="1"/>
        <v>Monday</v>
      </c>
      <c r="E68" s="23">
        <v>0.19700000000000001</v>
      </c>
      <c r="F68" s="23">
        <f>YEAR('Merged raw data'!$B68)</f>
        <v>2011</v>
      </c>
      <c r="G68" s="23" t="str">
        <f>TEXT('Merged raw data'!$B68,"mmmm")</f>
        <v>January</v>
      </c>
      <c r="H68" s="37" t="str">
        <f>TEXT(TIME('Merged raw data'!F68,0,0),"h AM/PM")</f>
        <v>9 PM</v>
      </c>
      <c r="I68" s="23" t="str">
        <f>IF(OR('Merged raw data'!H68=1,'Merged raw data'!H68=2,'Merged raw data'!H68=3,'Merged raw data'!H68=4,'Merged raw data'!H68=5),"weekday","weekend")</f>
        <v>weekday</v>
      </c>
      <c r="J68" s="23" t="s">
        <v>23</v>
      </c>
      <c r="K68" s="23" t="str">
        <f>IF('Merged raw data'!I68=1,"Clear",IF('Merged raw data'!I68=2,"Mist",IF('Merged raw data'!I68=3,"Rain",IF('Merged raw data'!I68=4,"Storm","NA"))))</f>
        <v>Clear</v>
      </c>
      <c r="L68" s="24">
        <v>0.64</v>
      </c>
      <c r="M68" s="24">
        <v>0.1343</v>
      </c>
      <c r="N68" s="21">
        <f>'Merged raw data'!$J68*100</f>
        <v>18</v>
      </c>
      <c r="O68" s="21">
        <v>3</v>
      </c>
      <c r="P68" s="21">
        <v>49</v>
      </c>
      <c r="Q68" s="21">
        <v>52</v>
      </c>
      <c r="R68" s="21" t="str">
        <f>IF(Q68&gt;=outliers!I70,"High",IF(Q68&lt;=outliers!I69,"Low","Moderate"))</f>
        <v>High</v>
      </c>
      <c r="S68" s="8" t="str">
        <f>IF(OR(Q68&lt;outliers!$I$6,Q68&gt;outliers!$I$7),"Outlier","Normal")</f>
        <v>Normal</v>
      </c>
      <c r="T68" s="8" t="str">
        <f>IF(OR(L68&lt;outliers!$J$6,L68&gt;outliers!$J$7),"Outlier","Normal")</f>
        <v>Normal</v>
      </c>
      <c r="U68" s="8" t="str">
        <f>IF(OR(M68&lt;outliers!$K$6,M68&gt;outliers!$K$7),"Outlier","Normal")</f>
        <v>Normal</v>
      </c>
    </row>
    <row r="69" spans="1:21">
      <c r="A69" s="21">
        <v>68</v>
      </c>
      <c r="B69" s="68">
        <v>40546</v>
      </c>
      <c r="C69" s="22" t="b">
        <v>0</v>
      </c>
      <c r="D69" s="21" t="str">
        <f t="shared" si="1"/>
        <v>Monday</v>
      </c>
      <c r="E69" s="23">
        <v>0.1515</v>
      </c>
      <c r="F69" s="23">
        <f>YEAR('Merged raw data'!$B69)</f>
        <v>2011</v>
      </c>
      <c r="G69" s="23" t="str">
        <f>TEXT('Merged raw data'!$B69,"mmmm")</f>
        <v>January</v>
      </c>
      <c r="H69" s="37" t="str">
        <f>TEXT(TIME('Merged raw data'!F69,0,0),"h AM/PM")</f>
        <v>10 PM</v>
      </c>
      <c r="I69" s="23" t="str">
        <f>IF(OR('Merged raw data'!H69=1,'Merged raw data'!H69=2,'Merged raw data'!H69=3,'Merged raw data'!H69=4,'Merged raw data'!H69=5),"weekday","weekend")</f>
        <v>weekday</v>
      </c>
      <c r="J69" s="23" t="s">
        <v>23</v>
      </c>
      <c r="K69" s="23" t="str">
        <f>IF('Merged raw data'!I69=1,"Clear",IF('Merged raw data'!I69=2,"Mist",IF('Merged raw data'!I69=3,"Rain",IF('Merged raw data'!I69=4,"Storm","NA"))))</f>
        <v>Clear</v>
      </c>
      <c r="L69" s="24">
        <v>0.69</v>
      </c>
      <c r="M69" s="24">
        <v>0.1343</v>
      </c>
      <c r="N69" s="21">
        <f>'Merged raw data'!$J69*100</f>
        <v>14.000000000000002</v>
      </c>
      <c r="O69" s="21">
        <v>0</v>
      </c>
      <c r="P69" s="21">
        <v>20</v>
      </c>
      <c r="Q69" s="21">
        <v>20</v>
      </c>
      <c r="R69" s="21" t="str">
        <f>IF(Q69&gt;=outliers!I71,"High",IF(Q69&lt;=outliers!I70,"Low","Moderate"))</f>
        <v>High</v>
      </c>
      <c r="S69" s="8" t="str">
        <f>IF(OR(Q69&lt;outliers!$I$6,Q69&gt;outliers!$I$7),"Outlier","Normal")</f>
        <v>Normal</v>
      </c>
      <c r="T69" s="8" t="str">
        <f>IF(OR(L69&lt;outliers!$J$6,L69&gt;outliers!$J$7),"Outlier","Normal")</f>
        <v>Normal</v>
      </c>
      <c r="U69" s="8" t="str">
        <f>IF(OR(M69&lt;outliers!$K$6,M69&gt;outliers!$K$7),"Outlier","Normal")</f>
        <v>Normal</v>
      </c>
    </row>
    <row r="70" spans="1:21">
      <c r="A70" s="21">
        <v>69</v>
      </c>
      <c r="B70" s="68">
        <v>40546</v>
      </c>
      <c r="C70" s="22" t="b">
        <v>0</v>
      </c>
      <c r="D70" s="21" t="str">
        <f t="shared" si="1"/>
        <v>Monday</v>
      </c>
      <c r="E70" s="23">
        <v>0.21210000000000001</v>
      </c>
      <c r="F70" s="23">
        <f>YEAR('Merged raw data'!$B70)</f>
        <v>2011</v>
      </c>
      <c r="G70" s="23" t="str">
        <f>TEXT('Merged raw data'!$B70,"mmmm")</f>
        <v>January</v>
      </c>
      <c r="H70" s="37" t="str">
        <f>TEXT(TIME('Merged raw data'!F70,0,0),"h AM/PM")</f>
        <v>11 PM</v>
      </c>
      <c r="I70" s="23" t="str">
        <f>IF(OR('Merged raw data'!H70=1,'Merged raw data'!H70=2,'Merged raw data'!H70=3,'Merged raw data'!H70=4,'Merged raw data'!H70=5),"weekday","weekend")</f>
        <v>weekday</v>
      </c>
      <c r="J70" s="23" t="s">
        <v>23</v>
      </c>
      <c r="K70" s="23" t="str">
        <f>IF('Merged raw data'!I70=1,"Clear",IF('Merged raw data'!I70=2,"Mist",IF('Merged raw data'!I70=3,"Rain",IF('Merged raw data'!I70=4,"Storm","NA"))))</f>
        <v>Clear</v>
      </c>
      <c r="L70" s="24">
        <v>0.55000000000000004</v>
      </c>
      <c r="M70" s="24">
        <v>0.1045</v>
      </c>
      <c r="N70" s="21">
        <f>'Merged raw data'!$J70*100</f>
        <v>18</v>
      </c>
      <c r="O70" s="21">
        <v>1</v>
      </c>
      <c r="P70" s="21">
        <v>11</v>
      </c>
      <c r="Q70" s="21">
        <v>12</v>
      </c>
      <c r="R70" s="21" t="str">
        <f>IF(Q70&gt;=outliers!I72,"High",IF(Q70&lt;=outliers!I71,"Low","Moderate"))</f>
        <v>High</v>
      </c>
      <c r="S70" s="8" t="str">
        <f>IF(OR(Q70&lt;outliers!$I$6,Q70&gt;outliers!$I$7),"Outlier","Normal")</f>
        <v>Normal</v>
      </c>
      <c r="T70" s="8" t="str">
        <f>IF(OR(L70&lt;outliers!$J$6,L70&gt;outliers!$J$7),"Outlier","Normal")</f>
        <v>Normal</v>
      </c>
      <c r="U70" s="8" t="str">
        <f>IF(OR(M70&lt;outliers!$K$6,M70&gt;outliers!$K$7),"Outlier","Normal")</f>
        <v>Normal</v>
      </c>
    </row>
    <row r="71" spans="1:21">
      <c r="A71" s="21">
        <v>70</v>
      </c>
      <c r="B71" s="68">
        <v>40547</v>
      </c>
      <c r="C71" s="22" t="b">
        <v>0</v>
      </c>
      <c r="D71" s="21" t="str">
        <f t="shared" si="1"/>
        <v>Tuesday</v>
      </c>
      <c r="E71" s="23">
        <v>0.21</v>
      </c>
      <c r="F71" s="23">
        <f>YEAR('Merged raw data'!$B71)</f>
        <v>2011</v>
      </c>
      <c r="G71" s="23" t="str">
        <f>TEXT('Merged raw data'!$B71,"mmmm")</f>
        <v>January</v>
      </c>
      <c r="H71" s="37" t="str">
        <f>TEXT(TIME('Merged raw data'!F71,0,0),"h AM/PM")</f>
        <v>12 AM</v>
      </c>
      <c r="I71" s="23" t="str">
        <f>IF(OR('Merged raw data'!H71=1,'Merged raw data'!H71=2,'Merged raw data'!H71=3,'Merged raw data'!H71=4,'Merged raw data'!H71=5),"weekday","weekend")</f>
        <v>weekday</v>
      </c>
      <c r="J71" s="23" t="s">
        <v>23</v>
      </c>
      <c r="K71" s="23" t="str">
        <f>IF('Merged raw data'!I71=1,"Clear",IF('Merged raw data'!I71=2,"Mist",IF('Merged raw data'!I71=3,"Rain",IF('Merged raw data'!I71=4,"Storm","NA"))))</f>
        <v>Clear</v>
      </c>
      <c r="L71" s="24">
        <v>0.55000000000000004</v>
      </c>
      <c r="M71" s="24">
        <v>0.1045</v>
      </c>
      <c r="N71" s="21">
        <f>'Merged raw data'!$J71*100</f>
        <v>16</v>
      </c>
      <c r="O71" s="21">
        <v>0</v>
      </c>
      <c r="P71" s="21">
        <v>5</v>
      </c>
      <c r="Q71" s="21">
        <v>5</v>
      </c>
      <c r="R71" s="21" t="str">
        <f>IF(Q71&gt;=outliers!I73,"High",IF(Q71&lt;=outliers!I72,"Low","Moderate"))</f>
        <v>High</v>
      </c>
      <c r="S71" s="8" t="str">
        <f>IF(OR(Q71&lt;outliers!$I$6,Q71&gt;outliers!$I$7),"Outlier","Normal")</f>
        <v>Normal</v>
      </c>
      <c r="T71" s="8" t="str">
        <f>IF(OR(L71&lt;outliers!$J$6,L71&gt;outliers!$J$7),"Outlier","Normal")</f>
        <v>Normal</v>
      </c>
      <c r="U71" s="8" t="str">
        <f>IF(OR(M71&lt;outliers!$K$6,M71&gt;outliers!$K$7),"Outlier","Normal")</f>
        <v>Normal</v>
      </c>
    </row>
    <row r="72" spans="1:21">
      <c r="A72" s="21">
        <v>71</v>
      </c>
      <c r="B72" s="68">
        <v>40547</v>
      </c>
      <c r="C72" s="22" t="b">
        <v>0</v>
      </c>
      <c r="D72" s="21" t="str">
        <f t="shared" si="1"/>
        <v>Tuesday</v>
      </c>
      <c r="E72" s="23">
        <v>0.18179999999999999</v>
      </c>
      <c r="F72" s="23">
        <f>YEAR('Merged raw data'!$B72)</f>
        <v>2011</v>
      </c>
      <c r="G72" s="23" t="str">
        <f>TEXT('Merged raw data'!$B72,"mmmm")</f>
        <v>January</v>
      </c>
      <c r="H72" s="37" t="str">
        <f>TEXT(TIME('Merged raw data'!F72,0,0),"h AM/PM")</f>
        <v>1 AM</v>
      </c>
      <c r="I72" s="23" t="str">
        <f>IF(OR('Merged raw data'!H72=1,'Merged raw data'!H72=2,'Merged raw data'!H72=3,'Merged raw data'!H72=4,'Merged raw data'!H72=5),"weekday","weekend")</f>
        <v>weekday</v>
      </c>
      <c r="J72" s="23" t="s">
        <v>23</v>
      </c>
      <c r="K72" s="23" t="str">
        <f>IF('Merged raw data'!I72=1,"Clear",IF('Merged raw data'!I72=2,"Mist",IF('Merged raw data'!I72=3,"Rain",IF('Merged raw data'!I72=4,"Storm","NA"))))</f>
        <v>Clear</v>
      </c>
      <c r="L72" s="24">
        <v>0.59</v>
      </c>
      <c r="M72" s="24">
        <v>0.1045</v>
      </c>
      <c r="N72" s="21">
        <f>'Merged raw data'!$J72*100</f>
        <v>16</v>
      </c>
      <c r="O72" s="21">
        <v>0</v>
      </c>
      <c r="P72" s="21">
        <v>2</v>
      </c>
      <c r="Q72" s="21">
        <v>2</v>
      </c>
      <c r="R72" s="21" t="str">
        <f>IF(Q72&gt;=outliers!I74,"High",IF(Q72&lt;=outliers!I73,"Low","Moderate"))</f>
        <v>High</v>
      </c>
      <c r="S72" s="8" t="str">
        <f>IF(OR(Q72&lt;outliers!$I$6,Q72&gt;outliers!$I$7),"Outlier","Normal")</f>
        <v>Normal</v>
      </c>
      <c r="T72" s="8" t="str">
        <f>IF(OR(L72&lt;outliers!$J$6,L72&gt;outliers!$J$7),"Outlier","Normal")</f>
        <v>Normal</v>
      </c>
      <c r="U72" s="8" t="str">
        <f>IF(OR(M72&lt;outliers!$K$6,M72&gt;outliers!$K$7),"Outlier","Normal")</f>
        <v>Normal</v>
      </c>
    </row>
    <row r="73" spans="1:21">
      <c r="A73" s="21">
        <v>72</v>
      </c>
      <c r="B73" s="68">
        <v>40547</v>
      </c>
      <c r="C73" s="22" t="b">
        <v>0</v>
      </c>
      <c r="D73" s="21" t="str">
        <f t="shared" si="1"/>
        <v>Tuesday</v>
      </c>
      <c r="E73" s="23">
        <v>0.1515</v>
      </c>
      <c r="F73" s="23">
        <f>YEAR('Merged raw data'!$B73)</f>
        <v>2011</v>
      </c>
      <c r="G73" s="23" t="str">
        <f>TEXT('Merged raw data'!$B73,"mmmm")</f>
        <v>January</v>
      </c>
      <c r="H73" s="37" t="str">
        <f>TEXT(TIME('Merged raw data'!F73,0,0),"h AM/PM")</f>
        <v>2 AM</v>
      </c>
      <c r="I73" s="23" t="str">
        <f>IF(OR('Merged raw data'!H73=1,'Merged raw data'!H73=2,'Merged raw data'!H73=3,'Merged raw data'!H73=4,'Merged raw data'!H73=5),"weekday","weekend")</f>
        <v>weekday</v>
      </c>
      <c r="J73" s="23" t="s">
        <v>23</v>
      </c>
      <c r="K73" s="23" t="str">
        <f>IF('Merged raw data'!I73=1,"Clear",IF('Merged raw data'!I73=2,"Mist",IF('Merged raw data'!I73=3,"Rain",IF('Merged raw data'!I73=4,"Storm","NA"))))</f>
        <v>Clear</v>
      </c>
      <c r="L73" s="24">
        <v>0.63</v>
      </c>
      <c r="M73" s="24">
        <v>0.1343</v>
      </c>
      <c r="N73" s="21">
        <f>'Merged raw data'!$J73*100</f>
        <v>14.000000000000002</v>
      </c>
      <c r="O73" s="21">
        <v>0</v>
      </c>
      <c r="P73" s="21">
        <v>1</v>
      </c>
      <c r="Q73" s="21">
        <v>1</v>
      </c>
      <c r="R73" s="21" t="str">
        <f>IF(Q73&gt;=outliers!I75,"High",IF(Q73&lt;=outliers!I74,"Low","Moderate"))</f>
        <v>High</v>
      </c>
      <c r="S73" s="8" t="str">
        <f>IF(OR(Q73&lt;outliers!$I$6,Q73&gt;outliers!$I$7),"Outlier","Normal")</f>
        <v>Normal</v>
      </c>
      <c r="T73" s="8" t="str">
        <f>IF(OR(L73&lt;outliers!$J$6,L73&gt;outliers!$J$7),"Outlier","Normal")</f>
        <v>Normal</v>
      </c>
      <c r="U73" s="8" t="str">
        <f>IF(OR(M73&lt;outliers!$K$6,M73&gt;outliers!$K$7),"Outlier","Normal")</f>
        <v>Normal</v>
      </c>
    </row>
    <row r="74" spans="1:21">
      <c r="A74" s="21">
        <v>73</v>
      </c>
      <c r="B74" s="68">
        <v>40547</v>
      </c>
      <c r="C74" s="22" t="b">
        <v>0</v>
      </c>
      <c r="D74" s="21" t="str">
        <f t="shared" si="1"/>
        <v>Tuesday</v>
      </c>
      <c r="E74" s="23">
        <v>0.18179999999999999</v>
      </c>
      <c r="F74" s="23">
        <f>YEAR('Merged raw data'!$B74)</f>
        <v>2011</v>
      </c>
      <c r="G74" s="23" t="str">
        <f>TEXT('Merged raw data'!$B74,"mmmm")</f>
        <v>January</v>
      </c>
      <c r="H74" s="37" t="str">
        <f>TEXT(TIME('Merged raw data'!F74,0,0),"h AM/PM")</f>
        <v>4 AM</v>
      </c>
      <c r="I74" s="23" t="str">
        <f>IF(OR('Merged raw data'!H74=1,'Merged raw data'!H74=2,'Merged raw data'!H74=3,'Merged raw data'!H74=4,'Merged raw data'!H74=5),"weekday","weekend")</f>
        <v>weekday</v>
      </c>
      <c r="J74" s="23" t="s">
        <v>23</v>
      </c>
      <c r="K74" s="23" t="str">
        <f>IF('Merged raw data'!I74=1,"Clear",IF('Merged raw data'!I74=2,"Mist",IF('Merged raw data'!I74=3,"Rain",IF('Merged raw data'!I74=4,"Storm","NA"))))</f>
        <v>Clear</v>
      </c>
      <c r="L74" s="24">
        <v>0.63</v>
      </c>
      <c r="M74" s="24">
        <v>8.9599999999999999E-2</v>
      </c>
      <c r="N74" s="21">
        <f>'Merged raw data'!$J74*100</f>
        <v>14.000000000000002</v>
      </c>
      <c r="O74" s="21">
        <v>0</v>
      </c>
      <c r="P74" s="21">
        <v>2</v>
      </c>
      <c r="Q74" s="21">
        <v>2</v>
      </c>
      <c r="R74" s="21" t="str">
        <f>IF(Q74&gt;=outliers!I76,"High",IF(Q74&lt;=outliers!I75,"Low","Moderate"))</f>
        <v>High</v>
      </c>
      <c r="S74" s="8" t="str">
        <f>IF(OR(Q74&lt;outliers!$I$6,Q74&gt;outliers!$I$7),"Outlier","Normal")</f>
        <v>Normal</v>
      </c>
      <c r="T74" s="8" t="str">
        <f>IF(OR(L74&lt;outliers!$J$6,L74&gt;outliers!$J$7),"Outlier","Normal")</f>
        <v>Normal</v>
      </c>
      <c r="U74" s="8" t="str">
        <f>IF(OR(M74&lt;outliers!$K$6,M74&gt;outliers!$K$7),"Outlier","Normal")</f>
        <v>Normal</v>
      </c>
    </row>
    <row r="75" spans="1:21">
      <c r="A75" s="21">
        <v>74</v>
      </c>
      <c r="B75" s="68">
        <v>40547</v>
      </c>
      <c r="C75" s="22" t="b">
        <v>0</v>
      </c>
      <c r="D75" s="21" t="str">
        <f t="shared" si="1"/>
        <v>Tuesday</v>
      </c>
      <c r="E75" s="23">
        <v>0.1515</v>
      </c>
      <c r="F75" s="23">
        <f>YEAR('Merged raw data'!$B75)</f>
        <v>2011</v>
      </c>
      <c r="G75" s="23" t="str">
        <f>TEXT('Merged raw data'!$B75,"mmmm")</f>
        <v>January</v>
      </c>
      <c r="H75" s="37" t="str">
        <f>TEXT(TIME('Merged raw data'!F75,0,0),"h AM/PM")</f>
        <v>5 AM</v>
      </c>
      <c r="I75" s="23" t="str">
        <f>IF(OR('Merged raw data'!H75=1,'Merged raw data'!H75=2,'Merged raw data'!H75=3,'Merged raw data'!H75=4,'Merged raw data'!H75=5),"weekday","weekend")</f>
        <v>weekday</v>
      </c>
      <c r="J75" s="23" t="s">
        <v>23</v>
      </c>
      <c r="K75" s="23" t="str">
        <f>IF('Merged raw data'!I75=1,"Clear",IF('Merged raw data'!I75=2,"Mist",IF('Merged raw data'!I75=3,"Rain",IF('Merged raw data'!I75=4,"Storm","NA"))))</f>
        <v>Clear</v>
      </c>
      <c r="L75" s="24">
        <v>0.68</v>
      </c>
      <c r="M75" s="24">
        <v>0.1045</v>
      </c>
      <c r="N75" s="21">
        <f>'Merged raw data'!$J75*100</f>
        <v>12</v>
      </c>
      <c r="O75" s="21">
        <v>0</v>
      </c>
      <c r="P75" s="21">
        <v>4</v>
      </c>
      <c r="Q75" s="21">
        <v>4</v>
      </c>
      <c r="R75" s="21" t="str">
        <f>IF(Q75&gt;=outliers!I77,"High",IF(Q75&lt;=outliers!I76,"Low","Moderate"))</f>
        <v>High</v>
      </c>
      <c r="S75" s="8" t="str">
        <f>IF(OR(Q75&lt;outliers!$I$6,Q75&gt;outliers!$I$7),"Outlier","Normal")</f>
        <v>Normal</v>
      </c>
      <c r="T75" s="8" t="str">
        <f>IF(OR(L75&lt;outliers!$J$6,L75&gt;outliers!$J$7),"Outlier","Normal")</f>
        <v>Normal</v>
      </c>
      <c r="U75" s="8" t="str">
        <f>IF(OR(M75&lt;outliers!$K$6,M75&gt;outliers!$K$7),"Outlier","Normal")</f>
        <v>Normal</v>
      </c>
    </row>
    <row r="76" spans="1:21">
      <c r="A76" s="21">
        <v>75</v>
      </c>
      <c r="B76" s="68">
        <v>40547</v>
      </c>
      <c r="C76" s="22" t="b">
        <v>0</v>
      </c>
      <c r="D76" s="21" t="str">
        <f t="shared" si="1"/>
        <v>Tuesday</v>
      </c>
      <c r="E76" s="23">
        <v>0.1515</v>
      </c>
      <c r="F76" s="23">
        <f>YEAR('Merged raw data'!$B76)</f>
        <v>2011</v>
      </c>
      <c r="G76" s="23" t="str">
        <f>TEXT('Merged raw data'!$B76,"mmmm")</f>
        <v>January</v>
      </c>
      <c r="H76" s="37" t="str">
        <f>TEXT(TIME('Merged raw data'!F76,0,0),"h AM/PM")</f>
        <v>6 AM</v>
      </c>
      <c r="I76" s="23" t="str">
        <f>IF(OR('Merged raw data'!H76=1,'Merged raw data'!H76=2,'Merged raw data'!H76=3,'Merged raw data'!H76=4,'Merged raw data'!H76=5),"weekday","weekend")</f>
        <v>weekday</v>
      </c>
      <c r="J76" s="23" t="s">
        <v>23</v>
      </c>
      <c r="K76" s="23" t="str">
        <f>IF('Merged raw data'!I76=1,"Clear",IF('Merged raw data'!I76=2,"Mist",IF('Merged raw data'!I76=3,"Rain",IF('Merged raw data'!I76=4,"Storm","NA"))))</f>
        <v>Clear</v>
      </c>
      <c r="L76" s="24">
        <v>0.74</v>
      </c>
      <c r="M76" s="24">
        <v>0.1045</v>
      </c>
      <c r="N76" s="21">
        <f>'Merged raw data'!$J76*100</f>
        <v>12</v>
      </c>
      <c r="O76" s="21">
        <v>0</v>
      </c>
      <c r="P76" s="21">
        <v>36</v>
      </c>
      <c r="Q76" s="21">
        <v>36</v>
      </c>
      <c r="R76" s="21" t="str">
        <f>IF(Q76&gt;=outliers!I78,"High",IF(Q76&lt;=outliers!I77,"Low","Moderate"))</f>
        <v>High</v>
      </c>
      <c r="S76" s="8" t="str">
        <f>IF(OR(Q76&lt;outliers!$I$6,Q76&gt;outliers!$I$7),"Outlier","Normal")</f>
        <v>Normal</v>
      </c>
      <c r="T76" s="8" t="str">
        <f>IF(OR(L76&lt;outliers!$J$6,L76&gt;outliers!$J$7),"Outlier","Normal")</f>
        <v>Normal</v>
      </c>
      <c r="U76" s="8" t="str">
        <f>IF(OR(M76&lt;outliers!$K$6,M76&gt;outliers!$K$7),"Outlier","Normal")</f>
        <v>Normal</v>
      </c>
    </row>
    <row r="77" spans="1:21">
      <c r="A77" s="21">
        <v>76</v>
      </c>
      <c r="B77" s="68">
        <v>40547</v>
      </c>
      <c r="C77" s="22" t="b">
        <v>0</v>
      </c>
      <c r="D77" s="21" t="str">
        <f t="shared" si="1"/>
        <v>Tuesday</v>
      </c>
      <c r="E77" s="23">
        <v>0.1515</v>
      </c>
      <c r="F77" s="23">
        <f>YEAR('Merged raw data'!$B77)</f>
        <v>2011</v>
      </c>
      <c r="G77" s="23" t="str">
        <f>TEXT('Merged raw data'!$B77,"mmmm")</f>
        <v>January</v>
      </c>
      <c r="H77" s="37" t="str">
        <f>TEXT(TIME('Merged raw data'!F77,0,0),"h AM/PM")</f>
        <v>7 AM</v>
      </c>
      <c r="I77" s="23" t="str">
        <f>IF(OR('Merged raw data'!H77=1,'Merged raw data'!H77=2,'Merged raw data'!H77=3,'Merged raw data'!H77=4,'Merged raw data'!H77=5),"weekday","weekend")</f>
        <v>weekday</v>
      </c>
      <c r="J77" s="23" t="s">
        <v>23</v>
      </c>
      <c r="K77" s="23" t="str">
        <f>IF('Merged raw data'!I77=1,"Clear",IF('Merged raw data'!I77=2,"Mist",IF('Merged raw data'!I77=3,"Rain",IF('Merged raw data'!I77=4,"Storm","NA"))))</f>
        <v>Clear</v>
      </c>
      <c r="L77" s="24">
        <v>0.74</v>
      </c>
      <c r="M77" s="24">
        <v>0.1343</v>
      </c>
      <c r="N77" s="21">
        <f>'Merged raw data'!$J77*100</f>
        <v>12</v>
      </c>
      <c r="O77" s="21">
        <v>2</v>
      </c>
      <c r="P77" s="21">
        <v>92</v>
      </c>
      <c r="Q77" s="21">
        <v>94</v>
      </c>
      <c r="R77" s="21" t="str">
        <f>IF(Q77&gt;=outliers!I79,"High",IF(Q77&lt;=outliers!I78,"Low","Moderate"))</f>
        <v>High</v>
      </c>
      <c r="S77" s="8" t="str">
        <f>IF(OR(Q77&lt;outliers!$I$6,Q77&gt;outliers!$I$7),"Outlier","Normal")</f>
        <v>Normal</v>
      </c>
      <c r="T77" s="8" t="str">
        <f>IF(OR(L77&lt;outliers!$J$6,L77&gt;outliers!$J$7),"Outlier","Normal")</f>
        <v>Normal</v>
      </c>
      <c r="U77" s="8" t="str">
        <f>IF(OR(M77&lt;outliers!$K$6,M77&gt;outliers!$K$7),"Outlier","Normal")</f>
        <v>Normal</v>
      </c>
    </row>
    <row r="78" spans="1:21">
      <c r="A78" s="21">
        <v>77</v>
      </c>
      <c r="B78" s="68">
        <v>40547</v>
      </c>
      <c r="C78" s="22" t="b">
        <v>0</v>
      </c>
      <c r="D78" s="21" t="str">
        <f t="shared" si="1"/>
        <v>Tuesday</v>
      </c>
      <c r="E78" s="23">
        <v>0.1515</v>
      </c>
      <c r="F78" s="23">
        <f>YEAR('Merged raw data'!$B78)</f>
        <v>2011</v>
      </c>
      <c r="G78" s="23" t="str">
        <f>TEXT('Merged raw data'!$B78,"mmmm")</f>
        <v>January</v>
      </c>
      <c r="H78" s="37" t="str">
        <f>TEXT(TIME('Merged raw data'!F78,0,0),"h AM/PM")</f>
        <v>8 AM</v>
      </c>
      <c r="I78" s="23" t="str">
        <f>IF(OR('Merged raw data'!H78=1,'Merged raw data'!H78=2,'Merged raw data'!H78=3,'Merged raw data'!H78=4,'Merged raw data'!H78=5),"weekday","weekend")</f>
        <v>weekday</v>
      </c>
      <c r="J78" s="23" t="s">
        <v>23</v>
      </c>
      <c r="K78" s="23" t="str">
        <f>IF('Merged raw data'!I78=1,"Clear",IF('Merged raw data'!I78=2,"Mist",IF('Merged raw data'!I78=3,"Rain",IF('Merged raw data'!I78=4,"Storm","NA"))))</f>
        <v>Clear</v>
      </c>
      <c r="L78" s="24">
        <v>0.69</v>
      </c>
      <c r="M78" s="24">
        <v>0.16420000000000001</v>
      </c>
      <c r="N78" s="21">
        <f>'Merged raw data'!$J78*100</f>
        <v>14.000000000000002</v>
      </c>
      <c r="O78" s="21">
        <v>2</v>
      </c>
      <c r="P78" s="21">
        <v>177</v>
      </c>
      <c r="Q78" s="21">
        <v>179</v>
      </c>
      <c r="R78" s="21" t="str">
        <f>IF(Q78&gt;=outliers!I80,"High",IF(Q78&lt;=outliers!I79,"Low","Moderate"))</f>
        <v>High</v>
      </c>
      <c r="S78" s="8" t="str">
        <f>IF(OR(Q78&lt;outliers!$I$6,Q78&gt;outliers!$I$7),"Outlier","Normal")</f>
        <v>Normal</v>
      </c>
      <c r="T78" s="8" t="str">
        <f>IF(OR(L78&lt;outliers!$J$6,L78&gt;outliers!$J$7),"Outlier","Normal")</f>
        <v>Normal</v>
      </c>
      <c r="U78" s="8" t="str">
        <f>IF(OR(M78&lt;outliers!$K$6,M78&gt;outliers!$K$7),"Outlier","Normal")</f>
        <v>Normal</v>
      </c>
    </row>
    <row r="79" spans="1:21">
      <c r="A79" s="21">
        <v>78</v>
      </c>
      <c r="B79" s="68">
        <v>40547</v>
      </c>
      <c r="C79" s="22" t="b">
        <v>0</v>
      </c>
      <c r="D79" s="21" t="str">
        <f t="shared" si="1"/>
        <v>Tuesday</v>
      </c>
      <c r="E79" s="23">
        <v>0.1515</v>
      </c>
      <c r="F79" s="23">
        <f>YEAR('Merged raw data'!$B79)</f>
        <v>2011</v>
      </c>
      <c r="G79" s="23" t="str">
        <f>TEXT('Merged raw data'!$B79,"mmmm")</f>
        <v>January</v>
      </c>
      <c r="H79" s="37" t="str">
        <f>TEXT(TIME('Merged raw data'!F79,0,0),"h AM/PM")</f>
        <v>9 AM</v>
      </c>
      <c r="I79" s="23" t="str">
        <f>IF(OR('Merged raw data'!H79=1,'Merged raw data'!H79=2,'Merged raw data'!H79=3,'Merged raw data'!H79=4,'Merged raw data'!H79=5),"weekday","weekend")</f>
        <v>weekday</v>
      </c>
      <c r="J79" s="23" t="s">
        <v>23</v>
      </c>
      <c r="K79" s="23" t="str">
        <f>IF('Merged raw data'!I79=1,"Clear",IF('Merged raw data'!I79=2,"Mist",IF('Merged raw data'!I79=3,"Rain",IF('Merged raw data'!I79=4,"Storm","NA"))))</f>
        <v>Clear</v>
      </c>
      <c r="L79" s="24">
        <v>0.64</v>
      </c>
      <c r="M79" s="24">
        <v>0.22389999999999999</v>
      </c>
      <c r="N79" s="21">
        <f>'Merged raw data'!$J79*100</f>
        <v>16</v>
      </c>
      <c r="O79" s="21">
        <v>2</v>
      </c>
      <c r="P79" s="21">
        <v>98</v>
      </c>
      <c r="Q79" s="21">
        <v>100</v>
      </c>
      <c r="R79" s="21" t="str">
        <f>IF(Q79&gt;=outliers!I81,"High",IF(Q79&lt;=outliers!I80,"Low","Moderate"))</f>
        <v>High</v>
      </c>
      <c r="S79" s="8" t="str">
        <f>IF(OR(Q79&lt;outliers!$I$6,Q79&gt;outliers!$I$7),"Outlier","Normal")</f>
        <v>Normal</v>
      </c>
      <c r="T79" s="8" t="str">
        <f>IF(OR(L79&lt;outliers!$J$6,L79&gt;outliers!$J$7),"Outlier","Normal")</f>
        <v>Normal</v>
      </c>
      <c r="U79" s="8" t="str">
        <f>IF(OR(M79&lt;outliers!$K$6,M79&gt;outliers!$K$7),"Outlier","Normal")</f>
        <v>Normal</v>
      </c>
    </row>
    <row r="80" spans="1:21">
      <c r="A80" s="21">
        <v>79</v>
      </c>
      <c r="B80" s="68">
        <v>40547</v>
      </c>
      <c r="C80" s="22" t="b">
        <v>0</v>
      </c>
      <c r="D80" s="21" t="str">
        <f t="shared" si="1"/>
        <v>Tuesday</v>
      </c>
      <c r="E80" s="23">
        <v>0.13639999999999999</v>
      </c>
      <c r="F80" s="23">
        <f>YEAR('Merged raw data'!$B80)</f>
        <v>2011</v>
      </c>
      <c r="G80" s="23" t="str">
        <f>TEXT('Merged raw data'!$B80,"mmmm")</f>
        <v>January</v>
      </c>
      <c r="H80" s="37" t="str">
        <f>TEXT(TIME('Merged raw data'!F80,0,0),"h AM/PM")</f>
        <v>10 AM</v>
      </c>
      <c r="I80" s="23" t="str">
        <f>IF(OR('Merged raw data'!H80=1,'Merged raw data'!H80=2,'Merged raw data'!H80=3,'Merged raw data'!H80=4,'Merged raw data'!H80=5),"weekday","weekend")</f>
        <v>weekday</v>
      </c>
      <c r="J80" s="23" t="s">
        <v>23</v>
      </c>
      <c r="K80" s="23" t="str">
        <f>IF('Merged raw data'!I80=1,"Clear",IF('Merged raw data'!I80=2,"Mist",IF('Merged raw data'!I80=3,"Rain",IF('Merged raw data'!I80=4,"Storm","NA"))))</f>
        <v>Mist</v>
      </c>
      <c r="L80" s="24">
        <v>0.69</v>
      </c>
      <c r="M80" s="24">
        <v>0.32840000000000003</v>
      </c>
      <c r="N80" s="21">
        <f>'Merged raw data'!$J80*100</f>
        <v>16</v>
      </c>
      <c r="O80" s="21">
        <v>5</v>
      </c>
      <c r="P80" s="21">
        <v>37</v>
      </c>
      <c r="Q80" s="21">
        <v>42</v>
      </c>
      <c r="R80" s="21" t="str">
        <f>IF(Q80&gt;=outliers!I82,"High",IF(Q80&lt;=outliers!I81,"Low","Moderate"))</f>
        <v>High</v>
      </c>
      <c r="S80" s="8" t="str">
        <f>IF(OR(Q80&lt;outliers!$I$6,Q80&gt;outliers!$I$7),"Outlier","Normal")</f>
        <v>Normal</v>
      </c>
      <c r="T80" s="8" t="str">
        <f>IF(OR(L80&lt;outliers!$J$6,L80&gt;outliers!$J$7),"Outlier","Normal")</f>
        <v>Normal</v>
      </c>
      <c r="U80" s="8" t="str">
        <f>IF(OR(M80&lt;outliers!$K$6,M80&gt;outliers!$K$7),"Outlier","Normal")</f>
        <v>Normal</v>
      </c>
    </row>
    <row r="81" spans="1:21">
      <c r="A81" s="21">
        <v>80</v>
      </c>
      <c r="B81" s="68">
        <v>40547</v>
      </c>
      <c r="C81" s="22" t="b">
        <v>0</v>
      </c>
      <c r="D81" s="21" t="str">
        <f t="shared" si="1"/>
        <v>Tuesday</v>
      </c>
      <c r="E81" s="23">
        <v>0.21210000000000001</v>
      </c>
      <c r="F81" s="23">
        <f>YEAR('Merged raw data'!$B81)</f>
        <v>2011</v>
      </c>
      <c r="G81" s="23" t="str">
        <f>TEXT('Merged raw data'!$B81,"mmmm")</f>
        <v>January</v>
      </c>
      <c r="H81" s="37" t="str">
        <f>TEXT(TIME('Merged raw data'!F81,0,0),"h AM/PM")</f>
        <v>11 AM</v>
      </c>
      <c r="I81" s="23" t="str">
        <f>IF(OR('Merged raw data'!H81=1,'Merged raw data'!H81=2,'Merged raw data'!H81=3,'Merged raw data'!H81=4,'Merged raw data'!H81=5),"weekday","weekend")</f>
        <v>weekday</v>
      </c>
      <c r="J81" s="23" t="s">
        <v>23</v>
      </c>
      <c r="K81" s="23" t="str">
        <f>IF('Merged raw data'!I81=1,"Clear",IF('Merged raw data'!I81=2,"Mist",IF('Merged raw data'!I81=3,"Rain",IF('Merged raw data'!I81=4,"Storm","NA"))))</f>
        <v>Clear</v>
      </c>
      <c r="L81" s="24">
        <v>0.51</v>
      </c>
      <c r="M81" s="24">
        <v>0.29849999999999999</v>
      </c>
      <c r="N81" s="21">
        <f>'Merged raw data'!$J81*100</f>
        <v>22</v>
      </c>
      <c r="O81" s="21">
        <v>7</v>
      </c>
      <c r="P81" s="21">
        <v>50</v>
      </c>
      <c r="Q81" s="21">
        <v>57</v>
      </c>
      <c r="R81" s="21" t="str">
        <f>IF(Q81&gt;=outliers!I83,"High",IF(Q81&lt;=outliers!I82,"Low","Moderate"))</f>
        <v>High</v>
      </c>
      <c r="S81" s="8" t="str">
        <f>IF(OR(Q81&lt;outliers!$I$6,Q81&gt;outliers!$I$7),"Outlier","Normal")</f>
        <v>Normal</v>
      </c>
      <c r="T81" s="8" t="str">
        <f>IF(OR(L81&lt;outliers!$J$6,L81&gt;outliers!$J$7),"Outlier","Normal")</f>
        <v>Normal</v>
      </c>
      <c r="U81" s="8" t="str">
        <f>IF(OR(M81&lt;outliers!$K$6,M81&gt;outliers!$K$7),"Outlier","Normal")</f>
        <v>Normal</v>
      </c>
    </row>
    <row r="82" spans="1:21">
      <c r="A82" s="21">
        <v>81</v>
      </c>
      <c r="B82" s="68">
        <v>40547</v>
      </c>
      <c r="C82" s="22" t="b">
        <v>0</v>
      </c>
      <c r="D82" s="21" t="str">
        <f t="shared" si="1"/>
        <v>Tuesday</v>
      </c>
      <c r="E82" s="23">
        <v>0.2273</v>
      </c>
      <c r="F82" s="23">
        <f>YEAR('Merged raw data'!$B82)</f>
        <v>2011</v>
      </c>
      <c r="G82" s="23" t="str">
        <f>TEXT('Merged raw data'!$B82,"mmmm")</f>
        <v>January</v>
      </c>
      <c r="H82" s="37" t="str">
        <f>TEXT(TIME('Merged raw data'!F82,0,0),"h AM/PM")</f>
        <v>12 PM</v>
      </c>
      <c r="I82" s="23" t="str">
        <f>IF(OR('Merged raw data'!H82=1,'Merged raw data'!H82=2,'Merged raw data'!H82=3,'Merged raw data'!H82=4,'Merged raw data'!H82=5),"weekday","weekend")</f>
        <v>weekday</v>
      </c>
      <c r="J82" s="23" t="s">
        <v>23</v>
      </c>
      <c r="K82" s="23" t="str">
        <f>IF('Merged raw data'!I82=1,"Clear",IF('Merged raw data'!I82=2,"Mist",IF('Merged raw data'!I82=3,"Rain",IF('Merged raw data'!I82=4,"Storm","NA"))))</f>
        <v>Clear</v>
      </c>
      <c r="L82" s="24">
        <v>0.51</v>
      </c>
      <c r="M82" s="24">
        <v>0.16420000000000001</v>
      </c>
      <c r="N82" s="21">
        <f>'Merged raw data'!$J82*100</f>
        <v>22</v>
      </c>
      <c r="O82" s="21">
        <v>12</v>
      </c>
      <c r="P82" s="21">
        <v>66</v>
      </c>
      <c r="Q82" s="21">
        <v>78</v>
      </c>
      <c r="R82" s="21" t="str">
        <f>IF(Q82&gt;=outliers!I84,"High",IF(Q82&lt;=outliers!I83,"Low","Moderate"))</f>
        <v>High</v>
      </c>
      <c r="S82" s="8" t="str">
        <f>IF(OR(Q82&lt;outliers!$I$6,Q82&gt;outliers!$I$7),"Outlier","Normal")</f>
        <v>Normal</v>
      </c>
      <c r="T82" s="8" t="str">
        <f>IF(OR(L82&lt;outliers!$J$6,L82&gt;outliers!$J$7),"Outlier","Normal")</f>
        <v>Normal</v>
      </c>
      <c r="U82" s="8" t="str">
        <f>IF(OR(M82&lt;outliers!$K$6,M82&gt;outliers!$K$7),"Outlier","Normal")</f>
        <v>Normal</v>
      </c>
    </row>
    <row r="83" spans="1:21">
      <c r="A83" s="21">
        <v>82</v>
      </c>
      <c r="B83" s="68">
        <v>40547</v>
      </c>
      <c r="C83" s="22" t="b">
        <v>0</v>
      </c>
      <c r="D83" s="21" t="str">
        <f t="shared" si="1"/>
        <v>Tuesday</v>
      </c>
      <c r="E83" s="23">
        <v>0.2273</v>
      </c>
      <c r="F83" s="23">
        <f>YEAR('Merged raw data'!$B83)</f>
        <v>2011</v>
      </c>
      <c r="G83" s="23" t="str">
        <f>TEXT('Merged raw data'!$B83,"mmmm")</f>
        <v>January</v>
      </c>
      <c r="H83" s="37" t="str">
        <f>TEXT(TIME('Merged raw data'!F83,0,0),"h AM/PM")</f>
        <v>1 PM</v>
      </c>
      <c r="I83" s="23" t="str">
        <f>IF(OR('Merged raw data'!H83=1,'Merged raw data'!H83=2,'Merged raw data'!H83=3,'Merged raw data'!H83=4,'Merged raw data'!H83=5),"weekday","weekend")</f>
        <v>weekday</v>
      </c>
      <c r="J83" s="23" t="s">
        <v>23</v>
      </c>
      <c r="K83" s="23" t="str">
        <f>IF('Merged raw data'!I83=1,"Clear",IF('Merged raw data'!I83=2,"Mist",IF('Merged raw data'!I83=3,"Rain",IF('Merged raw data'!I83=4,"Storm","NA"))))</f>
        <v>Clear</v>
      </c>
      <c r="L83" s="24">
        <v>0.56000000000000005</v>
      </c>
      <c r="M83" s="24">
        <v>0.19400000000000001</v>
      </c>
      <c r="N83" s="21">
        <f>'Merged raw data'!$J83*100</f>
        <v>24</v>
      </c>
      <c r="O83" s="21">
        <v>18</v>
      </c>
      <c r="P83" s="21">
        <v>79</v>
      </c>
      <c r="Q83" s="21">
        <v>97</v>
      </c>
      <c r="R83" s="21" t="str">
        <f>IF(Q83&gt;=outliers!I85,"High",IF(Q83&lt;=outliers!I84,"Low","Moderate"))</f>
        <v>High</v>
      </c>
      <c r="S83" s="8" t="str">
        <f>IF(OR(Q83&lt;outliers!$I$6,Q83&gt;outliers!$I$7),"Outlier","Normal")</f>
        <v>Normal</v>
      </c>
      <c r="T83" s="8" t="str">
        <f>IF(OR(L83&lt;outliers!$J$6,L83&gt;outliers!$J$7),"Outlier","Normal")</f>
        <v>Normal</v>
      </c>
      <c r="U83" s="8" t="str">
        <f>IF(OR(M83&lt;outliers!$K$6,M83&gt;outliers!$K$7),"Outlier","Normal")</f>
        <v>Normal</v>
      </c>
    </row>
    <row r="84" spans="1:21">
      <c r="A84" s="21">
        <v>83</v>
      </c>
      <c r="B84" s="68">
        <v>40547</v>
      </c>
      <c r="C84" s="22" t="b">
        <v>0</v>
      </c>
      <c r="D84" s="21" t="str">
        <f t="shared" si="1"/>
        <v>Tuesday</v>
      </c>
      <c r="E84" s="23">
        <v>0.2576</v>
      </c>
      <c r="F84" s="23">
        <f>YEAR('Merged raw data'!$B84)</f>
        <v>2011</v>
      </c>
      <c r="G84" s="23" t="str">
        <f>TEXT('Merged raw data'!$B84,"mmmm")</f>
        <v>January</v>
      </c>
      <c r="H84" s="37" t="str">
        <f>TEXT(TIME('Merged raw data'!F84,0,0),"h AM/PM")</f>
        <v>2 PM</v>
      </c>
      <c r="I84" s="23" t="str">
        <f>IF(OR('Merged raw data'!H84=1,'Merged raw data'!H84=2,'Merged raw data'!H84=3,'Merged raw data'!H84=4,'Merged raw data'!H84=5),"weekday","weekend")</f>
        <v>weekday</v>
      </c>
      <c r="J84" s="23" t="s">
        <v>23</v>
      </c>
      <c r="K84" s="23" t="str">
        <f>IF('Merged raw data'!I84=1,"Clear",IF('Merged raw data'!I84=2,"Mist",IF('Merged raw data'!I84=3,"Rain",IF('Merged raw data'!I84=4,"Storm","NA"))))</f>
        <v>Clear</v>
      </c>
      <c r="L84" s="24">
        <v>0.52</v>
      </c>
      <c r="M84" s="24">
        <v>0.22389999999999999</v>
      </c>
      <c r="N84" s="21">
        <f>'Merged raw data'!$J84*100</f>
        <v>26</v>
      </c>
      <c r="O84" s="21">
        <v>9</v>
      </c>
      <c r="P84" s="21">
        <v>54</v>
      </c>
      <c r="Q84" s="21">
        <v>63</v>
      </c>
      <c r="R84" s="21" t="str">
        <f>IF(Q84&gt;=outliers!I86,"High",IF(Q84&lt;=outliers!I85,"Low","Moderate"))</f>
        <v>High</v>
      </c>
      <c r="S84" s="8" t="str">
        <f>IF(OR(Q84&lt;outliers!$I$6,Q84&gt;outliers!$I$7),"Outlier","Normal")</f>
        <v>Normal</v>
      </c>
      <c r="T84" s="8" t="str">
        <f>IF(OR(L84&lt;outliers!$J$6,L84&gt;outliers!$J$7),"Outlier","Normal")</f>
        <v>Normal</v>
      </c>
      <c r="U84" s="8" t="str">
        <f>IF(OR(M84&lt;outliers!$K$6,M84&gt;outliers!$K$7),"Outlier","Normal")</f>
        <v>Normal</v>
      </c>
    </row>
    <row r="85" spans="1:21">
      <c r="A85" s="21">
        <v>84</v>
      </c>
      <c r="B85" s="68">
        <v>40547</v>
      </c>
      <c r="C85" s="22" t="b">
        <v>0</v>
      </c>
      <c r="D85" s="21" t="str">
        <f t="shared" si="1"/>
        <v>Tuesday</v>
      </c>
      <c r="E85" s="23">
        <v>0.2727</v>
      </c>
      <c r="F85" s="23">
        <f>YEAR('Merged raw data'!$B85)</f>
        <v>2011</v>
      </c>
      <c r="G85" s="23" t="str">
        <f>TEXT('Merged raw data'!$B85,"mmmm")</f>
        <v>January</v>
      </c>
      <c r="H85" s="37" t="str">
        <f>TEXT(TIME('Merged raw data'!F85,0,0),"h AM/PM")</f>
        <v>3 PM</v>
      </c>
      <c r="I85" s="23" t="str">
        <f>IF(OR('Merged raw data'!H85=1,'Merged raw data'!H85=2,'Merged raw data'!H85=3,'Merged raw data'!H85=4,'Merged raw data'!H85=5),"weekday","weekend")</f>
        <v>weekday</v>
      </c>
      <c r="J85" s="23" t="s">
        <v>23</v>
      </c>
      <c r="K85" s="23" t="str">
        <f>IF('Merged raw data'!I85=1,"Clear",IF('Merged raw data'!I85=2,"Mist",IF('Merged raw data'!I85=3,"Rain",IF('Merged raw data'!I85=4,"Storm","NA"))))</f>
        <v>Clear</v>
      </c>
      <c r="L85" s="24">
        <v>0.52</v>
      </c>
      <c r="M85" s="24">
        <v>0.25369999999999998</v>
      </c>
      <c r="N85" s="21">
        <f>'Merged raw data'!$J85*100</f>
        <v>28.000000000000004</v>
      </c>
      <c r="O85" s="21">
        <v>17</v>
      </c>
      <c r="P85" s="21">
        <v>48</v>
      </c>
      <c r="Q85" s="21">
        <v>65</v>
      </c>
      <c r="R85" s="21" t="str">
        <f>IF(Q85&gt;=outliers!I87,"High",IF(Q85&lt;=outliers!I86,"Low","Moderate"))</f>
        <v>High</v>
      </c>
      <c r="S85" s="8" t="str">
        <f>IF(OR(Q85&lt;outliers!$I$6,Q85&gt;outliers!$I$7),"Outlier","Normal")</f>
        <v>Normal</v>
      </c>
      <c r="T85" s="8" t="str">
        <f>IF(OR(L85&lt;outliers!$J$6,L85&gt;outliers!$J$7),"Outlier","Normal")</f>
        <v>Normal</v>
      </c>
      <c r="U85" s="8" t="str">
        <f>IF(OR(M85&lt;outliers!$K$6,M85&gt;outliers!$K$7),"Outlier","Normal")</f>
        <v>Normal</v>
      </c>
    </row>
    <row r="86" spans="1:21">
      <c r="A86" s="21">
        <v>85</v>
      </c>
      <c r="B86" s="68">
        <v>40547</v>
      </c>
      <c r="C86" s="22" t="b">
        <v>0</v>
      </c>
      <c r="D86" s="21" t="str">
        <f t="shared" si="1"/>
        <v>Tuesday</v>
      </c>
      <c r="E86" s="23">
        <v>0.28789999999999999</v>
      </c>
      <c r="F86" s="23">
        <f>YEAR('Merged raw data'!$B86)</f>
        <v>2011</v>
      </c>
      <c r="G86" s="23" t="str">
        <f>TEXT('Merged raw data'!$B86,"mmmm")</f>
        <v>January</v>
      </c>
      <c r="H86" s="37" t="str">
        <f>TEXT(TIME('Merged raw data'!F86,0,0),"h AM/PM")</f>
        <v>4 PM</v>
      </c>
      <c r="I86" s="23" t="str">
        <f>IF(OR('Merged raw data'!H86=1,'Merged raw data'!H86=2,'Merged raw data'!H86=3,'Merged raw data'!H86=4,'Merged raw data'!H86=5),"weekday","weekend")</f>
        <v>weekday</v>
      </c>
      <c r="J86" s="23" t="s">
        <v>23</v>
      </c>
      <c r="K86" s="23" t="str">
        <f>IF('Merged raw data'!I86=1,"Clear",IF('Merged raw data'!I86=2,"Mist",IF('Merged raw data'!I86=3,"Rain",IF('Merged raw data'!I86=4,"Storm","NA"))))</f>
        <v>Clear</v>
      </c>
      <c r="L86" s="24">
        <v>0.49</v>
      </c>
      <c r="M86" s="24">
        <v>0.25369999999999998</v>
      </c>
      <c r="N86" s="21">
        <f>'Merged raw data'!$J86*100</f>
        <v>30</v>
      </c>
      <c r="O86" s="21">
        <v>15</v>
      </c>
      <c r="P86" s="21">
        <v>68</v>
      </c>
      <c r="Q86" s="21">
        <v>83</v>
      </c>
      <c r="R86" s="21" t="str">
        <f>IF(Q86&gt;=outliers!I88,"High",IF(Q86&lt;=outliers!I87,"Low","Moderate"))</f>
        <v>High</v>
      </c>
      <c r="S86" s="8" t="str">
        <f>IF(OR(Q86&lt;outliers!$I$6,Q86&gt;outliers!$I$7),"Outlier","Normal")</f>
        <v>Normal</v>
      </c>
      <c r="T86" s="8" t="str">
        <f>IF(OR(L86&lt;outliers!$J$6,L86&gt;outliers!$J$7),"Outlier","Normal")</f>
        <v>Normal</v>
      </c>
      <c r="U86" s="8" t="str">
        <f>IF(OR(M86&lt;outliers!$K$6,M86&gt;outliers!$K$7),"Outlier","Normal")</f>
        <v>Normal</v>
      </c>
    </row>
    <row r="87" spans="1:21">
      <c r="A87" s="21">
        <v>86</v>
      </c>
      <c r="B87" s="68">
        <v>40547</v>
      </c>
      <c r="C87" s="22" t="b">
        <v>0</v>
      </c>
      <c r="D87" s="21" t="str">
        <f t="shared" si="1"/>
        <v>Tuesday</v>
      </c>
      <c r="E87" s="23">
        <v>0.2727</v>
      </c>
      <c r="F87" s="23">
        <f>YEAR('Merged raw data'!$B87)</f>
        <v>2011</v>
      </c>
      <c r="G87" s="23" t="str">
        <f>TEXT('Merged raw data'!$B87,"mmmm")</f>
        <v>January</v>
      </c>
      <c r="H87" s="37" t="str">
        <f>TEXT(TIME('Merged raw data'!F87,0,0),"h AM/PM")</f>
        <v>5 PM</v>
      </c>
      <c r="I87" s="23" t="str">
        <f>IF(OR('Merged raw data'!H87=1,'Merged raw data'!H87=2,'Merged raw data'!H87=3,'Merged raw data'!H87=4,'Merged raw data'!H87=5),"weekday","weekend")</f>
        <v>weekday</v>
      </c>
      <c r="J87" s="23" t="s">
        <v>23</v>
      </c>
      <c r="K87" s="23" t="str">
        <f>IF('Merged raw data'!I87=1,"Clear",IF('Merged raw data'!I87=2,"Mist",IF('Merged raw data'!I87=3,"Rain",IF('Merged raw data'!I87=4,"Storm","NA"))))</f>
        <v>Clear</v>
      </c>
      <c r="L87" s="24">
        <v>0.48</v>
      </c>
      <c r="M87" s="24">
        <v>0.22389999999999999</v>
      </c>
      <c r="N87" s="21">
        <f>'Merged raw data'!$J87*100</f>
        <v>28.000000000000004</v>
      </c>
      <c r="O87" s="21">
        <v>10</v>
      </c>
      <c r="P87" s="21">
        <v>202</v>
      </c>
      <c r="Q87" s="21">
        <v>212</v>
      </c>
      <c r="R87" s="21" t="str">
        <f>IF(Q87&gt;=outliers!I89,"High",IF(Q87&lt;=outliers!I88,"Low","Moderate"))</f>
        <v>High</v>
      </c>
      <c r="S87" s="8" t="str">
        <f>IF(OR(Q87&lt;outliers!$I$6,Q87&gt;outliers!$I$7),"Outlier","Normal")</f>
        <v>Outlier</v>
      </c>
      <c r="T87" s="8" t="str">
        <f>IF(OR(L87&lt;outliers!$J$6,L87&gt;outliers!$J$7),"Outlier","Normal")</f>
        <v>Normal</v>
      </c>
      <c r="U87" s="8" t="str">
        <f>IF(OR(M87&lt;outliers!$K$6,M87&gt;outliers!$K$7),"Outlier","Normal")</f>
        <v>Normal</v>
      </c>
    </row>
    <row r="88" spans="1:21">
      <c r="A88" s="21">
        <v>87</v>
      </c>
      <c r="B88" s="68">
        <v>40547</v>
      </c>
      <c r="C88" s="22" t="b">
        <v>0</v>
      </c>
      <c r="D88" s="21" t="str">
        <f t="shared" si="1"/>
        <v>Tuesday</v>
      </c>
      <c r="E88" s="23">
        <v>0.2576</v>
      </c>
      <c r="F88" s="23">
        <f>YEAR('Merged raw data'!$B88)</f>
        <v>2011</v>
      </c>
      <c r="G88" s="23" t="str">
        <f>TEXT('Merged raw data'!$B88,"mmmm")</f>
        <v>January</v>
      </c>
      <c r="H88" s="37" t="str">
        <f>TEXT(TIME('Merged raw data'!F88,0,0),"h AM/PM")</f>
        <v>6 PM</v>
      </c>
      <c r="I88" s="23" t="str">
        <f>IF(OR('Merged raw data'!H88=1,'Merged raw data'!H88=2,'Merged raw data'!H88=3,'Merged raw data'!H88=4,'Merged raw data'!H88=5),"weekday","weekend")</f>
        <v>weekday</v>
      </c>
      <c r="J88" s="23" t="s">
        <v>23</v>
      </c>
      <c r="K88" s="23" t="str">
        <f>IF('Merged raw data'!I88=1,"Clear",IF('Merged raw data'!I88=2,"Mist",IF('Merged raw data'!I88=3,"Rain",IF('Merged raw data'!I88=4,"Storm","NA"))))</f>
        <v>Clear</v>
      </c>
      <c r="L88" s="24">
        <v>0.48</v>
      </c>
      <c r="M88" s="24">
        <v>0.19400000000000001</v>
      </c>
      <c r="N88" s="21">
        <f>'Merged raw data'!$J88*100</f>
        <v>26</v>
      </c>
      <c r="O88" s="21">
        <v>3</v>
      </c>
      <c r="P88" s="21">
        <v>179</v>
      </c>
      <c r="Q88" s="21">
        <v>182</v>
      </c>
      <c r="R88" s="21" t="str">
        <f>IF(Q88&gt;=outliers!I90,"High",IF(Q88&lt;=outliers!I89,"Low","Moderate"))</f>
        <v>High</v>
      </c>
      <c r="S88" s="8" t="str">
        <f>IF(OR(Q88&lt;outliers!$I$6,Q88&gt;outliers!$I$7),"Outlier","Normal")</f>
        <v>Normal</v>
      </c>
      <c r="T88" s="8" t="str">
        <f>IF(OR(L88&lt;outliers!$J$6,L88&gt;outliers!$J$7),"Outlier","Normal")</f>
        <v>Normal</v>
      </c>
      <c r="U88" s="8" t="str">
        <f>IF(OR(M88&lt;outliers!$K$6,M88&gt;outliers!$K$7),"Outlier","Normal")</f>
        <v>Normal</v>
      </c>
    </row>
    <row r="89" spans="1:21">
      <c r="A89" s="21">
        <v>88</v>
      </c>
      <c r="B89" s="68">
        <v>40547</v>
      </c>
      <c r="C89" s="22" t="b">
        <v>0</v>
      </c>
      <c r="D89" s="21" t="str">
        <f t="shared" si="1"/>
        <v>Tuesday</v>
      </c>
      <c r="E89" s="23">
        <v>0.2576</v>
      </c>
      <c r="F89" s="23">
        <f>YEAR('Merged raw data'!$B89)</f>
        <v>2011</v>
      </c>
      <c r="G89" s="23" t="str">
        <f>TEXT('Merged raw data'!$B89,"mmmm")</f>
        <v>January</v>
      </c>
      <c r="H89" s="37" t="str">
        <f>TEXT(TIME('Merged raw data'!F89,0,0),"h AM/PM")</f>
        <v>7 PM</v>
      </c>
      <c r="I89" s="23" t="str">
        <f>IF(OR('Merged raw data'!H89=1,'Merged raw data'!H89=2,'Merged raw data'!H89=3,'Merged raw data'!H89=4,'Merged raw data'!H89=5),"weekday","weekend")</f>
        <v>weekday</v>
      </c>
      <c r="J89" s="23" t="s">
        <v>23</v>
      </c>
      <c r="K89" s="23" t="str">
        <f>IF('Merged raw data'!I89=1,"Clear",IF('Merged raw data'!I89=2,"Mist",IF('Merged raw data'!I89=3,"Rain",IF('Merged raw data'!I89=4,"Storm","NA"))))</f>
        <v>Clear</v>
      </c>
      <c r="L89" s="24">
        <v>0.48</v>
      </c>
      <c r="M89" s="24">
        <v>0.1045</v>
      </c>
      <c r="N89" s="21">
        <f>'Merged raw data'!$J89*100</f>
        <v>24</v>
      </c>
      <c r="O89" s="21">
        <v>2</v>
      </c>
      <c r="P89" s="21">
        <v>110</v>
      </c>
      <c r="Q89" s="21">
        <v>112</v>
      </c>
      <c r="R89" s="21" t="str">
        <f>IF(Q89&gt;=outliers!I91,"High",IF(Q89&lt;=outliers!I90,"Low","Moderate"))</f>
        <v>High</v>
      </c>
      <c r="S89" s="8" t="str">
        <f>IF(OR(Q89&lt;outliers!$I$6,Q89&gt;outliers!$I$7),"Outlier","Normal")</f>
        <v>Normal</v>
      </c>
      <c r="T89" s="8" t="str">
        <f>IF(OR(L89&lt;outliers!$J$6,L89&gt;outliers!$J$7),"Outlier","Normal")</f>
        <v>Normal</v>
      </c>
      <c r="U89" s="8" t="str">
        <f>IF(OR(M89&lt;outliers!$K$6,M89&gt;outliers!$K$7),"Outlier","Normal")</f>
        <v>Normal</v>
      </c>
    </row>
    <row r="90" spans="1:21">
      <c r="A90" s="21">
        <v>89</v>
      </c>
      <c r="B90" s="68">
        <v>40547</v>
      </c>
      <c r="C90" s="22" t="b">
        <v>0</v>
      </c>
      <c r="D90" s="21" t="str">
        <f t="shared" si="1"/>
        <v>Tuesday</v>
      </c>
      <c r="E90" s="23">
        <v>0.2576</v>
      </c>
      <c r="F90" s="23">
        <f>YEAR('Merged raw data'!$B90)</f>
        <v>2011</v>
      </c>
      <c r="G90" s="23" t="str">
        <f>TEXT('Merged raw data'!$B90,"mmmm")</f>
        <v>January</v>
      </c>
      <c r="H90" s="37" t="str">
        <f>TEXT(TIME('Merged raw data'!F90,0,0),"h AM/PM")</f>
        <v>8 PM</v>
      </c>
      <c r="I90" s="23" t="str">
        <f>IF(OR('Merged raw data'!H90=1,'Merged raw data'!H90=2,'Merged raw data'!H90=3,'Merged raw data'!H90=4,'Merged raw data'!H90=5),"weekday","weekend")</f>
        <v>weekday</v>
      </c>
      <c r="J90" s="23" t="s">
        <v>23</v>
      </c>
      <c r="K90" s="23" t="str">
        <f>IF('Merged raw data'!I90=1,"Clear",IF('Merged raw data'!I90=2,"Mist",IF('Merged raw data'!I90=3,"Rain",IF('Merged raw data'!I90=4,"Storm","NA"))))</f>
        <v>Clear</v>
      </c>
      <c r="L90" s="24">
        <v>0.48</v>
      </c>
      <c r="M90" s="24">
        <v>0.1045</v>
      </c>
      <c r="N90" s="21">
        <f>'Merged raw data'!$J90*100</f>
        <v>24</v>
      </c>
      <c r="O90" s="21">
        <v>1</v>
      </c>
      <c r="P90" s="21">
        <v>53</v>
      </c>
      <c r="Q90" s="21">
        <v>54</v>
      </c>
      <c r="R90" s="21" t="str">
        <f>IF(Q90&gt;=outliers!I92,"High",IF(Q90&lt;=outliers!I91,"Low","Moderate"))</f>
        <v>High</v>
      </c>
      <c r="S90" s="8" t="str">
        <f>IF(OR(Q90&lt;outliers!$I$6,Q90&gt;outliers!$I$7),"Outlier","Normal")</f>
        <v>Normal</v>
      </c>
      <c r="T90" s="8" t="str">
        <f>IF(OR(L90&lt;outliers!$J$6,L90&gt;outliers!$J$7),"Outlier","Normal")</f>
        <v>Normal</v>
      </c>
      <c r="U90" s="8" t="str">
        <f>IF(OR(M90&lt;outliers!$K$6,M90&gt;outliers!$K$7),"Outlier","Normal")</f>
        <v>Normal</v>
      </c>
    </row>
    <row r="91" spans="1:21">
      <c r="A91" s="21">
        <v>90</v>
      </c>
      <c r="B91" s="68">
        <v>40547</v>
      </c>
      <c r="C91" s="22" t="b">
        <v>0</v>
      </c>
      <c r="D91" s="21" t="str">
        <f t="shared" si="1"/>
        <v>Tuesday</v>
      </c>
      <c r="E91" s="23">
        <v>0.2727</v>
      </c>
      <c r="F91" s="23">
        <f>YEAR('Merged raw data'!$B91)</f>
        <v>2011</v>
      </c>
      <c r="G91" s="23" t="str">
        <f>TEXT('Merged raw data'!$B91,"mmmm")</f>
        <v>January</v>
      </c>
      <c r="H91" s="37" t="str">
        <f>TEXT(TIME('Merged raw data'!F91,0,0),"h AM/PM")</f>
        <v>9 PM</v>
      </c>
      <c r="I91" s="23" t="str">
        <f>IF(OR('Merged raw data'!H91=1,'Merged raw data'!H91=2,'Merged raw data'!H91=3,'Merged raw data'!H91=4,'Merged raw data'!H91=5),"weekday","weekend")</f>
        <v>weekday</v>
      </c>
      <c r="J91" s="23" t="s">
        <v>23</v>
      </c>
      <c r="K91" s="23" t="str">
        <f>IF('Merged raw data'!I91=1,"Clear",IF('Merged raw data'!I91=2,"Mist",IF('Merged raw data'!I91=3,"Rain",IF('Merged raw data'!I91=4,"Storm","NA"))))</f>
        <v>Clear</v>
      </c>
      <c r="L91" s="24">
        <v>0.64</v>
      </c>
      <c r="M91" s="24">
        <v>0.23</v>
      </c>
      <c r="N91" s="21">
        <f>'Merged raw data'!$J91*100</f>
        <v>22</v>
      </c>
      <c r="O91" s="21">
        <v>0</v>
      </c>
      <c r="P91" s="21">
        <v>48</v>
      </c>
      <c r="Q91" s="21">
        <v>48</v>
      </c>
      <c r="R91" s="21" t="str">
        <f>IF(Q91&gt;=outliers!I93,"High",IF(Q91&lt;=outliers!I92,"Low","Moderate"))</f>
        <v>High</v>
      </c>
      <c r="S91" s="8" t="str">
        <f>IF(OR(Q91&lt;outliers!$I$6,Q91&gt;outliers!$I$7),"Outlier","Normal")</f>
        <v>Normal</v>
      </c>
      <c r="T91" s="8" t="str">
        <f>IF(OR(L91&lt;outliers!$J$6,L91&gt;outliers!$J$7),"Outlier","Normal")</f>
        <v>Normal</v>
      </c>
      <c r="U91" s="8" t="str">
        <f>IF(OR(M91&lt;outliers!$K$6,M91&gt;outliers!$K$7),"Outlier","Normal")</f>
        <v>Normal</v>
      </c>
    </row>
    <row r="92" spans="1:21">
      <c r="A92" s="21">
        <v>91</v>
      </c>
      <c r="B92" s="68">
        <v>40547</v>
      </c>
      <c r="C92" s="22" t="b">
        <v>0</v>
      </c>
      <c r="D92" s="21" t="str">
        <f t="shared" si="1"/>
        <v>Tuesday</v>
      </c>
      <c r="E92" s="23">
        <v>0.2576</v>
      </c>
      <c r="F92" s="23">
        <f>YEAR('Merged raw data'!$B92)</f>
        <v>2011</v>
      </c>
      <c r="G92" s="23" t="str">
        <f>TEXT('Merged raw data'!$B92,"mmmm")</f>
        <v>January</v>
      </c>
      <c r="H92" s="37" t="str">
        <f>TEXT(TIME('Merged raw data'!F92,0,0),"h AM/PM")</f>
        <v>10 PM</v>
      </c>
      <c r="I92" s="23" t="str">
        <f>IF(OR('Merged raw data'!H92=1,'Merged raw data'!H92=2,'Merged raw data'!H92=3,'Merged raw data'!H92=4,'Merged raw data'!H92=5),"weekday","weekend")</f>
        <v>weekday</v>
      </c>
      <c r="J92" s="23" t="s">
        <v>23</v>
      </c>
      <c r="K92" s="23" t="str">
        <f>IF('Merged raw data'!I92=1,"Clear",IF('Merged raw data'!I92=2,"Mist",IF('Merged raw data'!I92=3,"Rain",IF('Merged raw data'!I92=4,"Storm","NA"))))</f>
        <v>Clear</v>
      </c>
      <c r="L92" s="24">
        <v>0.64</v>
      </c>
      <c r="M92" s="24">
        <v>8.9599999999999999E-2</v>
      </c>
      <c r="N92" s="21">
        <f>'Merged raw data'!$J92*100</f>
        <v>22</v>
      </c>
      <c r="O92" s="21">
        <v>1</v>
      </c>
      <c r="P92" s="21">
        <v>34</v>
      </c>
      <c r="Q92" s="21">
        <v>35</v>
      </c>
      <c r="R92" s="21" t="str">
        <f>IF(Q92&gt;=outliers!I94,"High",IF(Q92&lt;=outliers!I93,"Low","Moderate"))</f>
        <v>High</v>
      </c>
      <c r="S92" s="8" t="str">
        <f>IF(OR(Q92&lt;outliers!$I$6,Q92&gt;outliers!$I$7),"Outlier","Normal")</f>
        <v>Normal</v>
      </c>
      <c r="T92" s="8" t="str">
        <f>IF(OR(L92&lt;outliers!$J$6,L92&gt;outliers!$J$7),"Outlier","Normal")</f>
        <v>Normal</v>
      </c>
      <c r="U92" s="8" t="str">
        <f>IF(OR(M92&lt;outliers!$K$6,M92&gt;outliers!$K$7),"Outlier","Normal")</f>
        <v>Normal</v>
      </c>
    </row>
    <row r="93" spans="1:21">
      <c r="A93" s="21">
        <v>92</v>
      </c>
      <c r="B93" s="68">
        <v>40547</v>
      </c>
      <c r="C93" s="22" t="b">
        <v>0</v>
      </c>
      <c r="D93" s="21" t="str">
        <f t="shared" si="1"/>
        <v>Tuesday</v>
      </c>
      <c r="E93" s="23">
        <v>0.2273</v>
      </c>
      <c r="F93" s="23">
        <f>YEAR('Merged raw data'!$B93)</f>
        <v>2011</v>
      </c>
      <c r="G93" s="23" t="str">
        <f>TEXT('Merged raw data'!$B93,"mmmm")</f>
        <v>January</v>
      </c>
      <c r="H93" s="37" t="str">
        <f>TEXT(TIME('Merged raw data'!F93,0,0),"h AM/PM")</f>
        <v>11 PM</v>
      </c>
      <c r="I93" s="23" t="str">
        <f>IF(OR('Merged raw data'!H93=1,'Merged raw data'!H93=2,'Merged raw data'!H93=3,'Merged raw data'!H93=4,'Merged raw data'!H93=5),"weekday","weekend")</f>
        <v>weekday</v>
      </c>
      <c r="J93" s="23" t="s">
        <v>23</v>
      </c>
      <c r="K93" s="23" t="str">
        <f>IF('Merged raw data'!I93=1,"Clear",IF('Merged raw data'!I93=2,"Mist",IF('Merged raw data'!I93=3,"Rain",IF('Merged raw data'!I93=4,"Storm","NA"))))</f>
        <v>Clear</v>
      </c>
      <c r="L93" s="24">
        <v>0.69</v>
      </c>
      <c r="M93" s="24">
        <v>8.9599999999999999E-2</v>
      </c>
      <c r="N93" s="21">
        <f>'Merged raw data'!$J93*100</f>
        <v>20</v>
      </c>
      <c r="O93" s="21">
        <v>2</v>
      </c>
      <c r="P93" s="21">
        <v>9</v>
      </c>
      <c r="Q93" s="21">
        <v>11</v>
      </c>
      <c r="R93" s="21" t="str">
        <f>IF(Q93&gt;=outliers!I95,"High",IF(Q93&lt;=outliers!I94,"Low","Moderate"))</f>
        <v>High</v>
      </c>
      <c r="S93" s="8" t="str">
        <f>IF(OR(Q93&lt;outliers!$I$6,Q93&gt;outliers!$I$7),"Outlier","Normal")</f>
        <v>Normal</v>
      </c>
      <c r="T93" s="8" t="str">
        <f>IF(OR(L93&lt;outliers!$J$6,L93&gt;outliers!$J$7),"Outlier","Normal")</f>
        <v>Normal</v>
      </c>
      <c r="U93" s="8" t="str">
        <f>IF(OR(M93&lt;outliers!$K$6,M93&gt;outliers!$K$7),"Outlier","Normal")</f>
        <v>Normal</v>
      </c>
    </row>
    <row r="94" spans="1:21">
      <c r="A94" s="21">
        <v>93</v>
      </c>
      <c r="B94" s="68">
        <v>40548</v>
      </c>
      <c r="C94" s="22" t="b">
        <v>0</v>
      </c>
      <c r="D94" s="21" t="str">
        <f t="shared" si="1"/>
        <v>Wednesday</v>
      </c>
      <c r="E94" s="23">
        <v>0.2576</v>
      </c>
      <c r="F94" s="23">
        <f>YEAR('Merged raw data'!$B94)</f>
        <v>2011</v>
      </c>
      <c r="G94" s="23" t="str">
        <f>TEXT('Merged raw data'!$B94,"mmmm")</f>
        <v>January</v>
      </c>
      <c r="H94" s="37" t="str">
        <f>TEXT(TIME('Merged raw data'!F94,0,0),"h AM/PM")</f>
        <v>12 AM</v>
      </c>
      <c r="I94" s="23" t="str">
        <f>IF(OR('Merged raw data'!H94=1,'Merged raw data'!H94=2,'Merged raw data'!H94=3,'Merged raw data'!H94=4,'Merged raw data'!H94=5),"weekday","weekend")</f>
        <v>weekday</v>
      </c>
      <c r="J94" s="23" t="s">
        <v>23</v>
      </c>
      <c r="K94" s="23" t="str">
        <f>IF('Merged raw data'!I94=1,"Clear",IF('Merged raw data'!I94=2,"Mist",IF('Merged raw data'!I94=3,"Rain",IF('Merged raw data'!I94=4,"Storm","NA"))))</f>
        <v>Clear</v>
      </c>
      <c r="L94" s="24">
        <v>0.64</v>
      </c>
      <c r="M94" s="24">
        <v>0.23</v>
      </c>
      <c r="N94" s="21">
        <f>'Merged raw data'!$J94*100</f>
        <v>20</v>
      </c>
      <c r="O94" s="21">
        <v>0</v>
      </c>
      <c r="P94" s="21">
        <v>6</v>
      </c>
      <c r="Q94" s="21">
        <v>6</v>
      </c>
      <c r="R94" s="21" t="str">
        <f>IF(Q94&gt;=outliers!I96,"High",IF(Q94&lt;=outliers!I95,"Low","Moderate"))</f>
        <v>High</v>
      </c>
      <c r="S94" s="8" t="str">
        <f>IF(OR(Q94&lt;outliers!$I$6,Q94&gt;outliers!$I$7),"Outlier","Normal")</f>
        <v>Normal</v>
      </c>
      <c r="T94" s="8" t="str">
        <f>IF(OR(L94&lt;outliers!$J$6,L94&gt;outliers!$J$7),"Outlier","Normal")</f>
        <v>Normal</v>
      </c>
      <c r="U94" s="8" t="str">
        <f>IF(OR(M94&lt;outliers!$K$6,M94&gt;outliers!$K$7),"Outlier","Normal")</f>
        <v>Normal</v>
      </c>
    </row>
    <row r="95" spans="1:21">
      <c r="A95" s="21">
        <v>94</v>
      </c>
      <c r="B95" s="68">
        <v>40548</v>
      </c>
      <c r="C95" s="22" t="b">
        <v>0</v>
      </c>
      <c r="D95" s="21" t="str">
        <f t="shared" si="1"/>
        <v>Wednesday</v>
      </c>
      <c r="E95" s="23">
        <v>0.19700000000000001</v>
      </c>
      <c r="F95" s="23">
        <f>YEAR('Merged raw data'!$B95)</f>
        <v>2011</v>
      </c>
      <c r="G95" s="23" t="str">
        <f>TEXT('Merged raw data'!$B95,"mmmm")</f>
        <v>January</v>
      </c>
      <c r="H95" s="37" t="str">
        <f>TEXT(TIME('Merged raw data'!F95,0,0),"h AM/PM")</f>
        <v>1 AM</v>
      </c>
      <c r="I95" s="23" t="str">
        <f>IF(OR('Merged raw data'!H95=1,'Merged raw data'!H95=2,'Merged raw data'!H95=3,'Merged raw data'!H95=4,'Merged raw data'!H95=5),"weekday","weekend")</f>
        <v>weekday</v>
      </c>
      <c r="J95" s="23" t="s">
        <v>23</v>
      </c>
      <c r="K95" s="23" t="str">
        <f>IF('Merged raw data'!I95=1,"Clear",IF('Merged raw data'!I95=2,"Mist",IF('Merged raw data'!I95=3,"Rain",IF('Merged raw data'!I95=4,"Storm","NA"))))</f>
        <v>Clear</v>
      </c>
      <c r="L95" s="24">
        <v>0.74</v>
      </c>
      <c r="M95" s="24">
        <v>8.9599999999999999E-2</v>
      </c>
      <c r="N95" s="21">
        <f>'Merged raw data'!$J95*100</f>
        <v>16</v>
      </c>
      <c r="O95" s="21">
        <v>0</v>
      </c>
      <c r="P95" s="21">
        <v>6</v>
      </c>
      <c r="Q95" s="21">
        <v>6</v>
      </c>
      <c r="R95" s="21" t="str">
        <f>IF(Q95&gt;=outliers!I97,"High",IF(Q95&lt;=outliers!I96,"Low","Moderate"))</f>
        <v>High</v>
      </c>
      <c r="S95" s="8" t="str">
        <f>IF(OR(Q95&lt;outliers!$I$6,Q95&gt;outliers!$I$7),"Outlier","Normal")</f>
        <v>Normal</v>
      </c>
      <c r="T95" s="8" t="str">
        <f>IF(OR(L95&lt;outliers!$J$6,L95&gt;outliers!$J$7),"Outlier","Normal")</f>
        <v>Normal</v>
      </c>
      <c r="U95" s="8" t="str">
        <f>IF(OR(M95&lt;outliers!$K$6,M95&gt;outliers!$K$7),"Outlier","Normal")</f>
        <v>Normal</v>
      </c>
    </row>
    <row r="96" spans="1:21">
      <c r="A96" s="21">
        <v>95</v>
      </c>
      <c r="B96" s="68">
        <v>40548</v>
      </c>
      <c r="C96" s="22" t="b">
        <v>0</v>
      </c>
      <c r="D96" s="21" t="str">
        <f t="shared" si="1"/>
        <v>Wednesday</v>
      </c>
      <c r="E96" s="23">
        <v>0.19700000000000001</v>
      </c>
      <c r="F96" s="23">
        <f>YEAR('Merged raw data'!$B96)</f>
        <v>2011</v>
      </c>
      <c r="G96" s="23" t="str">
        <f>TEXT('Merged raw data'!$B96,"mmmm")</f>
        <v>January</v>
      </c>
      <c r="H96" s="37" t="str">
        <f>TEXT(TIME('Merged raw data'!F96,0,0),"h AM/PM")</f>
        <v>2 AM</v>
      </c>
      <c r="I96" s="23" t="str">
        <f>IF(OR('Merged raw data'!H96=1,'Merged raw data'!H96=2,'Merged raw data'!H96=3,'Merged raw data'!H96=4,'Merged raw data'!H96=5),"weekday","weekend")</f>
        <v>weekday</v>
      </c>
      <c r="J96" s="23" t="s">
        <v>23</v>
      </c>
      <c r="K96" s="23" t="str">
        <f>IF('Merged raw data'!I96=1,"Clear",IF('Merged raw data'!I96=2,"Mist",IF('Merged raw data'!I96=3,"Rain",IF('Merged raw data'!I96=4,"Storm","NA"))))</f>
        <v>Clear</v>
      </c>
      <c r="L96" s="24">
        <v>0.74</v>
      </c>
      <c r="M96" s="24">
        <v>8.9599999999999999E-2</v>
      </c>
      <c r="N96" s="21">
        <f>'Merged raw data'!$J96*100</f>
        <v>16</v>
      </c>
      <c r="O96" s="21">
        <v>0</v>
      </c>
      <c r="P96" s="21">
        <v>2</v>
      </c>
      <c r="Q96" s="21">
        <v>2</v>
      </c>
      <c r="R96" s="21" t="str">
        <f>IF(Q96&gt;=outliers!I98,"High",IF(Q96&lt;=outliers!I97,"Low","Moderate"))</f>
        <v>High</v>
      </c>
      <c r="S96" s="8" t="str">
        <f>IF(OR(Q96&lt;outliers!$I$6,Q96&gt;outliers!$I$7),"Outlier","Normal")</f>
        <v>Normal</v>
      </c>
      <c r="T96" s="8" t="str">
        <f>IF(OR(L96&lt;outliers!$J$6,L96&gt;outliers!$J$7),"Outlier","Normal")</f>
        <v>Normal</v>
      </c>
      <c r="U96" s="8" t="str">
        <f>IF(OR(M96&lt;outliers!$K$6,M96&gt;outliers!$K$7),"Outlier","Normal")</f>
        <v>Normal</v>
      </c>
    </row>
    <row r="97" spans="1:21">
      <c r="A97" s="21">
        <v>96</v>
      </c>
      <c r="B97" s="68">
        <v>40548</v>
      </c>
      <c r="C97" s="22" t="b">
        <v>0</v>
      </c>
      <c r="D97" s="21" t="str">
        <f t="shared" si="1"/>
        <v>Wednesday</v>
      </c>
      <c r="E97" s="23">
        <v>0.2273</v>
      </c>
      <c r="F97" s="23">
        <f>YEAR('Merged raw data'!$B97)</f>
        <v>2011</v>
      </c>
      <c r="G97" s="23" t="str">
        <f>TEXT('Merged raw data'!$B97,"mmmm")</f>
        <v>January</v>
      </c>
      <c r="H97" s="37" t="str">
        <f>TEXT(TIME('Merged raw data'!F97,0,0),"h AM/PM")</f>
        <v>4 AM</v>
      </c>
      <c r="I97" s="23" t="str">
        <f>IF(OR('Merged raw data'!H97=1,'Merged raw data'!H97=2,'Merged raw data'!H97=3,'Merged raw data'!H97=4,'Merged raw data'!H97=5),"weekday","weekend")</f>
        <v>weekday</v>
      </c>
      <c r="J97" s="23" t="s">
        <v>23</v>
      </c>
      <c r="K97" s="23" t="str">
        <f>IF('Merged raw data'!I97=1,"Clear",IF('Merged raw data'!I97=2,"Mist",IF('Merged raw data'!I97=3,"Rain",IF('Merged raw data'!I97=4,"Storm","NA"))))</f>
        <v>Clear</v>
      </c>
      <c r="L97" s="24">
        <v>0.48</v>
      </c>
      <c r="M97" s="24">
        <v>0.22389999999999999</v>
      </c>
      <c r="N97" s="21">
        <f>'Merged raw data'!$J97*100</f>
        <v>24</v>
      </c>
      <c r="O97" s="21">
        <v>0</v>
      </c>
      <c r="P97" s="21">
        <v>2</v>
      </c>
      <c r="Q97" s="21">
        <v>2</v>
      </c>
      <c r="R97" s="21" t="str">
        <f>IF(Q97&gt;=outliers!I99,"High",IF(Q97&lt;=outliers!I98,"Low","Moderate"))</f>
        <v>High</v>
      </c>
      <c r="S97" s="8" t="str">
        <f>IF(OR(Q97&lt;outliers!$I$6,Q97&gt;outliers!$I$7),"Outlier","Normal")</f>
        <v>Normal</v>
      </c>
      <c r="T97" s="8" t="str">
        <f>IF(OR(L97&lt;outliers!$J$6,L97&gt;outliers!$J$7),"Outlier","Normal")</f>
        <v>Normal</v>
      </c>
      <c r="U97" s="8" t="str">
        <f>IF(OR(M97&lt;outliers!$K$6,M97&gt;outliers!$K$7),"Outlier","Normal")</f>
        <v>Normal</v>
      </c>
    </row>
    <row r="98" spans="1:21">
      <c r="A98" s="21">
        <v>97</v>
      </c>
      <c r="B98" s="68">
        <v>40548</v>
      </c>
      <c r="C98" s="22" t="b">
        <v>0</v>
      </c>
      <c r="D98" s="21" t="str">
        <f t="shared" si="1"/>
        <v>Wednesday</v>
      </c>
      <c r="E98" s="23">
        <v>0.2273</v>
      </c>
      <c r="F98" s="23">
        <f>YEAR('Merged raw data'!$B98)</f>
        <v>2011</v>
      </c>
      <c r="G98" s="23" t="str">
        <f>TEXT('Merged raw data'!$B98,"mmmm")</f>
        <v>January</v>
      </c>
      <c r="H98" s="37" t="str">
        <f>TEXT(TIME('Merged raw data'!F98,0,0),"h AM/PM")</f>
        <v>5 AM</v>
      </c>
      <c r="I98" s="23" t="str">
        <f>IF(OR('Merged raw data'!H98=1,'Merged raw data'!H98=2,'Merged raw data'!H98=3,'Merged raw data'!H98=4,'Merged raw data'!H98=5),"weekday","weekend")</f>
        <v>weekday</v>
      </c>
      <c r="J98" s="23" t="s">
        <v>23</v>
      </c>
      <c r="K98" s="23" t="str">
        <f>IF('Merged raw data'!I98=1,"Clear",IF('Merged raw data'!I98=2,"Mist",IF('Merged raw data'!I98=3,"Rain",IF('Merged raw data'!I98=4,"Storm","NA"))))</f>
        <v>Clear</v>
      </c>
      <c r="L98" s="24">
        <v>0.47</v>
      </c>
      <c r="M98" s="24">
        <v>0.16420000000000001</v>
      </c>
      <c r="N98" s="21">
        <f>'Merged raw data'!$J98*100</f>
        <v>22</v>
      </c>
      <c r="O98" s="21">
        <v>0</v>
      </c>
      <c r="P98" s="21">
        <v>3</v>
      </c>
      <c r="Q98" s="21">
        <v>3</v>
      </c>
      <c r="R98" s="21" t="str">
        <f>IF(Q98&gt;=outliers!I100,"High",IF(Q98&lt;=outliers!I99,"Low","Moderate"))</f>
        <v>High</v>
      </c>
      <c r="S98" s="8" t="str">
        <f>IF(OR(Q98&lt;outliers!$I$6,Q98&gt;outliers!$I$7),"Outlier","Normal")</f>
        <v>Normal</v>
      </c>
      <c r="T98" s="8" t="str">
        <f>IF(OR(L98&lt;outliers!$J$6,L98&gt;outliers!$J$7),"Outlier","Normal")</f>
        <v>Normal</v>
      </c>
      <c r="U98" s="8" t="str">
        <f>IF(OR(M98&lt;outliers!$K$6,M98&gt;outliers!$K$7),"Outlier","Normal")</f>
        <v>Normal</v>
      </c>
    </row>
    <row r="99" spans="1:21">
      <c r="A99" s="21">
        <v>98</v>
      </c>
      <c r="B99" s="68">
        <v>40548</v>
      </c>
      <c r="C99" s="22" t="b">
        <v>0</v>
      </c>
      <c r="D99" s="21" t="str">
        <f t="shared" si="1"/>
        <v>Wednesday</v>
      </c>
      <c r="E99" s="23">
        <v>0.19700000000000001</v>
      </c>
      <c r="F99" s="23">
        <f>YEAR('Merged raw data'!$B99)</f>
        <v>2011</v>
      </c>
      <c r="G99" s="23" t="str">
        <f>TEXT('Merged raw data'!$B99,"mmmm")</f>
        <v>January</v>
      </c>
      <c r="H99" s="37" t="str">
        <f>TEXT(TIME('Merged raw data'!F99,0,0),"h AM/PM")</f>
        <v>6 AM</v>
      </c>
      <c r="I99" s="23" t="str">
        <f>IF(OR('Merged raw data'!H99=1,'Merged raw data'!H99=2,'Merged raw data'!H99=3,'Merged raw data'!H99=4,'Merged raw data'!H99=5),"weekday","weekend")</f>
        <v>weekday</v>
      </c>
      <c r="J99" s="23" t="s">
        <v>23</v>
      </c>
      <c r="K99" s="23" t="str">
        <f>IF('Merged raw data'!I99=1,"Clear",IF('Merged raw data'!I99=2,"Mist",IF('Merged raw data'!I99=3,"Rain",IF('Merged raw data'!I99=4,"Storm","NA"))))</f>
        <v>Clear</v>
      </c>
      <c r="L99" s="24">
        <v>0.47</v>
      </c>
      <c r="M99" s="24">
        <v>0.22389999999999999</v>
      </c>
      <c r="N99" s="21">
        <f>'Merged raw data'!$J99*100</f>
        <v>20</v>
      </c>
      <c r="O99" s="21">
        <v>0</v>
      </c>
      <c r="P99" s="21">
        <v>33</v>
      </c>
      <c r="Q99" s="21">
        <v>33</v>
      </c>
      <c r="R99" s="21" t="str">
        <f>IF(Q99&gt;=outliers!I101,"High",IF(Q99&lt;=outliers!I100,"Low","Moderate"))</f>
        <v>High</v>
      </c>
      <c r="S99" s="8" t="str">
        <f>IF(OR(Q99&lt;outliers!$I$6,Q99&gt;outliers!$I$7),"Outlier","Normal")</f>
        <v>Normal</v>
      </c>
      <c r="T99" s="8" t="str">
        <f>IF(OR(L99&lt;outliers!$J$6,L99&gt;outliers!$J$7),"Outlier","Normal")</f>
        <v>Normal</v>
      </c>
      <c r="U99" s="8" t="str">
        <f>IF(OR(M99&lt;outliers!$K$6,M99&gt;outliers!$K$7),"Outlier","Normal")</f>
        <v>Normal</v>
      </c>
    </row>
    <row r="100" spans="1:21">
      <c r="A100" s="21">
        <v>99</v>
      </c>
      <c r="B100" s="68">
        <v>40548</v>
      </c>
      <c r="C100" s="22" t="b">
        <v>0</v>
      </c>
      <c r="D100" s="21" t="str">
        <f t="shared" si="1"/>
        <v>Wednesday</v>
      </c>
      <c r="E100" s="23">
        <v>0.18179999999999999</v>
      </c>
      <c r="F100" s="23">
        <f>YEAR('Merged raw data'!$B100)</f>
        <v>2011</v>
      </c>
      <c r="G100" s="23" t="str">
        <f>TEXT('Merged raw data'!$B100,"mmmm")</f>
        <v>January</v>
      </c>
      <c r="H100" s="37" t="str">
        <f>TEXT(TIME('Merged raw data'!F100,0,0),"h AM/PM")</f>
        <v>7 AM</v>
      </c>
      <c r="I100" s="23" t="str">
        <f>IF(OR('Merged raw data'!H100=1,'Merged raw data'!H100=2,'Merged raw data'!H100=3,'Merged raw data'!H100=4,'Merged raw data'!H100=5),"weekday","weekend")</f>
        <v>weekday</v>
      </c>
      <c r="J100" s="23" t="s">
        <v>23</v>
      </c>
      <c r="K100" s="23" t="str">
        <f>IF('Merged raw data'!I100=1,"Clear",IF('Merged raw data'!I100=2,"Mist",IF('Merged raw data'!I100=3,"Rain",IF('Merged raw data'!I100=4,"Storm","NA"))))</f>
        <v>Clear</v>
      </c>
      <c r="L100" s="24">
        <v>0.43</v>
      </c>
      <c r="M100" s="24">
        <v>0.19400000000000001</v>
      </c>
      <c r="N100" s="21">
        <f>'Merged raw data'!$J100*100</f>
        <v>18</v>
      </c>
      <c r="O100" s="21">
        <v>1</v>
      </c>
      <c r="P100" s="21">
        <v>87</v>
      </c>
      <c r="Q100" s="21">
        <v>88</v>
      </c>
      <c r="R100" s="21" t="str">
        <f>IF(Q100&gt;=outliers!I102,"High",IF(Q100&lt;=outliers!I101,"Low","Moderate"))</f>
        <v>High</v>
      </c>
      <c r="S100" s="8" t="str">
        <f>IF(OR(Q100&lt;outliers!$I$6,Q100&gt;outliers!$I$7),"Outlier","Normal")</f>
        <v>Normal</v>
      </c>
      <c r="T100" s="8" t="str">
        <f>IF(OR(L100&lt;outliers!$J$6,L100&gt;outliers!$J$7),"Outlier","Normal")</f>
        <v>Normal</v>
      </c>
      <c r="U100" s="8" t="str">
        <f>IF(OR(M100&lt;outliers!$K$6,M100&gt;outliers!$K$7),"Outlier","Normal")</f>
        <v>Normal</v>
      </c>
    </row>
    <row r="101" spans="1:21">
      <c r="A101" s="21">
        <v>100</v>
      </c>
      <c r="B101" s="68">
        <v>40548</v>
      </c>
      <c r="C101" s="22" t="b">
        <v>0</v>
      </c>
      <c r="D101" s="21" t="str">
        <f t="shared" si="1"/>
        <v>Wednesday</v>
      </c>
      <c r="E101" s="23">
        <v>0.18179999999999999</v>
      </c>
      <c r="F101" s="23">
        <f>YEAR('Merged raw data'!$B101)</f>
        <v>2011</v>
      </c>
      <c r="G101" s="23" t="str">
        <f>TEXT('Merged raw data'!$B101,"mmmm")</f>
        <v>January</v>
      </c>
      <c r="H101" s="37" t="str">
        <f>TEXT(TIME('Merged raw data'!F101,0,0),"h AM/PM")</f>
        <v>8 AM</v>
      </c>
      <c r="I101" s="23" t="str">
        <f>IF(OR('Merged raw data'!H101=1,'Merged raw data'!H101=2,'Merged raw data'!H101=3,'Merged raw data'!H101=4,'Merged raw data'!H101=5),"weekday","weekend")</f>
        <v>weekday</v>
      </c>
      <c r="J101" s="23" t="s">
        <v>23</v>
      </c>
      <c r="K101" s="23" t="str">
        <f>IF('Merged raw data'!I101=1,"Clear",IF('Merged raw data'!I101=2,"Mist",IF('Merged raw data'!I101=3,"Rain",IF('Merged raw data'!I101=4,"Storm","NA"))))</f>
        <v>Clear</v>
      </c>
      <c r="L101" s="24">
        <v>0.4</v>
      </c>
      <c r="M101" s="24">
        <v>0.29849999999999999</v>
      </c>
      <c r="N101" s="21">
        <f>'Merged raw data'!$J101*100</f>
        <v>20</v>
      </c>
      <c r="O101" s="21">
        <v>3</v>
      </c>
      <c r="P101" s="21">
        <v>192</v>
      </c>
      <c r="Q101" s="21">
        <v>195</v>
      </c>
      <c r="R101" s="21" t="str">
        <f>IF(Q101&gt;=outliers!I103,"High",IF(Q101&lt;=outliers!I102,"Low","Moderate"))</f>
        <v>High</v>
      </c>
      <c r="S101" s="8" t="str">
        <f>IF(OR(Q101&lt;outliers!$I$6,Q101&gt;outliers!$I$7),"Outlier","Normal")</f>
        <v>Outlier</v>
      </c>
      <c r="T101" s="8" t="str">
        <f>IF(OR(L101&lt;outliers!$J$6,L101&gt;outliers!$J$7),"Outlier","Normal")</f>
        <v>Normal</v>
      </c>
      <c r="U101" s="8" t="str">
        <f>IF(OR(M101&lt;outliers!$K$6,M101&gt;outliers!$K$7),"Outlier","Normal")</f>
        <v>Normal</v>
      </c>
    </row>
    <row r="102" spans="1:21">
      <c r="A102" s="21">
        <v>101</v>
      </c>
      <c r="B102" s="68">
        <v>40548</v>
      </c>
      <c r="C102" s="22" t="b">
        <v>0</v>
      </c>
      <c r="D102" s="21" t="str">
        <f t="shared" si="1"/>
        <v>Wednesday</v>
      </c>
      <c r="E102" s="23">
        <v>0.19700000000000001</v>
      </c>
      <c r="F102" s="23">
        <f>YEAR('Merged raw data'!$B102)</f>
        <v>2011</v>
      </c>
      <c r="G102" s="23" t="str">
        <f>TEXT('Merged raw data'!$B102,"mmmm")</f>
        <v>January</v>
      </c>
      <c r="H102" s="37" t="str">
        <f>TEXT(TIME('Merged raw data'!F102,0,0),"h AM/PM")</f>
        <v>9 AM</v>
      </c>
      <c r="I102" s="23" t="str">
        <f>IF(OR('Merged raw data'!H102=1,'Merged raw data'!H102=2,'Merged raw data'!H102=3,'Merged raw data'!H102=4,'Merged raw data'!H102=5),"weekday","weekend")</f>
        <v>weekday</v>
      </c>
      <c r="J102" s="23" t="s">
        <v>23</v>
      </c>
      <c r="K102" s="23" t="str">
        <f>IF('Merged raw data'!I102=1,"Clear",IF('Merged raw data'!I102=2,"Mist",IF('Merged raw data'!I102=3,"Rain",IF('Merged raw data'!I102=4,"Storm","NA"))))</f>
        <v>Clear</v>
      </c>
      <c r="L102" s="24">
        <v>0.37</v>
      </c>
      <c r="M102" s="24">
        <v>0.32840000000000003</v>
      </c>
      <c r="N102" s="21">
        <f>'Merged raw data'!$J102*100</f>
        <v>22</v>
      </c>
      <c r="O102" s="21">
        <v>6</v>
      </c>
      <c r="P102" s="21">
        <v>109</v>
      </c>
      <c r="Q102" s="21">
        <v>115</v>
      </c>
      <c r="R102" s="21" t="str">
        <f>IF(Q102&gt;=outliers!I104,"High",IF(Q102&lt;=outliers!I103,"Low","Moderate"))</f>
        <v>High</v>
      </c>
      <c r="S102" s="8" t="str">
        <f>IF(OR(Q102&lt;outliers!$I$6,Q102&gt;outliers!$I$7),"Outlier","Normal")</f>
        <v>Normal</v>
      </c>
      <c r="T102" s="8" t="str">
        <f>IF(OR(L102&lt;outliers!$J$6,L102&gt;outliers!$J$7),"Outlier","Normal")</f>
        <v>Normal</v>
      </c>
      <c r="U102" s="8" t="str">
        <f>IF(OR(M102&lt;outliers!$K$6,M102&gt;outliers!$K$7),"Outlier","Normal")</f>
        <v>Normal</v>
      </c>
    </row>
    <row r="103" spans="1:21">
      <c r="A103" s="21">
        <v>102</v>
      </c>
      <c r="B103" s="68">
        <v>40548</v>
      </c>
      <c r="C103" s="22" t="b">
        <v>0</v>
      </c>
      <c r="D103" s="21" t="str">
        <f t="shared" si="1"/>
        <v>Wednesday</v>
      </c>
      <c r="E103" s="23">
        <v>0.19700000000000001</v>
      </c>
      <c r="F103" s="23">
        <f>YEAR('Merged raw data'!$B103)</f>
        <v>2011</v>
      </c>
      <c r="G103" s="23" t="str">
        <f>TEXT('Merged raw data'!$B103,"mmmm")</f>
        <v>January</v>
      </c>
      <c r="H103" s="37" t="str">
        <f>TEXT(TIME('Merged raw data'!F103,0,0),"h AM/PM")</f>
        <v>10 AM</v>
      </c>
      <c r="I103" s="23" t="str">
        <f>IF(OR('Merged raw data'!H103=1,'Merged raw data'!H103=2,'Merged raw data'!H103=3,'Merged raw data'!H103=4,'Merged raw data'!H103=5),"weekday","weekend")</f>
        <v>weekday</v>
      </c>
      <c r="J103" s="23" t="s">
        <v>23</v>
      </c>
      <c r="K103" s="23" t="str">
        <f>IF('Merged raw data'!I103=1,"Clear",IF('Merged raw data'!I103=2,"Mist",IF('Merged raw data'!I103=3,"Rain",IF('Merged raw data'!I103=4,"Storm","NA"))))</f>
        <v>Clear</v>
      </c>
      <c r="L103" s="24">
        <v>0.37</v>
      </c>
      <c r="M103" s="24">
        <v>0.32840000000000003</v>
      </c>
      <c r="N103" s="21">
        <f>'Merged raw data'!$J103*100</f>
        <v>22</v>
      </c>
      <c r="O103" s="21">
        <v>4</v>
      </c>
      <c r="P103" s="21">
        <v>53</v>
      </c>
      <c r="Q103" s="21">
        <v>57</v>
      </c>
      <c r="R103" s="21" t="str">
        <f>IF(Q103&gt;=outliers!I105,"High",IF(Q103&lt;=outliers!I104,"Low","Moderate"))</f>
        <v>High</v>
      </c>
      <c r="S103" s="8" t="str">
        <f>IF(OR(Q103&lt;outliers!$I$6,Q103&gt;outliers!$I$7),"Outlier","Normal")</f>
        <v>Normal</v>
      </c>
      <c r="T103" s="8" t="str">
        <f>IF(OR(L103&lt;outliers!$J$6,L103&gt;outliers!$J$7),"Outlier","Normal")</f>
        <v>Normal</v>
      </c>
      <c r="U103" s="8" t="str">
        <f>IF(OR(M103&lt;outliers!$K$6,M103&gt;outliers!$K$7),"Outlier","Normal")</f>
        <v>Normal</v>
      </c>
    </row>
    <row r="104" spans="1:21">
      <c r="A104" s="21">
        <v>103</v>
      </c>
      <c r="B104" s="68">
        <v>40548</v>
      </c>
      <c r="C104" s="22" t="b">
        <v>0</v>
      </c>
      <c r="D104" s="21" t="str">
        <f t="shared" si="1"/>
        <v>Wednesday</v>
      </c>
      <c r="E104" s="23">
        <v>0.2273</v>
      </c>
      <c r="F104" s="23">
        <f>YEAR('Merged raw data'!$B104)</f>
        <v>2011</v>
      </c>
      <c r="G104" s="23" t="str">
        <f>TEXT('Merged raw data'!$B104,"mmmm")</f>
        <v>January</v>
      </c>
      <c r="H104" s="37" t="str">
        <f>TEXT(TIME('Merged raw data'!F104,0,0),"h AM/PM")</f>
        <v>11 AM</v>
      </c>
      <c r="I104" s="23" t="str">
        <f>IF(OR('Merged raw data'!H104=1,'Merged raw data'!H104=2,'Merged raw data'!H104=3,'Merged raw data'!H104=4,'Merged raw data'!H104=5),"weekday","weekend")</f>
        <v>weekday</v>
      </c>
      <c r="J104" s="23" t="s">
        <v>23</v>
      </c>
      <c r="K104" s="23" t="str">
        <f>IF('Merged raw data'!I104=1,"Clear",IF('Merged raw data'!I104=2,"Mist",IF('Merged raw data'!I104=3,"Rain",IF('Merged raw data'!I104=4,"Storm","NA"))))</f>
        <v>Clear</v>
      </c>
      <c r="L104" s="24">
        <v>0.33</v>
      </c>
      <c r="M104" s="24">
        <v>0.32840000000000003</v>
      </c>
      <c r="N104" s="21">
        <f>'Merged raw data'!$J104*100</f>
        <v>26</v>
      </c>
      <c r="O104" s="21">
        <v>12</v>
      </c>
      <c r="P104" s="21">
        <v>34</v>
      </c>
      <c r="Q104" s="21">
        <v>46</v>
      </c>
      <c r="R104" s="21" t="str">
        <f>IF(Q104&gt;=outliers!I106,"High",IF(Q104&lt;=outliers!I105,"Low","Moderate"))</f>
        <v>High</v>
      </c>
      <c r="S104" s="8" t="str">
        <f>IF(OR(Q104&lt;outliers!$I$6,Q104&gt;outliers!$I$7),"Outlier","Normal")</f>
        <v>Normal</v>
      </c>
      <c r="T104" s="8" t="str">
        <f>IF(OR(L104&lt;outliers!$J$6,L104&gt;outliers!$J$7),"Outlier","Normal")</f>
        <v>Normal</v>
      </c>
      <c r="U104" s="8" t="str">
        <f>IF(OR(M104&lt;outliers!$K$6,M104&gt;outliers!$K$7),"Outlier","Normal")</f>
        <v>Normal</v>
      </c>
    </row>
    <row r="105" spans="1:21">
      <c r="A105" s="21">
        <v>104</v>
      </c>
      <c r="B105" s="68">
        <v>40548</v>
      </c>
      <c r="C105" s="22" t="b">
        <v>0</v>
      </c>
      <c r="D105" s="21" t="str">
        <f t="shared" si="1"/>
        <v>Wednesday</v>
      </c>
      <c r="E105" s="23">
        <v>0.2273</v>
      </c>
      <c r="F105" s="23">
        <f>YEAR('Merged raw data'!$B105)</f>
        <v>2011</v>
      </c>
      <c r="G105" s="23" t="str">
        <f>TEXT('Merged raw data'!$B105,"mmmm")</f>
        <v>January</v>
      </c>
      <c r="H105" s="37" t="str">
        <f>TEXT(TIME('Merged raw data'!F105,0,0),"h AM/PM")</f>
        <v>12 PM</v>
      </c>
      <c r="I105" s="23" t="str">
        <f>IF(OR('Merged raw data'!H105=1,'Merged raw data'!H105=2,'Merged raw data'!H105=3,'Merged raw data'!H105=4,'Merged raw data'!H105=5),"weekday","weekend")</f>
        <v>weekday</v>
      </c>
      <c r="J105" s="23" t="s">
        <v>23</v>
      </c>
      <c r="K105" s="23" t="str">
        <f>IF('Merged raw data'!I105=1,"Clear",IF('Merged raw data'!I105=2,"Mist",IF('Merged raw data'!I105=3,"Rain",IF('Merged raw data'!I105=4,"Storm","NA"))))</f>
        <v>Clear</v>
      </c>
      <c r="L105" s="24">
        <v>0.33</v>
      </c>
      <c r="M105" s="24">
        <v>0.32840000000000003</v>
      </c>
      <c r="N105" s="21">
        <f>'Merged raw data'!$J105*100</f>
        <v>26</v>
      </c>
      <c r="O105" s="21">
        <v>5</v>
      </c>
      <c r="P105" s="21">
        <v>74</v>
      </c>
      <c r="Q105" s="21">
        <v>79</v>
      </c>
      <c r="R105" s="21" t="str">
        <f>IF(Q105&gt;=outliers!I107,"High",IF(Q105&lt;=outliers!I106,"Low","Moderate"))</f>
        <v>High</v>
      </c>
      <c r="S105" s="8" t="str">
        <f>IF(OR(Q105&lt;outliers!$I$6,Q105&gt;outliers!$I$7),"Outlier","Normal")</f>
        <v>Normal</v>
      </c>
      <c r="T105" s="8" t="str">
        <f>IF(OR(L105&lt;outliers!$J$6,L105&gt;outliers!$J$7),"Outlier","Normal")</f>
        <v>Normal</v>
      </c>
      <c r="U105" s="8" t="str">
        <f>IF(OR(M105&lt;outliers!$K$6,M105&gt;outliers!$K$7),"Outlier","Normal")</f>
        <v>Normal</v>
      </c>
    </row>
    <row r="106" spans="1:21">
      <c r="A106" s="21">
        <v>105</v>
      </c>
      <c r="B106" s="68">
        <v>40548</v>
      </c>
      <c r="C106" s="22" t="b">
        <v>0</v>
      </c>
      <c r="D106" s="21" t="str">
        <f t="shared" si="1"/>
        <v>Wednesday</v>
      </c>
      <c r="E106" s="23">
        <v>0.2576</v>
      </c>
      <c r="F106" s="23">
        <f>YEAR('Merged raw data'!$B106)</f>
        <v>2011</v>
      </c>
      <c r="G106" s="23" t="str">
        <f>TEXT('Merged raw data'!$B106,"mmmm")</f>
        <v>January</v>
      </c>
      <c r="H106" s="37" t="str">
        <f>TEXT(TIME('Merged raw data'!F106,0,0),"h AM/PM")</f>
        <v>1 PM</v>
      </c>
      <c r="I106" s="23" t="str">
        <f>IF(OR('Merged raw data'!H106=1,'Merged raw data'!H106=2,'Merged raw data'!H106=3,'Merged raw data'!H106=4,'Merged raw data'!H106=5),"weekday","weekend")</f>
        <v>weekday</v>
      </c>
      <c r="J106" s="23" t="s">
        <v>23</v>
      </c>
      <c r="K106" s="23" t="str">
        <f>IF('Merged raw data'!I106=1,"Clear",IF('Merged raw data'!I106=2,"Mist",IF('Merged raw data'!I106=3,"Rain",IF('Merged raw data'!I106=4,"Storm","NA"))))</f>
        <v>Clear</v>
      </c>
      <c r="L106" s="24">
        <v>0.3</v>
      </c>
      <c r="M106" s="24">
        <v>0.29849999999999999</v>
      </c>
      <c r="N106" s="21">
        <f>'Merged raw data'!$J106*100</f>
        <v>28.000000000000004</v>
      </c>
      <c r="O106" s="21">
        <v>6</v>
      </c>
      <c r="P106" s="21">
        <v>65</v>
      </c>
      <c r="Q106" s="21">
        <v>71</v>
      </c>
      <c r="R106" s="21" t="str">
        <f>IF(Q106&gt;=outliers!I108,"High",IF(Q106&lt;=outliers!I107,"Low","Moderate"))</f>
        <v>High</v>
      </c>
      <c r="S106" s="8" t="str">
        <f>IF(OR(Q106&lt;outliers!$I$6,Q106&gt;outliers!$I$7),"Outlier","Normal")</f>
        <v>Normal</v>
      </c>
      <c r="T106" s="8" t="str">
        <f>IF(OR(L106&lt;outliers!$J$6,L106&gt;outliers!$J$7),"Outlier","Normal")</f>
        <v>Normal</v>
      </c>
      <c r="U106" s="8" t="str">
        <f>IF(OR(M106&lt;outliers!$K$6,M106&gt;outliers!$K$7),"Outlier","Normal")</f>
        <v>Normal</v>
      </c>
    </row>
    <row r="107" spans="1:21">
      <c r="A107" s="21">
        <v>106</v>
      </c>
      <c r="B107" s="68">
        <v>40548</v>
      </c>
      <c r="C107" s="22" t="b">
        <v>0</v>
      </c>
      <c r="D107" s="21" t="str">
        <f t="shared" si="1"/>
        <v>Wednesday</v>
      </c>
      <c r="E107" s="23">
        <v>0.28789999999999999</v>
      </c>
      <c r="F107" s="23">
        <f>YEAR('Merged raw data'!$B107)</f>
        <v>2011</v>
      </c>
      <c r="G107" s="23" t="str">
        <f>TEXT('Merged raw data'!$B107,"mmmm")</f>
        <v>January</v>
      </c>
      <c r="H107" s="37" t="str">
        <f>TEXT(TIME('Merged raw data'!F107,0,0),"h AM/PM")</f>
        <v>2 PM</v>
      </c>
      <c r="I107" s="23" t="str">
        <f>IF(OR('Merged raw data'!H107=1,'Merged raw data'!H107=2,'Merged raw data'!H107=3,'Merged raw data'!H107=4,'Merged raw data'!H107=5),"weekday","weekend")</f>
        <v>weekday</v>
      </c>
      <c r="J107" s="23" t="s">
        <v>23</v>
      </c>
      <c r="K107" s="23" t="str">
        <f>IF('Merged raw data'!I107=1,"Clear",IF('Merged raw data'!I107=2,"Mist",IF('Merged raw data'!I107=3,"Rain",IF('Merged raw data'!I107=4,"Storm","NA"))))</f>
        <v>Clear</v>
      </c>
      <c r="L107" s="24">
        <v>0.28000000000000003</v>
      </c>
      <c r="M107" s="24">
        <v>0.19400000000000001</v>
      </c>
      <c r="N107" s="21">
        <f>'Merged raw data'!$J107*100</f>
        <v>30</v>
      </c>
      <c r="O107" s="21">
        <v>10</v>
      </c>
      <c r="P107" s="21">
        <v>52</v>
      </c>
      <c r="Q107" s="21">
        <v>62</v>
      </c>
      <c r="R107" s="21" t="str">
        <f>IF(Q107&gt;=outliers!I109,"High",IF(Q107&lt;=outliers!I108,"Low","Moderate"))</f>
        <v>High</v>
      </c>
      <c r="S107" s="8" t="str">
        <f>IF(OR(Q107&lt;outliers!$I$6,Q107&gt;outliers!$I$7),"Outlier","Normal")</f>
        <v>Normal</v>
      </c>
      <c r="T107" s="8" t="str">
        <f>IF(OR(L107&lt;outliers!$J$6,L107&gt;outliers!$J$7),"Outlier","Normal")</f>
        <v>Normal</v>
      </c>
      <c r="U107" s="8" t="str">
        <f>IF(OR(M107&lt;outliers!$K$6,M107&gt;outliers!$K$7),"Outlier","Normal")</f>
        <v>Normal</v>
      </c>
    </row>
    <row r="108" spans="1:21">
      <c r="A108" s="21">
        <v>107</v>
      </c>
      <c r="B108" s="68">
        <v>40548</v>
      </c>
      <c r="C108" s="22" t="b">
        <v>0</v>
      </c>
      <c r="D108" s="21" t="str">
        <f t="shared" si="1"/>
        <v>Wednesday</v>
      </c>
      <c r="E108" s="23">
        <v>0.28789999999999999</v>
      </c>
      <c r="F108" s="23">
        <f>YEAR('Merged raw data'!$B108)</f>
        <v>2011</v>
      </c>
      <c r="G108" s="23" t="str">
        <f>TEXT('Merged raw data'!$B108,"mmmm")</f>
        <v>January</v>
      </c>
      <c r="H108" s="37" t="str">
        <f>TEXT(TIME('Merged raw data'!F108,0,0),"h AM/PM")</f>
        <v>3 PM</v>
      </c>
      <c r="I108" s="23" t="str">
        <f>IF(OR('Merged raw data'!H108=1,'Merged raw data'!H108=2,'Merged raw data'!H108=3,'Merged raw data'!H108=4,'Merged raw data'!H108=5),"weekday","weekend")</f>
        <v>weekday</v>
      </c>
      <c r="J108" s="23" t="s">
        <v>23</v>
      </c>
      <c r="K108" s="23" t="str">
        <f>IF('Merged raw data'!I108=1,"Clear",IF('Merged raw data'!I108=2,"Mist",IF('Merged raw data'!I108=3,"Rain",IF('Merged raw data'!I108=4,"Storm","NA"))))</f>
        <v>Clear</v>
      </c>
      <c r="L108" s="24">
        <v>0.28000000000000003</v>
      </c>
      <c r="M108" s="24">
        <v>0.19400000000000001</v>
      </c>
      <c r="N108" s="21">
        <f>'Merged raw data'!$J108*100</f>
        <v>30</v>
      </c>
      <c r="O108" s="21">
        <v>7</v>
      </c>
      <c r="P108" s="21">
        <v>55</v>
      </c>
      <c r="Q108" s="21">
        <v>62</v>
      </c>
      <c r="R108" s="21" t="str">
        <f>IF(Q108&gt;=outliers!I110,"High",IF(Q108&lt;=outliers!I109,"Low","Moderate"))</f>
        <v>High</v>
      </c>
      <c r="S108" s="8" t="str">
        <f>IF(OR(Q108&lt;outliers!$I$6,Q108&gt;outliers!$I$7),"Outlier","Normal")</f>
        <v>Normal</v>
      </c>
      <c r="T108" s="8" t="str">
        <f>IF(OR(L108&lt;outliers!$J$6,L108&gt;outliers!$J$7),"Outlier","Normal")</f>
        <v>Normal</v>
      </c>
      <c r="U108" s="8" t="str">
        <f>IF(OR(M108&lt;outliers!$K$6,M108&gt;outliers!$K$7),"Outlier","Normal")</f>
        <v>Normal</v>
      </c>
    </row>
    <row r="109" spans="1:21">
      <c r="A109" s="21">
        <v>108</v>
      </c>
      <c r="B109" s="68">
        <v>40548</v>
      </c>
      <c r="C109" s="22" t="b">
        <v>0</v>
      </c>
      <c r="D109" s="21" t="str">
        <f t="shared" si="1"/>
        <v>Wednesday</v>
      </c>
      <c r="E109" s="23">
        <v>0.31819999999999998</v>
      </c>
      <c r="F109" s="23">
        <f>YEAR('Merged raw data'!$B109)</f>
        <v>2011</v>
      </c>
      <c r="G109" s="23" t="str">
        <f>TEXT('Merged raw data'!$B109,"mmmm")</f>
        <v>January</v>
      </c>
      <c r="H109" s="37" t="str">
        <f>TEXT(TIME('Merged raw data'!F109,0,0),"h AM/PM")</f>
        <v>4 PM</v>
      </c>
      <c r="I109" s="23" t="str">
        <f>IF(OR('Merged raw data'!H109=1,'Merged raw data'!H109=2,'Merged raw data'!H109=3,'Merged raw data'!H109=4,'Merged raw data'!H109=5),"weekday","weekend")</f>
        <v>weekday</v>
      </c>
      <c r="J109" s="23" t="s">
        <v>23</v>
      </c>
      <c r="K109" s="23" t="str">
        <f>IF('Merged raw data'!I109=1,"Clear",IF('Merged raw data'!I109=2,"Mist",IF('Merged raw data'!I109=3,"Rain",IF('Merged raw data'!I109=4,"Storm","NA"))))</f>
        <v>Clear</v>
      </c>
      <c r="L109" s="24">
        <v>0.28000000000000003</v>
      </c>
      <c r="M109" s="24">
        <v>8.9599999999999999E-2</v>
      </c>
      <c r="N109" s="21">
        <f>'Merged raw data'!$J109*100</f>
        <v>30</v>
      </c>
      <c r="O109" s="21">
        <v>4</v>
      </c>
      <c r="P109" s="21">
        <v>85</v>
      </c>
      <c r="Q109" s="21">
        <v>89</v>
      </c>
      <c r="R109" s="21" t="str">
        <f>IF(Q109&gt;=outliers!I111,"High",IF(Q109&lt;=outliers!I110,"Low","Moderate"))</f>
        <v>High</v>
      </c>
      <c r="S109" s="8" t="str">
        <f>IF(OR(Q109&lt;outliers!$I$6,Q109&gt;outliers!$I$7),"Outlier","Normal")</f>
        <v>Normal</v>
      </c>
      <c r="T109" s="8" t="str">
        <f>IF(OR(L109&lt;outliers!$J$6,L109&gt;outliers!$J$7),"Outlier","Normal")</f>
        <v>Normal</v>
      </c>
      <c r="U109" s="8" t="str">
        <f>IF(OR(M109&lt;outliers!$K$6,M109&gt;outliers!$K$7),"Outlier","Normal")</f>
        <v>Normal</v>
      </c>
    </row>
    <row r="110" spans="1:21">
      <c r="A110" s="21">
        <v>109</v>
      </c>
      <c r="B110" s="68">
        <v>40548</v>
      </c>
      <c r="C110" s="22" t="b">
        <v>0</v>
      </c>
      <c r="D110" s="21" t="str">
        <f t="shared" si="1"/>
        <v>Wednesday</v>
      </c>
      <c r="E110" s="23">
        <v>0.2273</v>
      </c>
      <c r="F110" s="23">
        <f>YEAR('Merged raw data'!$B110)</f>
        <v>2011</v>
      </c>
      <c r="G110" s="23" t="str">
        <f>TEXT('Merged raw data'!$B110,"mmmm")</f>
        <v>January</v>
      </c>
      <c r="H110" s="37" t="str">
        <f>TEXT(TIME('Merged raw data'!F110,0,0),"h AM/PM")</f>
        <v>5 PM</v>
      </c>
      <c r="I110" s="23" t="str">
        <f>IF(OR('Merged raw data'!H110=1,'Merged raw data'!H110=2,'Merged raw data'!H110=3,'Merged raw data'!H110=4,'Merged raw data'!H110=5),"weekday","weekend")</f>
        <v>weekday</v>
      </c>
      <c r="J110" s="23" t="s">
        <v>23</v>
      </c>
      <c r="K110" s="23" t="str">
        <f>IF('Merged raw data'!I110=1,"Clear",IF('Merged raw data'!I110=2,"Mist",IF('Merged raw data'!I110=3,"Rain",IF('Merged raw data'!I110=4,"Storm","NA"))))</f>
        <v>Clear</v>
      </c>
      <c r="L110" s="24">
        <v>0.38</v>
      </c>
      <c r="M110" s="24">
        <v>0.19400000000000001</v>
      </c>
      <c r="N110" s="21">
        <f>'Merged raw data'!$J110*100</f>
        <v>24</v>
      </c>
      <c r="O110" s="21">
        <v>4</v>
      </c>
      <c r="P110" s="21">
        <v>186</v>
      </c>
      <c r="Q110" s="21">
        <v>190</v>
      </c>
      <c r="R110" s="21" t="str">
        <f>IF(Q110&gt;=outliers!I112,"High",IF(Q110&lt;=outliers!I111,"Low","Moderate"))</f>
        <v>High</v>
      </c>
      <c r="S110" s="8" t="str">
        <f>IF(OR(Q110&lt;outliers!$I$6,Q110&gt;outliers!$I$7),"Outlier","Normal")</f>
        <v>Outlier</v>
      </c>
      <c r="T110" s="8" t="str">
        <f>IF(OR(L110&lt;outliers!$J$6,L110&gt;outliers!$J$7),"Outlier","Normal")</f>
        <v>Normal</v>
      </c>
      <c r="U110" s="8" t="str">
        <f>IF(OR(M110&lt;outliers!$K$6,M110&gt;outliers!$K$7),"Outlier","Normal")</f>
        <v>Normal</v>
      </c>
    </row>
    <row r="111" spans="1:21">
      <c r="A111" s="21">
        <v>110</v>
      </c>
      <c r="B111" s="68">
        <v>40548</v>
      </c>
      <c r="C111" s="22" t="b">
        <v>0</v>
      </c>
      <c r="D111" s="21" t="str">
        <f t="shared" si="1"/>
        <v>Wednesday</v>
      </c>
      <c r="E111" s="23">
        <v>0.2424</v>
      </c>
      <c r="F111" s="23">
        <f>YEAR('Merged raw data'!$B111)</f>
        <v>2011</v>
      </c>
      <c r="G111" s="23" t="str">
        <f>TEXT('Merged raw data'!$B111,"mmmm")</f>
        <v>January</v>
      </c>
      <c r="H111" s="37" t="str">
        <f>TEXT(TIME('Merged raw data'!F111,0,0),"h AM/PM")</f>
        <v>6 PM</v>
      </c>
      <c r="I111" s="23" t="str">
        <f>IF(OR('Merged raw data'!H111=1,'Merged raw data'!H111=2,'Merged raw data'!H111=3,'Merged raw data'!H111=4,'Merged raw data'!H111=5),"weekday","weekend")</f>
        <v>weekday</v>
      </c>
      <c r="J111" s="23" t="s">
        <v>23</v>
      </c>
      <c r="K111" s="23" t="str">
        <f>IF('Merged raw data'!I111=1,"Clear",IF('Merged raw data'!I111=2,"Mist",IF('Merged raw data'!I111=3,"Rain",IF('Merged raw data'!I111=4,"Storm","NA"))))</f>
        <v>Clear</v>
      </c>
      <c r="L111" s="24">
        <v>0.38</v>
      </c>
      <c r="M111" s="24">
        <v>0.1343</v>
      </c>
      <c r="N111" s="21">
        <f>'Merged raw data'!$J111*100</f>
        <v>24</v>
      </c>
      <c r="O111" s="21">
        <v>3</v>
      </c>
      <c r="P111" s="21">
        <v>166</v>
      </c>
      <c r="Q111" s="21">
        <v>169</v>
      </c>
      <c r="R111" s="21" t="str">
        <f>IF(Q111&gt;=outliers!I113,"High",IF(Q111&lt;=outliers!I112,"Low","Moderate"))</f>
        <v>High</v>
      </c>
      <c r="S111" s="8" t="str">
        <f>IF(OR(Q111&lt;outliers!$I$6,Q111&gt;outliers!$I$7),"Outlier","Normal")</f>
        <v>Normal</v>
      </c>
      <c r="T111" s="8" t="str">
        <f>IF(OR(L111&lt;outliers!$J$6,L111&gt;outliers!$J$7),"Outlier","Normal")</f>
        <v>Normal</v>
      </c>
      <c r="U111" s="8" t="str">
        <f>IF(OR(M111&lt;outliers!$K$6,M111&gt;outliers!$K$7),"Outlier","Normal")</f>
        <v>Normal</v>
      </c>
    </row>
    <row r="112" spans="1:21">
      <c r="A112" s="21">
        <v>111</v>
      </c>
      <c r="B112" s="68">
        <v>40548</v>
      </c>
      <c r="C112" s="22" t="b">
        <v>0</v>
      </c>
      <c r="D112" s="21" t="str">
        <f t="shared" si="1"/>
        <v>Wednesday</v>
      </c>
      <c r="E112" s="23">
        <v>0.2576</v>
      </c>
      <c r="F112" s="23">
        <f>YEAR('Merged raw data'!$B112)</f>
        <v>2011</v>
      </c>
      <c r="G112" s="23" t="str">
        <f>TEXT('Merged raw data'!$B112,"mmmm")</f>
        <v>January</v>
      </c>
      <c r="H112" s="37" t="str">
        <f>TEXT(TIME('Merged raw data'!F112,0,0),"h AM/PM")</f>
        <v>7 PM</v>
      </c>
      <c r="I112" s="23" t="str">
        <f>IF(OR('Merged raw data'!H112=1,'Merged raw data'!H112=2,'Merged raw data'!H112=3,'Merged raw data'!H112=4,'Merged raw data'!H112=5),"weekday","weekend")</f>
        <v>weekday</v>
      </c>
      <c r="J112" s="23" t="s">
        <v>23</v>
      </c>
      <c r="K112" s="23" t="str">
        <f>IF('Merged raw data'!I112=1,"Clear",IF('Merged raw data'!I112=2,"Mist",IF('Merged raw data'!I112=3,"Rain",IF('Merged raw data'!I112=4,"Storm","NA"))))</f>
        <v>Clear</v>
      </c>
      <c r="L112" s="24">
        <v>0.38</v>
      </c>
      <c r="M112" s="24">
        <v>0.1045</v>
      </c>
      <c r="N112" s="21">
        <f>'Merged raw data'!$J112*100</f>
        <v>24</v>
      </c>
      <c r="O112" s="21">
        <v>5</v>
      </c>
      <c r="P112" s="21">
        <v>127</v>
      </c>
      <c r="Q112" s="21">
        <v>132</v>
      </c>
      <c r="R112" s="21" t="str">
        <f>IF(Q112&gt;=outliers!I114,"High",IF(Q112&lt;=outliers!I113,"Low","Moderate"))</f>
        <v>High</v>
      </c>
      <c r="S112" s="8" t="str">
        <f>IF(OR(Q112&lt;outliers!$I$6,Q112&gt;outliers!$I$7),"Outlier","Normal")</f>
        <v>Normal</v>
      </c>
      <c r="T112" s="8" t="str">
        <f>IF(OR(L112&lt;outliers!$J$6,L112&gt;outliers!$J$7),"Outlier","Normal")</f>
        <v>Normal</v>
      </c>
      <c r="U112" s="8" t="str">
        <f>IF(OR(M112&lt;outliers!$K$6,M112&gt;outliers!$K$7),"Outlier","Normal")</f>
        <v>Normal</v>
      </c>
    </row>
    <row r="113" spans="1:21">
      <c r="A113" s="21">
        <v>112</v>
      </c>
      <c r="B113" s="68">
        <v>40548</v>
      </c>
      <c r="C113" s="22" t="b">
        <v>0</v>
      </c>
      <c r="D113" s="21" t="str">
        <f t="shared" si="1"/>
        <v>Wednesday</v>
      </c>
      <c r="E113" s="23">
        <v>0.2273</v>
      </c>
      <c r="F113" s="23">
        <f>YEAR('Merged raw data'!$B113)</f>
        <v>2011</v>
      </c>
      <c r="G113" s="23" t="str">
        <f>TEXT('Merged raw data'!$B113,"mmmm")</f>
        <v>January</v>
      </c>
      <c r="H113" s="37" t="str">
        <f>TEXT(TIME('Merged raw data'!F113,0,0),"h AM/PM")</f>
        <v>8 PM</v>
      </c>
      <c r="I113" s="23" t="str">
        <f>IF(OR('Merged raw data'!H113=1,'Merged raw data'!H113=2,'Merged raw data'!H113=3,'Merged raw data'!H113=4,'Merged raw data'!H113=5),"weekday","weekend")</f>
        <v>weekday</v>
      </c>
      <c r="J113" s="23" t="s">
        <v>23</v>
      </c>
      <c r="K113" s="23" t="str">
        <f>IF('Merged raw data'!I113=1,"Clear",IF('Merged raw data'!I113=2,"Mist",IF('Merged raw data'!I113=3,"Rain",IF('Merged raw data'!I113=4,"Storm","NA"))))</f>
        <v>Clear</v>
      </c>
      <c r="L113" s="24">
        <v>0.47</v>
      </c>
      <c r="M113" s="24">
        <v>0.16420000000000001</v>
      </c>
      <c r="N113" s="21">
        <f>'Merged raw data'!$J113*100</f>
        <v>22</v>
      </c>
      <c r="O113" s="21">
        <v>7</v>
      </c>
      <c r="P113" s="21">
        <v>82</v>
      </c>
      <c r="Q113" s="21">
        <v>89</v>
      </c>
      <c r="R113" s="21" t="str">
        <f>IF(Q113&gt;=outliers!I115,"High",IF(Q113&lt;=outliers!I114,"Low","Moderate"))</f>
        <v>High</v>
      </c>
      <c r="S113" s="8" t="str">
        <f>IF(OR(Q113&lt;outliers!$I$6,Q113&gt;outliers!$I$7),"Outlier","Normal")</f>
        <v>Normal</v>
      </c>
      <c r="T113" s="8" t="str">
        <f>IF(OR(L113&lt;outliers!$J$6,L113&gt;outliers!$J$7),"Outlier","Normal")</f>
        <v>Normal</v>
      </c>
      <c r="U113" s="8" t="str">
        <f>IF(OR(M113&lt;outliers!$K$6,M113&gt;outliers!$K$7),"Outlier","Normal")</f>
        <v>Normal</v>
      </c>
    </row>
    <row r="114" spans="1:21">
      <c r="A114" s="21">
        <v>113</v>
      </c>
      <c r="B114" s="68">
        <v>40548</v>
      </c>
      <c r="C114" s="22" t="b">
        <v>0</v>
      </c>
      <c r="D114" s="21" t="str">
        <f t="shared" si="1"/>
        <v>Wednesday</v>
      </c>
      <c r="E114" s="23">
        <v>0.19700000000000001</v>
      </c>
      <c r="F114" s="23">
        <f>YEAR('Merged raw data'!$B114)</f>
        <v>2011</v>
      </c>
      <c r="G114" s="23" t="str">
        <f>TEXT('Merged raw data'!$B114,"mmmm")</f>
        <v>January</v>
      </c>
      <c r="H114" s="37" t="str">
        <f>TEXT(TIME('Merged raw data'!F114,0,0),"h AM/PM")</f>
        <v>9 PM</v>
      </c>
      <c r="I114" s="23" t="str">
        <f>IF(OR('Merged raw data'!H114=1,'Merged raw data'!H114=2,'Merged raw data'!H114=3,'Merged raw data'!H114=4,'Merged raw data'!H114=5),"weekday","weekend")</f>
        <v>weekday</v>
      </c>
      <c r="J114" s="23" t="s">
        <v>23</v>
      </c>
      <c r="K114" s="23" t="str">
        <f>IF('Merged raw data'!I114=1,"Clear",IF('Merged raw data'!I114=2,"Mist",IF('Merged raw data'!I114=3,"Rain",IF('Merged raw data'!I114=4,"Storm","NA"))))</f>
        <v>Clear</v>
      </c>
      <c r="L114" s="24">
        <v>0.51</v>
      </c>
      <c r="M114" s="24">
        <v>0.19400000000000001</v>
      </c>
      <c r="N114" s="21">
        <f>'Merged raw data'!$J114*100</f>
        <v>20</v>
      </c>
      <c r="O114" s="21">
        <v>3</v>
      </c>
      <c r="P114" s="21">
        <v>40</v>
      </c>
      <c r="Q114" s="21">
        <v>43</v>
      </c>
      <c r="R114" s="21" t="str">
        <f>IF(Q114&gt;=outliers!I116,"High",IF(Q114&lt;=outliers!I115,"Low","Moderate"))</f>
        <v>High</v>
      </c>
      <c r="S114" s="8" t="str">
        <f>IF(OR(Q114&lt;outliers!$I$6,Q114&gt;outliers!$I$7),"Outlier","Normal")</f>
        <v>Normal</v>
      </c>
      <c r="T114" s="8" t="str">
        <f>IF(OR(L114&lt;outliers!$J$6,L114&gt;outliers!$J$7),"Outlier","Normal")</f>
        <v>Normal</v>
      </c>
      <c r="U114" s="8" t="str">
        <f>IF(OR(M114&lt;outliers!$K$6,M114&gt;outliers!$K$7),"Outlier","Normal")</f>
        <v>Normal</v>
      </c>
    </row>
    <row r="115" spans="1:21">
      <c r="A115" s="21">
        <v>114</v>
      </c>
      <c r="B115" s="68">
        <v>40548</v>
      </c>
      <c r="C115" s="22" t="b">
        <v>0</v>
      </c>
      <c r="D115" s="21" t="str">
        <f t="shared" si="1"/>
        <v>Wednesday</v>
      </c>
      <c r="E115" s="23">
        <v>0.19700000000000001</v>
      </c>
      <c r="F115" s="23">
        <f>YEAR('Merged raw data'!$B115)</f>
        <v>2011</v>
      </c>
      <c r="G115" s="23" t="str">
        <f>TEXT('Merged raw data'!$B115,"mmmm")</f>
        <v>January</v>
      </c>
      <c r="H115" s="37" t="str">
        <f>TEXT(TIME('Merged raw data'!F115,0,0),"h AM/PM")</f>
        <v>10 PM</v>
      </c>
      <c r="I115" s="23" t="str">
        <f>IF(OR('Merged raw data'!H115=1,'Merged raw data'!H115=2,'Merged raw data'!H115=3,'Merged raw data'!H115=4,'Merged raw data'!H115=5),"weekday","weekend")</f>
        <v>weekday</v>
      </c>
      <c r="J115" s="23" t="s">
        <v>23</v>
      </c>
      <c r="K115" s="23" t="str">
        <f>IF('Merged raw data'!I115=1,"Clear",IF('Merged raw data'!I115=2,"Mist",IF('Merged raw data'!I115=3,"Rain",IF('Merged raw data'!I115=4,"Storm","NA"))))</f>
        <v>Clear</v>
      </c>
      <c r="L115" s="24">
        <v>0.55000000000000004</v>
      </c>
      <c r="M115" s="24">
        <v>0.1343</v>
      </c>
      <c r="N115" s="21">
        <f>'Merged raw data'!$J115*100</f>
        <v>18</v>
      </c>
      <c r="O115" s="21">
        <v>1</v>
      </c>
      <c r="P115" s="21">
        <v>41</v>
      </c>
      <c r="Q115" s="21">
        <v>42</v>
      </c>
      <c r="R115" s="21" t="str">
        <f>IF(Q115&gt;=outliers!I117,"High",IF(Q115&lt;=outliers!I116,"Low","Moderate"))</f>
        <v>High</v>
      </c>
      <c r="S115" s="8" t="str">
        <f>IF(OR(Q115&lt;outliers!$I$6,Q115&gt;outliers!$I$7),"Outlier","Normal")</f>
        <v>Normal</v>
      </c>
      <c r="T115" s="8" t="str">
        <f>IF(OR(L115&lt;outliers!$J$6,L115&gt;outliers!$J$7),"Outlier","Normal")</f>
        <v>Normal</v>
      </c>
      <c r="U115" s="8" t="str">
        <f>IF(OR(M115&lt;outliers!$K$6,M115&gt;outliers!$K$7),"Outlier","Normal")</f>
        <v>Normal</v>
      </c>
    </row>
    <row r="116" spans="1:21">
      <c r="A116" s="21">
        <v>115</v>
      </c>
      <c r="B116" s="68">
        <v>40548</v>
      </c>
      <c r="C116" s="22" t="b">
        <v>0</v>
      </c>
      <c r="D116" s="21" t="str">
        <f t="shared" si="1"/>
        <v>Wednesday</v>
      </c>
      <c r="E116" s="23">
        <v>0.2576</v>
      </c>
      <c r="F116" s="23">
        <f>YEAR('Merged raw data'!$B116)</f>
        <v>2011</v>
      </c>
      <c r="G116" s="23" t="str">
        <f>TEXT('Merged raw data'!$B116,"mmmm")</f>
        <v>January</v>
      </c>
      <c r="H116" s="37" t="str">
        <f>TEXT(TIME('Merged raw data'!F116,0,0),"h AM/PM")</f>
        <v>11 PM</v>
      </c>
      <c r="I116" s="23" t="str">
        <f>IF(OR('Merged raw data'!H116=1,'Merged raw data'!H116=2,'Merged raw data'!H116=3,'Merged raw data'!H116=4,'Merged raw data'!H116=5),"weekday","weekend")</f>
        <v>weekday</v>
      </c>
      <c r="J116" s="23" t="s">
        <v>23</v>
      </c>
      <c r="K116" s="23" t="str">
        <f>IF('Merged raw data'!I116=1,"Clear",IF('Merged raw data'!I116=2,"Mist",IF('Merged raw data'!I116=3,"Rain",IF('Merged raw data'!I116=4,"Storm","NA"))))</f>
        <v>Clear</v>
      </c>
      <c r="L116" s="24">
        <v>0.47</v>
      </c>
      <c r="M116" s="24">
        <v>0.23</v>
      </c>
      <c r="N116" s="21">
        <f>'Merged raw data'!$J116*100</f>
        <v>20</v>
      </c>
      <c r="O116" s="21">
        <v>1</v>
      </c>
      <c r="P116" s="21">
        <v>18</v>
      </c>
      <c r="Q116" s="21">
        <v>19</v>
      </c>
      <c r="R116" s="21" t="str">
        <f>IF(Q116&gt;=outliers!I118,"High",IF(Q116&lt;=outliers!I117,"Low","Moderate"))</f>
        <v>High</v>
      </c>
      <c r="S116" s="8" t="str">
        <f>IF(OR(Q116&lt;outliers!$I$6,Q116&gt;outliers!$I$7),"Outlier","Normal")</f>
        <v>Normal</v>
      </c>
      <c r="T116" s="8" t="str">
        <f>IF(OR(L116&lt;outliers!$J$6,L116&gt;outliers!$J$7),"Outlier","Normal")</f>
        <v>Normal</v>
      </c>
      <c r="U116" s="8" t="str">
        <f>IF(OR(M116&lt;outliers!$K$6,M116&gt;outliers!$K$7),"Outlier","Normal")</f>
        <v>Normal</v>
      </c>
    </row>
    <row r="117" spans="1:21">
      <c r="A117" s="21">
        <v>116</v>
      </c>
      <c r="B117" s="68">
        <v>40549</v>
      </c>
      <c r="C117" s="22" t="b">
        <v>0</v>
      </c>
      <c r="D117" s="21" t="str">
        <f t="shared" si="1"/>
        <v>Thursday</v>
      </c>
      <c r="E117" s="23">
        <v>0.2424</v>
      </c>
      <c r="F117" s="23">
        <f>YEAR('Merged raw data'!$B117)</f>
        <v>2011</v>
      </c>
      <c r="G117" s="23" t="str">
        <f>TEXT('Merged raw data'!$B117,"mmmm")</f>
        <v>January</v>
      </c>
      <c r="H117" s="37" t="str">
        <f>TEXT(TIME('Merged raw data'!F117,0,0),"h AM/PM")</f>
        <v>12 AM</v>
      </c>
      <c r="I117" s="23" t="str">
        <f>IF(OR('Merged raw data'!H117=1,'Merged raw data'!H117=2,'Merged raw data'!H117=3,'Merged raw data'!H117=4,'Merged raw data'!H117=5),"weekday","weekend")</f>
        <v>weekday</v>
      </c>
      <c r="J117" s="23" t="s">
        <v>23</v>
      </c>
      <c r="K117" s="23" t="str">
        <f>IF('Merged raw data'!I117=1,"Clear",IF('Merged raw data'!I117=2,"Mist",IF('Merged raw data'!I117=3,"Rain",IF('Merged raw data'!I117=4,"Storm","NA"))))</f>
        <v>Clear</v>
      </c>
      <c r="L117" s="24">
        <v>0.55000000000000004</v>
      </c>
      <c r="M117" s="24">
        <v>0.23</v>
      </c>
      <c r="N117" s="21">
        <f>'Merged raw data'!$J117*100</f>
        <v>18</v>
      </c>
      <c r="O117" s="21">
        <v>0</v>
      </c>
      <c r="P117" s="21">
        <v>11</v>
      </c>
      <c r="Q117" s="21">
        <v>11</v>
      </c>
      <c r="R117" s="21" t="str">
        <f>IF(Q117&gt;=outliers!I119,"High",IF(Q117&lt;=outliers!I118,"Low","Moderate"))</f>
        <v>High</v>
      </c>
      <c r="S117" s="8" t="str">
        <f>IF(OR(Q117&lt;outliers!$I$6,Q117&gt;outliers!$I$7),"Outlier","Normal")</f>
        <v>Normal</v>
      </c>
      <c r="T117" s="8" t="str">
        <f>IF(OR(L117&lt;outliers!$J$6,L117&gt;outliers!$J$7),"Outlier","Normal")</f>
        <v>Normal</v>
      </c>
      <c r="U117" s="8" t="str">
        <f>IF(OR(M117&lt;outliers!$K$6,M117&gt;outliers!$K$7),"Outlier","Normal")</f>
        <v>Normal</v>
      </c>
    </row>
    <row r="118" spans="1:21">
      <c r="A118" s="21">
        <v>117</v>
      </c>
      <c r="B118" s="68">
        <v>40549</v>
      </c>
      <c r="C118" s="22" t="b">
        <v>0</v>
      </c>
      <c r="D118" s="21" t="str">
        <f t="shared" si="1"/>
        <v>Thursday</v>
      </c>
      <c r="E118" s="23">
        <v>0.2273</v>
      </c>
      <c r="F118" s="23">
        <f>YEAR('Merged raw data'!$B118)</f>
        <v>2011</v>
      </c>
      <c r="G118" s="23" t="str">
        <f>TEXT('Merged raw data'!$B118,"mmmm")</f>
        <v>January</v>
      </c>
      <c r="H118" s="37" t="str">
        <f>TEXT(TIME('Merged raw data'!F118,0,0),"h AM/PM")</f>
        <v>1 AM</v>
      </c>
      <c r="I118" s="23" t="str">
        <f>IF(OR('Merged raw data'!H118=1,'Merged raw data'!H118=2,'Merged raw data'!H118=3,'Merged raw data'!H118=4,'Merged raw data'!H118=5),"weekday","weekend")</f>
        <v>weekday</v>
      </c>
      <c r="J118" s="23" t="s">
        <v>23</v>
      </c>
      <c r="K118" s="23" t="str">
        <f>IF('Merged raw data'!I118=1,"Clear",IF('Merged raw data'!I118=2,"Mist",IF('Merged raw data'!I118=3,"Rain",IF('Merged raw data'!I118=4,"Storm","NA"))))</f>
        <v>Clear</v>
      </c>
      <c r="L118" s="24">
        <v>0.64</v>
      </c>
      <c r="M118" s="24">
        <v>0.23</v>
      </c>
      <c r="N118" s="21">
        <f>'Merged raw data'!$J118*100</f>
        <v>16</v>
      </c>
      <c r="O118" s="21">
        <v>0</v>
      </c>
      <c r="P118" s="21">
        <v>4</v>
      </c>
      <c r="Q118" s="21">
        <v>4</v>
      </c>
      <c r="R118" s="21" t="str">
        <f>IF(Q118&gt;=outliers!I120,"High",IF(Q118&lt;=outliers!I119,"Low","Moderate"))</f>
        <v>High</v>
      </c>
      <c r="S118" s="8" t="str">
        <f>IF(OR(Q118&lt;outliers!$I$6,Q118&gt;outliers!$I$7),"Outlier","Normal")</f>
        <v>Normal</v>
      </c>
      <c r="T118" s="8" t="str">
        <f>IF(OR(L118&lt;outliers!$J$6,L118&gt;outliers!$J$7),"Outlier","Normal")</f>
        <v>Normal</v>
      </c>
      <c r="U118" s="8" t="str">
        <f>IF(OR(M118&lt;outliers!$K$6,M118&gt;outliers!$K$7),"Outlier","Normal")</f>
        <v>Normal</v>
      </c>
    </row>
    <row r="119" spans="1:21">
      <c r="A119" s="21">
        <v>118</v>
      </c>
      <c r="B119" s="68">
        <v>40549</v>
      </c>
      <c r="C119" s="22" t="b">
        <v>0</v>
      </c>
      <c r="D119" s="21" t="str">
        <f t="shared" si="1"/>
        <v>Thursday</v>
      </c>
      <c r="E119" s="23">
        <v>0.2273</v>
      </c>
      <c r="F119" s="23">
        <f>YEAR('Merged raw data'!$B119)</f>
        <v>2011</v>
      </c>
      <c r="G119" s="23" t="str">
        <f>TEXT('Merged raw data'!$B119,"mmmm")</f>
        <v>January</v>
      </c>
      <c r="H119" s="37" t="str">
        <f>TEXT(TIME('Merged raw data'!F119,0,0),"h AM/PM")</f>
        <v>2 AM</v>
      </c>
      <c r="I119" s="23" t="str">
        <f>IF(OR('Merged raw data'!H119=1,'Merged raw data'!H119=2,'Merged raw data'!H119=3,'Merged raw data'!H119=4,'Merged raw data'!H119=5),"weekday","weekend")</f>
        <v>weekday</v>
      </c>
      <c r="J119" s="23" t="s">
        <v>23</v>
      </c>
      <c r="K119" s="23" t="str">
        <f>IF('Merged raw data'!I119=1,"Clear",IF('Merged raw data'!I119=2,"Mist",IF('Merged raw data'!I119=3,"Rain",IF('Merged raw data'!I119=4,"Storm","NA"))))</f>
        <v>Clear</v>
      </c>
      <c r="L119" s="24">
        <v>0.64</v>
      </c>
      <c r="M119" s="24">
        <v>0.23</v>
      </c>
      <c r="N119" s="21">
        <f>'Merged raw data'!$J119*100</f>
        <v>16</v>
      </c>
      <c r="O119" s="21">
        <v>0</v>
      </c>
      <c r="P119" s="21">
        <v>2</v>
      </c>
      <c r="Q119" s="21">
        <v>2</v>
      </c>
      <c r="R119" s="21" t="str">
        <f>IF(Q119&gt;=outliers!I121,"High",IF(Q119&lt;=outliers!I120,"Low","Moderate"))</f>
        <v>High</v>
      </c>
      <c r="S119" s="8" t="str">
        <f>IF(OR(Q119&lt;outliers!$I$6,Q119&gt;outliers!$I$7),"Outlier","Normal")</f>
        <v>Normal</v>
      </c>
      <c r="T119" s="8" t="str">
        <f>IF(OR(L119&lt;outliers!$J$6,L119&gt;outliers!$J$7),"Outlier","Normal")</f>
        <v>Normal</v>
      </c>
      <c r="U119" s="8" t="str">
        <f>IF(OR(M119&lt;outliers!$K$6,M119&gt;outliers!$K$7),"Outlier","Normal")</f>
        <v>Normal</v>
      </c>
    </row>
    <row r="120" spans="1:21">
      <c r="A120" s="21">
        <v>119</v>
      </c>
      <c r="B120" s="68">
        <v>40549</v>
      </c>
      <c r="C120" s="22" t="b">
        <v>0</v>
      </c>
      <c r="D120" s="21" t="str">
        <f t="shared" si="1"/>
        <v>Thursday</v>
      </c>
      <c r="E120" s="23">
        <v>0.19700000000000001</v>
      </c>
      <c r="F120" s="23">
        <f>YEAR('Merged raw data'!$B120)</f>
        <v>2011</v>
      </c>
      <c r="G120" s="23" t="str">
        <f>TEXT('Merged raw data'!$B120,"mmmm")</f>
        <v>January</v>
      </c>
      <c r="H120" s="37" t="str">
        <f>TEXT(TIME('Merged raw data'!F120,0,0),"h AM/PM")</f>
        <v>4 AM</v>
      </c>
      <c r="I120" s="23" t="str">
        <f>IF(OR('Merged raw data'!H120=1,'Merged raw data'!H120=2,'Merged raw data'!H120=3,'Merged raw data'!H120=4,'Merged raw data'!H120=5),"weekday","weekend")</f>
        <v>weekday</v>
      </c>
      <c r="J120" s="23" t="s">
        <v>23</v>
      </c>
      <c r="K120" s="23" t="str">
        <f>IF('Merged raw data'!I120=1,"Clear",IF('Merged raw data'!I120=2,"Mist",IF('Merged raw data'!I120=3,"Rain",IF('Merged raw data'!I120=4,"Storm","NA"))))</f>
        <v>Mist</v>
      </c>
      <c r="L120" s="24">
        <v>0.64</v>
      </c>
      <c r="M120" s="24">
        <v>8.9599999999999999E-2</v>
      </c>
      <c r="N120" s="21">
        <f>'Merged raw data'!$J120*100</f>
        <v>16</v>
      </c>
      <c r="O120" s="21">
        <v>0</v>
      </c>
      <c r="P120" s="21">
        <v>1</v>
      </c>
      <c r="Q120" s="21">
        <v>1</v>
      </c>
      <c r="R120" s="21" t="str">
        <f>IF(Q120&gt;=outliers!I122,"High",IF(Q120&lt;=outliers!I121,"Low","Moderate"))</f>
        <v>High</v>
      </c>
      <c r="S120" s="8" t="str">
        <f>IF(OR(Q120&lt;outliers!$I$6,Q120&gt;outliers!$I$7),"Outlier","Normal")</f>
        <v>Normal</v>
      </c>
      <c r="T120" s="8" t="str">
        <f>IF(OR(L120&lt;outliers!$J$6,L120&gt;outliers!$J$7),"Outlier","Normal")</f>
        <v>Normal</v>
      </c>
      <c r="U120" s="8" t="str">
        <f>IF(OR(M120&lt;outliers!$K$6,M120&gt;outliers!$K$7),"Outlier","Normal")</f>
        <v>Normal</v>
      </c>
    </row>
    <row r="121" spans="1:21">
      <c r="A121" s="21">
        <v>120</v>
      </c>
      <c r="B121" s="68">
        <v>40549</v>
      </c>
      <c r="C121" s="22" t="b">
        <v>0</v>
      </c>
      <c r="D121" s="21" t="str">
        <f t="shared" si="1"/>
        <v>Thursday</v>
      </c>
      <c r="E121" s="23">
        <v>0.18179999999999999</v>
      </c>
      <c r="F121" s="23">
        <f>YEAR('Merged raw data'!$B121)</f>
        <v>2011</v>
      </c>
      <c r="G121" s="23" t="str">
        <f>TEXT('Merged raw data'!$B121,"mmmm")</f>
        <v>January</v>
      </c>
      <c r="H121" s="37" t="str">
        <f>TEXT(TIME('Merged raw data'!F121,0,0),"h AM/PM")</f>
        <v>5 AM</v>
      </c>
      <c r="I121" s="23" t="str">
        <f>IF(OR('Merged raw data'!H121=1,'Merged raw data'!H121=2,'Merged raw data'!H121=3,'Merged raw data'!H121=4,'Merged raw data'!H121=5),"weekday","weekend")</f>
        <v>weekday</v>
      </c>
      <c r="J121" s="23" t="s">
        <v>23</v>
      </c>
      <c r="K121" s="23" t="str">
        <f>IF('Merged raw data'!I121=1,"Clear",IF('Merged raw data'!I121=2,"Mist",IF('Merged raw data'!I121=3,"Rain",IF('Merged raw data'!I121=4,"Storm","NA"))))</f>
        <v>Mist</v>
      </c>
      <c r="L121" s="24">
        <v>0.69</v>
      </c>
      <c r="M121" s="24">
        <v>8.9599999999999999E-2</v>
      </c>
      <c r="N121" s="21">
        <f>'Merged raw data'!$J121*100</f>
        <v>14.000000000000002</v>
      </c>
      <c r="O121" s="21">
        <v>0</v>
      </c>
      <c r="P121" s="21">
        <v>4</v>
      </c>
      <c r="Q121" s="21">
        <v>4</v>
      </c>
      <c r="R121" s="21" t="str">
        <f>IF(Q121&gt;=outliers!I123,"High",IF(Q121&lt;=outliers!I122,"Low","Moderate"))</f>
        <v>High</v>
      </c>
      <c r="S121" s="8" t="str">
        <f>IF(OR(Q121&lt;outliers!$I$6,Q121&gt;outliers!$I$7),"Outlier","Normal")</f>
        <v>Normal</v>
      </c>
      <c r="T121" s="8" t="str">
        <f>IF(OR(L121&lt;outliers!$J$6,L121&gt;outliers!$J$7),"Outlier","Normal")</f>
        <v>Normal</v>
      </c>
      <c r="U121" s="8" t="str">
        <f>IF(OR(M121&lt;outliers!$K$6,M121&gt;outliers!$K$7),"Outlier","Normal")</f>
        <v>Normal</v>
      </c>
    </row>
    <row r="122" spans="1:21">
      <c r="A122" s="21">
        <v>121</v>
      </c>
      <c r="B122" s="68">
        <v>40549</v>
      </c>
      <c r="C122" s="22" t="b">
        <v>0</v>
      </c>
      <c r="D122" s="21" t="str">
        <f t="shared" si="1"/>
        <v>Thursday</v>
      </c>
      <c r="E122" s="23">
        <v>0.16669999999999999</v>
      </c>
      <c r="F122" s="23">
        <f>YEAR('Merged raw data'!$B122)</f>
        <v>2011</v>
      </c>
      <c r="G122" s="23" t="str">
        <f>TEXT('Merged raw data'!$B122,"mmmm")</f>
        <v>January</v>
      </c>
      <c r="H122" s="37" t="str">
        <f>TEXT(TIME('Merged raw data'!F122,0,0),"h AM/PM")</f>
        <v>6 AM</v>
      </c>
      <c r="I122" s="23" t="str">
        <f>IF(OR('Merged raw data'!H122=1,'Merged raw data'!H122=2,'Merged raw data'!H122=3,'Merged raw data'!H122=4,'Merged raw data'!H122=5),"weekday","weekend")</f>
        <v>weekday</v>
      </c>
      <c r="J122" s="23" t="s">
        <v>23</v>
      </c>
      <c r="K122" s="23" t="str">
        <f>IF('Merged raw data'!I122=1,"Clear",IF('Merged raw data'!I122=2,"Mist",IF('Merged raw data'!I122=3,"Rain",IF('Merged raw data'!I122=4,"Storm","NA"))))</f>
        <v>Mist</v>
      </c>
      <c r="L122" s="24">
        <v>0.63</v>
      </c>
      <c r="M122" s="24">
        <v>0.1045</v>
      </c>
      <c r="N122" s="21">
        <f>'Merged raw data'!$J122*100</f>
        <v>14.000000000000002</v>
      </c>
      <c r="O122" s="21">
        <v>0</v>
      </c>
      <c r="P122" s="21">
        <v>36</v>
      </c>
      <c r="Q122" s="21">
        <v>36</v>
      </c>
      <c r="R122" s="21" t="str">
        <f>IF(Q122&gt;=outliers!I124,"High",IF(Q122&lt;=outliers!I123,"Low","Moderate"))</f>
        <v>High</v>
      </c>
      <c r="S122" s="8" t="str">
        <f>IF(OR(Q122&lt;outliers!$I$6,Q122&gt;outliers!$I$7),"Outlier","Normal")</f>
        <v>Normal</v>
      </c>
      <c r="T122" s="8" t="str">
        <f>IF(OR(L122&lt;outliers!$J$6,L122&gt;outliers!$J$7),"Outlier","Normal")</f>
        <v>Normal</v>
      </c>
      <c r="U122" s="8" t="str">
        <f>IF(OR(M122&lt;outliers!$K$6,M122&gt;outliers!$K$7),"Outlier","Normal")</f>
        <v>Normal</v>
      </c>
    </row>
    <row r="123" spans="1:21">
      <c r="A123" s="21">
        <v>122</v>
      </c>
      <c r="B123" s="68">
        <v>40549</v>
      </c>
      <c r="C123" s="22" t="b">
        <v>0</v>
      </c>
      <c r="D123" s="21" t="str">
        <f t="shared" si="1"/>
        <v>Thursday</v>
      </c>
      <c r="E123" s="23">
        <v>0.2273</v>
      </c>
      <c r="F123" s="23">
        <f>YEAR('Merged raw data'!$B123)</f>
        <v>2011</v>
      </c>
      <c r="G123" s="23" t="str">
        <f>TEXT('Merged raw data'!$B123,"mmmm")</f>
        <v>January</v>
      </c>
      <c r="H123" s="37" t="str">
        <f>TEXT(TIME('Merged raw data'!F123,0,0),"h AM/PM")</f>
        <v>7 AM</v>
      </c>
      <c r="I123" s="23" t="str">
        <f>IF(OR('Merged raw data'!H123=1,'Merged raw data'!H123=2,'Merged raw data'!H123=3,'Merged raw data'!H123=4,'Merged raw data'!H123=5),"weekday","weekend")</f>
        <v>weekday</v>
      </c>
      <c r="J123" s="23" t="s">
        <v>23</v>
      </c>
      <c r="K123" s="23" t="str">
        <f>IF('Merged raw data'!I123=1,"Clear",IF('Merged raw data'!I123=2,"Mist",IF('Merged raw data'!I123=3,"Rain",IF('Merged raw data'!I123=4,"Storm","NA"))))</f>
        <v>Mist</v>
      </c>
      <c r="L123" s="24">
        <v>0.59</v>
      </c>
      <c r="M123" s="24">
        <v>0.23</v>
      </c>
      <c r="N123" s="21">
        <f>'Merged raw data'!$J123*100</f>
        <v>16</v>
      </c>
      <c r="O123" s="21">
        <v>0</v>
      </c>
      <c r="P123" s="21">
        <v>95</v>
      </c>
      <c r="Q123" s="21">
        <v>95</v>
      </c>
      <c r="R123" s="21" t="str">
        <f>IF(Q123&gt;=outliers!I125,"High",IF(Q123&lt;=outliers!I124,"Low","Moderate"))</f>
        <v>High</v>
      </c>
      <c r="S123" s="8" t="str">
        <f>IF(OR(Q123&lt;outliers!$I$6,Q123&gt;outliers!$I$7),"Outlier","Normal")</f>
        <v>Normal</v>
      </c>
      <c r="T123" s="8" t="str">
        <f>IF(OR(L123&lt;outliers!$J$6,L123&gt;outliers!$J$7),"Outlier","Normal")</f>
        <v>Normal</v>
      </c>
      <c r="U123" s="8" t="str">
        <f>IF(OR(M123&lt;outliers!$K$6,M123&gt;outliers!$K$7),"Outlier","Normal")</f>
        <v>Normal</v>
      </c>
    </row>
    <row r="124" spans="1:21">
      <c r="A124" s="21">
        <v>123</v>
      </c>
      <c r="B124" s="68">
        <v>40549</v>
      </c>
      <c r="C124" s="22" t="b">
        <v>0</v>
      </c>
      <c r="D124" s="21" t="str">
        <f t="shared" si="1"/>
        <v>Thursday</v>
      </c>
      <c r="E124" s="23">
        <v>0.2273</v>
      </c>
      <c r="F124" s="23">
        <f>YEAR('Merged raw data'!$B124)</f>
        <v>2011</v>
      </c>
      <c r="G124" s="23" t="str">
        <f>TEXT('Merged raw data'!$B124,"mmmm")</f>
        <v>January</v>
      </c>
      <c r="H124" s="37" t="str">
        <f>TEXT(TIME('Merged raw data'!F124,0,0),"h AM/PM")</f>
        <v>8 AM</v>
      </c>
      <c r="I124" s="23" t="str">
        <f>IF(OR('Merged raw data'!H124=1,'Merged raw data'!H124=2,'Merged raw data'!H124=3,'Merged raw data'!H124=4,'Merged raw data'!H124=5),"weekday","weekend")</f>
        <v>weekday</v>
      </c>
      <c r="J124" s="23" t="s">
        <v>23</v>
      </c>
      <c r="K124" s="23" t="str">
        <f>IF('Merged raw data'!I124=1,"Clear",IF('Merged raw data'!I124=2,"Mist",IF('Merged raw data'!I124=3,"Rain",IF('Merged raw data'!I124=4,"Storm","NA"))))</f>
        <v>Clear</v>
      </c>
      <c r="L124" s="24">
        <v>0.59</v>
      </c>
      <c r="M124" s="24">
        <v>0.23</v>
      </c>
      <c r="N124" s="21">
        <f>'Merged raw data'!$J124*100</f>
        <v>16</v>
      </c>
      <c r="O124" s="21">
        <v>3</v>
      </c>
      <c r="P124" s="21">
        <v>216</v>
      </c>
      <c r="Q124" s="21">
        <v>219</v>
      </c>
      <c r="R124" s="21" t="str">
        <f>IF(Q124&gt;=outliers!I126,"High",IF(Q124&lt;=outliers!I125,"Low","Moderate"))</f>
        <v>High</v>
      </c>
      <c r="S124" s="8" t="str">
        <f>IF(OR(Q124&lt;outliers!$I$6,Q124&gt;outliers!$I$7),"Outlier","Normal")</f>
        <v>Outlier</v>
      </c>
      <c r="T124" s="8" t="str">
        <f>IF(OR(L124&lt;outliers!$J$6,L124&gt;outliers!$J$7),"Outlier","Normal")</f>
        <v>Normal</v>
      </c>
      <c r="U124" s="8" t="str">
        <f>IF(OR(M124&lt;outliers!$K$6,M124&gt;outliers!$K$7),"Outlier","Normal")</f>
        <v>Normal</v>
      </c>
    </row>
    <row r="125" spans="1:21">
      <c r="A125" s="21">
        <v>124</v>
      </c>
      <c r="B125" s="68">
        <v>40549</v>
      </c>
      <c r="C125" s="22" t="b">
        <v>0</v>
      </c>
      <c r="D125" s="21" t="str">
        <f t="shared" si="1"/>
        <v>Thursday</v>
      </c>
      <c r="E125" s="23">
        <v>0.2424</v>
      </c>
      <c r="F125" s="23">
        <f>YEAR('Merged raw data'!$B125)</f>
        <v>2011</v>
      </c>
      <c r="G125" s="23" t="str">
        <f>TEXT('Merged raw data'!$B125,"mmmm")</f>
        <v>January</v>
      </c>
      <c r="H125" s="37" t="str">
        <f>TEXT(TIME('Merged raw data'!F125,0,0),"h AM/PM")</f>
        <v>9 AM</v>
      </c>
      <c r="I125" s="23" t="str">
        <f>IF(OR('Merged raw data'!H125=1,'Merged raw data'!H125=2,'Merged raw data'!H125=3,'Merged raw data'!H125=4,'Merged raw data'!H125=5),"weekday","weekend")</f>
        <v>weekday</v>
      </c>
      <c r="J125" s="23" t="s">
        <v>23</v>
      </c>
      <c r="K125" s="23" t="str">
        <f>IF('Merged raw data'!I125=1,"Clear",IF('Merged raw data'!I125=2,"Mist",IF('Merged raw data'!I125=3,"Rain",IF('Merged raw data'!I125=4,"Storm","NA"))))</f>
        <v>Mist</v>
      </c>
      <c r="L125" s="24">
        <v>0.51</v>
      </c>
      <c r="M125" s="24">
        <v>0.23</v>
      </c>
      <c r="N125" s="21">
        <f>'Merged raw data'!$J125*100</f>
        <v>18</v>
      </c>
      <c r="O125" s="21">
        <v>6</v>
      </c>
      <c r="P125" s="21">
        <v>116</v>
      </c>
      <c r="Q125" s="21">
        <v>122</v>
      </c>
      <c r="R125" s="21" t="str">
        <f>IF(Q125&gt;=outliers!I127,"High",IF(Q125&lt;=outliers!I126,"Low","Moderate"))</f>
        <v>High</v>
      </c>
      <c r="S125" s="8" t="str">
        <f>IF(OR(Q125&lt;outliers!$I$6,Q125&gt;outliers!$I$7),"Outlier","Normal")</f>
        <v>Normal</v>
      </c>
      <c r="T125" s="8" t="str">
        <f>IF(OR(L125&lt;outliers!$J$6,L125&gt;outliers!$J$7),"Outlier","Normal")</f>
        <v>Normal</v>
      </c>
      <c r="U125" s="8" t="str">
        <f>IF(OR(M125&lt;outliers!$K$6,M125&gt;outliers!$K$7),"Outlier","Normal")</f>
        <v>Normal</v>
      </c>
    </row>
    <row r="126" spans="1:21">
      <c r="A126" s="21">
        <v>125</v>
      </c>
      <c r="B126" s="68">
        <v>40549</v>
      </c>
      <c r="C126" s="22" t="b">
        <v>0</v>
      </c>
      <c r="D126" s="21" t="str">
        <f t="shared" si="1"/>
        <v>Thursday</v>
      </c>
      <c r="E126" s="23">
        <v>0.2576</v>
      </c>
      <c r="F126" s="23">
        <f>YEAR('Merged raw data'!$B126)</f>
        <v>2011</v>
      </c>
      <c r="G126" s="23" t="str">
        <f>TEXT('Merged raw data'!$B126,"mmmm")</f>
        <v>January</v>
      </c>
      <c r="H126" s="37" t="str">
        <f>TEXT(TIME('Merged raw data'!F126,0,0),"h AM/PM")</f>
        <v>10 AM</v>
      </c>
      <c r="I126" s="23" t="str">
        <f>IF(OR('Merged raw data'!H126=1,'Merged raw data'!H126=2,'Merged raw data'!H126=3,'Merged raw data'!H126=4,'Merged raw data'!H126=5),"weekday","weekend")</f>
        <v>weekday</v>
      </c>
      <c r="J126" s="23" t="s">
        <v>23</v>
      </c>
      <c r="K126" s="23" t="str">
        <f>IF('Merged raw data'!I126=1,"Clear",IF('Merged raw data'!I126=2,"Mist",IF('Merged raw data'!I126=3,"Rain",IF('Merged raw data'!I126=4,"Storm","NA"))))</f>
        <v>Clear</v>
      </c>
      <c r="L126" s="24">
        <v>0.47</v>
      </c>
      <c r="M126" s="24">
        <v>0.23</v>
      </c>
      <c r="N126" s="21">
        <f>'Merged raw data'!$J126*100</f>
        <v>20</v>
      </c>
      <c r="O126" s="21">
        <v>3</v>
      </c>
      <c r="P126" s="21">
        <v>42</v>
      </c>
      <c r="Q126" s="21">
        <v>45</v>
      </c>
      <c r="R126" s="21" t="str">
        <f>IF(Q126&gt;=outliers!I128,"High",IF(Q126&lt;=outliers!I127,"Low","Moderate"))</f>
        <v>High</v>
      </c>
      <c r="S126" s="8" t="str">
        <f>IF(OR(Q126&lt;outliers!$I$6,Q126&gt;outliers!$I$7),"Outlier","Normal")</f>
        <v>Normal</v>
      </c>
      <c r="T126" s="8" t="str">
        <f>IF(OR(L126&lt;outliers!$J$6,L126&gt;outliers!$J$7),"Outlier","Normal")</f>
        <v>Normal</v>
      </c>
      <c r="U126" s="8" t="str">
        <f>IF(OR(M126&lt;outliers!$K$6,M126&gt;outliers!$K$7),"Outlier","Normal")</f>
        <v>Normal</v>
      </c>
    </row>
    <row r="127" spans="1:21">
      <c r="A127" s="21">
        <v>126</v>
      </c>
      <c r="B127" s="68">
        <v>40549</v>
      </c>
      <c r="C127" s="22" t="b">
        <v>0</v>
      </c>
      <c r="D127" s="21" t="str">
        <f t="shared" si="1"/>
        <v>Thursday</v>
      </c>
      <c r="E127" s="23">
        <v>0.2576</v>
      </c>
      <c r="F127" s="23">
        <f>YEAR('Merged raw data'!$B127)</f>
        <v>2011</v>
      </c>
      <c r="G127" s="23" t="str">
        <f>TEXT('Merged raw data'!$B127,"mmmm")</f>
        <v>January</v>
      </c>
      <c r="H127" s="37" t="str">
        <f>TEXT(TIME('Merged raw data'!F127,0,0),"h AM/PM")</f>
        <v>11 AM</v>
      </c>
      <c r="I127" s="23" t="str">
        <f>IF(OR('Merged raw data'!H127=1,'Merged raw data'!H127=2,'Merged raw data'!H127=3,'Merged raw data'!H127=4,'Merged raw data'!H127=5),"weekday","weekend")</f>
        <v>weekday</v>
      </c>
      <c r="J127" s="23" t="s">
        <v>23</v>
      </c>
      <c r="K127" s="23" t="str">
        <f>IF('Merged raw data'!I127=1,"Clear",IF('Merged raw data'!I127=2,"Mist",IF('Merged raw data'!I127=3,"Rain",IF('Merged raw data'!I127=4,"Storm","NA"))))</f>
        <v>Clear</v>
      </c>
      <c r="L127" s="24">
        <v>0.44</v>
      </c>
      <c r="M127" s="24">
        <v>8.9599999999999999E-2</v>
      </c>
      <c r="N127" s="21">
        <f>'Merged raw data'!$J127*100</f>
        <v>22</v>
      </c>
      <c r="O127" s="21">
        <v>2</v>
      </c>
      <c r="P127" s="21">
        <v>57</v>
      </c>
      <c r="Q127" s="21">
        <v>59</v>
      </c>
      <c r="R127" s="21" t="str">
        <f>IF(Q127&gt;=outliers!I129,"High",IF(Q127&lt;=outliers!I128,"Low","Moderate"))</f>
        <v>High</v>
      </c>
      <c r="S127" s="8" t="str">
        <f>IF(OR(Q127&lt;outliers!$I$6,Q127&gt;outliers!$I$7),"Outlier","Normal")</f>
        <v>Normal</v>
      </c>
      <c r="T127" s="8" t="str">
        <f>IF(OR(L127&lt;outliers!$J$6,L127&gt;outliers!$J$7),"Outlier","Normal")</f>
        <v>Normal</v>
      </c>
      <c r="U127" s="8" t="str">
        <f>IF(OR(M127&lt;outliers!$K$6,M127&gt;outliers!$K$7),"Outlier","Normal")</f>
        <v>Normal</v>
      </c>
    </row>
    <row r="128" spans="1:21">
      <c r="A128" s="21">
        <v>127</v>
      </c>
      <c r="B128" s="68">
        <v>40549</v>
      </c>
      <c r="C128" s="22" t="b">
        <v>0</v>
      </c>
      <c r="D128" s="21" t="str">
        <f t="shared" si="1"/>
        <v>Thursday</v>
      </c>
      <c r="E128" s="23">
        <v>0.28789999999999999</v>
      </c>
      <c r="F128" s="23">
        <f>YEAR('Merged raw data'!$B128)</f>
        <v>2011</v>
      </c>
      <c r="G128" s="23" t="str">
        <f>TEXT('Merged raw data'!$B128,"mmmm")</f>
        <v>January</v>
      </c>
      <c r="H128" s="37" t="str">
        <f>TEXT(TIME('Merged raw data'!F128,0,0),"h AM/PM")</f>
        <v>12 PM</v>
      </c>
      <c r="I128" s="23" t="str">
        <f>IF(OR('Merged raw data'!H128=1,'Merged raw data'!H128=2,'Merged raw data'!H128=3,'Merged raw data'!H128=4,'Merged raw data'!H128=5),"weekday","weekend")</f>
        <v>weekday</v>
      </c>
      <c r="J128" s="23" t="s">
        <v>23</v>
      </c>
      <c r="K128" s="23" t="str">
        <f>IF('Merged raw data'!I128=1,"Clear",IF('Merged raw data'!I128=2,"Mist",IF('Merged raw data'!I128=3,"Rain",IF('Merged raw data'!I128=4,"Storm","NA"))))</f>
        <v>Clear</v>
      </c>
      <c r="L128" s="24">
        <v>0.35</v>
      </c>
      <c r="M128" s="24">
        <v>0.23</v>
      </c>
      <c r="N128" s="21">
        <f>'Merged raw data'!$J128*100</f>
        <v>26</v>
      </c>
      <c r="O128" s="21">
        <v>6</v>
      </c>
      <c r="P128" s="21">
        <v>78</v>
      </c>
      <c r="Q128" s="21">
        <v>84</v>
      </c>
      <c r="R128" s="21" t="str">
        <f>IF(Q128&gt;=outliers!I130,"High",IF(Q128&lt;=outliers!I129,"Low","Moderate"))</f>
        <v>High</v>
      </c>
      <c r="S128" s="8" t="str">
        <f>IF(OR(Q128&lt;outliers!$I$6,Q128&gt;outliers!$I$7),"Outlier","Normal")</f>
        <v>Normal</v>
      </c>
      <c r="T128" s="8" t="str">
        <f>IF(OR(L128&lt;outliers!$J$6,L128&gt;outliers!$J$7),"Outlier","Normal")</f>
        <v>Normal</v>
      </c>
      <c r="U128" s="8" t="str">
        <f>IF(OR(M128&lt;outliers!$K$6,M128&gt;outliers!$K$7),"Outlier","Normal")</f>
        <v>Normal</v>
      </c>
    </row>
    <row r="129" spans="1:21">
      <c r="A129" s="21">
        <v>128</v>
      </c>
      <c r="B129" s="68">
        <v>40549</v>
      </c>
      <c r="C129" s="22" t="b">
        <v>0</v>
      </c>
      <c r="D129" s="21" t="str">
        <f t="shared" si="1"/>
        <v>Thursday</v>
      </c>
      <c r="E129" s="23">
        <v>0.2727</v>
      </c>
      <c r="F129" s="23">
        <f>YEAR('Merged raw data'!$B129)</f>
        <v>2011</v>
      </c>
      <c r="G129" s="23" t="str">
        <f>TEXT('Merged raw data'!$B129,"mmmm")</f>
        <v>January</v>
      </c>
      <c r="H129" s="37" t="str">
        <f>TEXT(TIME('Merged raw data'!F129,0,0),"h AM/PM")</f>
        <v>1 PM</v>
      </c>
      <c r="I129" s="23" t="str">
        <f>IF(OR('Merged raw data'!H129=1,'Merged raw data'!H129=2,'Merged raw data'!H129=3,'Merged raw data'!H129=4,'Merged raw data'!H129=5),"weekday","weekend")</f>
        <v>weekday</v>
      </c>
      <c r="J129" s="23" t="s">
        <v>23</v>
      </c>
      <c r="K129" s="23" t="str">
        <f>IF('Merged raw data'!I129=1,"Clear",IF('Merged raw data'!I129=2,"Mist",IF('Merged raw data'!I129=3,"Rain",IF('Merged raw data'!I129=4,"Storm","NA"))))</f>
        <v>Clear</v>
      </c>
      <c r="L129" s="24">
        <v>0.35</v>
      </c>
      <c r="M129" s="24">
        <v>0.1045</v>
      </c>
      <c r="N129" s="21">
        <f>'Merged raw data'!$J129*100</f>
        <v>26</v>
      </c>
      <c r="O129" s="21">
        <v>12</v>
      </c>
      <c r="P129" s="21">
        <v>55</v>
      </c>
      <c r="Q129" s="21">
        <v>67</v>
      </c>
      <c r="R129" s="21" t="str">
        <f>IF(Q129&gt;=outliers!I131,"High",IF(Q129&lt;=outliers!I130,"Low","Moderate"))</f>
        <v>High</v>
      </c>
      <c r="S129" s="8" t="str">
        <f>IF(OR(Q129&lt;outliers!$I$6,Q129&gt;outliers!$I$7),"Outlier","Normal")</f>
        <v>Normal</v>
      </c>
      <c r="T129" s="8" t="str">
        <f>IF(OR(L129&lt;outliers!$J$6,L129&gt;outliers!$J$7),"Outlier","Normal")</f>
        <v>Normal</v>
      </c>
      <c r="U129" s="8" t="str">
        <f>IF(OR(M129&lt;outliers!$K$6,M129&gt;outliers!$K$7),"Outlier","Normal")</f>
        <v>Normal</v>
      </c>
    </row>
    <row r="130" spans="1:21">
      <c r="A130" s="21">
        <v>129</v>
      </c>
      <c r="B130" s="68">
        <v>40549</v>
      </c>
      <c r="C130" s="22" t="b">
        <v>0</v>
      </c>
      <c r="D130" s="21" t="str">
        <f t="shared" si="1"/>
        <v>Thursday</v>
      </c>
      <c r="E130" s="23">
        <v>0.2727</v>
      </c>
      <c r="F130" s="23">
        <f>YEAR('Merged raw data'!$B130)</f>
        <v>2011</v>
      </c>
      <c r="G130" s="23" t="str">
        <f>TEXT('Merged raw data'!$B130,"mmmm")</f>
        <v>January</v>
      </c>
      <c r="H130" s="37" t="str">
        <f>TEXT(TIME('Merged raw data'!F130,0,0),"h AM/PM")</f>
        <v>2 PM</v>
      </c>
      <c r="I130" s="23" t="str">
        <f>IF(OR('Merged raw data'!H130=1,'Merged raw data'!H130=2,'Merged raw data'!H130=3,'Merged raw data'!H130=4,'Merged raw data'!H130=5),"weekday","weekend")</f>
        <v>weekday</v>
      </c>
      <c r="J130" s="23" t="s">
        <v>23</v>
      </c>
      <c r="K130" s="23" t="str">
        <f>IF('Merged raw data'!I130=1,"Clear",IF('Merged raw data'!I130=2,"Mist",IF('Merged raw data'!I130=3,"Rain",IF('Merged raw data'!I130=4,"Storm","NA"))))</f>
        <v>Clear</v>
      </c>
      <c r="L130" s="24">
        <v>0.36</v>
      </c>
      <c r="M130" s="24">
        <v>0.16420000000000001</v>
      </c>
      <c r="N130" s="21">
        <f>'Merged raw data'!$J130*100</f>
        <v>28.000000000000004</v>
      </c>
      <c r="O130" s="21">
        <v>11</v>
      </c>
      <c r="P130" s="21">
        <v>59</v>
      </c>
      <c r="Q130" s="21">
        <v>70</v>
      </c>
      <c r="R130" s="21" t="str">
        <f>IF(Q130&gt;=outliers!I132,"High",IF(Q130&lt;=outliers!I131,"Low","Moderate"))</f>
        <v>High</v>
      </c>
      <c r="S130" s="8" t="str">
        <f>IF(OR(Q130&lt;outliers!$I$6,Q130&gt;outliers!$I$7),"Outlier","Normal")</f>
        <v>Normal</v>
      </c>
      <c r="T130" s="8" t="str">
        <f>IF(OR(L130&lt;outliers!$J$6,L130&gt;outliers!$J$7),"Outlier","Normal")</f>
        <v>Normal</v>
      </c>
      <c r="U130" s="8" t="str">
        <f>IF(OR(M130&lt;outliers!$K$6,M130&gt;outliers!$K$7),"Outlier","Normal")</f>
        <v>Normal</v>
      </c>
    </row>
    <row r="131" spans="1:21">
      <c r="A131" s="21">
        <v>130</v>
      </c>
      <c r="B131" s="68">
        <v>40549</v>
      </c>
      <c r="C131" s="22" t="b">
        <v>0</v>
      </c>
      <c r="D131" s="21" t="str">
        <f t="shared" ref="D131:D194" si="2">TEXT(B131,"dddd")</f>
        <v>Thursday</v>
      </c>
      <c r="E131" s="23">
        <v>0.2727</v>
      </c>
      <c r="F131" s="23">
        <f>YEAR('Merged raw data'!$B131)</f>
        <v>2011</v>
      </c>
      <c r="G131" s="23" t="str">
        <f>TEXT('Merged raw data'!$B131,"mmmm")</f>
        <v>January</v>
      </c>
      <c r="H131" s="37" t="str">
        <f>TEXT(TIME('Merged raw data'!F131,0,0),"h AM/PM")</f>
        <v>3 PM</v>
      </c>
      <c r="I131" s="23" t="str">
        <f>IF(OR('Merged raw data'!H131=1,'Merged raw data'!H131=2,'Merged raw data'!H131=3,'Merged raw data'!H131=4,'Merged raw data'!H131=5),"weekday","weekend")</f>
        <v>weekday</v>
      </c>
      <c r="J131" s="23" t="s">
        <v>23</v>
      </c>
      <c r="K131" s="23" t="str">
        <f>IF('Merged raw data'!I131=1,"Clear",IF('Merged raw data'!I131=2,"Mist",IF('Merged raw data'!I131=3,"Rain",IF('Merged raw data'!I131=4,"Storm","NA"))))</f>
        <v>Clear</v>
      </c>
      <c r="L131" s="24">
        <v>0.36</v>
      </c>
      <c r="M131" s="24">
        <v>0.23</v>
      </c>
      <c r="N131" s="21">
        <f>'Merged raw data'!$J131*100</f>
        <v>28.000000000000004</v>
      </c>
      <c r="O131" s="21">
        <v>8</v>
      </c>
      <c r="P131" s="21">
        <v>54</v>
      </c>
      <c r="Q131" s="21">
        <v>62</v>
      </c>
      <c r="R131" s="21" t="str">
        <f>IF(Q131&gt;=outliers!I133,"High",IF(Q131&lt;=outliers!I132,"Low","Moderate"))</f>
        <v>High</v>
      </c>
      <c r="S131" s="8" t="str">
        <f>IF(OR(Q131&lt;outliers!$I$6,Q131&gt;outliers!$I$7),"Outlier","Normal")</f>
        <v>Normal</v>
      </c>
      <c r="T131" s="8" t="str">
        <f>IF(OR(L131&lt;outliers!$J$6,L131&gt;outliers!$J$7),"Outlier","Normal")</f>
        <v>Normal</v>
      </c>
      <c r="U131" s="8" t="str">
        <f>IF(OR(M131&lt;outliers!$K$6,M131&gt;outliers!$K$7),"Outlier","Normal")</f>
        <v>Normal</v>
      </c>
    </row>
    <row r="132" spans="1:21">
      <c r="A132" s="21">
        <v>131</v>
      </c>
      <c r="B132" s="68">
        <v>40549</v>
      </c>
      <c r="C132" s="22" t="b">
        <v>0</v>
      </c>
      <c r="D132" s="21" t="str">
        <f t="shared" si="2"/>
        <v>Thursday</v>
      </c>
      <c r="E132" s="23">
        <v>0.2576</v>
      </c>
      <c r="F132" s="23">
        <f>YEAR('Merged raw data'!$B132)</f>
        <v>2011</v>
      </c>
      <c r="G132" s="23" t="str">
        <f>TEXT('Merged raw data'!$B132,"mmmm")</f>
        <v>January</v>
      </c>
      <c r="H132" s="37" t="str">
        <f>TEXT(TIME('Merged raw data'!F132,0,0),"h AM/PM")</f>
        <v>4 PM</v>
      </c>
      <c r="I132" s="23" t="str">
        <f>IF(OR('Merged raw data'!H132=1,'Merged raw data'!H132=2,'Merged raw data'!H132=3,'Merged raw data'!H132=4,'Merged raw data'!H132=5),"weekday","weekend")</f>
        <v>weekday</v>
      </c>
      <c r="J132" s="23" t="s">
        <v>23</v>
      </c>
      <c r="K132" s="23" t="str">
        <f>IF('Merged raw data'!I132=1,"Clear",IF('Merged raw data'!I132=2,"Mist",IF('Merged raw data'!I132=3,"Rain",IF('Merged raw data'!I132=4,"Storm","NA"))))</f>
        <v>Clear</v>
      </c>
      <c r="L132" s="24">
        <v>0.38</v>
      </c>
      <c r="M132" s="24">
        <v>0.16420000000000001</v>
      </c>
      <c r="N132" s="21">
        <f>'Merged raw data'!$J132*100</f>
        <v>26</v>
      </c>
      <c r="O132" s="21">
        <v>12</v>
      </c>
      <c r="P132" s="21">
        <v>74</v>
      </c>
      <c r="Q132" s="21">
        <v>86</v>
      </c>
      <c r="R132" s="21" t="str">
        <f>IF(Q132&gt;=outliers!I134,"High",IF(Q132&lt;=outliers!I133,"Low","Moderate"))</f>
        <v>High</v>
      </c>
      <c r="S132" s="8" t="str">
        <f>IF(OR(Q132&lt;outliers!$I$6,Q132&gt;outliers!$I$7),"Outlier","Normal")</f>
        <v>Normal</v>
      </c>
      <c r="T132" s="8" t="str">
        <f>IF(OR(L132&lt;outliers!$J$6,L132&gt;outliers!$J$7),"Outlier","Normal")</f>
        <v>Normal</v>
      </c>
      <c r="U132" s="8" t="str">
        <f>IF(OR(M132&lt;outliers!$K$6,M132&gt;outliers!$K$7),"Outlier","Normal")</f>
        <v>Normal</v>
      </c>
    </row>
    <row r="133" spans="1:21">
      <c r="A133" s="21">
        <v>132</v>
      </c>
      <c r="B133" s="68">
        <v>40549</v>
      </c>
      <c r="C133" s="22" t="b">
        <v>0</v>
      </c>
      <c r="D133" s="21" t="str">
        <f t="shared" si="2"/>
        <v>Thursday</v>
      </c>
      <c r="E133" s="23">
        <v>0.2273</v>
      </c>
      <c r="F133" s="23">
        <f>YEAR('Merged raw data'!$B133)</f>
        <v>2011</v>
      </c>
      <c r="G133" s="23" t="str">
        <f>TEXT('Merged raw data'!$B133,"mmmm")</f>
        <v>January</v>
      </c>
      <c r="H133" s="37" t="str">
        <f>TEXT(TIME('Merged raw data'!F133,0,0),"h AM/PM")</f>
        <v>5 PM</v>
      </c>
      <c r="I133" s="23" t="str">
        <f>IF(OR('Merged raw data'!H133=1,'Merged raw data'!H133=2,'Merged raw data'!H133=3,'Merged raw data'!H133=4,'Merged raw data'!H133=5),"weekday","weekend")</f>
        <v>weekday</v>
      </c>
      <c r="J133" s="23" t="s">
        <v>23</v>
      </c>
      <c r="K133" s="23" t="str">
        <f>IF('Merged raw data'!I133=1,"Clear",IF('Merged raw data'!I133=2,"Mist",IF('Merged raw data'!I133=3,"Rain",IF('Merged raw data'!I133=4,"Storm","NA"))))</f>
        <v>Clear</v>
      </c>
      <c r="L133" s="24">
        <v>0.51</v>
      </c>
      <c r="M133" s="24">
        <v>0.16420000000000001</v>
      </c>
      <c r="N133" s="21">
        <f>'Merged raw data'!$J133*100</f>
        <v>22</v>
      </c>
      <c r="O133" s="21">
        <v>9</v>
      </c>
      <c r="P133" s="21">
        <v>163</v>
      </c>
      <c r="Q133" s="21">
        <v>172</v>
      </c>
      <c r="R133" s="21" t="str">
        <f>IF(Q133&gt;=outliers!I135,"High",IF(Q133&lt;=outliers!I134,"Low","Moderate"))</f>
        <v>High</v>
      </c>
      <c r="S133" s="8" t="str">
        <f>IF(OR(Q133&lt;outliers!$I$6,Q133&gt;outliers!$I$7),"Outlier","Normal")</f>
        <v>Normal</v>
      </c>
      <c r="T133" s="8" t="str">
        <f>IF(OR(L133&lt;outliers!$J$6,L133&gt;outliers!$J$7),"Outlier","Normal")</f>
        <v>Normal</v>
      </c>
      <c r="U133" s="8" t="str">
        <f>IF(OR(M133&lt;outliers!$K$6,M133&gt;outliers!$K$7),"Outlier","Normal")</f>
        <v>Normal</v>
      </c>
    </row>
    <row r="134" spans="1:21">
      <c r="A134" s="21">
        <v>133</v>
      </c>
      <c r="B134" s="68">
        <v>40549</v>
      </c>
      <c r="C134" s="22" t="b">
        <v>0</v>
      </c>
      <c r="D134" s="21" t="str">
        <f t="shared" si="2"/>
        <v>Thursday</v>
      </c>
      <c r="E134" s="23">
        <v>0.2273</v>
      </c>
      <c r="F134" s="23">
        <f>YEAR('Merged raw data'!$B134)</f>
        <v>2011</v>
      </c>
      <c r="G134" s="23" t="str">
        <f>TEXT('Merged raw data'!$B134,"mmmm")</f>
        <v>January</v>
      </c>
      <c r="H134" s="37" t="str">
        <f>TEXT(TIME('Merged raw data'!F134,0,0),"h AM/PM")</f>
        <v>6 PM</v>
      </c>
      <c r="I134" s="23" t="str">
        <f>IF(OR('Merged raw data'!H134=1,'Merged raw data'!H134=2,'Merged raw data'!H134=3,'Merged raw data'!H134=4,'Merged raw data'!H134=5),"weekday","weekend")</f>
        <v>weekday</v>
      </c>
      <c r="J134" s="23" t="s">
        <v>23</v>
      </c>
      <c r="K134" s="23" t="str">
        <f>IF('Merged raw data'!I134=1,"Clear",IF('Merged raw data'!I134=2,"Mist",IF('Merged raw data'!I134=3,"Rain",IF('Merged raw data'!I134=4,"Storm","NA"))))</f>
        <v>Clear</v>
      </c>
      <c r="L134" s="24">
        <v>0.51</v>
      </c>
      <c r="M134" s="24">
        <v>0.1343</v>
      </c>
      <c r="N134" s="21">
        <f>'Merged raw data'!$J134*100</f>
        <v>22</v>
      </c>
      <c r="O134" s="21">
        <v>5</v>
      </c>
      <c r="P134" s="21">
        <v>158</v>
      </c>
      <c r="Q134" s="21">
        <v>163</v>
      </c>
      <c r="R134" s="21" t="str">
        <f>IF(Q134&gt;=outliers!I136,"High",IF(Q134&lt;=outliers!I135,"Low","Moderate"))</f>
        <v>High</v>
      </c>
      <c r="S134" s="8" t="str">
        <f>IF(OR(Q134&lt;outliers!$I$6,Q134&gt;outliers!$I$7),"Outlier","Normal")</f>
        <v>Normal</v>
      </c>
      <c r="T134" s="8" t="str">
        <f>IF(OR(L134&lt;outliers!$J$6,L134&gt;outliers!$J$7),"Outlier","Normal")</f>
        <v>Normal</v>
      </c>
      <c r="U134" s="8" t="str">
        <f>IF(OR(M134&lt;outliers!$K$6,M134&gt;outliers!$K$7),"Outlier","Normal")</f>
        <v>Normal</v>
      </c>
    </row>
    <row r="135" spans="1:21">
      <c r="A135" s="21">
        <v>134</v>
      </c>
      <c r="B135" s="68">
        <v>40549</v>
      </c>
      <c r="C135" s="22" t="b">
        <v>0</v>
      </c>
      <c r="D135" s="21" t="str">
        <f t="shared" si="2"/>
        <v>Thursday</v>
      </c>
      <c r="E135" s="23">
        <v>0.2576</v>
      </c>
      <c r="F135" s="23">
        <f>YEAR('Merged raw data'!$B135)</f>
        <v>2011</v>
      </c>
      <c r="G135" s="23" t="str">
        <f>TEXT('Merged raw data'!$B135,"mmmm")</f>
        <v>January</v>
      </c>
      <c r="H135" s="37" t="str">
        <f>TEXT(TIME('Merged raw data'!F135,0,0),"h AM/PM")</f>
        <v>7 PM</v>
      </c>
      <c r="I135" s="23" t="str">
        <f>IF(OR('Merged raw data'!H135=1,'Merged raw data'!H135=2,'Merged raw data'!H135=3,'Merged raw data'!H135=4,'Merged raw data'!H135=5),"weekday","weekend")</f>
        <v>weekday</v>
      </c>
      <c r="J135" s="23" t="s">
        <v>23</v>
      </c>
      <c r="K135" s="23" t="str">
        <f>IF('Merged raw data'!I135=1,"Clear",IF('Merged raw data'!I135=2,"Mist",IF('Merged raw data'!I135=3,"Rain",IF('Merged raw data'!I135=4,"Storm","NA"))))</f>
        <v>Clear</v>
      </c>
      <c r="L135" s="24">
        <v>0.55000000000000004</v>
      </c>
      <c r="M135" s="24">
        <v>8.9599999999999999E-2</v>
      </c>
      <c r="N135" s="21">
        <f>'Merged raw data'!$J135*100</f>
        <v>22</v>
      </c>
      <c r="O135" s="21">
        <v>3</v>
      </c>
      <c r="P135" s="21">
        <v>109</v>
      </c>
      <c r="Q135" s="21">
        <v>112</v>
      </c>
      <c r="R135" s="21" t="str">
        <f>IF(Q135&gt;=outliers!I137,"High",IF(Q135&lt;=outliers!I136,"Low","Moderate"))</f>
        <v>High</v>
      </c>
      <c r="S135" s="8" t="str">
        <f>IF(OR(Q135&lt;outliers!$I$6,Q135&gt;outliers!$I$7),"Outlier","Normal")</f>
        <v>Normal</v>
      </c>
      <c r="T135" s="8" t="str">
        <f>IF(OR(L135&lt;outliers!$J$6,L135&gt;outliers!$J$7),"Outlier","Normal")</f>
        <v>Normal</v>
      </c>
      <c r="U135" s="8" t="str">
        <f>IF(OR(M135&lt;outliers!$K$6,M135&gt;outliers!$K$7),"Outlier","Normal")</f>
        <v>Normal</v>
      </c>
    </row>
    <row r="136" spans="1:21">
      <c r="A136" s="21">
        <v>135</v>
      </c>
      <c r="B136" s="68">
        <v>40549</v>
      </c>
      <c r="C136" s="22" t="b">
        <v>0</v>
      </c>
      <c r="D136" s="21" t="str">
        <f t="shared" si="2"/>
        <v>Thursday</v>
      </c>
      <c r="E136" s="23">
        <v>0.21210000000000001</v>
      </c>
      <c r="F136" s="23">
        <f>YEAR('Merged raw data'!$B136)</f>
        <v>2011</v>
      </c>
      <c r="G136" s="23" t="str">
        <f>TEXT('Merged raw data'!$B136,"mmmm")</f>
        <v>January</v>
      </c>
      <c r="H136" s="37" t="str">
        <f>TEXT(TIME('Merged raw data'!F136,0,0),"h AM/PM")</f>
        <v>8 PM</v>
      </c>
      <c r="I136" s="23" t="str">
        <f>IF(OR('Merged raw data'!H136=1,'Merged raw data'!H136=2,'Merged raw data'!H136=3,'Merged raw data'!H136=4,'Merged raw data'!H136=5),"weekday","weekend")</f>
        <v>weekday</v>
      </c>
      <c r="J136" s="23" t="s">
        <v>23</v>
      </c>
      <c r="K136" s="23" t="str">
        <f>IF('Merged raw data'!I136=1,"Clear",IF('Merged raw data'!I136=2,"Mist",IF('Merged raw data'!I136=3,"Rain",IF('Merged raw data'!I136=4,"Storm","NA"))))</f>
        <v>Clear</v>
      </c>
      <c r="L136" s="24">
        <v>0.51</v>
      </c>
      <c r="M136" s="24">
        <v>0.16420000000000001</v>
      </c>
      <c r="N136" s="21">
        <f>'Merged raw data'!$J136*100</f>
        <v>20</v>
      </c>
      <c r="O136" s="21">
        <v>3</v>
      </c>
      <c r="P136" s="21">
        <v>66</v>
      </c>
      <c r="Q136" s="21">
        <v>69</v>
      </c>
      <c r="R136" s="21" t="str">
        <f>IF(Q136&gt;=outliers!I138,"High",IF(Q136&lt;=outliers!I137,"Low","Moderate"))</f>
        <v>High</v>
      </c>
      <c r="S136" s="8" t="str">
        <f>IF(OR(Q136&lt;outliers!$I$6,Q136&gt;outliers!$I$7),"Outlier","Normal")</f>
        <v>Normal</v>
      </c>
      <c r="T136" s="8" t="str">
        <f>IF(OR(L136&lt;outliers!$J$6,L136&gt;outliers!$J$7),"Outlier","Normal")</f>
        <v>Normal</v>
      </c>
      <c r="U136" s="8" t="str">
        <f>IF(OR(M136&lt;outliers!$K$6,M136&gt;outliers!$K$7),"Outlier","Normal")</f>
        <v>Normal</v>
      </c>
    </row>
    <row r="137" spans="1:21">
      <c r="A137" s="21">
        <v>136</v>
      </c>
      <c r="B137" s="68">
        <v>40549</v>
      </c>
      <c r="C137" s="22" t="b">
        <v>0</v>
      </c>
      <c r="D137" s="21" t="str">
        <f t="shared" si="2"/>
        <v>Thursday</v>
      </c>
      <c r="E137" s="23">
        <v>0.21210000000000001</v>
      </c>
      <c r="F137" s="23">
        <f>YEAR('Merged raw data'!$B137)</f>
        <v>2011</v>
      </c>
      <c r="G137" s="23" t="str">
        <f>TEXT('Merged raw data'!$B137,"mmmm")</f>
        <v>January</v>
      </c>
      <c r="H137" s="37" t="str">
        <f>TEXT(TIME('Merged raw data'!F137,0,0),"h AM/PM")</f>
        <v>9 PM</v>
      </c>
      <c r="I137" s="23" t="str">
        <f>IF(OR('Merged raw data'!H137=1,'Merged raw data'!H137=2,'Merged raw data'!H137=3,'Merged raw data'!H137=4,'Merged raw data'!H137=5),"weekday","weekend")</f>
        <v>weekday</v>
      </c>
      <c r="J137" s="23" t="s">
        <v>23</v>
      </c>
      <c r="K137" s="23" t="str">
        <f>IF('Merged raw data'!I137=1,"Clear",IF('Merged raw data'!I137=2,"Mist",IF('Merged raw data'!I137=3,"Rain",IF('Merged raw data'!I137=4,"Storm","NA"))))</f>
        <v>Mist</v>
      </c>
      <c r="L137" s="24">
        <v>0.55000000000000004</v>
      </c>
      <c r="M137" s="24">
        <v>0.22389999999999999</v>
      </c>
      <c r="N137" s="21">
        <f>'Merged raw data'!$J137*100</f>
        <v>22</v>
      </c>
      <c r="O137" s="21">
        <v>0</v>
      </c>
      <c r="P137" s="21">
        <v>48</v>
      </c>
      <c r="Q137" s="21">
        <v>48</v>
      </c>
      <c r="R137" s="21" t="str">
        <f>IF(Q137&gt;=outliers!I139,"High",IF(Q137&lt;=outliers!I138,"Low","Moderate"))</f>
        <v>High</v>
      </c>
      <c r="S137" s="8" t="str">
        <f>IF(OR(Q137&lt;outliers!$I$6,Q137&gt;outliers!$I$7),"Outlier","Normal")</f>
        <v>Normal</v>
      </c>
      <c r="T137" s="8" t="str">
        <f>IF(OR(L137&lt;outliers!$J$6,L137&gt;outliers!$J$7),"Outlier","Normal")</f>
        <v>Normal</v>
      </c>
      <c r="U137" s="8" t="str">
        <f>IF(OR(M137&lt;outliers!$K$6,M137&gt;outliers!$K$7),"Outlier","Normal")</f>
        <v>Normal</v>
      </c>
    </row>
    <row r="138" spans="1:21">
      <c r="A138" s="21">
        <v>137</v>
      </c>
      <c r="B138" s="68">
        <v>40549</v>
      </c>
      <c r="C138" s="22" t="b">
        <v>0</v>
      </c>
      <c r="D138" s="21" t="str">
        <f t="shared" si="2"/>
        <v>Thursday</v>
      </c>
      <c r="E138" s="23">
        <v>0.21210000000000001</v>
      </c>
      <c r="F138" s="23">
        <f>YEAR('Merged raw data'!$B138)</f>
        <v>2011</v>
      </c>
      <c r="G138" s="23" t="str">
        <f>TEXT('Merged raw data'!$B138,"mmmm")</f>
        <v>January</v>
      </c>
      <c r="H138" s="37" t="str">
        <f>TEXT(TIME('Merged raw data'!F138,0,0),"h AM/PM")</f>
        <v>10 PM</v>
      </c>
      <c r="I138" s="23" t="str">
        <f>IF(OR('Merged raw data'!H138=1,'Merged raw data'!H138=2,'Merged raw data'!H138=3,'Merged raw data'!H138=4,'Merged raw data'!H138=5),"weekday","weekend")</f>
        <v>weekday</v>
      </c>
      <c r="J138" s="23" t="s">
        <v>23</v>
      </c>
      <c r="K138" s="23" t="str">
        <f>IF('Merged raw data'!I138=1,"Clear",IF('Merged raw data'!I138=2,"Mist",IF('Merged raw data'!I138=3,"Rain",IF('Merged raw data'!I138=4,"Storm","NA"))))</f>
        <v>Mist</v>
      </c>
      <c r="L138" s="24">
        <v>0.51</v>
      </c>
      <c r="M138" s="24">
        <v>0.28360000000000002</v>
      </c>
      <c r="N138" s="21">
        <f>'Merged raw data'!$J138*100</f>
        <v>22</v>
      </c>
      <c r="O138" s="21">
        <v>1</v>
      </c>
      <c r="P138" s="21">
        <v>51</v>
      </c>
      <c r="Q138" s="21">
        <v>52</v>
      </c>
      <c r="R138" s="21" t="str">
        <f>IF(Q138&gt;=outliers!I140,"High",IF(Q138&lt;=outliers!I139,"Low","Moderate"))</f>
        <v>High</v>
      </c>
      <c r="S138" s="8" t="str">
        <f>IF(OR(Q138&lt;outliers!$I$6,Q138&gt;outliers!$I$7),"Outlier","Normal")</f>
        <v>Normal</v>
      </c>
      <c r="T138" s="8" t="str">
        <f>IF(OR(L138&lt;outliers!$J$6,L138&gt;outliers!$J$7),"Outlier","Normal")</f>
        <v>Normal</v>
      </c>
      <c r="U138" s="8" t="str">
        <f>IF(OR(M138&lt;outliers!$K$6,M138&gt;outliers!$K$7),"Outlier","Normal")</f>
        <v>Normal</v>
      </c>
    </row>
    <row r="139" spans="1:21">
      <c r="A139" s="21">
        <v>138</v>
      </c>
      <c r="B139" s="68">
        <v>40549</v>
      </c>
      <c r="C139" s="22" t="b">
        <v>0</v>
      </c>
      <c r="D139" s="21" t="str">
        <f t="shared" si="2"/>
        <v>Thursday</v>
      </c>
      <c r="E139" s="23">
        <v>0.19700000000000001</v>
      </c>
      <c r="F139" s="23">
        <f>YEAR('Merged raw data'!$B139)</f>
        <v>2011</v>
      </c>
      <c r="G139" s="23" t="str">
        <f>TEXT('Merged raw data'!$B139,"mmmm")</f>
        <v>January</v>
      </c>
      <c r="H139" s="37" t="str">
        <f>TEXT(TIME('Merged raw data'!F139,0,0),"h AM/PM")</f>
        <v>11 PM</v>
      </c>
      <c r="I139" s="23" t="str">
        <f>IF(OR('Merged raw data'!H139=1,'Merged raw data'!H139=2,'Merged raw data'!H139=3,'Merged raw data'!H139=4,'Merged raw data'!H139=5),"weekday","weekend")</f>
        <v>weekday</v>
      </c>
      <c r="J139" s="23" t="s">
        <v>23</v>
      </c>
      <c r="K139" s="23" t="str">
        <f>IF('Merged raw data'!I139=1,"Clear",IF('Merged raw data'!I139=2,"Mist",IF('Merged raw data'!I139=3,"Rain",IF('Merged raw data'!I139=4,"Storm","NA"))))</f>
        <v>Mist</v>
      </c>
      <c r="L139" s="24">
        <v>0.59</v>
      </c>
      <c r="M139" s="24">
        <v>0.19400000000000001</v>
      </c>
      <c r="N139" s="21">
        <f>'Merged raw data'!$J139*100</f>
        <v>20</v>
      </c>
      <c r="O139" s="21">
        <v>4</v>
      </c>
      <c r="P139" s="21">
        <v>19</v>
      </c>
      <c r="Q139" s="21">
        <v>23</v>
      </c>
      <c r="R139" s="21" t="str">
        <f>IF(Q139&gt;=outliers!I141,"High",IF(Q139&lt;=outliers!I140,"Low","Moderate"))</f>
        <v>High</v>
      </c>
      <c r="S139" s="8" t="str">
        <f>IF(OR(Q139&lt;outliers!$I$6,Q139&gt;outliers!$I$7),"Outlier","Normal")</f>
        <v>Normal</v>
      </c>
      <c r="T139" s="8" t="str">
        <f>IF(OR(L139&lt;outliers!$J$6,L139&gt;outliers!$J$7),"Outlier","Normal")</f>
        <v>Normal</v>
      </c>
      <c r="U139" s="8" t="str">
        <f>IF(OR(M139&lt;outliers!$K$6,M139&gt;outliers!$K$7),"Outlier","Normal")</f>
        <v>Normal</v>
      </c>
    </row>
    <row r="140" spans="1:21">
      <c r="A140" s="21">
        <v>139</v>
      </c>
      <c r="B140" s="68">
        <v>40550</v>
      </c>
      <c r="C140" s="22" t="b">
        <v>0</v>
      </c>
      <c r="D140" s="21" t="str">
        <f t="shared" si="2"/>
        <v>Friday</v>
      </c>
      <c r="E140" s="23">
        <v>0.19700000000000001</v>
      </c>
      <c r="F140" s="23">
        <f>YEAR('Merged raw data'!$B140)</f>
        <v>2011</v>
      </c>
      <c r="G140" s="23" t="str">
        <f>TEXT('Merged raw data'!$B140,"mmmm")</f>
        <v>January</v>
      </c>
      <c r="H140" s="37" t="str">
        <f>TEXT(TIME('Merged raw data'!F140,0,0),"h AM/PM")</f>
        <v>12 AM</v>
      </c>
      <c r="I140" s="23" t="str">
        <f>IF(OR('Merged raw data'!H140=1,'Merged raw data'!H140=2,'Merged raw data'!H140=3,'Merged raw data'!H140=4,'Merged raw data'!H140=5),"weekday","weekend")</f>
        <v>weekday</v>
      </c>
      <c r="J140" s="23" t="s">
        <v>23</v>
      </c>
      <c r="K140" s="23" t="str">
        <f>IF('Merged raw data'!I140=1,"Clear",IF('Merged raw data'!I140=2,"Mist",IF('Merged raw data'!I140=3,"Rain",IF('Merged raw data'!I140=4,"Storm","NA"))))</f>
        <v>Mist</v>
      </c>
      <c r="L140" s="24">
        <v>0.64</v>
      </c>
      <c r="M140" s="24">
        <v>0.19400000000000001</v>
      </c>
      <c r="N140" s="21">
        <f>'Merged raw data'!$J140*100</f>
        <v>20</v>
      </c>
      <c r="O140" s="21">
        <v>4</v>
      </c>
      <c r="P140" s="21">
        <v>13</v>
      </c>
      <c r="Q140" s="21">
        <v>17</v>
      </c>
      <c r="R140" s="21" t="str">
        <f>IF(Q140&gt;=outliers!I142,"High",IF(Q140&lt;=outliers!I141,"Low","Moderate"))</f>
        <v>High</v>
      </c>
      <c r="S140" s="8" t="str">
        <f>IF(OR(Q140&lt;outliers!$I$6,Q140&gt;outliers!$I$7),"Outlier","Normal")</f>
        <v>Normal</v>
      </c>
      <c r="T140" s="8" t="str">
        <f>IF(OR(L140&lt;outliers!$J$6,L140&gt;outliers!$J$7),"Outlier","Normal")</f>
        <v>Normal</v>
      </c>
      <c r="U140" s="8" t="str">
        <f>IF(OR(M140&lt;outliers!$K$6,M140&gt;outliers!$K$7),"Outlier","Normal")</f>
        <v>Normal</v>
      </c>
    </row>
    <row r="141" spans="1:21">
      <c r="A141" s="21">
        <v>140</v>
      </c>
      <c r="B141" s="68">
        <v>40550</v>
      </c>
      <c r="C141" s="22" t="b">
        <v>0</v>
      </c>
      <c r="D141" s="21" t="str">
        <f t="shared" si="2"/>
        <v>Friday</v>
      </c>
      <c r="E141" s="23">
        <v>0.19700000000000001</v>
      </c>
      <c r="F141" s="23">
        <f>YEAR('Merged raw data'!$B141)</f>
        <v>2011</v>
      </c>
      <c r="G141" s="23" t="str">
        <f>TEXT('Merged raw data'!$B141,"mmmm")</f>
        <v>January</v>
      </c>
      <c r="H141" s="37" t="str">
        <f>TEXT(TIME('Merged raw data'!F141,0,0),"h AM/PM")</f>
        <v>1 AM</v>
      </c>
      <c r="I141" s="23" t="str">
        <f>IF(OR('Merged raw data'!H141=1,'Merged raw data'!H141=2,'Merged raw data'!H141=3,'Merged raw data'!H141=4,'Merged raw data'!H141=5),"weekday","weekend")</f>
        <v>weekday</v>
      </c>
      <c r="J141" s="23" t="s">
        <v>23</v>
      </c>
      <c r="K141" s="23" t="str">
        <f>IF('Merged raw data'!I141=1,"Clear",IF('Merged raw data'!I141=2,"Mist",IF('Merged raw data'!I141=3,"Rain",IF('Merged raw data'!I141=4,"Storm","NA"))))</f>
        <v>Mist</v>
      </c>
      <c r="L141" s="24">
        <v>0.69</v>
      </c>
      <c r="M141" s="24">
        <v>0.22389999999999999</v>
      </c>
      <c r="N141" s="21">
        <f>'Merged raw data'!$J141*100</f>
        <v>20</v>
      </c>
      <c r="O141" s="21">
        <v>2</v>
      </c>
      <c r="P141" s="21">
        <v>5</v>
      </c>
      <c r="Q141" s="21">
        <v>7</v>
      </c>
      <c r="R141" s="21" t="str">
        <f>IF(Q141&gt;=outliers!I143,"High",IF(Q141&lt;=outliers!I142,"Low","Moderate"))</f>
        <v>High</v>
      </c>
      <c r="S141" s="8" t="str">
        <f>IF(OR(Q141&lt;outliers!$I$6,Q141&gt;outliers!$I$7),"Outlier","Normal")</f>
        <v>Normal</v>
      </c>
      <c r="T141" s="8" t="str">
        <f>IF(OR(L141&lt;outliers!$J$6,L141&gt;outliers!$J$7),"Outlier","Normal")</f>
        <v>Normal</v>
      </c>
      <c r="U141" s="8" t="str">
        <f>IF(OR(M141&lt;outliers!$K$6,M141&gt;outliers!$K$7),"Outlier","Normal")</f>
        <v>Normal</v>
      </c>
    </row>
    <row r="142" spans="1:21">
      <c r="A142" s="21">
        <v>141</v>
      </c>
      <c r="B142" s="68">
        <v>40550</v>
      </c>
      <c r="C142" s="22" t="b">
        <v>0</v>
      </c>
      <c r="D142" s="21" t="str">
        <f t="shared" si="2"/>
        <v>Friday</v>
      </c>
      <c r="E142" s="23">
        <v>0.19700000000000001</v>
      </c>
      <c r="F142" s="23">
        <f>YEAR('Merged raw data'!$B142)</f>
        <v>2011</v>
      </c>
      <c r="G142" s="23" t="str">
        <f>TEXT('Merged raw data'!$B142,"mmmm")</f>
        <v>January</v>
      </c>
      <c r="H142" s="37" t="str">
        <f>TEXT(TIME('Merged raw data'!F142,0,0),"h AM/PM")</f>
        <v>2 AM</v>
      </c>
      <c r="I142" s="23" t="str">
        <f>IF(OR('Merged raw data'!H142=1,'Merged raw data'!H142=2,'Merged raw data'!H142=3,'Merged raw data'!H142=4,'Merged raw data'!H142=5),"weekday","weekend")</f>
        <v>weekday</v>
      </c>
      <c r="J142" s="23" t="s">
        <v>23</v>
      </c>
      <c r="K142" s="23" t="str">
        <f>IF('Merged raw data'!I142=1,"Clear",IF('Merged raw data'!I142=2,"Mist",IF('Merged raw data'!I142=3,"Rain",IF('Merged raw data'!I142=4,"Storm","NA"))))</f>
        <v>Mist</v>
      </c>
      <c r="L142" s="24">
        <v>0.69</v>
      </c>
      <c r="M142" s="24">
        <v>0.22389999999999999</v>
      </c>
      <c r="N142" s="21">
        <f>'Merged raw data'!$J142*100</f>
        <v>20</v>
      </c>
      <c r="O142" s="21">
        <v>0</v>
      </c>
      <c r="P142" s="21">
        <v>1</v>
      </c>
      <c r="Q142" s="21">
        <v>1</v>
      </c>
      <c r="R142" s="21" t="str">
        <f>IF(Q142&gt;=outliers!I144,"High",IF(Q142&lt;=outliers!I143,"Low","Moderate"))</f>
        <v>High</v>
      </c>
      <c r="S142" s="8" t="str">
        <f>IF(OR(Q142&lt;outliers!$I$6,Q142&gt;outliers!$I$7),"Outlier","Normal")</f>
        <v>Normal</v>
      </c>
      <c r="T142" s="8" t="str">
        <f>IF(OR(L142&lt;outliers!$J$6,L142&gt;outliers!$J$7),"Outlier","Normal")</f>
        <v>Normal</v>
      </c>
      <c r="U142" s="8" t="str">
        <f>IF(OR(M142&lt;outliers!$K$6,M142&gt;outliers!$K$7),"Outlier","Normal")</f>
        <v>Normal</v>
      </c>
    </row>
    <row r="143" spans="1:21">
      <c r="A143" s="21">
        <v>142</v>
      </c>
      <c r="B143" s="68">
        <v>40550</v>
      </c>
      <c r="C143" s="22" t="b">
        <v>0</v>
      </c>
      <c r="D143" s="21" t="str">
        <f t="shared" si="2"/>
        <v>Friday</v>
      </c>
      <c r="E143" s="23">
        <v>0.21210000000000001</v>
      </c>
      <c r="F143" s="23">
        <f>YEAR('Merged raw data'!$B143)</f>
        <v>2011</v>
      </c>
      <c r="G143" s="23" t="str">
        <f>TEXT('Merged raw data'!$B143,"mmmm")</f>
        <v>January</v>
      </c>
      <c r="H143" s="37" t="str">
        <f>TEXT(TIME('Merged raw data'!F143,0,0),"h AM/PM")</f>
        <v>4 AM</v>
      </c>
      <c r="I143" s="23" t="str">
        <f>IF(OR('Merged raw data'!H143=1,'Merged raw data'!H143=2,'Merged raw data'!H143=3,'Merged raw data'!H143=4,'Merged raw data'!H143=5),"weekday","weekend")</f>
        <v>weekday</v>
      </c>
      <c r="J143" s="23" t="s">
        <v>23</v>
      </c>
      <c r="K143" s="23" t="str">
        <f>IF('Merged raw data'!I143=1,"Clear",IF('Merged raw data'!I143=2,"Mist",IF('Merged raw data'!I143=3,"Rain",IF('Merged raw data'!I143=4,"Storm","NA"))))</f>
        <v>Mist</v>
      </c>
      <c r="L143" s="24">
        <v>0.69</v>
      </c>
      <c r="M143" s="24">
        <v>0.1343</v>
      </c>
      <c r="N143" s="21">
        <f>'Merged raw data'!$J143*100</f>
        <v>20</v>
      </c>
      <c r="O143" s="21">
        <v>0</v>
      </c>
      <c r="P143" s="21">
        <v>1</v>
      </c>
      <c r="Q143" s="21">
        <v>1</v>
      </c>
      <c r="R143" s="21" t="str">
        <f>IF(Q143&gt;=outliers!I145,"High",IF(Q143&lt;=outliers!I144,"Low","Moderate"))</f>
        <v>High</v>
      </c>
      <c r="S143" s="8" t="str">
        <f>IF(OR(Q143&lt;outliers!$I$6,Q143&gt;outliers!$I$7),"Outlier","Normal")</f>
        <v>Normal</v>
      </c>
      <c r="T143" s="8" t="str">
        <f>IF(OR(L143&lt;outliers!$J$6,L143&gt;outliers!$J$7),"Outlier","Normal")</f>
        <v>Normal</v>
      </c>
      <c r="U143" s="8" t="str">
        <f>IF(OR(M143&lt;outliers!$K$6,M143&gt;outliers!$K$7),"Outlier","Normal")</f>
        <v>Normal</v>
      </c>
    </row>
    <row r="144" spans="1:21">
      <c r="A144" s="21">
        <v>143</v>
      </c>
      <c r="B144" s="68">
        <v>40550</v>
      </c>
      <c r="C144" s="22" t="b">
        <v>0</v>
      </c>
      <c r="D144" s="21" t="str">
        <f t="shared" si="2"/>
        <v>Friday</v>
      </c>
      <c r="E144" s="23">
        <v>0.2727</v>
      </c>
      <c r="F144" s="23">
        <f>YEAR('Merged raw data'!$B144)</f>
        <v>2011</v>
      </c>
      <c r="G144" s="23" t="str">
        <f>TEXT('Merged raw data'!$B144,"mmmm")</f>
        <v>January</v>
      </c>
      <c r="H144" s="37" t="str">
        <f>TEXT(TIME('Merged raw data'!F144,0,0),"h AM/PM")</f>
        <v>5 AM</v>
      </c>
      <c r="I144" s="23" t="str">
        <f>IF(OR('Merged raw data'!H144=1,'Merged raw data'!H144=2,'Merged raw data'!H144=3,'Merged raw data'!H144=4,'Merged raw data'!H144=5),"weekday","weekend")</f>
        <v>weekday</v>
      </c>
      <c r="J144" s="23" t="s">
        <v>23</v>
      </c>
      <c r="K144" s="23" t="str">
        <f>IF('Merged raw data'!I144=1,"Clear",IF('Merged raw data'!I144=2,"Mist",IF('Merged raw data'!I144=3,"Rain",IF('Merged raw data'!I144=4,"Storm","NA"))))</f>
        <v>Rain</v>
      </c>
      <c r="L144" s="24">
        <v>0.55000000000000004</v>
      </c>
      <c r="M144" s="24">
        <v>0.23</v>
      </c>
      <c r="N144" s="21">
        <f>'Merged raw data'!$J144*100</f>
        <v>22</v>
      </c>
      <c r="O144" s="21">
        <v>0</v>
      </c>
      <c r="P144" s="21">
        <v>5</v>
      </c>
      <c r="Q144" s="21">
        <v>5</v>
      </c>
      <c r="R144" s="21" t="str">
        <f>IF(Q144&gt;=outliers!I146,"High",IF(Q144&lt;=outliers!I145,"Low","Moderate"))</f>
        <v>High</v>
      </c>
      <c r="S144" s="8" t="str">
        <f>IF(OR(Q144&lt;outliers!$I$6,Q144&gt;outliers!$I$7),"Outlier","Normal")</f>
        <v>Normal</v>
      </c>
      <c r="T144" s="8" t="str">
        <f>IF(OR(L144&lt;outliers!$J$6,L144&gt;outliers!$J$7),"Outlier","Normal")</f>
        <v>Normal</v>
      </c>
      <c r="U144" s="8" t="str">
        <f>IF(OR(M144&lt;outliers!$K$6,M144&gt;outliers!$K$7),"Outlier","Normal")</f>
        <v>Normal</v>
      </c>
    </row>
    <row r="145" spans="1:21">
      <c r="A145" s="21">
        <v>144</v>
      </c>
      <c r="B145" s="68">
        <v>40550</v>
      </c>
      <c r="C145" s="22" t="b">
        <v>0</v>
      </c>
      <c r="D145" s="21" t="str">
        <f t="shared" si="2"/>
        <v>Friday</v>
      </c>
      <c r="E145" s="23">
        <v>0.2576</v>
      </c>
      <c r="F145" s="23">
        <f>YEAR('Merged raw data'!$B145)</f>
        <v>2011</v>
      </c>
      <c r="G145" s="23" t="str">
        <f>TEXT('Merged raw data'!$B145,"mmmm")</f>
        <v>January</v>
      </c>
      <c r="H145" s="37" t="str">
        <f>TEXT(TIME('Merged raw data'!F145,0,0),"h AM/PM")</f>
        <v>6 AM</v>
      </c>
      <c r="I145" s="23" t="str">
        <f>IF(OR('Merged raw data'!H145=1,'Merged raw data'!H145=2,'Merged raw data'!H145=3,'Merged raw data'!H145=4,'Merged raw data'!H145=5),"weekday","weekend")</f>
        <v>weekday</v>
      </c>
      <c r="J145" s="23" t="s">
        <v>23</v>
      </c>
      <c r="K145" s="23" t="str">
        <f>IF('Merged raw data'!I145=1,"Clear",IF('Merged raw data'!I145=2,"Mist",IF('Merged raw data'!I145=3,"Rain",IF('Merged raw data'!I145=4,"Storm","NA"))))</f>
        <v>Mist</v>
      </c>
      <c r="L145" s="24">
        <v>0.69</v>
      </c>
      <c r="M145" s="24">
        <v>0.23</v>
      </c>
      <c r="N145" s="21">
        <f>'Merged raw data'!$J145*100</f>
        <v>20</v>
      </c>
      <c r="O145" s="21">
        <v>8</v>
      </c>
      <c r="P145" s="21">
        <v>26</v>
      </c>
      <c r="Q145" s="21">
        <v>34</v>
      </c>
      <c r="R145" s="21" t="str">
        <f>IF(Q145&gt;=outliers!I147,"High",IF(Q145&lt;=outliers!I146,"Low","Moderate"))</f>
        <v>High</v>
      </c>
      <c r="S145" s="8" t="str">
        <f>IF(OR(Q145&lt;outliers!$I$6,Q145&gt;outliers!$I$7),"Outlier","Normal")</f>
        <v>Normal</v>
      </c>
      <c r="T145" s="8" t="str">
        <f>IF(OR(L145&lt;outliers!$J$6,L145&gt;outliers!$J$7),"Outlier","Normal")</f>
        <v>Normal</v>
      </c>
      <c r="U145" s="8" t="str">
        <f>IF(OR(M145&lt;outliers!$K$6,M145&gt;outliers!$K$7),"Outlier","Normal")</f>
        <v>Normal</v>
      </c>
    </row>
    <row r="146" spans="1:21">
      <c r="A146" s="21">
        <v>145</v>
      </c>
      <c r="B146" s="68">
        <v>40550</v>
      </c>
      <c r="C146" s="22" t="b">
        <v>0</v>
      </c>
      <c r="D146" s="21" t="str">
        <f t="shared" si="2"/>
        <v>Friday</v>
      </c>
      <c r="E146" s="23">
        <v>0.21210000000000001</v>
      </c>
      <c r="F146" s="23">
        <f>YEAR('Merged raw data'!$B146)</f>
        <v>2011</v>
      </c>
      <c r="G146" s="23" t="str">
        <f>TEXT('Merged raw data'!$B146,"mmmm")</f>
        <v>January</v>
      </c>
      <c r="H146" s="37" t="str">
        <f>TEXT(TIME('Merged raw data'!F146,0,0),"h AM/PM")</f>
        <v>7 AM</v>
      </c>
      <c r="I146" s="23" t="str">
        <f>IF(OR('Merged raw data'!H146=1,'Merged raw data'!H146=2,'Merged raw data'!H146=3,'Merged raw data'!H146=4,'Merged raw data'!H146=5),"weekday","weekend")</f>
        <v>weekday</v>
      </c>
      <c r="J146" s="23" t="s">
        <v>23</v>
      </c>
      <c r="K146" s="23" t="str">
        <f>IF('Merged raw data'!I146=1,"Clear",IF('Merged raw data'!I146=2,"Mist",IF('Merged raw data'!I146=3,"Rain",IF('Merged raw data'!I146=4,"Storm","NA"))))</f>
        <v>Clear</v>
      </c>
      <c r="L146" s="24">
        <v>0.69</v>
      </c>
      <c r="M146" s="24">
        <v>0.1343</v>
      </c>
      <c r="N146" s="21">
        <f>'Merged raw data'!$J146*100</f>
        <v>20</v>
      </c>
      <c r="O146" s="21">
        <v>8</v>
      </c>
      <c r="P146" s="21">
        <v>76</v>
      </c>
      <c r="Q146" s="21">
        <v>84</v>
      </c>
      <c r="R146" s="21" t="str">
        <f>IF(Q146&gt;=outliers!I148,"High",IF(Q146&lt;=outliers!I147,"Low","Moderate"))</f>
        <v>High</v>
      </c>
      <c r="S146" s="8" t="str">
        <f>IF(OR(Q146&lt;outliers!$I$6,Q146&gt;outliers!$I$7),"Outlier","Normal")</f>
        <v>Normal</v>
      </c>
      <c r="T146" s="8" t="str">
        <f>IF(OR(L146&lt;outliers!$J$6,L146&gt;outliers!$J$7),"Outlier","Normal")</f>
        <v>Normal</v>
      </c>
      <c r="U146" s="8" t="str">
        <f>IF(OR(M146&lt;outliers!$K$6,M146&gt;outliers!$K$7),"Outlier","Normal")</f>
        <v>Normal</v>
      </c>
    </row>
    <row r="147" spans="1:21">
      <c r="A147" s="21">
        <v>146</v>
      </c>
      <c r="B147" s="68">
        <v>40550</v>
      </c>
      <c r="C147" s="22" t="b">
        <v>0</v>
      </c>
      <c r="D147" s="21" t="str">
        <f t="shared" si="2"/>
        <v>Friday</v>
      </c>
      <c r="E147" s="23">
        <v>0.19700000000000001</v>
      </c>
      <c r="F147" s="23">
        <f>YEAR('Merged raw data'!$B147)</f>
        <v>2011</v>
      </c>
      <c r="G147" s="23" t="str">
        <f>TEXT('Merged raw data'!$B147,"mmmm")</f>
        <v>January</v>
      </c>
      <c r="H147" s="37" t="str">
        <f>TEXT(TIME('Merged raw data'!F147,0,0),"h AM/PM")</f>
        <v>8 AM</v>
      </c>
      <c r="I147" s="23" t="str">
        <f>IF(OR('Merged raw data'!H147=1,'Merged raw data'!H147=2,'Merged raw data'!H147=3,'Merged raw data'!H147=4,'Merged raw data'!H147=5),"weekday","weekend")</f>
        <v>weekday</v>
      </c>
      <c r="J147" s="23" t="s">
        <v>23</v>
      </c>
      <c r="K147" s="23" t="str">
        <f>IF('Merged raw data'!I147=1,"Clear",IF('Merged raw data'!I147=2,"Mist",IF('Merged raw data'!I147=3,"Rain",IF('Merged raw data'!I147=4,"Storm","NA"))))</f>
        <v>Clear</v>
      </c>
      <c r="L147" s="24">
        <v>0.51</v>
      </c>
      <c r="M147" s="24">
        <v>0.25369999999999998</v>
      </c>
      <c r="N147" s="21">
        <f>'Merged raw data'!$J147*100</f>
        <v>20</v>
      </c>
      <c r="O147" s="21">
        <v>20</v>
      </c>
      <c r="P147" s="21">
        <v>190</v>
      </c>
      <c r="Q147" s="21">
        <v>210</v>
      </c>
      <c r="R147" s="21" t="str">
        <f>IF(Q147&gt;=outliers!I149,"High",IF(Q147&lt;=outliers!I148,"Low","Moderate"))</f>
        <v>High</v>
      </c>
      <c r="S147" s="8" t="str">
        <f>IF(OR(Q147&lt;outliers!$I$6,Q147&gt;outliers!$I$7),"Outlier","Normal")</f>
        <v>Outlier</v>
      </c>
      <c r="T147" s="8" t="str">
        <f>IF(OR(L147&lt;outliers!$J$6,L147&gt;outliers!$J$7),"Outlier","Normal")</f>
        <v>Normal</v>
      </c>
      <c r="U147" s="8" t="str">
        <f>IF(OR(M147&lt;outliers!$K$6,M147&gt;outliers!$K$7),"Outlier","Normal")</f>
        <v>Normal</v>
      </c>
    </row>
    <row r="148" spans="1:21">
      <c r="A148" s="21">
        <v>147</v>
      </c>
      <c r="B148" s="68">
        <v>40550</v>
      </c>
      <c r="C148" s="22" t="b">
        <v>0</v>
      </c>
      <c r="D148" s="21" t="str">
        <f t="shared" si="2"/>
        <v>Friday</v>
      </c>
      <c r="E148" s="23">
        <v>0.18179999999999999</v>
      </c>
      <c r="F148" s="23">
        <f>YEAR('Merged raw data'!$B148)</f>
        <v>2011</v>
      </c>
      <c r="G148" s="23" t="str">
        <f>TEXT('Merged raw data'!$B148,"mmmm")</f>
        <v>January</v>
      </c>
      <c r="H148" s="37" t="str">
        <f>TEXT(TIME('Merged raw data'!F148,0,0),"h AM/PM")</f>
        <v>9 AM</v>
      </c>
      <c r="I148" s="23" t="str">
        <f>IF(OR('Merged raw data'!H148=1,'Merged raw data'!H148=2,'Merged raw data'!H148=3,'Merged raw data'!H148=4,'Merged raw data'!H148=5),"weekday","weekend")</f>
        <v>weekday</v>
      </c>
      <c r="J148" s="23" t="s">
        <v>23</v>
      </c>
      <c r="K148" s="23" t="str">
        <f>IF('Merged raw data'!I148=1,"Clear",IF('Merged raw data'!I148=2,"Mist",IF('Merged raw data'!I148=3,"Rain",IF('Merged raw data'!I148=4,"Storm","NA"))))</f>
        <v>Clear</v>
      </c>
      <c r="L148" s="24">
        <v>0.47</v>
      </c>
      <c r="M148" s="24">
        <v>0.29849999999999999</v>
      </c>
      <c r="N148" s="21">
        <f>'Merged raw data'!$J148*100</f>
        <v>20</v>
      </c>
      <c r="O148" s="21">
        <v>9</v>
      </c>
      <c r="P148" s="21">
        <v>125</v>
      </c>
      <c r="Q148" s="21">
        <v>134</v>
      </c>
      <c r="R148" s="21" t="str">
        <f>IF(Q148&gt;=outliers!I150,"High",IF(Q148&lt;=outliers!I149,"Low","Moderate"))</f>
        <v>High</v>
      </c>
      <c r="S148" s="8" t="str">
        <f>IF(OR(Q148&lt;outliers!$I$6,Q148&gt;outliers!$I$7),"Outlier","Normal")</f>
        <v>Normal</v>
      </c>
      <c r="T148" s="8" t="str">
        <f>IF(OR(L148&lt;outliers!$J$6,L148&gt;outliers!$J$7),"Outlier","Normal")</f>
        <v>Normal</v>
      </c>
      <c r="U148" s="8" t="str">
        <f>IF(OR(M148&lt;outliers!$K$6,M148&gt;outliers!$K$7),"Outlier","Normal")</f>
        <v>Normal</v>
      </c>
    </row>
    <row r="149" spans="1:21">
      <c r="A149" s="21">
        <v>148</v>
      </c>
      <c r="B149" s="68">
        <v>40550</v>
      </c>
      <c r="C149" s="22" t="b">
        <v>0</v>
      </c>
      <c r="D149" s="21" t="str">
        <f t="shared" si="2"/>
        <v>Friday</v>
      </c>
      <c r="E149" s="23">
        <v>0.19700000000000001</v>
      </c>
      <c r="F149" s="23">
        <f>YEAR('Merged raw data'!$B149)</f>
        <v>2011</v>
      </c>
      <c r="G149" s="23" t="str">
        <f>TEXT('Merged raw data'!$B149,"mmmm")</f>
        <v>January</v>
      </c>
      <c r="H149" s="37" t="str">
        <f>TEXT(TIME('Merged raw data'!F149,0,0),"h AM/PM")</f>
        <v>10 AM</v>
      </c>
      <c r="I149" s="23" t="str">
        <f>IF(OR('Merged raw data'!H149=1,'Merged raw data'!H149=2,'Merged raw data'!H149=3,'Merged raw data'!H149=4,'Merged raw data'!H149=5),"weekday","weekend")</f>
        <v>weekday</v>
      </c>
      <c r="J149" s="23" t="s">
        <v>23</v>
      </c>
      <c r="K149" s="23" t="str">
        <f>IF('Merged raw data'!I149=1,"Clear",IF('Merged raw data'!I149=2,"Mist",IF('Merged raw data'!I149=3,"Rain",IF('Merged raw data'!I149=4,"Storm","NA"))))</f>
        <v>Clear</v>
      </c>
      <c r="L149" s="24">
        <v>0.37</v>
      </c>
      <c r="M149" s="24">
        <v>0.32840000000000003</v>
      </c>
      <c r="N149" s="21">
        <f>'Merged raw data'!$J149*100</f>
        <v>22</v>
      </c>
      <c r="O149" s="21">
        <v>16</v>
      </c>
      <c r="P149" s="21">
        <v>47</v>
      </c>
      <c r="Q149" s="21">
        <v>63</v>
      </c>
      <c r="R149" s="21" t="str">
        <f>IF(Q149&gt;=outliers!I151,"High",IF(Q149&lt;=outliers!I150,"Low","Moderate"))</f>
        <v>High</v>
      </c>
      <c r="S149" s="8" t="str">
        <f>IF(OR(Q149&lt;outliers!$I$6,Q149&gt;outliers!$I$7),"Outlier","Normal")</f>
        <v>Normal</v>
      </c>
      <c r="T149" s="8" t="str">
        <f>IF(OR(L149&lt;outliers!$J$6,L149&gt;outliers!$J$7),"Outlier","Normal")</f>
        <v>Normal</v>
      </c>
      <c r="U149" s="8" t="str">
        <f>IF(OR(M149&lt;outliers!$K$6,M149&gt;outliers!$K$7),"Outlier","Normal")</f>
        <v>Normal</v>
      </c>
    </row>
    <row r="150" spans="1:21">
      <c r="A150" s="21">
        <v>149</v>
      </c>
      <c r="B150" s="68">
        <v>40550</v>
      </c>
      <c r="C150" s="22" t="b">
        <v>0</v>
      </c>
      <c r="D150" s="21" t="str">
        <f t="shared" si="2"/>
        <v>Friday</v>
      </c>
      <c r="E150" s="23">
        <v>0.19700000000000001</v>
      </c>
      <c r="F150" s="23">
        <f>YEAR('Merged raw data'!$B150)</f>
        <v>2011</v>
      </c>
      <c r="G150" s="23" t="str">
        <f>TEXT('Merged raw data'!$B150,"mmmm")</f>
        <v>January</v>
      </c>
      <c r="H150" s="37" t="str">
        <f>TEXT(TIME('Merged raw data'!F150,0,0),"h AM/PM")</f>
        <v>11 AM</v>
      </c>
      <c r="I150" s="23" t="str">
        <f>IF(OR('Merged raw data'!H150=1,'Merged raw data'!H150=2,'Merged raw data'!H150=3,'Merged raw data'!H150=4,'Merged raw data'!H150=5),"weekday","weekend")</f>
        <v>weekday</v>
      </c>
      <c r="J150" s="23" t="s">
        <v>23</v>
      </c>
      <c r="K150" s="23" t="str">
        <f>IF('Merged raw data'!I150=1,"Clear",IF('Merged raw data'!I150=2,"Mist",IF('Merged raw data'!I150=3,"Rain",IF('Merged raw data'!I150=4,"Storm","NA"))))</f>
        <v>Mist</v>
      </c>
      <c r="L150" s="24">
        <v>0.4</v>
      </c>
      <c r="M150" s="24">
        <v>0.22389999999999999</v>
      </c>
      <c r="N150" s="21">
        <f>'Merged raw data'!$J150*100</f>
        <v>20</v>
      </c>
      <c r="O150" s="21">
        <v>19</v>
      </c>
      <c r="P150" s="21">
        <v>48</v>
      </c>
      <c r="Q150" s="21">
        <v>67</v>
      </c>
      <c r="R150" s="21" t="str">
        <f>IF(Q150&gt;=outliers!I152,"High",IF(Q150&lt;=outliers!I151,"Low","Moderate"))</f>
        <v>High</v>
      </c>
      <c r="S150" s="8" t="str">
        <f>IF(OR(Q150&lt;outliers!$I$6,Q150&gt;outliers!$I$7),"Outlier","Normal")</f>
        <v>Normal</v>
      </c>
      <c r="T150" s="8" t="str">
        <f>IF(OR(L150&lt;outliers!$J$6,L150&gt;outliers!$J$7),"Outlier","Normal")</f>
        <v>Normal</v>
      </c>
      <c r="U150" s="8" t="str">
        <f>IF(OR(M150&lt;outliers!$K$6,M150&gt;outliers!$K$7),"Outlier","Normal")</f>
        <v>Normal</v>
      </c>
    </row>
    <row r="151" spans="1:21">
      <c r="A151" s="21">
        <v>150</v>
      </c>
      <c r="B151" s="68">
        <v>40550</v>
      </c>
      <c r="C151" s="22" t="b">
        <v>0</v>
      </c>
      <c r="D151" s="21" t="str">
        <f t="shared" si="2"/>
        <v>Friday</v>
      </c>
      <c r="E151" s="23">
        <v>0.19700000000000001</v>
      </c>
      <c r="F151" s="23">
        <f>YEAR('Merged raw data'!$B151)</f>
        <v>2011</v>
      </c>
      <c r="G151" s="23" t="str">
        <f>TEXT('Merged raw data'!$B151,"mmmm")</f>
        <v>January</v>
      </c>
      <c r="H151" s="37" t="str">
        <f>TEXT(TIME('Merged raw data'!F151,0,0),"h AM/PM")</f>
        <v>12 PM</v>
      </c>
      <c r="I151" s="23" t="str">
        <f>IF(OR('Merged raw data'!H151=1,'Merged raw data'!H151=2,'Merged raw data'!H151=3,'Merged raw data'!H151=4,'Merged raw data'!H151=5),"weekday","weekend")</f>
        <v>weekday</v>
      </c>
      <c r="J151" s="23" t="s">
        <v>23</v>
      </c>
      <c r="K151" s="23" t="str">
        <f>IF('Merged raw data'!I151=1,"Clear",IF('Merged raw data'!I151=2,"Mist",IF('Merged raw data'!I151=3,"Rain",IF('Merged raw data'!I151=4,"Storm","NA"))))</f>
        <v>Mist</v>
      </c>
      <c r="L151" s="24">
        <v>0.37</v>
      </c>
      <c r="M151" s="24">
        <v>0.25369999999999998</v>
      </c>
      <c r="N151" s="21">
        <f>'Merged raw data'!$J151*100</f>
        <v>20</v>
      </c>
      <c r="O151" s="21">
        <v>9</v>
      </c>
      <c r="P151" s="21">
        <v>50</v>
      </c>
      <c r="Q151" s="21">
        <v>59</v>
      </c>
      <c r="R151" s="21" t="str">
        <f>IF(Q151&gt;=outliers!I153,"High",IF(Q151&lt;=outliers!I152,"Low","Moderate"))</f>
        <v>High</v>
      </c>
      <c r="S151" s="8" t="str">
        <f>IF(OR(Q151&lt;outliers!$I$6,Q151&gt;outliers!$I$7),"Outlier","Normal")</f>
        <v>Normal</v>
      </c>
      <c r="T151" s="8" t="str">
        <f>IF(OR(L151&lt;outliers!$J$6,L151&gt;outliers!$J$7),"Outlier","Normal")</f>
        <v>Normal</v>
      </c>
      <c r="U151" s="8" t="str">
        <f>IF(OR(M151&lt;outliers!$K$6,M151&gt;outliers!$K$7),"Outlier","Normal")</f>
        <v>Normal</v>
      </c>
    </row>
    <row r="152" spans="1:21">
      <c r="A152" s="21">
        <v>151</v>
      </c>
      <c r="B152" s="68">
        <v>40550</v>
      </c>
      <c r="C152" s="22" t="b">
        <v>0</v>
      </c>
      <c r="D152" s="21" t="str">
        <f t="shared" si="2"/>
        <v>Friday</v>
      </c>
      <c r="E152" s="23">
        <v>0.18179999999999999</v>
      </c>
      <c r="F152" s="23">
        <f>YEAR('Merged raw data'!$B152)</f>
        <v>2011</v>
      </c>
      <c r="G152" s="23" t="str">
        <f>TEXT('Merged raw data'!$B152,"mmmm")</f>
        <v>January</v>
      </c>
      <c r="H152" s="37" t="str">
        <f>TEXT(TIME('Merged raw data'!F152,0,0),"h AM/PM")</f>
        <v>1 PM</v>
      </c>
      <c r="I152" s="23" t="str">
        <f>IF(OR('Merged raw data'!H152=1,'Merged raw data'!H152=2,'Merged raw data'!H152=3,'Merged raw data'!H152=4,'Merged raw data'!H152=5),"weekday","weekend")</f>
        <v>weekday</v>
      </c>
      <c r="J152" s="23" t="s">
        <v>23</v>
      </c>
      <c r="K152" s="23" t="str">
        <f>IF('Merged raw data'!I152=1,"Clear",IF('Merged raw data'!I152=2,"Mist",IF('Merged raw data'!I152=3,"Rain",IF('Merged raw data'!I152=4,"Storm","NA"))))</f>
        <v>Mist</v>
      </c>
      <c r="L152" s="24">
        <v>0.37</v>
      </c>
      <c r="M152" s="24">
        <v>0.28360000000000002</v>
      </c>
      <c r="N152" s="21">
        <f>'Merged raw data'!$J152*100</f>
        <v>20</v>
      </c>
      <c r="O152" s="21">
        <v>9</v>
      </c>
      <c r="P152" s="21">
        <v>64</v>
      </c>
      <c r="Q152" s="21">
        <v>73</v>
      </c>
      <c r="R152" s="21" t="str">
        <f>IF(Q152&gt;=outliers!I154,"High",IF(Q152&lt;=outliers!I153,"Low","Moderate"))</f>
        <v>High</v>
      </c>
      <c r="S152" s="8" t="str">
        <f>IF(OR(Q152&lt;outliers!$I$6,Q152&gt;outliers!$I$7),"Outlier","Normal")</f>
        <v>Normal</v>
      </c>
      <c r="T152" s="8" t="str">
        <f>IF(OR(L152&lt;outliers!$J$6,L152&gt;outliers!$J$7),"Outlier","Normal")</f>
        <v>Normal</v>
      </c>
      <c r="U152" s="8" t="str">
        <f>IF(OR(M152&lt;outliers!$K$6,M152&gt;outliers!$K$7),"Outlier","Normal")</f>
        <v>Normal</v>
      </c>
    </row>
    <row r="153" spans="1:21">
      <c r="A153" s="21">
        <v>152</v>
      </c>
      <c r="B153" s="68">
        <v>40550</v>
      </c>
      <c r="C153" s="22" t="b">
        <v>0</v>
      </c>
      <c r="D153" s="21" t="str">
        <f t="shared" si="2"/>
        <v>Friday</v>
      </c>
      <c r="E153" s="23">
        <v>0.19700000000000001</v>
      </c>
      <c r="F153" s="23">
        <f>YEAR('Merged raw data'!$B153)</f>
        <v>2011</v>
      </c>
      <c r="G153" s="23" t="str">
        <f>TEXT('Merged raw data'!$B153,"mmmm")</f>
        <v>January</v>
      </c>
      <c r="H153" s="37" t="str">
        <f>TEXT(TIME('Merged raw data'!F153,0,0),"h AM/PM")</f>
        <v>2 PM</v>
      </c>
      <c r="I153" s="23" t="str">
        <f>IF(OR('Merged raw data'!H153=1,'Merged raw data'!H153=2,'Merged raw data'!H153=3,'Merged raw data'!H153=4,'Merged raw data'!H153=5),"weekday","weekend")</f>
        <v>weekday</v>
      </c>
      <c r="J153" s="23" t="s">
        <v>23</v>
      </c>
      <c r="K153" s="23" t="str">
        <f>IF('Merged raw data'!I153=1,"Clear",IF('Merged raw data'!I153=2,"Mist",IF('Merged raw data'!I153=3,"Rain",IF('Merged raw data'!I153=4,"Storm","NA"))))</f>
        <v>Mist</v>
      </c>
      <c r="L153" s="24">
        <v>0.4</v>
      </c>
      <c r="M153" s="24">
        <v>0.25369999999999998</v>
      </c>
      <c r="N153" s="21">
        <f>'Merged raw data'!$J153*100</f>
        <v>20</v>
      </c>
      <c r="O153" s="21">
        <v>7</v>
      </c>
      <c r="P153" s="21">
        <v>43</v>
      </c>
      <c r="Q153" s="21">
        <v>50</v>
      </c>
      <c r="R153" s="21" t="str">
        <f>IF(Q153&gt;=outliers!I155,"High",IF(Q153&lt;=outliers!I154,"Low","Moderate"))</f>
        <v>High</v>
      </c>
      <c r="S153" s="8" t="str">
        <f>IF(OR(Q153&lt;outliers!$I$6,Q153&gt;outliers!$I$7),"Outlier","Normal")</f>
        <v>Normal</v>
      </c>
      <c r="T153" s="8" t="str">
        <f>IF(OR(L153&lt;outliers!$J$6,L153&gt;outliers!$J$7),"Outlier","Normal")</f>
        <v>Normal</v>
      </c>
      <c r="U153" s="8" t="str">
        <f>IF(OR(M153&lt;outliers!$K$6,M153&gt;outliers!$K$7),"Outlier","Normal")</f>
        <v>Normal</v>
      </c>
    </row>
    <row r="154" spans="1:21">
      <c r="A154" s="21">
        <v>153</v>
      </c>
      <c r="B154" s="68">
        <v>40550</v>
      </c>
      <c r="C154" s="22" t="b">
        <v>0</v>
      </c>
      <c r="D154" s="21" t="str">
        <f t="shared" si="2"/>
        <v>Friday</v>
      </c>
      <c r="E154" s="23">
        <v>0.21210000000000001</v>
      </c>
      <c r="F154" s="23">
        <f>YEAR('Merged raw data'!$B154)</f>
        <v>2011</v>
      </c>
      <c r="G154" s="23" t="str">
        <f>TEXT('Merged raw data'!$B154,"mmmm")</f>
        <v>January</v>
      </c>
      <c r="H154" s="37" t="str">
        <f>TEXT(TIME('Merged raw data'!F154,0,0),"h AM/PM")</f>
        <v>3 PM</v>
      </c>
      <c r="I154" s="23" t="str">
        <f>IF(OR('Merged raw data'!H154=1,'Merged raw data'!H154=2,'Merged raw data'!H154=3,'Merged raw data'!H154=4,'Merged raw data'!H154=5),"weekday","weekend")</f>
        <v>weekday</v>
      </c>
      <c r="J154" s="23" t="s">
        <v>23</v>
      </c>
      <c r="K154" s="23" t="str">
        <f>IF('Merged raw data'!I154=1,"Clear",IF('Merged raw data'!I154=2,"Mist",IF('Merged raw data'!I154=3,"Rain",IF('Merged raw data'!I154=4,"Storm","NA"))))</f>
        <v>Mist</v>
      </c>
      <c r="L154" s="24">
        <v>0.37</v>
      </c>
      <c r="M154" s="24">
        <v>0.16420000000000001</v>
      </c>
      <c r="N154" s="21">
        <f>'Merged raw data'!$J154*100</f>
        <v>20</v>
      </c>
      <c r="O154" s="21">
        <v>9</v>
      </c>
      <c r="P154" s="21">
        <v>63</v>
      </c>
      <c r="Q154" s="21">
        <v>72</v>
      </c>
      <c r="R154" s="21" t="str">
        <f>IF(Q154&gt;=outliers!I156,"High",IF(Q154&lt;=outliers!I155,"Low","Moderate"))</f>
        <v>High</v>
      </c>
      <c r="S154" s="8" t="str">
        <f>IF(OR(Q154&lt;outliers!$I$6,Q154&gt;outliers!$I$7),"Outlier","Normal")</f>
        <v>Normal</v>
      </c>
      <c r="T154" s="8" t="str">
        <f>IF(OR(L154&lt;outliers!$J$6,L154&gt;outliers!$J$7),"Outlier","Normal")</f>
        <v>Normal</v>
      </c>
      <c r="U154" s="8" t="str">
        <f>IF(OR(M154&lt;outliers!$K$6,M154&gt;outliers!$K$7),"Outlier","Normal")</f>
        <v>Normal</v>
      </c>
    </row>
    <row r="155" spans="1:21">
      <c r="A155" s="21">
        <v>154</v>
      </c>
      <c r="B155" s="68">
        <v>40550</v>
      </c>
      <c r="C155" s="22" t="b">
        <v>0</v>
      </c>
      <c r="D155" s="21" t="str">
        <f t="shared" si="2"/>
        <v>Friday</v>
      </c>
      <c r="E155" s="23">
        <v>0.21210000000000001</v>
      </c>
      <c r="F155" s="23">
        <f>YEAR('Merged raw data'!$B155)</f>
        <v>2011</v>
      </c>
      <c r="G155" s="23" t="str">
        <f>TEXT('Merged raw data'!$B155,"mmmm")</f>
        <v>January</v>
      </c>
      <c r="H155" s="37" t="str">
        <f>TEXT(TIME('Merged raw data'!F155,0,0),"h AM/PM")</f>
        <v>4 PM</v>
      </c>
      <c r="I155" s="23" t="str">
        <f>IF(OR('Merged raw data'!H155=1,'Merged raw data'!H155=2,'Merged raw data'!H155=3,'Merged raw data'!H155=4,'Merged raw data'!H155=5),"weekday","weekend")</f>
        <v>weekday</v>
      </c>
      <c r="J155" s="23" t="s">
        <v>23</v>
      </c>
      <c r="K155" s="23" t="str">
        <f>IF('Merged raw data'!I155=1,"Clear",IF('Merged raw data'!I155=2,"Mist",IF('Merged raw data'!I155=3,"Rain",IF('Merged raw data'!I155=4,"Storm","NA"))))</f>
        <v>Mist</v>
      </c>
      <c r="L155" s="24">
        <v>0.37</v>
      </c>
      <c r="M155" s="24">
        <v>0.16420000000000001</v>
      </c>
      <c r="N155" s="21">
        <f>'Merged raw data'!$J155*100</f>
        <v>20</v>
      </c>
      <c r="O155" s="21">
        <v>5</v>
      </c>
      <c r="P155" s="21">
        <v>82</v>
      </c>
      <c r="Q155" s="21">
        <v>87</v>
      </c>
      <c r="R155" s="21" t="str">
        <f>IF(Q155&gt;=outliers!I157,"High",IF(Q155&lt;=outliers!I156,"Low","Moderate"))</f>
        <v>High</v>
      </c>
      <c r="S155" s="8" t="str">
        <f>IF(OR(Q155&lt;outliers!$I$6,Q155&gt;outliers!$I$7),"Outlier","Normal")</f>
        <v>Normal</v>
      </c>
      <c r="T155" s="8" t="str">
        <f>IF(OR(L155&lt;outliers!$J$6,L155&gt;outliers!$J$7),"Outlier","Normal")</f>
        <v>Normal</v>
      </c>
      <c r="U155" s="8" t="str">
        <f>IF(OR(M155&lt;outliers!$K$6,M155&gt;outliers!$K$7),"Outlier","Normal")</f>
        <v>Normal</v>
      </c>
    </row>
    <row r="156" spans="1:21">
      <c r="A156" s="21">
        <v>155</v>
      </c>
      <c r="B156" s="68">
        <v>40550</v>
      </c>
      <c r="C156" s="22" t="b">
        <v>0</v>
      </c>
      <c r="D156" s="21" t="str">
        <f t="shared" si="2"/>
        <v>Friday</v>
      </c>
      <c r="E156" s="23">
        <v>0.2576</v>
      </c>
      <c r="F156" s="23">
        <f>YEAR('Merged raw data'!$B156)</f>
        <v>2011</v>
      </c>
      <c r="G156" s="23" t="str">
        <f>TEXT('Merged raw data'!$B156,"mmmm")</f>
        <v>January</v>
      </c>
      <c r="H156" s="37" t="str">
        <f>TEXT(TIME('Merged raw data'!F156,0,0),"h AM/PM")</f>
        <v>5 PM</v>
      </c>
      <c r="I156" s="23" t="str">
        <f>IF(OR('Merged raw data'!H156=1,'Merged raw data'!H156=2,'Merged raw data'!H156=3,'Merged raw data'!H156=4,'Merged raw data'!H156=5),"weekday","weekend")</f>
        <v>weekday</v>
      </c>
      <c r="J156" s="23" t="s">
        <v>23</v>
      </c>
      <c r="K156" s="23" t="str">
        <f>IF('Merged raw data'!I156=1,"Clear",IF('Merged raw data'!I156=2,"Mist",IF('Merged raw data'!I156=3,"Rain",IF('Merged raw data'!I156=4,"Storm","NA"))))</f>
        <v>Mist</v>
      </c>
      <c r="L156" s="24">
        <v>0.37</v>
      </c>
      <c r="M156" s="24">
        <v>0.23</v>
      </c>
      <c r="N156" s="21">
        <f>'Merged raw data'!$J156*100</f>
        <v>20</v>
      </c>
      <c r="O156" s="21">
        <v>9</v>
      </c>
      <c r="P156" s="21">
        <v>178</v>
      </c>
      <c r="Q156" s="21">
        <v>187</v>
      </c>
      <c r="R156" s="21" t="str">
        <f>IF(Q156&gt;=outliers!I158,"High",IF(Q156&lt;=outliers!I157,"Low","Moderate"))</f>
        <v>High</v>
      </c>
      <c r="S156" s="8" t="str">
        <f>IF(OR(Q156&lt;outliers!$I$6,Q156&gt;outliers!$I$7),"Outlier","Normal")</f>
        <v>Outlier</v>
      </c>
      <c r="T156" s="8" t="str">
        <f>IF(OR(L156&lt;outliers!$J$6,L156&gt;outliers!$J$7),"Outlier","Normal")</f>
        <v>Normal</v>
      </c>
      <c r="U156" s="8" t="str">
        <f>IF(OR(M156&lt;outliers!$K$6,M156&gt;outliers!$K$7),"Outlier","Normal")</f>
        <v>Normal</v>
      </c>
    </row>
    <row r="157" spans="1:21">
      <c r="A157" s="21">
        <v>156</v>
      </c>
      <c r="B157" s="68">
        <v>40550</v>
      </c>
      <c r="C157" s="22" t="b">
        <v>0</v>
      </c>
      <c r="D157" s="21" t="str">
        <f t="shared" si="2"/>
        <v>Friday</v>
      </c>
      <c r="E157" s="23">
        <v>0.2273</v>
      </c>
      <c r="F157" s="23">
        <f>YEAR('Merged raw data'!$B157)</f>
        <v>2011</v>
      </c>
      <c r="G157" s="23" t="str">
        <f>TEXT('Merged raw data'!$B157,"mmmm")</f>
        <v>January</v>
      </c>
      <c r="H157" s="37" t="str">
        <f>TEXT(TIME('Merged raw data'!F157,0,0),"h AM/PM")</f>
        <v>6 PM</v>
      </c>
      <c r="I157" s="23" t="str">
        <f>IF(OR('Merged raw data'!H157=1,'Merged raw data'!H157=2,'Merged raw data'!H157=3,'Merged raw data'!H157=4,'Merged raw data'!H157=5),"weekday","weekend")</f>
        <v>weekday</v>
      </c>
      <c r="J157" s="23" t="s">
        <v>23</v>
      </c>
      <c r="K157" s="23" t="str">
        <f>IF('Merged raw data'!I157=1,"Clear",IF('Merged raw data'!I157=2,"Mist",IF('Merged raw data'!I157=3,"Rain",IF('Merged raw data'!I157=4,"Storm","NA"))))</f>
        <v>Clear</v>
      </c>
      <c r="L157" s="24">
        <v>0.4</v>
      </c>
      <c r="M157" s="24">
        <v>8.9599999999999999E-2</v>
      </c>
      <c r="N157" s="21">
        <f>'Merged raw data'!$J157*100</f>
        <v>20</v>
      </c>
      <c r="O157" s="21">
        <v>7</v>
      </c>
      <c r="P157" s="21">
        <v>116</v>
      </c>
      <c r="Q157" s="21">
        <v>123</v>
      </c>
      <c r="R157" s="21" t="str">
        <f>IF(Q157&gt;=outliers!I159,"High",IF(Q157&lt;=outliers!I158,"Low","Moderate"))</f>
        <v>High</v>
      </c>
      <c r="S157" s="8" t="str">
        <f>IF(OR(Q157&lt;outliers!$I$6,Q157&gt;outliers!$I$7),"Outlier","Normal")</f>
        <v>Normal</v>
      </c>
      <c r="T157" s="8" t="str">
        <f>IF(OR(L157&lt;outliers!$J$6,L157&gt;outliers!$J$7),"Outlier","Normal")</f>
        <v>Normal</v>
      </c>
      <c r="U157" s="8" t="str">
        <f>IF(OR(M157&lt;outliers!$K$6,M157&gt;outliers!$K$7),"Outlier","Normal")</f>
        <v>Normal</v>
      </c>
    </row>
    <row r="158" spans="1:21">
      <c r="A158" s="21">
        <v>157</v>
      </c>
      <c r="B158" s="68">
        <v>40550</v>
      </c>
      <c r="C158" s="22" t="b">
        <v>0</v>
      </c>
      <c r="D158" s="21" t="str">
        <f t="shared" si="2"/>
        <v>Friday</v>
      </c>
      <c r="E158" s="23">
        <v>0.19700000000000001</v>
      </c>
      <c r="F158" s="23">
        <f>YEAR('Merged raw data'!$B158)</f>
        <v>2011</v>
      </c>
      <c r="G158" s="23" t="str">
        <f>TEXT('Merged raw data'!$B158,"mmmm")</f>
        <v>January</v>
      </c>
      <c r="H158" s="37" t="str">
        <f>TEXT(TIME('Merged raw data'!F158,0,0),"h AM/PM")</f>
        <v>7 PM</v>
      </c>
      <c r="I158" s="23" t="str">
        <f>IF(OR('Merged raw data'!H158=1,'Merged raw data'!H158=2,'Merged raw data'!H158=3,'Merged raw data'!H158=4,'Merged raw data'!H158=5),"weekday","weekend")</f>
        <v>weekday</v>
      </c>
      <c r="J158" s="23" t="s">
        <v>23</v>
      </c>
      <c r="K158" s="23" t="str">
        <f>IF('Merged raw data'!I158=1,"Clear",IF('Merged raw data'!I158=2,"Mist",IF('Merged raw data'!I158=3,"Rain",IF('Merged raw data'!I158=4,"Storm","NA"))))</f>
        <v>Clear</v>
      </c>
      <c r="L158" s="24">
        <v>0.55000000000000004</v>
      </c>
      <c r="M158" s="24">
        <v>8.9599999999999999E-2</v>
      </c>
      <c r="N158" s="21">
        <f>'Merged raw data'!$J158*100</f>
        <v>16</v>
      </c>
      <c r="O158" s="21">
        <v>3</v>
      </c>
      <c r="P158" s="21">
        <v>92</v>
      </c>
      <c r="Q158" s="21">
        <v>95</v>
      </c>
      <c r="R158" s="21" t="str">
        <f>IF(Q158&gt;=outliers!I160,"High",IF(Q158&lt;=outliers!I159,"Low","Moderate"))</f>
        <v>High</v>
      </c>
      <c r="S158" s="8" t="str">
        <f>IF(OR(Q158&lt;outliers!$I$6,Q158&gt;outliers!$I$7),"Outlier","Normal")</f>
        <v>Normal</v>
      </c>
      <c r="T158" s="8" t="str">
        <f>IF(OR(L158&lt;outliers!$J$6,L158&gt;outliers!$J$7),"Outlier","Normal")</f>
        <v>Normal</v>
      </c>
      <c r="U158" s="8" t="str">
        <f>IF(OR(M158&lt;outliers!$K$6,M158&gt;outliers!$K$7),"Outlier","Normal")</f>
        <v>Normal</v>
      </c>
    </row>
    <row r="159" spans="1:21">
      <c r="A159" s="21">
        <v>158</v>
      </c>
      <c r="B159" s="68">
        <v>40550</v>
      </c>
      <c r="C159" s="22" t="b">
        <v>0</v>
      </c>
      <c r="D159" s="21" t="str">
        <f t="shared" si="2"/>
        <v>Friday</v>
      </c>
      <c r="E159" s="23">
        <v>0.21210000000000001</v>
      </c>
      <c r="F159" s="23">
        <f>YEAR('Merged raw data'!$B159)</f>
        <v>2011</v>
      </c>
      <c r="G159" s="23" t="str">
        <f>TEXT('Merged raw data'!$B159,"mmmm")</f>
        <v>January</v>
      </c>
      <c r="H159" s="37" t="str">
        <f>TEXT(TIME('Merged raw data'!F159,0,0),"h AM/PM")</f>
        <v>8 PM</v>
      </c>
      <c r="I159" s="23" t="str">
        <f>IF(OR('Merged raw data'!H159=1,'Merged raw data'!H159=2,'Merged raw data'!H159=3,'Merged raw data'!H159=4,'Merged raw data'!H159=5),"weekday","weekend")</f>
        <v>weekday</v>
      </c>
      <c r="J159" s="23" t="s">
        <v>23</v>
      </c>
      <c r="K159" s="23" t="str">
        <f>IF('Merged raw data'!I159=1,"Clear",IF('Merged raw data'!I159=2,"Mist",IF('Merged raw data'!I159=3,"Rain",IF('Merged raw data'!I159=4,"Storm","NA"))))</f>
        <v>Clear</v>
      </c>
      <c r="L159" s="24">
        <v>0.47</v>
      </c>
      <c r="M159" s="24">
        <v>0.1045</v>
      </c>
      <c r="N159" s="21">
        <f>'Merged raw data'!$J159*100</f>
        <v>18</v>
      </c>
      <c r="O159" s="21">
        <v>1</v>
      </c>
      <c r="P159" s="21">
        <v>50</v>
      </c>
      <c r="Q159" s="21">
        <v>51</v>
      </c>
      <c r="R159" s="21" t="str">
        <f>IF(Q159&gt;=outliers!I161,"High",IF(Q159&lt;=outliers!I160,"Low","Moderate"))</f>
        <v>High</v>
      </c>
      <c r="S159" s="8" t="str">
        <f>IF(OR(Q159&lt;outliers!$I$6,Q159&gt;outliers!$I$7),"Outlier","Normal")</f>
        <v>Normal</v>
      </c>
      <c r="T159" s="8" t="str">
        <f>IF(OR(L159&lt;outliers!$J$6,L159&gt;outliers!$J$7),"Outlier","Normal")</f>
        <v>Normal</v>
      </c>
      <c r="U159" s="8" t="str">
        <f>IF(OR(M159&lt;outliers!$K$6,M159&gt;outliers!$K$7),"Outlier","Normal")</f>
        <v>Normal</v>
      </c>
    </row>
    <row r="160" spans="1:21">
      <c r="A160" s="21">
        <v>159</v>
      </c>
      <c r="B160" s="68">
        <v>40550</v>
      </c>
      <c r="C160" s="22" t="b">
        <v>0</v>
      </c>
      <c r="D160" s="21" t="str">
        <f t="shared" si="2"/>
        <v>Friday</v>
      </c>
      <c r="E160" s="23">
        <v>0.19700000000000001</v>
      </c>
      <c r="F160" s="23">
        <f>YEAR('Merged raw data'!$B160)</f>
        <v>2011</v>
      </c>
      <c r="G160" s="23" t="str">
        <f>TEXT('Merged raw data'!$B160,"mmmm")</f>
        <v>January</v>
      </c>
      <c r="H160" s="37" t="str">
        <f>TEXT(TIME('Merged raw data'!F160,0,0),"h AM/PM")</f>
        <v>9 PM</v>
      </c>
      <c r="I160" s="23" t="str">
        <f>IF(OR('Merged raw data'!H160=1,'Merged raw data'!H160=2,'Merged raw data'!H160=3,'Merged raw data'!H160=4,'Merged raw data'!H160=5),"weekday","weekend")</f>
        <v>weekday</v>
      </c>
      <c r="J160" s="23" t="s">
        <v>23</v>
      </c>
      <c r="K160" s="23" t="str">
        <f>IF('Merged raw data'!I160=1,"Clear",IF('Merged raw data'!I160=2,"Mist",IF('Merged raw data'!I160=3,"Rain",IF('Merged raw data'!I160=4,"Storm","NA"))))</f>
        <v>Clear</v>
      </c>
      <c r="L160" s="24">
        <v>0.47</v>
      </c>
      <c r="M160" s="24">
        <v>0.1343</v>
      </c>
      <c r="N160" s="21">
        <f>'Merged raw data'!$J160*100</f>
        <v>18</v>
      </c>
      <c r="O160" s="21">
        <v>0</v>
      </c>
      <c r="P160" s="21">
        <v>39</v>
      </c>
      <c r="Q160" s="21">
        <v>39</v>
      </c>
      <c r="R160" s="21" t="str">
        <f>IF(Q160&gt;=outliers!I162,"High",IF(Q160&lt;=outliers!I161,"Low","Moderate"))</f>
        <v>High</v>
      </c>
      <c r="S160" s="8" t="str">
        <f>IF(OR(Q160&lt;outliers!$I$6,Q160&gt;outliers!$I$7),"Outlier","Normal")</f>
        <v>Normal</v>
      </c>
      <c r="T160" s="8" t="str">
        <f>IF(OR(L160&lt;outliers!$J$6,L160&gt;outliers!$J$7),"Outlier","Normal")</f>
        <v>Normal</v>
      </c>
      <c r="U160" s="8" t="str">
        <f>IF(OR(M160&lt;outliers!$K$6,M160&gt;outliers!$K$7),"Outlier","Normal")</f>
        <v>Normal</v>
      </c>
    </row>
    <row r="161" spans="1:21">
      <c r="A161" s="21">
        <v>160</v>
      </c>
      <c r="B161" s="68">
        <v>40550</v>
      </c>
      <c r="C161" s="22" t="b">
        <v>0</v>
      </c>
      <c r="D161" s="21" t="str">
        <f t="shared" si="2"/>
        <v>Friday</v>
      </c>
      <c r="E161" s="23">
        <v>0.19700000000000001</v>
      </c>
      <c r="F161" s="23">
        <f>YEAR('Merged raw data'!$B161)</f>
        <v>2011</v>
      </c>
      <c r="G161" s="23" t="str">
        <f>TEXT('Merged raw data'!$B161,"mmmm")</f>
        <v>January</v>
      </c>
      <c r="H161" s="37" t="str">
        <f>TEXT(TIME('Merged raw data'!F161,0,0),"h AM/PM")</f>
        <v>10 PM</v>
      </c>
      <c r="I161" s="23" t="str">
        <f>IF(OR('Merged raw data'!H161=1,'Merged raw data'!H161=2,'Merged raw data'!H161=3,'Merged raw data'!H161=4,'Merged raw data'!H161=5),"weekday","weekend")</f>
        <v>weekday</v>
      </c>
      <c r="J161" s="23" t="s">
        <v>23</v>
      </c>
      <c r="K161" s="23" t="str">
        <f>IF('Merged raw data'!I161=1,"Clear",IF('Merged raw data'!I161=2,"Mist",IF('Merged raw data'!I161=3,"Rain",IF('Merged raw data'!I161=4,"Storm","NA"))))</f>
        <v>Mist</v>
      </c>
      <c r="L161" s="24">
        <v>0.43</v>
      </c>
      <c r="M161" s="24">
        <v>0.16420000000000001</v>
      </c>
      <c r="N161" s="21">
        <f>'Merged raw data'!$J161*100</f>
        <v>18</v>
      </c>
      <c r="O161" s="21">
        <v>2</v>
      </c>
      <c r="P161" s="21">
        <v>34</v>
      </c>
      <c r="Q161" s="21">
        <v>36</v>
      </c>
      <c r="R161" s="21" t="str">
        <f>IF(Q161&gt;=outliers!I163,"High",IF(Q161&lt;=outliers!I162,"Low","Moderate"))</f>
        <v>High</v>
      </c>
      <c r="S161" s="8" t="str">
        <f>IF(OR(Q161&lt;outliers!$I$6,Q161&gt;outliers!$I$7),"Outlier","Normal")</f>
        <v>Normal</v>
      </c>
      <c r="T161" s="8" t="str">
        <f>IF(OR(L161&lt;outliers!$J$6,L161&gt;outliers!$J$7),"Outlier","Normal")</f>
        <v>Normal</v>
      </c>
      <c r="U161" s="8" t="str">
        <f>IF(OR(M161&lt;outliers!$K$6,M161&gt;outliers!$K$7),"Outlier","Normal")</f>
        <v>Normal</v>
      </c>
    </row>
    <row r="162" spans="1:21">
      <c r="A162" s="21">
        <v>161</v>
      </c>
      <c r="B162" s="68">
        <v>40550</v>
      </c>
      <c r="C162" s="22" t="b">
        <v>0</v>
      </c>
      <c r="D162" s="21" t="str">
        <f t="shared" si="2"/>
        <v>Friday</v>
      </c>
      <c r="E162" s="23">
        <v>0.19700000000000001</v>
      </c>
      <c r="F162" s="23">
        <f>YEAR('Merged raw data'!$B162)</f>
        <v>2011</v>
      </c>
      <c r="G162" s="23" t="str">
        <f>TEXT('Merged raw data'!$B162,"mmmm")</f>
        <v>January</v>
      </c>
      <c r="H162" s="37" t="str">
        <f>TEXT(TIME('Merged raw data'!F162,0,0),"h AM/PM")</f>
        <v>11 PM</v>
      </c>
      <c r="I162" s="23" t="str">
        <f>IF(OR('Merged raw data'!H162=1,'Merged raw data'!H162=2,'Merged raw data'!H162=3,'Merged raw data'!H162=4,'Merged raw data'!H162=5),"weekday","weekend")</f>
        <v>weekday</v>
      </c>
      <c r="J162" s="23" t="s">
        <v>23</v>
      </c>
      <c r="K162" s="23" t="str">
        <f>IF('Merged raw data'!I162=1,"Clear",IF('Merged raw data'!I162=2,"Mist",IF('Merged raw data'!I162=3,"Rain",IF('Merged raw data'!I162=4,"Storm","NA"))))</f>
        <v>Mist</v>
      </c>
      <c r="L162" s="24">
        <v>0.51</v>
      </c>
      <c r="M162" s="24">
        <v>0.16420000000000001</v>
      </c>
      <c r="N162" s="21">
        <f>'Merged raw data'!$J162*100</f>
        <v>18</v>
      </c>
      <c r="O162" s="21">
        <v>1</v>
      </c>
      <c r="P162" s="21">
        <v>14</v>
      </c>
      <c r="Q162" s="21">
        <v>15</v>
      </c>
      <c r="R162" s="21" t="str">
        <f>IF(Q162&gt;=outliers!I164,"High",IF(Q162&lt;=outliers!I163,"Low","Moderate"))</f>
        <v>High</v>
      </c>
      <c r="S162" s="8" t="str">
        <f>IF(OR(Q162&lt;outliers!$I$6,Q162&gt;outliers!$I$7),"Outlier","Normal")</f>
        <v>Normal</v>
      </c>
      <c r="T162" s="8" t="str">
        <f>IF(OR(L162&lt;outliers!$J$6,L162&gt;outliers!$J$7),"Outlier","Normal")</f>
        <v>Normal</v>
      </c>
      <c r="U162" s="8" t="str">
        <f>IF(OR(M162&lt;outliers!$K$6,M162&gt;outliers!$K$7),"Outlier","Normal")</f>
        <v>Normal</v>
      </c>
    </row>
    <row r="163" spans="1:21">
      <c r="A163" s="21">
        <v>162</v>
      </c>
      <c r="B163" s="68">
        <v>40551</v>
      </c>
      <c r="C163" s="22" t="b">
        <v>0</v>
      </c>
      <c r="D163" s="21" t="str">
        <f t="shared" si="2"/>
        <v>Saturday</v>
      </c>
      <c r="E163" s="23">
        <v>0.19700000000000001</v>
      </c>
      <c r="F163" s="23">
        <f>YEAR('Merged raw data'!$B163)</f>
        <v>2011</v>
      </c>
      <c r="G163" s="23" t="str">
        <f>TEXT('Merged raw data'!$B163,"mmmm")</f>
        <v>January</v>
      </c>
      <c r="H163" s="37" t="str">
        <f>TEXT(TIME('Merged raw data'!F163,0,0),"h AM/PM")</f>
        <v>12 AM</v>
      </c>
      <c r="I163" s="23" t="str">
        <f>IF(OR('Merged raw data'!H163=1,'Merged raw data'!H163=2,'Merged raw data'!H163=3,'Merged raw data'!H163=4,'Merged raw data'!H163=5),"weekday","weekend")</f>
        <v>weekend</v>
      </c>
      <c r="J163" s="23" t="s">
        <v>23</v>
      </c>
      <c r="K163" s="23" t="str">
        <f>IF('Merged raw data'!I163=1,"Clear",IF('Merged raw data'!I163=2,"Mist",IF('Merged raw data'!I163=3,"Rain",IF('Merged raw data'!I163=4,"Storm","NA"))))</f>
        <v>Mist</v>
      </c>
      <c r="L163" s="24">
        <v>0.51</v>
      </c>
      <c r="M163" s="24">
        <v>0.16420000000000001</v>
      </c>
      <c r="N163" s="21">
        <f>'Merged raw data'!$J163*100</f>
        <v>18</v>
      </c>
      <c r="O163" s="21">
        <v>1</v>
      </c>
      <c r="P163" s="21">
        <v>24</v>
      </c>
      <c r="Q163" s="21">
        <v>25</v>
      </c>
      <c r="R163" s="21" t="str">
        <f>IF(Q163&gt;=outliers!I165,"High",IF(Q163&lt;=outliers!I164,"Low","Moderate"))</f>
        <v>High</v>
      </c>
      <c r="S163" s="8" t="str">
        <f>IF(OR(Q163&lt;outliers!$I$6,Q163&gt;outliers!$I$7),"Outlier","Normal")</f>
        <v>Normal</v>
      </c>
      <c r="T163" s="8" t="str">
        <f>IF(OR(L163&lt;outliers!$J$6,L163&gt;outliers!$J$7),"Outlier","Normal")</f>
        <v>Normal</v>
      </c>
      <c r="U163" s="8" t="str">
        <f>IF(OR(M163&lt;outliers!$K$6,M163&gt;outliers!$K$7),"Outlier","Normal")</f>
        <v>Normal</v>
      </c>
    </row>
    <row r="164" spans="1:21">
      <c r="A164" s="21">
        <v>163</v>
      </c>
      <c r="B164" s="68">
        <v>40551</v>
      </c>
      <c r="C164" s="22" t="b">
        <v>0</v>
      </c>
      <c r="D164" s="21" t="str">
        <f t="shared" si="2"/>
        <v>Saturday</v>
      </c>
      <c r="E164" s="23">
        <v>0.21210000000000001</v>
      </c>
      <c r="F164" s="23">
        <f>YEAR('Merged raw data'!$B164)</f>
        <v>2011</v>
      </c>
      <c r="G164" s="23" t="str">
        <f>TEXT('Merged raw data'!$B164,"mmmm")</f>
        <v>January</v>
      </c>
      <c r="H164" s="37" t="str">
        <f>TEXT(TIME('Merged raw data'!F164,0,0),"h AM/PM")</f>
        <v>1 AM</v>
      </c>
      <c r="I164" s="23" t="str">
        <f>IF(OR('Merged raw data'!H164=1,'Merged raw data'!H164=2,'Merged raw data'!H164=3,'Merged raw data'!H164=4,'Merged raw data'!H164=5),"weekday","weekend")</f>
        <v>weekend</v>
      </c>
      <c r="J164" s="23" t="s">
        <v>23</v>
      </c>
      <c r="K164" s="23" t="str">
        <f>IF('Merged raw data'!I164=1,"Clear",IF('Merged raw data'!I164=2,"Mist",IF('Merged raw data'!I164=3,"Rain",IF('Merged raw data'!I164=4,"Storm","NA"))))</f>
        <v>Mist</v>
      </c>
      <c r="L164" s="24">
        <v>0.55000000000000004</v>
      </c>
      <c r="M164" s="24">
        <v>8.9599999999999999E-2</v>
      </c>
      <c r="N164" s="21">
        <f>'Merged raw data'!$J164*100</f>
        <v>18</v>
      </c>
      <c r="O164" s="21">
        <v>1</v>
      </c>
      <c r="P164" s="21">
        <v>15</v>
      </c>
      <c r="Q164" s="21">
        <v>16</v>
      </c>
      <c r="R164" s="21" t="str">
        <f>IF(Q164&gt;=outliers!I166,"High",IF(Q164&lt;=outliers!I165,"Low","Moderate"))</f>
        <v>High</v>
      </c>
      <c r="S164" s="8" t="str">
        <f>IF(OR(Q164&lt;outliers!$I$6,Q164&gt;outliers!$I$7),"Outlier","Normal")</f>
        <v>Normal</v>
      </c>
      <c r="T164" s="8" t="str">
        <f>IF(OR(L164&lt;outliers!$J$6,L164&gt;outliers!$J$7),"Outlier","Normal")</f>
        <v>Normal</v>
      </c>
      <c r="U164" s="8" t="str">
        <f>IF(OR(M164&lt;outliers!$K$6,M164&gt;outliers!$K$7),"Outlier","Normal")</f>
        <v>Normal</v>
      </c>
    </row>
    <row r="165" spans="1:21">
      <c r="A165" s="21">
        <v>164</v>
      </c>
      <c r="B165" s="68">
        <v>40551</v>
      </c>
      <c r="C165" s="22" t="b">
        <v>0</v>
      </c>
      <c r="D165" s="21" t="str">
        <f t="shared" si="2"/>
        <v>Saturday</v>
      </c>
      <c r="E165" s="23">
        <v>0.2424</v>
      </c>
      <c r="F165" s="23">
        <f>YEAR('Merged raw data'!$B165)</f>
        <v>2011</v>
      </c>
      <c r="G165" s="23" t="str">
        <f>TEXT('Merged raw data'!$B165,"mmmm")</f>
        <v>January</v>
      </c>
      <c r="H165" s="37" t="str">
        <f>TEXT(TIME('Merged raw data'!F165,0,0),"h AM/PM")</f>
        <v>2 AM</v>
      </c>
      <c r="I165" s="23" t="str">
        <f>IF(OR('Merged raw data'!H165=1,'Merged raw data'!H165=2,'Merged raw data'!H165=3,'Merged raw data'!H165=4,'Merged raw data'!H165=5),"weekday","weekend")</f>
        <v>weekend</v>
      </c>
      <c r="J165" s="23" t="s">
        <v>23</v>
      </c>
      <c r="K165" s="23" t="str">
        <f>IF('Merged raw data'!I165=1,"Clear",IF('Merged raw data'!I165=2,"Mist",IF('Merged raw data'!I165=3,"Rain",IF('Merged raw data'!I165=4,"Storm","NA"))))</f>
        <v>Mist</v>
      </c>
      <c r="L165" s="24">
        <v>0.55000000000000004</v>
      </c>
      <c r="M165" s="24">
        <v>0.23</v>
      </c>
      <c r="N165" s="21">
        <f>'Merged raw data'!$J165*100</f>
        <v>18</v>
      </c>
      <c r="O165" s="21">
        <v>3</v>
      </c>
      <c r="P165" s="21">
        <v>13</v>
      </c>
      <c r="Q165" s="21">
        <v>16</v>
      </c>
      <c r="R165" s="21" t="str">
        <f>IF(Q165&gt;=outliers!I167,"High",IF(Q165&lt;=outliers!I166,"Low","Moderate"))</f>
        <v>High</v>
      </c>
      <c r="S165" s="8" t="str">
        <f>IF(OR(Q165&lt;outliers!$I$6,Q165&gt;outliers!$I$7),"Outlier","Normal")</f>
        <v>Normal</v>
      </c>
      <c r="T165" s="8" t="str">
        <f>IF(OR(L165&lt;outliers!$J$6,L165&gt;outliers!$J$7),"Outlier","Normal")</f>
        <v>Normal</v>
      </c>
      <c r="U165" s="8" t="str">
        <f>IF(OR(M165&lt;outliers!$K$6,M165&gt;outliers!$K$7),"Outlier","Normal")</f>
        <v>Normal</v>
      </c>
    </row>
    <row r="166" spans="1:21">
      <c r="A166" s="21">
        <v>165</v>
      </c>
      <c r="B166" s="68">
        <v>40551</v>
      </c>
      <c r="C166" s="22" t="b">
        <v>0</v>
      </c>
      <c r="D166" s="21" t="str">
        <f t="shared" si="2"/>
        <v>Saturday</v>
      </c>
      <c r="E166" s="23">
        <v>0.19700000000000001</v>
      </c>
      <c r="F166" s="23">
        <f>YEAR('Merged raw data'!$B166)</f>
        <v>2011</v>
      </c>
      <c r="G166" s="23" t="str">
        <f>TEXT('Merged raw data'!$B166,"mmmm")</f>
        <v>January</v>
      </c>
      <c r="H166" s="37" t="str">
        <f>TEXT(TIME('Merged raw data'!F166,0,0),"h AM/PM")</f>
        <v>3 AM</v>
      </c>
      <c r="I166" s="23" t="str">
        <f>IF(OR('Merged raw data'!H166=1,'Merged raw data'!H166=2,'Merged raw data'!H166=3,'Merged raw data'!H166=4,'Merged raw data'!H166=5),"weekday","weekend")</f>
        <v>weekend</v>
      </c>
      <c r="J166" s="23" t="s">
        <v>23</v>
      </c>
      <c r="K166" s="23" t="str">
        <f>IF('Merged raw data'!I166=1,"Clear",IF('Merged raw data'!I166=2,"Mist",IF('Merged raw data'!I166=3,"Rain",IF('Merged raw data'!I166=4,"Storm","NA"))))</f>
        <v>Rain</v>
      </c>
      <c r="L166" s="24">
        <v>0.55000000000000004</v>
      </c>
      <c r="M166" s="24">
        <v>0.16420000000000001</v>
      </c>
      <c r="N166" s="21">
        <f>'Merged raw data'!$J166*100</f>
        <v>18</v>
      </c>
      <c r="O166" s="21">
        <v>0</v>
      </c>
      <c r="P166" s="21">
        <v>7</v>
      </c>
      <c r="Q166" s="21">
        <v>7</v>
      </c>
      <c r="R166" s="21" t="str">
        <f>IF(Q166&gt;=outliers!I168,"High",IF(Q166&lt;=outliers!I167,"Low","Moderate"))</f>
        <v>High</v>
      </c>
      <c r="S166" s="8" t="str">
        <f>IF(OR(Q166&lt;outliers!$I$6,Q166&gt;outliers!$I$7),"Outlier","Normal")</f>
        <v>Normal</v>
      </c>
      <c r="T166" s="8" t="str">
        <f>IF(OR(L166&lt;outliers!$J$6,L166&gt;outliers!$J$7),"Outlier","Normal")</f>
        <v>Normal</v>
      </c>
      <c r="U166" s="8" t="str">
        <f>IF(OR(M166&lt;outliers!$K$6,M166&gt;outliers!$K$7),"Outlier","Normal")</f>
        <v>Normal</v>
      </c>
    </row>
    <row r="167" spans="1:21">
      <c r="A167" s="21">
        <v>166</v>
      </c>
      <c r="B167" s="68">
        <v>40551</v>
      </c>
      <c r="C167" s="22" t="b">
        <v>0</v>
      </c>
      <c r="D167" s="21" t="str">
        <f t="shared" si="2"/>
        <v>Saturday</v>
      </c>
      <c r="E167" s="23">
        <v>0.19700000000000001</v>
      </c>
      <c r="F167" s="23">
        <f>YEAR('Merged raw data'!$B167)</f>
        <v>2011</v>
      </c>
      <c r="G167" s="23" t="str">
        <f>TEXT('Merged raw data'!$B167,"mmmm")</f>
        <v>January</v>
      </c>
      <c r="H167" s="37" t="str">
        <f>TEXT(TIME('Merged raw data'!F167,0,0),"h AM/PM")</f>
        <v>4 AM</v>
      </c>
      <c r="I167" s="23" t="str">
        <f>IF(OR('Merged raw data'!H167=1,'Merged raw data'!H167=2,'Merged raw data'!H167=3,'Merged raw data'!H167=4,'Merged raw data'!H167=5),"weekday","weekend")</f>
        <v>weekend</v>
      </c>
      <c r="J167" s="23" t="s">
        <v>23</v>
      </c>
      <c r="K167" s="23" t="str">
        <f>IF('Merged raw data'!I167=1,"Clear",IF('Merged raw data'!I167=2,"Mist",IF('Merged raw data'!I167=3,"Rain",IF('Merged raw data'!I167=4,"Storm","NA"))))</f>
        <v>Rain</v>
      </c>
      <c r="L167" s="24">
        <v>0.55000000000000004</v>
      </c>
      <c r="M167" s="24">
        <v>0.16420000000000001</v>
      </c>
      <c r="N167" s="21">
        <f>'Merged raw data'!$J167*100</f>
        <v>18</v>
      </c>
      <c r="O167" s="21">
        <v>0</v>
      </c>
      <c r="P167" s="21">
        <v>1</v>
      </c>
      <c r="Q167" s="21">
        <v>1</v>
      </c>
      <c r="R167" s="21" t="str">
        <f>IF(Q167&gt;=outliers!I169,"High",IF(Q167&lt;=outliers!I168,"Low","Moderate"))</f>
        <v>High</v>
      </c>
      <c r="S167" s="8" t="str">
        <f>IF(OR(Q167&lt;outliers!$I$6,Q167&gt;outliers!$I$7),"Outlier","Normal")</f>
        <v>Normal</v>
      </c>
      <c r="T167" s="8" t="str">
        <f>IF(OR(L167&lt;outliers!$J$6,L167&gt;outliers!$J$7),"Outlier","Normal")</f>
        <v>Normal</v>
      </c>
      <c r="U167" s="8" t="str">
        <f>IF(OR(M167&lt;outliers!$K$6,M167&gt;outliers!$K$7),"Outlier","Normal")</f>
        <v>Normal</v>
      </c>
    </row>
    <row r="168" spans="1:21">
      <c r="A168" s="21">
        <v>167</v>
      </c>
      <c r="B168" s="68">
        <v>40551</v>
      </c>
      <c r="C168" s="22" t="b">
        <v>0</v>
      </c>
      <c r="D168" s="21" t="str">
        <f t="shared" si="2"/>
        <v>Saturday</v>
      </c>
      <c r="E168" s="23">
        <v>0.16669999999999999</v>
      </c>
      <c r="F168" s="23">
        <f>YEAR('Merged raw data'!$B168)</f>
        <v>2011</v>
      </c>
      <c r="G168" s="23" t="str">
        <f>TEXT('Merged raw data'!$B168,"mmmm")</f>
        <v>January</v>
      </c>
      <c r="H168" s="37" t="str">
        <f>TEXT(TIME('Merged raw data'!F168,0,0),"h AM/PM")</f>
        <v>5 AM</v>
      </c>
      <c r="I168" s="23" t="str">
        <f>IF(OR('Merged raw data'!H168=1,'Merged raw data'!H168=2,'Merged raw data'!H168=3,'Merged raw data'!H168=4,'Merged raw data'!H168=5),"weekday","weekend")</f>
        <v>weekend</v>
      </c>
      <c r="J168" s="23" t="s">
        <v>23</v>
      </c>
      <c r="K168" s="23" t="str">
        <f>IF('Merged raw data'!I168=1,"Clear",IF('Merged raw data'!I168=2,"Mist",IF('Merged raw data'!I168=3,"Rain",IF('Merged raw data'!I168=4,"Storm","NA"))))</f>
        <v>Mist</v>
      </c>
      <c r="L168" s="24">
        <v>0.74</v>
      </c>
      <c r="M168" s="24">
        <v>0.16420000000000001</v>
      </c>
      <c r="N168" s="21">
        <f>'Merged raw data'!$J168*100</f>
        <v>16</v>
      </c>
      <c r="O168" s="21">
        <v>0</v>
      </c>
      <c r="P168" s="21">
        <v>5</v>
      </c>
      <c r="Q168" s="21">
        <v>5</v>
      </c>
      <c r="R168" s="21" t="str">
        <f>IF(Q168&gt;=outliers!I170,"High",IF(Q168&lt;=outliers!I169,"Low","Moderate"))</f>
        <v>High</v>
      </c>
      <c r="S168" s="8" t="str">
        <f>IF(OR(Q168&lt;outliers!$I$6,Q168&gt;outliers!$I$7),"Outlier","Normal")</f>
        <v>Normal</v>
      </c>
      <c r="T168" s="8" t="str">
        <f>IF(OR(L168&lt;outliers!$J$6,L168&gt;outliers!$J$7),"Outlier","Normal")</f>
        <v>Normal</v>
      </c>
      <c r="U168" s="8" t="str">
        <f>IF(OR(M168&lt;outliers!$K$6,M168&gt;outliers!$K$7),"Outlier","Normal")</f>
        <v>Normal</v>
      </c>
    </row>
    <row r="169" spans="1:21">
      <c r="A169" s="21">
        <v>168</v>
      </c>
      <c r="B169" s="68">
        <v>40551</v>
      </c>
      <c r="C169" s="22" t="b">
        <v>0</v>
      </c>
      <c r="D169" s="21" t="str">
        <f t="shared" si="2"/>
        <v>Saturday</v>
      </c>
      <c r="E169" s="23">
        <v>0.16669999999999999</v>
      </c>
      <c r="F169" s="23">
        <f>YEAR('Merged raw data'!$B169)</f>
        <v>2011</v>
      </c>
      <c r="G169" s="23" t="str">
        <f>TEXT('Merged raw data'!$B169,"mmmm")</f>
        <v>January</v>
      </c>
      <c r="H169" s="37" t="str">
        <f>TEXT(TIME('Merged raw data'!F169,0,0),"h AM/PM")</f>
        <v>6 AM</v>
      </c>
      <c r="I169" s="23" t="str">
        <f>IF(OR('Merged raw data'!H169=1,'Merged raw data'!H169=2,'Merged raw data'!H169=3,'Merged raw data'!H169=4,'Merged raw data'!H169=5),"weekday","weekend")</f>
        <v>weekend</v>
      </c>
      <c r="J169" s="23" t="s">
        <v>23</v>
      </c>
      <c r="K169" s="23" t="str">
        <f>IF('Merged raw data'!I169=1,"Clear",IF('Merged raw data'!I169=2,"Mist",IF('Merged raw data'!I169=3,"Rain",IF('Merged raw data'!I169=4,"Storm","NA"))))</f>
        <v>Mist</v>
      </c>
      <c r="L169" s="24">
        <v>0.74</v>
      </c>
      <c r="M169" s="24">
        <v>0.16420000000000001</v>
      </c>
      <c r="N169" s="21">
        <f>'Merged raw data'!$J169*100</f>
        <v>16</v>
      </c>
      <c r="O169" s="21">
        <v>0</v>
      </c>
      <c r="P169" s="21">
        <v>2</v>
      </c>
      <c r="Q169" s="21">
        <v>2</v>
      </c>
      <c r="R169" s="21" t="str">
        <f>IF(Q169&gt;=outliers!I171,"High",IF(Q169&lt;=outliers!I170,"Low","Moderate"))</f>
        <v>High</v>
      </c>
      <c r="S169" s="8" t="str">
        <f>IF(OR(Q169&lt;outliers!$I$6,Q169&gt;outliers!$I$7),"Outlier","Normal")</f>
        <v>Normal</v>
      </c>
      <c r="T169" s="8" t="str">
        <f>IF(OR(L169&lt;outliers!$J$6,L169&gt;outliers!$J$7),"Outlier","Normal")</f>
        <v>Normal</v>
      </c>
      <c r="U169" s="8" t="str">
        <f>IF(OR(M169&lt;outliers!$K$6,M169&gt;outliers!$K$7),"Outlier","Normal")</f>
        <v>Normal</v>
      </c>
    </row>
    <row r="170" spans="1:21">
      <c r="A170" s="21">
        <v>169</v>
      </c>
      <c r="B170" s="68">
        <v>40551</v>
      </c>
      <c r="C170" s="22" t="b">
        <v>0</v>
      </c>
      <c r="D170" s="21" t="str">
        <f t="shared" si="2"/>
        <v>Saturday</v>
      </c>
      <c r="E170" s="23">
        <v>0.18179999999999999</v>
      </c>
      <c r="F170" s="23">
        <f>YEAR('Merged raw data'!$B170)</f>
        <v>2011</v>
      </c>
      <c r="G170" s="23" t="str">
        <f>TEXT('Merged raw data'!$B170,"mmmm")</f>
        <v>January</v>
      </c>
      <c r="H170" s="37" t="str">
        <f>TEXT(TIME('Merged raw data'!F170,0,0),"h AM/PM")</f>
        <v>7 AM</v>
      </c>
      <c r="I170" s="23" t="str">
        <f>IF(OR('Merged raw data'!H170=1,'Merged raw data'!H170=2,'Merged raw data'!H170=3,'Merged raw data'!H170=4,'Merged raw data'!H170=5),"weekday","weekend")</f>
        <v>weekend</v>
      </c>
      <c r="J170" s="23" t="s">
        <v>23</v>
      </c>
      <c r="K170" s="23" t="str">
        <f>IF('Merged raw data'!I170=1,"Clear",IF('Merged raw data'!I170=2,"Mist",IF('Merged raw data'!I170=3,"Rain",IF('Merged raw data'!I170=4,"Storm","NA"))))</f>
        <v>Mist</v>
      </c>
      <c r="L170" s="24">
        <v>0.74</v>
      </c>
      <c r="M170" s="24">
        <v>0.1045</v>
      </c>
      <c r="N170" s="21">
        <f>'Merged raw data'!$J170*100</f>
        <v>16</v>
      </c>
      <c r="O170" s="21">
        <v>1</v>
      </c>
      <c r="P170" s="21">
        <v>8</v>
      </c>
      <c r="Q170" s="21">
        <v>9</v>
      </c>
      <c r="R170" s="21" t="str">
        <f>IF(Q170&gt;=outliers!I172,"High",IF(Q170&lt;=outliers!I171,"Low","Moderate"))</f>
        <v>High</v>
      </c>
      <c r="S170" s="8" t="str">
        <f>IF(OR(Q170&lt;outliers!$I$6,Q170&gt;outliers!$I$7),"Outlier","Normal")</f>
        <v>Normal</v>
      </c>
      <c r="T170" s="8" t="str">
        <f>IF(OR(L170&lt;outliers!$J$6,L170&gt;outliers!$J$7),"Outlier","Normal")</f>
        <v>Normal</v>
      </c>
      <c r="U170" s="8" t="str">
        <f>IF(OR(M170&lt;outliers!$K$6,M170&gt;outliers!$K$7),"Outlier","Normal")</f>
        <v>Normal</v>
      </c>
    </row>
    <row r="171" spans="1:21">
      <c r="A171" s="21">
        <v>170</v>
      </c>
      <c r="B171" s="68">
        <v>40551</v>
      </c>
      <c r="C171" s="22" t="b">
        <v>0</v>
      </c>
      <c r="D171" s="21" t="str">
        <f t="shared" si="2"/>
        <v>Saturday</v>
      </c>
      <c r="E171" s="23">
        <v>0.18179999999999999</v>
      </c>
      <c r="F171" s="23">
        <f>YEAR('Merged raw data'!$B171)</f>
        <v>2011</v>
      </c>
      <c r="G171" s="23" t="str">
        <f>TEXT('Merged raw data'!$B171,"mmmm")</f>
        <v>January</v>
      </c>
      <c r="H171" s="37" t="str">
        <f>TEXT(TIME('Merged raw data'!F171,0,0),"h AM/PM")</f>
        <v>8 AM</v>
      </c>
      <c r="I171" s="23" t="str">
        <f>IF(OR('Merged raw data'!H171=1,'Merged raw data'!H171=2,'Merged raw data'!H171=3,'Merged raw data'!H171=4,'Merged raw data'!H171=5),"weekday","weekend")</f>
        <v>weekend</v>
      </c>
      <c r="J171" s="23" t="s">
        <v>23</v>
      </c>
      <c r="K171" s="23" t="str">
        <f>IF('Merged raw data'!I171=1,"Clear",IF('Merged raw data'!I171=2,"Mist",IF('Merged raw data'!I171=3,"Rain",IF('Merged raw data'!I171=4,"Storm","NA"))))</f>
        <v>Rain</v>
      </c>
      <c r="L171" s="24">
        <v>0.93</v>
      </c>
      <c r="M171" s="24">
        <v>0.1045</v>
      </c>
      <c r="N171" s="21">
        <f>'Merged raw data'!$J171*100</f>
        <v>16</v>
      </c>
      <c r="O171" s="21">
        <v>0</v>
      </c>
      <c r="P171" s="21">
        <v>15</v>
      </c>
      <c r="Q171" s="21">
        <v>15</v>
      </c>
      <c r="R171" s="21" t="str">
        <f>IF(Q171&gt;=outliers!I173,"High",IF(Q171&lt;=outliers!I172,"Low","Moderate"))</f>
        <v>High</v>
      </c>
      <c r="S171" s="8" t="str">
        <f>IF(OR(Q171&lt;outliers!$I$6,Q171&gt;outliers!$I$7),"Outlier","Normal")</f>
        <v>Normal</v>
      </c>
      <c r="T171" s="8" t="str">
        <f>IF(OR(L171&lt;outliers!$J$6,L171&gt;outliers!$J$7),"Outlier","Normal")</f>
        <v>Normal</v>
      </c>
      <c r="U171" s="8" t="str">
        <f>IF(OR(M171&lt;outliers!$K$6,M171&gt;outliers!$K$7),"Outlier","Normal")</f>
        <v>Normal</v>
      </c>
    </row>
    <row r="172" spans="1:21">
      <c r="A172" s="21">
        <v>171</v>
      </c>
      <c r="B172" s="68">
        <v>40551</v>
      </c>
      <c r="C172" s="22" t="b">
        <v>0</v>
      </c>
      <c r="D172" s="21" t="str">
        <f t="shared" si="2"/>
        <v>Saturday</v>
      </c>
      <c r="E172" s="23">
        <v>0.18179999999999999</v>
      </c>
      <c r="F172" s="23">
        <f>YEAR('Merged raw data'!$B172)</f>
        <v>2011</v>
      </c>
      <c r="G172" s="23" t="str">
        <f>TEXT('Merged raw data'!$B172,"mmmm")</f>
        <v>January</v>
      </c>
      <c r="H172" s="37" t="str">
        <f>TEXT(TIME('Merged raw data'!F172,0,0),"h AM/PM")</f>
        <v>9 AM</v>
      </c>
      <c r="I172" s="23" t="str">
        <f>IF(OR('Merged raw data'!H172=1,'Merged raw data'!H172=2,'Merged raw data'!H172=3,'Merged raw data'!H172=4,'Merged raw data'!H172=5),"weekday","weekend")</f>
        <v>weekend</v>
      </c>
      <c r="J172" s="23" t="s">
        <v>23</v>
      </c>
      <c r="K172" s="23" t="str">
        <f>IF('Merged raw data'!I172=1,"Clear",IF('Merged raw data'!I172=2,"Mist",IF('Merged raw data'!I172=3,"Rain",IF('Merged raw data'!I172=4,"Storm","NA"))))</f>
        <v>Rain</v>
      </c>
      <c r="L172" s="24">
        <v>0.93</v>
      </c>
      <c r="M172" s="24">
        <v>0.1045</v>
      </c>
      <c r="N172" s="21">
        <f>'Merged raw data'!$J172*100</f>
        <v>16</v>
      </c>
      <c r="O172" s="21">
        <v>0</v>
      </c>
      <c r="P172" s="21">
        <v>20</v>
      </c>
      <c r="Q172" s="21">
        <v>20</v>
      </c>
      <c r="R172" s="21" t="str">
        <f>IF(Q172&gt;=outliers!I174,"High",IF(Q172&lt;=outliers!I173,"Low","Moderate"))</f>
        <v>High</v>
      </c>
      <c r="S172" s="8" t="str">
        <f>IF(OR(Q172&lt;outliers!$I$6,Q172&gt;outliers!$I$7),"Outlier","Normal")</f>
        <v>Normal</v>
      </c>
      <c r="T172" s="8" t="str">
        <f>IF(OR(L172&lt;outliers!$J$6,L172&gt;outliers!$J$7),"Outlier","Normal")</f>
        <v>Normal</v>
      </c>
      <c r="U172" s="8" t="str">
        <f>IF(OR(M172&lt;outliers!$K$6,M172&gt;outliers!$K$7),"Outlier","Normal")</f>
        <v>Normal</v>
      </c>
    </row>
    <row r="173" spans="1:21">
      <c r="A173" s="21">
        <v>172</v>
      </c>
      <c r="B173" s="68">
        <v>40551</v>
      </c>
      <c r="C173" s="22" t="b">
        <v>0</v>
      </c>
      <c r="D173" s="21" t="str">
        <f t="shared" si="2"/>
        <v>Saturday</v>
      </c>
      <c r="E173" s="23">
        <v>0.19700000000000001</v>
      </c>
      <c r="F173" s="23">
        <f>YEAR('Merged raw data'!$B173)</f>
        <v>2011</v>
      </c>
      <c r="G173" s="23" t="str">
        <f>TEXT('Merged raw data'!$B173,"mmmm")</f>
        <v>January</v>
      </c>
      <c r="H173" s="37" t="str">
        <f>TEXT(TIME('Merged raw data'!F173,0,0),"h AM/PM")</f>
        <v>10 AM</v>
      </c>
      <c r="I173" s="23" t="str">
        <f>IF(OR('Merged raw data'!H173=1,'Merged raw data'!H173=2,'Merged raw data'!H173=3,'Merged raw data'!H173=4,'Merged raw data'!H173=5),"weekday","weekend")</f>
        <v>weekend</v>
      </c>
      <c r="J173" s="23" t="s">
        <v>23</v>
      </c>
      <c r="K173" s="23" t="str">
        <f>IF('Merged raw data'!I173=1,"Clear",IF('Merged raw data'!I173=2,"Mist",IF('Merged raw data'!I173=3,"Rain",IF('Merged raw data'!I173=4,"Storm","NA"))))</f>
        <v>Mist</v>
      </c>
      <c r="L173" s="24">
        <v>0.8</v>
      </c>
      <c r="M173" s="24">
        <v>0.16420000000000001</v>
      </c>
      <c r="N173" s="21">
        <f>'Merged raw data'!$J173*100</f>
        <v>18</v>
      </c>
      <c r="O173" s="21">
        <v>5</v>
      </c>
      <c r="P173" s="21">
        <v>56</v>
      </c>
      <c r="Q173" s="21">
        <v>61</v>
      </c>
      <c r="R173" s="21" t="str">
        <f>IF(Q173&gt;=outliers!I175,"High",IF(Q173&lt;=outliers!I174,"Low","Moderate"))</f>
        <v>High</v>
      </c>
      <c r="S173" s="8" t="str">
        <f>IF(OR(Q173&lt;outliers!$I$6,Q173&gt;outliers!$I$7),"Outlier","Normal")</f>
        <v>Normal</v>
      </c>
      <c r="T173" s="8" t="str">
        <f>IF(OR(L173&lt;outliers!$J$6,L173&gt;outliers!$J$7),"Outlier","Normal")</f>
        <v>Normal</v>
      </c>
      <c r="U173" s="8" t="str">
        <f>IF(OR(M173&lt;outliers!$K$6,M173&gt;outliers!$K$7),"Outlier","Normal")</f>
        <v>Normal</v>
      </c>
    </row>
    <row r="174" spans="1:21">
      <c r="A174" s="21">
        <v>173</v>
      </c>
      <c r="B174" s="68">
        <v>40551</v>
      </c>
      <c r="C174" s="22" t="b">
        <v>0</v>
      </c>
      <c r="D174" s="21" t="str">
        <f t="shared" si="2"/>
        <v>Saturday</v>
      </c>
      <c r="E174" s="23">
        <v>0.18179999999999999</v>
      </c>
      <c r="F174" s="23">
        <f>YEAR('Merged raw data'!$B174)</f>
        <v>2011</v>
      </c>
      <c r="G174" s="23" t="str">
        <f>TEXT('Merged raw data'!$B174,"mmmm")</f>
        <v>January</v>
      </c>
      <c r="H174" s="37" t="str">
        <f>TEXT(TIME('Merged raw data'!F174,0,0),"h AM/PM")</f>
        <v>11 AM</v>
      </c>
      <c r="I174" s="23" t="str">
        <f>IF(OR('Merged raw data'!H174=1,'Merged raw data'!H174=2,'Merged raw data'!H174=3,'Merged raw data'!H174=4,'Merged raw data'!H174=5),"weekday","weekend")</f>
        <v>weekend</v>
      </c>
      <c r="J174" s="23" t="s">
        <v>23</v>
      </c>
      <c r="K174" s="23" t="str">
        <f>IF('Merged raw data'!I174=1,"Clear",IF('Merged raw data'!I174=2,"Mist",IF('Merged raw data'!I174=3,"Rain",IF('Merged raw data'!I174=4,"Storm","NA"))))</f>
        <v>Mist</v>
      </c>
      <c r="L174" s="24">
        <v>0.69</v>
      </c>
      <c r="M174" s="24">
        <v>0.3881</v>
      </c>
      <c r="N174" s="21">
        <f>'Merged raw data'!$J174*100</f>
        <v>20</v>
      </c>
      <c r="O174" s="21">
        <v>2</v>
      </c>
      <c r="P174" s="21">
        <v>60</v>
      </c>
      <c r="Q174" s="21">
        <v>62</v>
      </c>
      <c r="R174" s="21" t="str">
        <f>IF(Q174&gt;=outliers!I176,"High",IF(Q174&lt;=outliers!I175,"Low","Moderate"))</f>
        <v>High</v>
      </c>
      <c r="S174" s="8" t="str">
        <f>IF(OR(Q174&lt;outliers!$I$6,Q174&gt;outliers!$I$7),"Outlier","Normal")</f>
        <v>Normal</v>
      </c>
      <c r="T174" s="8" t="str">
        <f>IF(OR(L174&lt;outliers!$J$6,L174&gt;outliers!$J$7),"Outlier","Normal")</f>
        <v>Normal</v>
      </c>
      <c r="U174" s="8" t="str">
        <f>IF(OR(M174&lt;outliers!$K$6,M174&gt;outliers!$K$7),"Outlier","Normal")</f>
        <v>Normal</v>
      </c>
    </row>
    <row r="175" spans="1:21">
      <c r="A175" s="21">
        <v>174</v>
      </c>
      <c r="B175" s="68">
        <v>40551</v>
      </c>
      <c r="C175" s="22" t="b">
        <v>0</v>
      </c>
      <c r="D175" s="21" t="str">
        <f t="shared" si="2"/>
        <v>Saturday</v>
      </c>
      <c r="E175" s="23">
        <v>0.18179999999999999</v>
      </c>
      <c r="F175" s="23">
        <f>YEAR('Merged raw data'!$B175)</f>
        <v>2011</v>
      </c>
      <c r="G175" s="23" t="str">
        <f>TEXT('Merged raw data'!$B175,"mmmm")</f>
        <v>January</v>
      </c>
      <c r="H175" s="37" t="str">
        <f>TEXT(TIME('Merged raw data'!F175,0,0),"h AM/PM")</f>
        <v>12 PM</v>
      </c>
      <c r="I175" s="23" t="str">
        <f>IF(OR('Merged raw data'!H175=1,'Merged raw data'!H175=2,'Merged raw data'!H175=3,'Merged raw data'!H175=4,'Merged raw data'!H175=5),"weekday","weekend")</f>
        <v>weekend</v>
      </c>
      <c r="J175" s="23" t="s">
        <v>23</v>
      </c>
      <c r="K175" s="23" t="str">
        <f>IF('Merged raw data'!I175=1,"Clear",IF('Merged raw data'!I175=2,"Mist",IF('Merged raw data'!I175=3,"Rain",IF('Merged raw data'!I175=4,"Storm","NA"))))</f>
        <v>Mist</v>
      </c>
      <c r="L175" s="24">
        <v>0.59</v>
      </c>
      <c r="M175" s="24">
        <v>0.35820000000000002</v>
      </c>
      <c r="N175" s="21">
        <f>'Merged raw data'!$J175*100</f>
        <v>20</v>
      </c>
      <c r="O175" s="21">
        <v>8</v>
      </c>
      <c r="P175" s="21">
        <v>90</v>
      </c>
      <c r="Q175" s="21">
        <v>98</v>
      </c>
      <c r="R175" s="21" t="str">
        <f>IF(Q175&gt;=outliers!I177,"High",IF(Q175&lt;=outliers!I176,"Low","Moderate"))</f>
        <v>High</v>
      </c>
      <c r="S175" s="8" t="str">
        <f>IF(OR(Q175&lt;outliers!$I$6,Q175&gt;outliers!$I$7),"Outlier","Normal")</f>
        <v>Normal</v>
      </c>
      <c r="T175" s="8" t="str">
        <f>IF(OR(L175&lt;outliers!$J$6,L175&gt;outliers!$J$7),"Outlier","Normal")</f>
        <v>Normal</v>
      </c>
      <c r="U175" s="8" t="str">
        <f>IF(OR(M175&lt;outliers!$K$6,M175&gt;outliers!$K$7),"Outlier","Normal")</f>
        <v>Normal</v>
      </c>
    </row>
    <row r="176" spans="1:21">
      <c r="A176" s="21">
        <v>175</v>
      </c>
      <c r="B176" s="68">
        <v>40551</v>
      </c>
      <c r="C176" s="22" t="b">
        <v>0</v>
      </c>
      <c r="D176" s="21" t="str">
        <f t="shared" si="2"/>
        <v>Saturday</v>
      </c>
      <c r="E176" s="23">
        <v>0.18179999999999999</v>
      </c>
      <c r="F176" s="23">
        <f>YEAR('Merged raw data'!$B176)</f>
        <v>2011</v>
      </c>
      <c r="G176" s="23" t="str">
        <f>TEXT('Merged raw data'!$B176,"mmmm")</f>
        <v>January</v>
      </c>
      <c r="H176" s="37" t="str">
        <f>TEXT(TIME('Merged raw data'!F176,0,0),"h AM/PM")</f>
        <v>1 PM</v>
      </c>
      <c r="I176" s="23" t="str">
        <f>IF(OR('Merged raw data'!H176=1,'Merged raw data'!H176=2,'Merged raw data'!H176=3,'Merged raw data'!H176=4,'Merged raw data'!H176=5),"weekday","weekend")</f>
        <v>weekend</v>
      </c>
      <c r="J176" s="23" t="s">
        <v>23</v>
      </c>
      <c r="K176" s="23" t="str">
        <f>IF('Merged raw data'!I176=1,"Clear",IF('Merged raw data'!I176=2,"Mist",IF('Merged raw data'!I176=3,"Rain",IF('Merged raw data'!I176=4,"Storm","NA"))))</f>
        <v>Clear</v>
      </c>
      <c r="L176" s="24">
        <v>0.44</v>
      </c>
      <c r="M176" s="24">
        <v>0.32840000000000003</v>
      </c>
      <c r="N176" s="21">
        <f>'Merged raw data'!$J176*100</f>
        <v>20</v>
      </c>
      <c r="O176" s="21">
        <v>7</v>
      </c>
      <c r="P176" s="21">
        <v>95</v>
      </c>
      <c r="Q176" s="21">
        <v>102</v>
      </c>
      <c r="R176" s="21" t="str">
        <f>IF(Q176&gt;=outliers!I178,"High",IF(Q176&lt;=outliers!I177,"Low","Moderate"))</f>
        <v>High</v>
      </c>
      <c r="S176" s="8" t="str">
        <f>IF(OR(Q176&lt;outliers!$I$6,Q176&gt;outliers!$I$7),"Outlier","Normal")</f>
        <v>Normal</v>
      </c>
      <c r="T176" s="8" t="str">
        <f>IF(OR(L176&lt;outliers!$J$6,L176&gt;outliers!$J$7),"Outlier","Normal")</f>
        <v>Normal</v>
      </c>
      <c r="U176" s="8" t="str">
        <f>IF(OR(M176&lt;outliers!$K$6,M176&gt;outliers!$K$7),"Outlier","Normal")</f>
        <v>Normal</v>
      </c>
    </row>
    <row r="177" spans="1:21">
      <c r="A177" s="21">
        <v>176</v>
      </c>
      <c r="B177" s="68">
        <v>40551</v>
      </c>
      <c r="C177" s="22" t="b">
        <v>0</v>
      </c>
      <c r="D177" s="21" t="str">
        <f t="shared" si="2"/>
        <v>Saturday</v>
      </c>
      <c r="E177" s="23">
        <v>0.16669999999999999</v>
      </c>
      <c r="F177" s="23">
        <f>YEAR('Merged raw data'!$B177)</f>
        <v>2011</v>
      </c>
      <c r="G177" s="23" t="str">
        <f>TEXT('Merged raw data'!$B177,"mmmm")</f>
        <v>January</v>
      </c>
      <c r="H177" s="37" t="str">
        <f>TEXT(TIME('Merged raw data'!F177,0,0),"h AM/PM")</f>
        <v>2 PM</v>
      </c>
      <c r="I177" s="23" t="str">
        <f>IF(OR('Merged raw data'!H177=1,'Merged raw data'!H177=2,'Merged raw data'!H177=3,'Merged raw data'!H177=4,'Merged raw data'!H177=5),"weekday","weekend")</f>
        <v>weekend</v>
      </c>
      <c r="J177" s="23" t="s">
        <v>23</v>
      </c>
      <c r="K177" s="23" t="str">
        <f>IF('Merged raw data'!I177=1,"Clear",IF('Merged raw data'!I177=2,"Mist",IF('Merged raw data'!I177=3,"Rain",IF('Merged raw data'!I177=4,"Storm","NA"))))</f>
        <v>Clear</v>
      </c>
      <c r="L177" s="24">
        <v>0.32</v>
      </c>
      <c r="M177" s="24">
        <v>0.49249999999999999</v>
      </c>
      <c r="N177" s="21">
        <f>'Merged raw data'!$J177*100</f>
        <v>20</v>
      </c>
      <c r="O177" s="21">
        <v>12</v>
      </c>
      <c r="P177" s="21">
        <v>83</v>
      </c>
      <c r="Q177" s="21">
        <v>95</v>
      </c>
      <c r="R177" s="21" t="str">
        <f>IF(Q177&gt;=outliers!I179,"High",IF(Q177&lt;=outliers!I178,"Low","Moderate"))</f>
        <v>High</v>
      </c>
      <c r="S177" s="8" t="str">
        <f>IF(OR(Q177&lt;outliers!$I$6,Q177&gt;outliers!$I$7),"Outlier","Normal")</f>
        <v>Normal</v>
      </c>
      <c r="T177" s="8" t="str">
        <f>IF(OR(L177&lt;outliers!$J$6,L177&gt;outliers!$J$7),"Outlier","Normal")</f>
        <v>Normal</v>
      </c>
      <c r="U177" s="8" t="str">
        <f>IF(OR(M177&lt;outliers!$K$6,M177&gt;outliers!$K$7),"Outlier","Normal")</f>
        <v>Normal</v>
      </c>
    </row>
    <row r="178" spans="1:21">
      <c r="A178" s="21">
        <v>177</v>
      </c>
      <c r="B178" s="68">
        <v>40551</v>
      </c>
      <c r="C178" s="22" t="b">
        <v>0</v>
      </c>
      <c r="D178" s="21" t="str">
        <f t="shared" si="2"/>
        <v>Saturday</v>
      </c>
      <c r="E178" s="23">
        <v>0.16669999999999999</v>
      </c>
      <c r="F178" s="23">
        <f>YEAR('Merged raw data'!$B178)</f>
        <v>2011</v>
      </c>
      <c r="G178" s="23" t="str">
        <f>TEXT('Merged raw data'!$B178,"mmmm")</f>
        <v>January</v>
      </c>
      <c r="H178" s="37" t="str">
        <f>TEXT(TIME('Merged raw data'!F178,0,0),"h AM/PM")</f>
        <v>3 PM</v>
      </c>
      <c r="I178" s="23" t="str">
        <f>IF(OR('Merged raw data'!H178=1,'Merged raw data'!H178=2,'Merged raw data'!H178=3,'Merged raw data'!H178=4,'Merged raw data'!H178=5),"weekday","weekend")</f>
        <v>weekend</v>
      </c>
      <c r="J178" s="23" t="s">
        <v>23</v>
      </c>
      <c r="K178" s="23" t="str">
        <f>IF('Merged raw data'!I178=1,"Clear",IF('Merged raw data'!I178=2,"Mist",IF('Merged raw data'!I178=3,"Rain",IF('Merged raw data'!I178=4,"Storm","NA"))))</f>
        <v>Clear</v>
      </c>
      <c r="L178" s="24">
        <v>0.32</v>
      </c>
      <c r="M178" s="24">
        <v>0.44779999999999998</v>
      </c>
      <c r="N178" s="21">
        <f>'Merged raw data'!$J178*100</f>
        <v>20</v>
      </c>
      <c r="O178" s="21">
        <v>5</v>
      </c>
      <c r="P178" s="21">
        <v>69</v>
      </c>
      <c r="Q178" s="21">
        <v>74</v>
      </c>
      <c r="R178" s="21" t="str">
        <f>IF(Q178&gt;=outliers!I180,"High",IF(Q178&lt;=outliers!I179,"Low","Moderate"))</f>
        <v>High</v>
      </c>
      <c r="S178" s="8" t="str">
        <f>IF(OR(Q178&lt;outliers!$I$6,Q178&gt;outliers!$I$7),"Outlier","Normal")</f>
        <v>Normal</v>
      </c>
      <c r="T178" s="8" t="str">
        <f>IF(OR(L178&lt;outliers!$J$6,L178&gt;outliers!$J$7),"Outlier","Normal")</f>
        <v>Normal</v>
      </c>
      <c r="U178" s="8" t="str">
        <f>IF(OR(M178&lt;outliers!$K$6,M178&gt;outliers!$K$7),"Outlier","Normal")</f>
        <v>Normal</v>
      </c>
    </row>
    <row r="179" spans="1:21">
      <c r="A179" s="21">
        <v>178</v>
      </c>
      <c r="B179" s="68">
        <v>40551</v>
      </c>
      <c r="C179" s="22" t="b">
        <v>0</v>
      </c>
      <c r="D179" s="21" t="str">
        <f t="shared" si="2"/>
        <v>Saturday</v>
      </c>
      <c r="E179" s="23">
        <v>0.13639999999999999</v>
      </c>
      <c r="F179" s="23">
        <f>YEAR('Merged raw data'!$B179)</f>
        <v>2011</v>
      </c>
      <c r="G179" s="23" t="str">
        <f>TEXT('Merged raw data'!$B179,"mmmm")</f>
        <v>January</v>
      </c>
      <c r="H179" s="37" t="str">
        <f>TEXT(TIME('Merged raw data'!F179,0,0),"h AM/PM")</f>
        <v>4 PM</v>
      </c>
      <c r="I179" s="23" t="str">
        <f>IF(OR('Merged raw data'!H179=1,'Merged raw data'!H179=2,'Merged raw data'!H179=3,'Merged raw data'!H179=4,'Merged raw data'!H179=5),"weekday","weekend")</f>
        <v>weekend</v>
      </c>
      <c r="J179" s="23" t="s">
        <v>23</v>
      </c>
      <c r="K179" s="23" t="str">
        <f>IF('Merged raw data'!I179=1,"Clear",IF('Merged raw data'!I179=2,"Mist",IF('Merged raw data'!I179=3,"Rain",IF('Merged raw data'!I179=4,"Storm","NA"))))</f>
        <v>Clear</v>
      </c>
      <c r="L179" s="24">
        <v>0.28999999999999998</v>
      </c>
      <c r="M179" s="24">
        <v>0.44779999999999998</v>
      </c>
      <c r="N179" s="21">
        <f>'Merged raw data'!$J179*100</f>
        <v>18</v>
      </c>
      <c r="O179" s="21">
        <v>8</v>
      </c>
      <c r="P179" s="21">
        <v>68</v>
      </c>
      <c r="Q179" s="21">
        <v>76</v>
      </c>
      <c r="R179" s="21" t="str">
        <f>IF(Q179&gt;=outliers!I181,"High",IF(Q179&lt;=outliers!I180,"Low","Moderate"))</f>
        <v>High</v>
      </c>
      <c r="S179" s="8" t="str">
        <f>IF(OR(Q179&lt;outliers!$I$6,Q179&gt;outliers!$I$7),"Outlier","Normal")</f>
        <v>Normal</v>
      </c>
      <c r="T179" s="8" t="str">
        <f>IF(OR(L179&lt;outliers!$J$6,L179&gt;outliers!$J$7),"Outlier","Normal")</f>
        <v>Normal</v>
      </c>
      <c r="U179" s="8" t="str">
        <f>IF(OR(M179&lt;outliers!$K$6,M179&gt;outliers!$K$7),"Outlier","Normal")</f>
        <v>Normal</v>
      </c>
    </row>
    <row r="180" spans="1:21">
      <c r="A180" s="21">
        <v>179</v>
      </c>
      <c r="B180" s="68">
        <v>40551</v>
      </c>
      <c r="C180" s="22" t="b">
        <v>0</v>
      </c>
      <c r="D180" s="21" t="str">
        <f t="shared" si="2"/>
        <v>Saturday</v>
      </c>
      <c r="E180" s="23">
        <v>0.1212</v>
      </c>
      <c r="F180" s="23">
        <f>YEAR('Merged raw data'!$B180)</f>
        <v>2011</v>
      </c>
      <c r="G180" s="23" t="str">
        <f>TEXT('Merged raw data'!$B180,"mmmm")</f>
        <v>January</v>
      </c>
      <c r="H180" s="37" t="str">
        <f>TEXT(TIME('Merged raw data'!F180,0,0),"h AM/PM")</f>
        <v>5 PM</v>
      </c>
      <c r="I180" s="23" t="str">
        <f>IF(OR('Merged raw data'!H180=1,'Merged raw data'!H180=2,'Merged raw data'!H180=3,'Merged raw data'!H180=4,'Merged raw data'!H180=5),"weekday","weekend")</f>
        <v>weekend</v>
      </c>
      <c r="J180" s="23" t="s">
        <v>23</v>
      </c>
      <c r="K180" s="23" t="str">
        <f>IF('Merged raw data'!I180=1,"Clear",IF('Merged raw data'!I180=2,"Mist",IF('Merged raw data'!I180=3,"Rain",IF('Merged raw data'!I180=4,"Storm","NA"))))</f>
        <v>Clear</v>
      </c>
      <c r="L180" s="24">
        <v>0.37</v>
      </c>
      <c r="M180" s="24">
        <v>0.55220000000000002</v>
      </c>
      <c r="N180" s="21">
        <f>'Merged raw data'!$J180*100</f>
        <v>16</v>
      </c>
      <c r="O180" s="21">
        <v>5</v>
      </c>
      <c r="P180" s="21">
        <v>64</v>
      </c>
      <c r="Q180" s="21">
        <v>69</v>
      </c>
      <c r="R180" s="21" t="str">
        <f>IF(Q180&gt;=outliers!I182,"High",IF(Q180&lt;=outliers!I181,"Low","Moderate"))</f>
        <v>High</v>
      </c>
      <c r="S180" s="8" t="str">
        <f>IF(OR(Q180&lt;outliers!$I$6,Q180&gt;outliers!$I$7),"Outlier","Normal")</f>
        <v>Normal</v>
      </c>
      <c r="T180" s="8" t="str">
        <f>IF(OR(L180&lt;outliers!$J$6,L180&gt;outliers!$J$7),"Outlier","Normal")</f>
        <v>Normal</v>
      </c>
      <c r="U180" s="8" t="str">
        <f>IF(OR(M180&lt;outliers!$K$6,M180&gt;outliers!$K$7),"Outlier","Normal")</f>
        <v>Outlier</v>
      </c>
    </row>
    <row r="181" spans="1:21">
      <c r="A181" s="21">
        <v>180</v>
      </c>
      <c r="B181" s="68">
        <v>40551</v>
      </c>
      <c r="C181" s="22" t="b">
        <v>0</v>
      </c>
      <c r="D181" s="21" t="str">
        <f t="shared" si="2"/>
        <v>Saturday</v>
      </c>
      <c r="E181" s="23">
        <v>0.1212</v>
      </c>
      <c r="F181" s="23">
        <f>YEAR('Merged raw data'!$B181)</f>
        <v>2011</v>
      </c>
      <c r="G181" s="23" t="str">
        <f>TEXT('Merged raw data'!$B181,"mmmm")</f>
        <v>January</v>
      </c>
      <c r="H181" s="37" t="str">
        <f>TEXT(TIME('Merged raw data'!F181,0,0),"h AM/PM")</f>
        <v>6 PM</v>
      </c>
      <c r="I181" s="23" t="str">
        <f>IF(OR('Merged raw data'!H181=1,'Merged raw data'!H181=2,'Merged raw data'!H181=3,'Merged raw data'!H181=4,'Merged raw data'!H181=5),"weekday","weekend")</f>
        <v>weekend</v>
      </c>
      <c r="J181" s="23" t="s">
        <v>23</v>
      </c>
      <c r="K181" s="23" t="str">
        <f>IF('Merged raw data'!I181=1,"Clear",IF('Merged raw data'!I181=2,"Mist",IF('Merged raw data'!I181=3,"Rain",IF('Merged raw data'!I181=4,"Storm","NA"))))</f>
        <v>Clear</v>
      </c>
      <c r="L181" s="24">
        <v>0.39</v>
      </c>
      <c r="M181" s="24">
        <v>0.29849999999999999</v>
      </c>
      <c r="N181" s="21">
        <f>'Merged raw data'!$J181*100</f>
        <v>14.000000000000002</v>
      </c>
      <c r="O181" s="21">
        <v>3</v>
      </c>
      <c r="P181" s="21">
        <v>52</v>
      </c>
      <c r="Q181" s="21">
        <v>55</v>
      </c>
      <c r="R181" s="21" t="str">
        <f>IF(Q181&gt;=outliers!I183,"High",IF(Q181&lt;=outliers!I182,"Low","Moderate"))</f>
        <v>High</v>
      </c>
      <c r="S181" s="8" t="str">
        <f>IF(OR(Q181&lt;outliers!$I$6,Q181&gt;outliers!$I$7),"Outlier","Normal")</f>
        <v>Normal</v>
      </c>
      <c r="T181" s="8" t="str">
        <f>IF(OR(L181&lt;outliers!$J$6,L181&gt;outliers!$J$7),"Outlier","Normal")</f>
        <v>Normal</v>
      </c>
      <c r="U181" s="8" t="str">
        <f>IF(OR(M181&lt;outliers!$K$6,M181&gt;outliers!$K$7),"Outlier","Normal")</f>
        <v>Normal</v>
      </c>
    </row>
    <row r="182" spans="1:21">
      <c r="A182" s="21">
        <v>181</v>
      </c>
      <c r="B182" s="68">
        <v>40551</v>
      </c>
      <c r="C182" s="22" t="b">
        <v>0</v>
      </c>
      <c r="D182" s="21" t="str">
        <f t="shared" si="2"/>
        <v>Saturday</v>
      </c>
      <c r="E182" s="23">
        <v>0.1212</v>
      </c>
      <c r="F182" s="23">
        <f>YEAR('Merged raw data'!$B182)</f>
        <v>2011</v>
      </c>
      <c r="G182" s="23" t="str">
        <f>TEXT('Merged raw data'!$B182,"mmmm")</f>
        <v>January</v>
      </c>
      <c r="H182" s="37" t="str">
        <f>TEXT(TIME('Merged raw data'!F182,0,0),"h AM/PM")</f>
        <v>7 PM</v>
      </c>
      <c r="I182" s="23" t="str">
        <f>IF(OR('Merged raw data'!H182=1,'Merged raw data'!H182=2,'Merged raw data'!H182=3,'Merged raw data'!H182=4,'Merged raw data'!H182=5),"weekday","weekend")</f>
        <v>weekend</v>
      </c>
      <c r="J182" s="23" t="s">
        <v>23</v>
      </c>
      <c r="K182" s="23" t="str">
        <f>IF('Merged raw data'!I182=1,"Clear",IF('Merged raw data'!I182=2,"Mist",IF('Merged raw data'!I182=3,"Rain",IF('Merged raw data'!I182=4,"Storm","NA"))))</f>
        <v>Clear</v>
      </c>
      <c r="L182" s="24">
        <v>0.36</v>
      </c>
      <c r="M182" s="24">
        <v>0.25369999999999998</v>
      </c>
      <c r="N182" s="21">
        <f>'Merged raw data'!$J182*100</f>
        <v>14.000000000000002</v>
      </c>
      <c r="O182" s="21">
        <v>4</v>
      </c>
      <c r="P182" s="21">
        <v>26</v>
      </c>
      <c r="Q182" s="21">
        <v>30</v>
      </c>
      <c r="R182" s="21" t="str">
        <f>IF(Q182&gt;=outliers!I184,"High",IF(Q182&lt;=outliers!I183,"Low","Moderate"))</f>
        <v>High</v>
      </c>
      <c r="S182" s="8" t="str">
        <f>IF(OR(Q182&lt;outliers!$I$6,Q182&gt;outliers!$I$7),"Outlier","Normal")</f>
        <v>Normal</v>
      </c>
      <c r="T182" s="8" t="str">
        <f>IF(OR(L182&lt;outliers!$J$6,L182&gt;outliers!$J$7),"Outlier","Normal")</f>
        <v>Normal</v>
      </c>
      <c r="U182" s="8" t="str">
        <f>IF(OR(M182&lt;outliers!$K$6,M182&gt;outliers!$K$7),"Outlier","Normal")</f>
        <v>Normal</v>
      </c>
    </row>
    <row r="183" spans="1:21">
      <c r="A183" s="21">
        <v>182</v>
      </c>
      <c r="B183" s="68">
        <v>40551</v>
      </c>
      <c r="C183" s="22" t="b">
        <v>0</v>
      </c>
      <c r="D183" s="21" t="str">
        <f t="shared" si="2"/>
        <v>Saturday</v>
      </c>
      <c r="E183" s="23">
        <v>0.1212</v>
      </c>
      <c r="F183" s="23">
        <f>YEAR('Merged raw data'!$B183)</f>
        <v>2011</v>
      </c>
      <c r="G183" s="23" t="str">
        <f>TEXT('Merged raw data'!$B183,"mmmm")</f>
        <v>January</v>
      </c>
      <c r="H183" s="37" t="str">
        <f>TEXT(TIME('Merged raw data'!F183,0,0),"h AM/PM")</f>
        <v>8 PM</v>
      </c>
      <c r="I183" s="23" t="str">
        <f>IF(OR('Merged raw data'!H183=1,'Merged raw data'!H183=2,'Merged raw data'!H183=3,'Merged raw data'!H183=4,'Merged raw data'!H183=5),"weekday","weekend")</f>
        <v>weekend</v>
      </c>
      <c r="J183" s="23" t="s">
        <v>23</v>
      </c>
      <c r="K183" s="23" t="str">
        <f>IF('Merged raw data'!I183=1,"Clear",IF('Merged raw data'!I183=2,"Mist",IF('Merged raw data'!I183=3,"Rain",IF('Merged raw data'!I183=4,"Storm","NA"))))</f>
        <v>Clear</v>
      </c>
      <c r="L183" s="24">
        <v>0.36</v>
      </c>
      <c r="M183" s="24">
        <v>0.25369999999999998</v>
      </c>
      <c r="N183" s="21">
        <f>'Merged raw data'!$J183*100</f>
        <v>12</v>
      </c>
      <c r="O183" s="21">
        <v>0</v>
      </c>
      <c r="P183" s="21">
        <v>28</v>
      </c>
      <c r="Q183" s="21">
        <v>28</v>
      </c>
      <c r="R183" s="21" t="str">
        <f>IF(Q183&gt;=outliers!I185,"High",IF(Q183&lt;=outliers!I184,"Low","Moderate"))</f>
        <v>High</v>
      </c>
      <c r="S183" s="8" t="str">
        <f>IF(OR(Q183&lt;outliers!$I$6,Q183&gt;outliers!$I$7),"Outlier","Normal")</f>
        <v>Normal</v>
      </c>
      <c r="T183" s="8" t="str">
        <f>IF(OR(L183&lt;outliers!$J$6,L183&gt;outliers!$J$7),"Outlier","Normal")</f>
        <v>Normal</v>
      </c>
      <c r="U183" s="8" t="str">
        <f>IF(OR(M183&lt;outliers!$K$6,M183&gt;outliers!$K$7),"Outlier","Normal")</f>
        <v>Normal</v>
      </c>
    </row>
    <row r="184" spans="1:21">
      <c r="A184" s="21">
        <v>183</v>
      </c>
      <c r="B184" s="68">
        <v>40551</v>
      </c>
      <c r="C184" s="22" t="b">
        <v>0</v>
      </c>
      <c r="D184" s="21" t="str">
        <f t="shared" si="2"/>
        <v>Saturday</v>
      </c>
      <c r="E184" s="23">
        <v>0.1061</v>
      </c>
      <c r="F184" s="23">
        <f>YEAR('Merged raw data'!$B184)</f>
        <v>2011</v>
      </c>
      <c r="G184" s="23" t="str">
        <f>TEXT('Merged raw data'!$B184,"mmmm")</f>
        <v>January</v>
      </c>
      <c r="H184" s="37" t="str">
        <f>TEXT(TIME('Merged raw data'!F184,0,0),"h AM/PM")</f>
        <v>9 PM</v>
      </c>
      <c r="I184" s="23" t="str">
        <f>IF(OR('Merged raw data'!H184=1,'Merged raw data'!H184=2,'Merged raw data'!H184=3,'Merged raw data'!H184=4,'Merged raw data'!H184=5),"weekday","weekend")</f>
        <v>weekend</v>
      </c>
      <c r="J184" s="23" t="s">
        <v>23</v>
      </c>
      <c r="K184" s="23" t="str">
        <f>IF('Merged raw data'!I184=1,"Clear",IF('Merged raw data'!I184=2,"Mist",IF('Merged raw data'!I184=3,"Rain",IF('Merged raw data'!I184=4,"Storm","NA"))))</f>
        <v>Clear</v>
      </c>
      <c r="L184" s="24">
        <v>0.39</v>
      </c>
      <c r="M184" s="24">
        <v>0.35820000000000002</v>
      </c>
      <c r="N184" s="21">
        <f>'Merged raw data'!$J184*100</f>
        <v>12</v>
      </c>
      <c r="O184" s="21">
        <v>2</v>
      </c>
      <c r="P184" s="21">
        <v>35</v>
      </c>
      <c r="Q184" s="21">
        <v>37</v>
      </c>
      <c r="R184" s="21" t="str">
        <f>IF(Q184&gt;=outliers!I186,"High",IF(Q184&lt;=outliers!I185,"Low","Moderate"))</f>
        <v>High</v>
      </c>
      <c r="S184" s="8" t="str">
        <f>IF(OR(Q184&lt;outliers!$I$6,Q184&gt;outliers!$I$7),"Outlier","Normal")</f>
        <v>Normal</v>
      </c>
      <c r="T184" s="8" t="str">
        <f>IF(OR(L184&lt;outliers!$J$6,L184&gt;outliers!$J$7),"Outlier","Normal")</f>
        <v>Normal</v>
      </c>
      <c r="U184" s="8" t="str">
        <f>IF(OR(M184&lt;outliers!$K$6,M184&gt;outliers!$K$7),"Outlier","Normal")</f>
        <v>Normal</v>
      </c>
    </row>
    <row r="185" spans="1:21">
      <c r="A185" s="21">
        <v>184</v>
      </c>
      <c r="B185" s="68">
        <v>40551</v>
      </c>
      <c r="C185" s="22" t="b">
        <v>0</v>
      </c>
      <c r="D185" s="21" t="str">
        <f t="shared" si="2"/>
        <v>Saturday</v>
      </c>
      <c r="E185" s="23">
        <v>0.1061</v>
      </c>
      <c r="F185" s="23">
        <f>YEAR('Merged raw data'!$B185)</f>
        <v>2011</v>
      </c>
      <c r="G185" s="23" t="str">
        <f>TEXT('Merged raw data'!$B185,"mmmm")</f>
        <v>January</v>
      </c>
      <c r="H185" s="37" t="str">
        <f>TEXT(TIME('Merged raw data'!F185,0,0),"h AM/PM")</f>
        <v>10 PM</v>
      </c>
      <c r="I185" s="23" t="str">
        <f>IF(OR('Merged raw data'!H185=1,'Merged raw data'!H185=2,'Merged raw data'!H185=3,'Merged raw data'!H185=4,'Merged raw data'!H185=5),"weekday","weekend")</f>
        <v>weekend</v>
      </c>
      <c r="J185" s="23" t="s">
        <v>23</v>
      </c>
      <c r="K185" s="23" t="str">
        <f>IF('Merged raw data'!I185=1,"Clear",IF('Merged raw data'!I185=2,"Mist",IF('Merged raw data'!I185=3,"Rain",IF('Merged raw data'!I185=4,"Storm","NA"))))</f>
        <v>Clear</v>
      </c>
      <c r="L185" s="24">
        <v>0.36</v>
      </c>
      <c r="M185" s="24">
        <v>0.3881</v>
      </c>
      <c r="N185" s="21">
        <f>'Merged raw data'!$J185*100</f>
        <v>12</v>
      </c>
      <c r="O185" s="21">
        <v>1</v>
      </c>
      <c r="P185" s="21">
        <v>33</v>
      </c>
      <c r="Q185" s="21">
        <v>34</v>
      </c>
      <c r="R185" s="21" t="str">
        <f>IF(Q185&gt;=outliers!I187,"High",IF(Q185&lt;=outliers!I186,"Low","Moderate"))</f>
        <v>High</v>
      </c>
      <c r="S185" s="8" t="str">
        <f>IF(OR(Q185&lt;outliers!$I$6,Q185&gt;outliers!$I$7),"Outlier","Normal")</f>
        <v>Normal</v>
      </c>
      <c r="T185" s="8" t="str">
        <f>IF(OR(L185&lt;outliers!$J$6,L185&gt;outliers!$J$7),"Outlier","Normal")</f>
        <v>Normal</v>
      </c>
      <c r="U185" s="8" t="str">
        <f>IF(OR(M185&lt;outliers!$K$6,M185&gt;outliers!$K$7),"Outlier","Normal")</f>
        <v>Normal</v>
      </c>
    </row>
    <row r="186" spans="1:21">
      <c r="A186" s="21">
        <v>185</v>
      </c>
      <c r="B186" s="68">
        <v>40551</v>
      </c>
      <c r="C186" s="22" t="b">
        <v>0</v>
      </c>
      <c r="D186" s="21" t="str">
        <f t="shared" si="2"/>
        <v>Saturday</v>
      </c>
      <c r="E186" s="23">
        <v>6.0600000000000001E-2</v>
      </c>
      <c r="F186" s="23">
        <f>YEAR('Merged raw data'!$B186)</f>
        <v>2011</v>
      </c>
      <c r="G186" s="23" t="str">
        <f>TEXT('Merged raw data'!$B186,"mmmm")</f>
        <v>January</v>
      </c>
      <c r="H186" s="37" t="str">
        <f>TEXT(TIME('Merged raw data'!F186,0,0),"h AM/PM")</f>
        <v>11 PM</v>
      </c>
      <c r="I186" s="23" t="str">
        <f>IF(OR('Merged raw data'!H186=1,'Merged raw data'!H186=2,'Merged raw data'!H186=3,'Merged raw data'!H186=4,'Merged raw data'!H186=5),"weekday","weekend")</f>
        <v>weekend</v>
      </c>
      <c r="J186" s="23" t="s">
        <v>23</v>
      </c>
      <c r="K186" s="23" t="str">
        <f>IF('Merged raw data'!I186=1,"Clear",IF('Merged raw data'!I186=2,"Mist",IF('Merged raw data'!I186=3,"Rain",IF('Merged raw data'!I186=4,"Storm","NA"))))</f>
        <v>Clear</v>
      </c>
      <c r="L186" s="24">
        <v>0.39</v>
      </c>
      <c r="M186" s="24">
        <v>0.44779999999999998</v>
      </c>
      <c r="N186" s="21">
        <f>'Merged raw data'!$J186*100</f>
        <v>10</v>
      </c>
      <c r="O186" s="21">
        <v>0</v>
      </c>
      <c r="P186" s="21">
        <v>22</v>
      </c>
      <c r="Q186" s="21">
        <v>22</v>
      </c>
      <c r="R186" s="21" t="str">
        <f>IF(Q186&gt;=outliers!I188,"High",IF(Q186&lt;=outliers!I187,"Low","Moderate"))</f>
        <v>High</v>
      </c>
      <c r="S186" s="8" t="str">
        <f>IF(OR(Q186&lt;outliers!$I$6,Q186&gt;outliers!$I$7),"Outlier","Normal")</f>
        <v>Normal</v>
      </c>
      <c r="T186" s="8" t="str">
        <f>IF(OR(L186&lt;outliers!$J$6,L186&gt;outliers!$J$7),"Outlier","Normal")</f>
        <v>Normal</v>
      </c>
      <c r="U186" s="8" t="str">
        <f>IF(OR(M186&lt;outliers!$K$6,M186&gt;outliers!$K$7),"Outlier","Normal")</f>
        <v>Normal</v>
      </c>
    </row>
    <row r="187" spans="1:21">
      <c r="A187" s="21">
        <v>186</v>
      </c>
      <c r="B187" s="68">
        <v>40552</v>
      </c>
      <c r="C187" s="22" t="b">
        <v>0</v>
      </c>
      <c r="D187" s="21" t="str">
        <f t="shared" si="2"/>
        <v>Sunday</v>
      </c>
      <c r="E187" s="23">
        <v>7.5800000000000006E-2</v>
      </c>
      <c r="F187" s="23">
        <f>YEAR('Merged raw data'!$B187)</f>
        <v>2011</v>
      </c>
      <c r="G187" s="23" t="str">
        <f>TEXT('Merged raw data'!$B187,"mmmm")</f>
        <v>January</v>
      </c>
      <c r="H187" s="37" t="str">
        <f>TEXT(TIME('Merged raw data'!F187,0,0),"h AM/PM")</f>
        <v>12 AM</v>
      </c>
      <c r="I187" s="23" t="str">
        <f>IF(OR('Merged raw data'!H187=1,'Merged raw data'!H187=2,'Merged raw data'!H187=3,'Merged raw data'!H187=4,'Merged raw data'!H187=5),"weekday","weekend")</f>
        <v>weekend</v>
      </c>
      <c r="J187" s="23" t="s">
        <v>23</v>
      </c>
      <c r="K187" s="23" t="str">
        <f>IF('Merged raw data'!I187=1,"Clear",IF('Merged raw data'!I187=2,"Mist",IF('Merged raw data'!I187=3,"Rain",IF('Merged raw data'!I187=4,"Storm","NA"))))</f>
        <v>Clear</v>
      </c>
      <c r="L187" s="24">
        <v>0.42</v>
      </c>
      <c r="M187" s="24">
        <v>0.3881</v>
      </c>
      <c r="N187" s="21">
        <f>'Merged raw data'!$J187*100</f>
        <v>10</v>
      </c>
      <c r="O187" s="21">
        <v>1</v>
      </c>
      <c r="P187" s="21">
        <v>24</v>
      </c>
      <c r="Q187" s="21">
        <v>25</v>
      </c>
      <c r="R187" s="21" t="str">
        <f>IF(Q187&gt;=outliers!I189,"High",IF(Q187&lt;=outliers!I188,"Low","Moderate"))</f>
        <v>High</v>
      </c>
      <c r="S187" s="8" t="str">
        <f>IF(OR(Q187&lt;outliers!$I$6,Q187&gt;outliers!$I$7),"Outlier","Normal")</f>
        <v>Normal</v>
      </c>
      <c r="T187" s="8" t="str">
        <f>IF(OR(L187&lt;outliers!$J$6,L187&gt;outliers!$J$7),"Outlier","Normal")</f>
        <v>Normal</v>
      </c>
      <c r="U187" s="8" t="str">
        <f>IF(OR(M187&lt;outliers!$K$6,M187&gt;outliers!$K$7),"Outlier","Normal")</f>
        <v>Normal</v>
      </c>
    </row>
    <row r="188" spans="1:21">
      <c r="A188" s="21">
        <v>187</v>
      </c>
      <c r="B188" s="68">
        <v>40552</v>
      </c>
      <c r="C188" s="22" t="b">
        <v>0</v>
      </c>
      <c r="D188" s="21" t="str">
        <f t="shared" si="2"/>
        <v>Sunday</v>
      </c>
      <c r="E188" s="23">
        <v>6.0600000000000001E-2</v>
      </c>
      <c r="F188" s="23">
        <f>YEAR('Merged raw data'!$B188)</f>
        <v>2011</v>
      </c>
      <c r="G188" s="23" t="str">
        <f>TEXT('Merged raw data'!$B188,"mmmm")</f>
        <v>January</v>
      </c>
      <c r="H188" s="37" t="str">
        <f>TEXT(TIME('Merged raw data'!F188,0,0),"h AM/PM")</f>
        <v>1 AM</v>
      </c>
      <c r="I188" s="23" t="str">
        <f>IF(OR('Merged raw data'!H188=1,'Merged raw data'!H188=2,'Merged raw data'!H188=3,'Merged raw data'!H188=4,'Merged raw data'!H188=5),"weekday","weekend")</f>
        <v>weekend</v>
      </c>
      <c r="J188" s="23" t="s">
        <v>23</v>
      </c>
      <c r="K188" s="23" t="str">
        <f>IF('Merged raw data'!I188=1,"Clear",IF('Merged raw data'!I188=2,"Mist",IF('Merged raw data'!I188=3,"Rain",IF('Merged raw data'!I188=4,"Storm","NA"))))</f>
        <v>Clear</v>
      </c>
      <c r="L188" s="24">
        <v>0.42</v>
      </c>
      <c r="M188" s="24">
        <v>0.4627</v>
      </c>
      <c r="N188" s="21">
        <f>'Merged raw data'!$J188*100</f>
        <v>10</v>
      </c>
      <c r="O188" s="21">
        <v>0</v>
      </c>
      <c r="P188" s="21">
        <v>12</v>
      </c>
      <c r="Q188" s="21">
        <v>12</v>
      </c>
      <c r="R188" s="21" t="str">
        <f>IF(Q188&gt;=outliers!I190,"High",IF(Q188&lt;=outliers!I189,"Low","Moderate"))</f>
        <v>High</v>
      </c>
      <c r="S188" s="8" t="str">
        <f>IF(OR(Q188&lt;outliers!$I$6,Q188&gt;outliers!$I$7),"Outlier","Normal")</f>
        <v>Normal</v>
      </c>
      <c r="T188" s="8" t="str">
        <f>IF(OR(L188&lt;outliers!$J$6,L188&gt;outliers!$J$7),"Outlier","Normal")</f>
        <v>Normal</v>
      </c>
      <c r="U188" s="8" t="str">
        <f>IF(OR(M188&lt;outliers!$K$6,M188&gt;outliers!$K$7),"Outlier","Normal")</f>
        <v>Normal</v>
      </c>
    </row>
    <row r="189" spans="1:21">
      <c r="A189" s="21">
        <v>188</v>
      </c>
      <c r="B189" s="68">
        <v>40552</v>
      </c>
      <c r="C189" s="22" t="b">
        <v>0</v>
      </c>
      <c r="D189" s="21" t="str">
        <f t="shared" si="2"/>
        <v>Sunday</v>
      </c>
      <c r="E189" s="23">
        <v>6.0600000000000001E-2</v>
      </c>
      <c r="F189" s="23">
        <f>YEAR('Merged raw data'!$B189)</f>
        <v>2011</v>
      </c>
      <c r="G189" s="23" t="str">
        <f>TEXT('Merged raw data'!$B189,"mmmm")</f>
        <v>January</v>
      </c>
      <c r="H189" s="37" t="str">
        <f>TEXT(TIME('Merged raw data'!F189,0,0),"h AM/PM")</f>
        <v>2 AM</v>
      </c>
      <c r="I189" s="23" t="str">
        <f>IF(OR('Merged raw data'!H189=1,'Merged raw data'!H189=2,'Merged raw data'!H189=3,'Merged raw data'!H189=4,'Merged raw data'!H189=5),"weekday","weekend")</f>
        <v>weekend</v>
      </c>
      <c r="J189" s="23" t="s">
        <v>23</v>
      </c>
      <c r="K189" s="23" t="str">
        <f>IF('Merged raw data'!I189=1,"Clear",IF('Merged raw data'!I189=2,"Mist",IF('Merged raw data'!I189=3,"Rain",IF('Merged raw data'!I189=4,"Storm","NA"))))</f>
        <v>Clear</v>
      </c>
      <c r="L189" s="24">
        <v>0.46</v>
      </c>
      <c r="M189" s="24">
        <v>0.4627</v>
      </c>
      <c r="N189" s="21">
        <f>'Merged raw data'!$J189*100</f>
        <v>10</v>
      </c>
      <c r="O189" s="21">
        <v>0</v>
      </c>
      <c r="P189" s="21">
        <v>11</v>
      </c>
      <c r="Q189" s="21">
        <v>11</v>
      </c>
      <c r="R189" s="21" t="str">
        <f>IF(Q189&gt;=outliers!I191,"High",IF(Q189&lt;=outliers!I190,"Low","Moderate"))</f>
        <v>High</v>
      </c>
      <c r="S189" s="8" t="str">
        <f>IF(OR(Q189&lt;outliers!$I$6,Q189&gt;outliers!$I$7),"Outlier","Normal")</f>
        <v>Normal</v>
      </c>
      <c r="T189" s="8" t="str">
        <f>IF(OR(L189&lt;outliers!$J$6,L189&gt;outliers!$J$7),"Outlier","Normal")</f>
        <v>Normal</v>
      </c>
      <c r="U189" s="8" t="str">
        <f>IF(OR(M189&lt;outliers!$K$6,M189&gt;outliers!$K$7),"Outlier","Normal")</f>
        <v>Normal</v>
      </c>
    </row>
    <row r="190" spans="1:21">
      <c r="A190" s="21">
        <v>189</v>
      </c>
      <c r="B190" s="68">
        <v>40552</v>
      </c>
      <c r="C190" s="22" t="b">
        <v>0</v>
      </c>
      <c r="D190" s="21" t="str">
        <f t="shared" si="2"/>
        <v>Sunday</v>
      </c>
      <c r="E190" s="23">
        <v>7.5800000000000006E-2</v>
      </c>
      <c r="F190" s="23">
        <f>YEAR('Merged raw data'!$B190)</f>
        <v>2011</v>
      </c>
      <c r="G190" s="23" t="str">
        <f>TEXT('Merged raw data'!$B190,"mmmm")</f>
        <v>January</v>
      </c>
      <c r="H190" s="37" t="str">
        <f>TEXT(TIME('Merged raw data'!F190,0,0),"h AM/PM")</f>
        <v>3 AM</v>
      </c>
      <c r="I190" s="23" t="str">
        <f>IF(OR('Merged raw data'!H190=1,'Merged raw data'!H190=2,'Merged raw data'!H190=3,'Merged raw data'!H190=4,'Merged raw data'!H190=5),"weekday","weekend")</f>
        <v>weekend</v>
      </c>
      <c r="J190" s="23" t="s">
        <v>23</v>
      </c>
      <c r="K190" s="23" t="str">
        <f>IF('Merged raw data'!I190=1,"Clear",IF('Merged raw data'!I190=2,"Mist",IF('Merged raw data'!I190=3,"Rain",IF('Merged raw data'!I190=4,"Storm","NA"))))</f>
        <v>Clear</v>
      </c>
      <c r="L190" s="24">
        <v>0.46</v>
      </c>
      <c r="M190" s="24">
        <v>0.41789999999999999</v>
      </c>
      <c r="N190" s="21">
        <f>'Merged raw data'!$J190*100</f>
        <v>10</v>
      </c>
      <c r="O190" s="21">
        <v>0</v>
      </c>
      <c r="P190" s="21">
        <v>4</v>
      </c>
      <c r="Q190" s="21">
        <v>4</v>
      </c>
      <c r="R190" s="21" t="str">
        <f>IF(Q190&gt;=outliers!I192,"High",IF(Q190&lt;=outliers!I191,"Low","Moderate"))</f>
        <v>High</v>
      </c>
      <c r="S190" s="8" t="str">
        <f>IF(OR(Q190&lt;outliers!$I$6,Q190&gt;outliers!$I$7),"Outlier","Normal")</f>
        <v>Normal</v>
      </c>
      <c r="T190" s="8" t="str">
        <f>IF(OR(L190&lt;outliers!$J$6,L190&gt;outliers!$J$7),"Outlier","Normal")</f>
        <v>Normal</v>
      </c>
      <c r="U190" s="8" t="str">
        <f>IF(OR(M190&lt;outliers!$K$6,M190&gt;outliers!$K$7),"Outlier","Normal")</f>
        <v>Normal</v>
      </c>
    </row>
    <row r="191" spans="1:21">
      <c r="A191" s="21">
        <v>190</v>
      </c>
      <c r="B191" s="68">
        <v>40552</v>
      </c>
      <c r="C191" s="22" t="b">
        <v>0</v>
      </c>
      <c r="D191" s="21" t="str">
        <f t="shared" si="2"/>
        <v>Sunday</v>
      </c>
      <c r="E191" s="23">
        <v>9.0899999999999995E-2</v>
      </c>
      <c r="F191" s="23">
        <f>YEAR('Merged raw data'!$B191)</f>
        <v>2011</v>
      </c>
      <c r="G191" s="23" t="str">
        <f>TEXT('Merged raw data'!$B191,"mmmm")</f>
        <v>January</v>
      </c>
      <c r="H191" s="37" t="str">
        <f>TEXT(TIME('Merged raw data'!F191,0,0),"h AM/PM")</f>
        <v>4 AM</v>
      </c>
      <c r="I191" s="23" t="str">
        <f>IF(OR('Merged raw data'!H191=1,'Merged raw data'!H191=2,'Merged raw data'!H191=3,'Merged raw data'!H191=4,'Merged raw data'!H191=5),"weekday","weekend")</f>
        <v>weekend</v>
      </c>
      <c r="J191" s="23" t="s">
        <v>23</v>
      </c>
      <c r="K191" s="23" t="str">
        <f>IF('Merged raw data'!I191=1,"Clear",IF('Merged raw data'!I191=2,"Mist",IF('Merged raw data'!I191=3,"Rain",IF('Merged raw data'!I191=4,"Storm","NA"))))</f>
        <v>Clear</v>
      </c>
      <c r="L191" s="24">
        <v>0.53</v>
      </c>
      <c r="M191" s="24">
        <v>0.19400000000000001</v>
      </c>
      <c r="N191" s="21">
        <f>'Merged raw data'!$J191*100</f>
        <v>8</v>
      </c>
      <c r="O191" s="21">
        <v>0</v>
      </c>
      <c r="P191" s="21">
        <v>1</v>
      </c>
      <c r="Q191" s="21">
        <v>1</v>
      </c>
      <c r="R191" s="21" t="str">
        <f>IF(Q191&gt;=outliers!I193,"High",IF(Q191&lt;=outliers!I192,"Low","Moderate"))</f>
        <v>High</v>
      </c>
      <c r="S191" s="8" t="str">
        <f>IF(OR(Q191&lt;outliers!$I$6,Q191&gt;outliers!$I$7),"Outlier","Normal")</f>
        <v>Normal</v>
      </c>
      <c r="T191" s="8" t="str">
        <f>IF(OR(L191&lt;outliers!$J$6,L191&gt;outliers!$J$7),"Outlier","Normal")</f>
        <v>Normal</v>
      </c>
      <c r="U191" s="8" t="str">
        <f>IF(OR(M191&lt;outliers!$K$6,M191&gt;outliers!$K$7),"Outlier","Normal")</f>
        <v>Normal</v>
      </c>
    </row>
    <row r="192" spans="1:21">
      <c r="A192" s="21">
        <v>191</v>
      </c>
      <c r="B192" s="68">
        <v>40552</v>
      </c>
      <c r="C192" s="22" t="b">
        <v>0</v>
      </c>
      <c r="D192" s="21" t="str">
        <f t="shared" si="2"/>
        <v>Sunday</v>
      </c>
      <c r="E192" s="23">
        <v>9.0899999999999995E-2</v>
      </c>
      <c r="F192" s="23">
        <f>YEAR('Merged raw data'!$B192)</f>
        <v>2011</v>
      </c>
      <c r="G192" s="23" t="str">
        <f>TEXT('Merged raw data'!$B192,"mmmm")</f>
        <v>January</v>
      </c>
      <c r="H192" s="37" t="str">
        <f>TEXT(TIME('Merged raw data'!F192,0,0),"h AM/PM")</f>
        <v>5 AM</v>
      </c>
      <c r="I192" s="23" t="str">
        <f>IF(OR('Merged raw data'!H192=1,'Merged raw data'!H192=2,'Merged raw data'!H192=3,'Merged raw data'!H192=4,'Merged raw data'!H192=5),"weekday","weekend")</f>
        <v>weekend</v>
      </c>
      <c r="J192" s="23" t="s">
        <v>23</v>
      </c>
      <c r="K192" s="23" t="str">
        <f>IF('Merged raw data'!I192=1,"Clear",IF('Merged raw data'!I192=2,"Mist",IF('Merged raw data'!I192=3,"Rain",IF('Merged raw data'!I192=4,"Storm","NA"))))</f>
        <v>Clear</v>
      </c>
      <c r="L192" s="24">
        <v>0.53</v>
      </c>
      <c r="M192" s="24">
        <v>0.19400000000000001</v>
      </c>
      <c r="N192" s="21">
        <f>'Merged raw data'!$J192*100</f>
        <v>8</v>
      </c>
      <c r="O192" s="21">
        <v>0</v>
      </c>
      <c r="P192" s="21">
        <v>1</v>
      </c>
      <c r="Q192" s="21">
        <v>1</v>
      </c>
      <c r="R192" s="21" t="str">
        <f>IF(Q192&gt;=outliers!I194,"High",IF(Q192&lt;=outliers!I193,"Low","Moderate"))</f>
        <v>High</v>
      </c>
      <c r="S192" s="8" t="str">
        <f>IF(OR(Q192&lt;outliers!$I$6,Q192&gt;outliers!$I$7),"Outlier","Normal")</f>
        <v>Normal</v>
      </c>
      <c r="T192" s="8" t="str">
        <f>IF(OR(L192&lt;outliers!$J$6,L192&gt;outliers!$J$7),"Outlier","Normal")</f>
        <v>Normal</v>
      </c>
      <c r="U192" s="8" t="str">
        <f>IF(OR(M192&lt;outliers!$K$6,M192&gt;outliers!$K$7),"Outlier","Normal")</f>
        <v>Normal</v>
      </c>
    </row>
    <row r="193" spans="1:21">
      <c r="A193" s="21">
        <v>192</v>
      </c>
      <c r="B193" s="68">
        <v>40552</v>
      </c>
      <c r="C193" s="22" t="b">
        <v>0</v>
      </c>
      <c r="D193" s="21" t="str">
        <f t="shared" si="2"/>
        <v>Sunday</v>
      </c>
      <c r="E193" s="23">
        <v>9.0899999999999995E-2</v>
      </c>
      <c r="F193" s="23">
        <f>YEAR('Merged raw data'!$B193)</f>
        <v>2011</v>
      </c>
      <c r="G193" s="23" t="str">
        <f>TEXT('Merged raw data'!$B193,"mmmm")</f>
        <v>January</v>
      </c>
      <c r="H193" s="37" t="str">
        <f>TEXT(TIME('Merged raw data'!F193,0,0),"h AM/PM")</f>
        <v>6 AM</v>
      </c>
      <c r="I193" s="23" t="str">
        <f>IF(OR('Merged raw data'!H193=1,'Merged raw data'!H193=2,'Merged raw data'!H193=3,'Merged raw data'!H193=4,'Merged raw data'!H193=5),"weekday","weekend")</f>
        <v>weekend</v>
      </c>
      <c r="J193" s="23" t="s">
        <v>23</v>
      </c>
      <c r="K193" s="23" t="str">
        <f>IF('Merged raw data'!I193=1,"Clear",IF('Merged raw data'!I193=2,"Mist",IF('Merged raw data'!I193=3,"Rain",IF('Merged raw data'!I193=4,"Storm","NA"))))</f>
        <v>Clear</v>
      </c>
      <c r="L193" s="24">
        <v>0.49</v>
      </c>
      <c r="M193" s="24">
        <v>0.28360000000000002</v>
      </c>
      <c r="N193" s="21">
        <f>'Merged raw data'!$J193*100</f>
        <v>10</v>
      </c>
      <c r="O193" s="21">
        <v>0</v>
      </c>
      <c r="P193" s="21">
        <v>1</v>
      </c>
      <c r="Q193" s="21">
        <v>1</v>
      </c>
      <c r="R193" s="21" t="str">
        <f>IF(Q193&gt;=outliers!I195,"High",IF(Q193&lt;=outliers!I194,"Low","Moderate"))</f>
        <v>High</v>
      </c>
      <c r="S193" s="8" t="str">
        <f>IF(OR(Q193&lt;outliers!$I$6,Q193&gt;outliers!$I$7),"Outlier","Normal")</f>
        <v>Normal</v>
      </c>
      <c r="T193" s="8" t="str">
        <f>IF(OR(L193&lt;outliers!$J$6,L193&gt;outliers!$J$7),"Outlier","Normal")</f>
        <v>Normal</v>
      </c>
      <c r="U193" s="8" t="str">
        <f>IF(OR(M193&lt;outliers!$K$6,M193&gt;outliers!$K$7),"Outlier","Normal")</f>
        <v>Normal</v>
      </c>
    </row>
    <row r="194" spans="1:21">
      <c r="A194" s="21">
        <v>193</v>
      </c>
      <c r="B194" s="68">
        <v>40552</v>
      </c>
      <c r="C194" s="22" t="b">
        <v>0</v>
      </c>
      <c r="D194" s="21" t="str">
        <f t="shared" si="2"/>
        <v>Sunday</v>
      </c>
      <c r="E194" s="23">
        <v>9.0899999999999995E-2</v>
      </c>
      <c r="F194" s="23">
        <f>YEAR('Merged raw data'!$B194)</f>
        <v>2011</v>
      </c>
      <c r="G194" s="23" t="str">
        <f>TEXT('Merged raw data'!$B194,"mmmm")</f>
        <v>January</v>
      </c>
      <c r="H194" s="37" t="str">
        <f>TEXT(TIME('Merged raw data'!F194,0,0),"h AM/PM")</f>
        <v>7 AM</v>
      </c>
      <c r="I194" s="23" t="str">
        <f>IF(OR('Merged raw data'!H194=1,'Merged raw data'!H194=2,'Merged raw data'!H194=3,'Merged raw data'!H194=4,'Merged raw data'!H194=5),"weekday","weekend")</f>
        <v>weekend</v>
      </c>
      <c r="J194" s="23" t="s">
        <v>23</v>
      </c>
      <c r="K194" s="23" t="str">
        <f>IF('Merged raw data'!I194=1,"Clear",IF('Merged raw data'!I194=2,"Mist",IF('Merged raw data'!I194=3,"Rain",IF('Merged raw data'!I194=4,"Storm","NA"))))</f>
        <v>Clear</v>
      </c>
      <c r="L194" s="24">
        <v>0.53</v>
      </c>
      <c r="M194" s="24">
        <v>0.19400000000000001</v>
      </c>
      <c r="N194" s="21">
        <f>'Merged raw data'!$J194*100</f>
        <v>8</v>
      </c>
      <c r="O194" s="21">
        <v>1</v>
      </c>
      <c r="P194" s="21">
        <v>5</v>
      </c>
      <c r="Q194" s="21">
        <v>6</v>
      </c>
      <c r="R194" s="21" t="str">
        <f>IF(Q194&gt;=outliers!I196,"High",IF(Q194&lt;=outliers!I195,"Low","Moderate"))</f>
        <v>High</v>
      </c>
      <c r="S194" s="8" t="str">
        <f>IF(OR(Q194&lt;outliers!$I$6,Q194&gt;outliers!$I$7),"Outlier","Normal")</f>
        <v>Normal</v>
      </c>
      <c r="T194" s="8" t="str">
        <f>IF(OR(L194&lt;outliers!$J$6,L194&gt;outliers!$J$7),"Outlier","Normal")</f>
        <v>Normal</v>
      </c>
      <c r="U194" s="8" t="str">
        <f>IF(OR(M194&lt;outliers!$K$6,M194&gt;outliers!$K$7),"Outlier","Normal")</f>
        <v>Normal</v>
      </c>
    </row>
    <row r="195" spans="1:21">
      <c r="A195" s="21">
        <v>194</v>
      </c>
      <c r="B195" s="68">
        <v>40552</v>
      </c>
      <c r="C195" s="22" t="b">
        <v>0</v>
      </c>
      <c r="D195" s="21" t="str">
        <f t="shared" ref="D195:D258" si="3">TEXT(B195,"dddd")</f>
        <v>Sunday</v>
      </c>
      <c r="E195" s="23">
        <v>9.0899999999999995E-2</v>
      </c>
      <c r="F195" s="23">
        <f>YEAR('Merged raw data'!$B195)</f>
        <v>2011</v>
      </c>
      <c r="G195" s="23" t="str">
        <f>TEXT('Merged raw data'!$B195,"mmmm")</f>
        <v>January</v>
      </c>
      <c r="H195" s="37" t="str">
        <f>TEXT(TIME('Merged raw data'!F195,0,0),"h AM/PM")</f>
        <v>8 AM</v>
      </c>
      <c r="I195" s="23" t="str">
        <f>IF(OR('Merged raw data'!H195=1,'Merged raw data'!H195=2,'Merged raw data'!H195=3,'Merged raw data'!H195=4,'Merged raw data'!H195=5),"weekday","weekend")</f>
        <v>weekend</v>
      </c>
      <c r="J195" s="23" t="s">
        <v>23</v>
      </c>
      <c r="K195" s="23" t="str">
        <f>IF('Merged raw data'!I195=1,"Clear",IF('Merged raw data'!I195=2,"Mist",IF('Merged raw data'!I195=3,"Rain",IF('Merged raw data'!I195=4,"Storm","NA"))))</f>
        <v>Clear</v>
      </c>
      <c r="L195" s="24">
        <v>0.49</v>
      </c>
      <c r="M195" s="24">
        <v>0.28360000000000002</v>
      </c>
      <c r="N195" s="21">
        <f>'Merged raw data'!$J195*100</f>
        <v>10</v>
      </c>
      <c r="O195" s="21">
        <v>0</v>
      </c>
      <c r="P195" s="21">
        <v>10</v>
      </c>
      <c r="Q195" s="21">
        <v>10</v>
      </c>
      <c r="R195" s="21" t="str">
        <f>IF(Q195&gt;=outliers!I197,"High",IF(Q195&lt;=outliers!I196,"Low","Moderate"))</f>
        <v>High</v>
      </c>
      <c r="S195" s="8" t="str">
        <f>IF(OR(Q195&lt;outliers!$I$6,Q195&gt;outliers!$I$7),"Outlier","Normal")</f>
        <v>Normal</v>
      </c>
      <c r="T195" s="8" t="str">
        <f>IF(OR(L195&lt;outliers!$J$6,L195&gt;outliers!$J$7),"Outlier","Normal")</f>
        <v>Normal</v>
      </c>
      <c r="U195" s="8" t="str">
        <f>IF(OR(M195&lt;outliers!$K$6,M195&gt;outliers!$K$7),"Outlier","Normal")</f>
        <v>Normal</v>
      </c>
    </row>
    <row r="196" spans="1:21">
      <c r="A196" s="21">
        <v>195</v>
      </c>
      <c r="B196" s="68">
        <v>40552</v>
      </c>
      <c r="C196" s="22" t="b">
        <v>0</v>
      </c>
      <c r="D196" s="21" t="str">
        <f t="shared" si="3"/>
        <v>Sunday</v>
      </c>
      <c r="E196" s="23">
        <v>7.5800000000000006E-2</v>
      </c>
      <c r="F196" s="23">
        <f>YEAR('Merged raw data'!$B196)</f>
        <v>2011</v>
      </c>
      <c r="G196" s="23" t="str">
        <f>TEXT('Merged raw data'!$B196,"mmmm")</f>
        <v>January</v>
      </c>
      <c r="H196" s="37" t="str">
        <f>TEXT(TIME('Merged raw data'!F196,0,0),"h AM/PM")</f>
        <v>9 AM</v>
      </c>
      <c r="I196" s="23" t="str">
        <f>IF(OR('Merged raw data'!H196=1,'Merged raw data'!H196=2,'Merged raw data'!H196=3,'Merged raw data'!H196=4,'Merged raw data'!H196=5),"weekday","weekend")</f>
        <v>weekend</v>
      </c>
      <c r="J196" s="23" t="s">
        <v>23</v>
      </c>
      <c r="K196" s="23" t="str">
        <f>IF('Merged raw data'!I196=1,"Clear",IF('Merged raw data'!I196=2,"Mist",IF('Merged raw data'!I196=3,"Rain",IF('Merged raw data'!I196=4,"Storm","NA"))))</f>
        <v>Clear</v>
      </c>
      <c r="L196" s="24">
        <v>0.46</v>
      </c>
      <c r="M196" s="24">
        <v>0.52239999999999998</v>
      </c>
      <c r="N196" s="21">
        <f>'Merged raw data'!$J196*100</f>
        <v>12</v>
      </c>
      <c r="O196" s="21">
        <v>0</v>
      </c>
      <c r="P196" s="21">
        <v>19</v>
      </c>
      <c r="Q196" s="21">
        <v>19</v>
      </c>
      <c r="R196" s="21" t="str">
        <f>IF(Q196&gt;=outliers!I198,"High",IF(Q196&lt;=outliers!I197,"Low","Moderate"))</f>
        <v>High</v>
      </c>
      <c r="S196" s="8" t="str">
        <f>IF(OR(Q196&lt;outliers!$I$6,Q196&gt;outliers!$I$7),"Outlier","Normal")</f>
        <v>Normal</v>
      </c>
      <c r="T196" s="8" t="str">
        <f>IF(OR(L196&lt;outliers!$J$6,L196&gt;outliers!$J$7),"Outlier","Normal")</f>
        <v>Normal</v>
      </c>
      <c r="U196" s="8" t="str">
        <f>IF(OR(M196&lt;outliers!$K$6,M196&gt;outliers!$K$7),"Outlier","Normal")</f>
        <v>Outlier</v>
      </c>
    </row>
    <row r="197" spans="1:21">
      <c r="A197" s="21">
        <v>196</v>
      </c>
      <c r="B197" s="68">
        <v>40552</v>
      </c>
      <c r="C197" s="22" t="b">
        <v>0</v>
      </c>
      <c r="D197" s="21" t="str">
        <f t="shared" si="3"/>
        <v>Sunday</v>
      </c>
      <c r="E197" s="23">
        <v>0.1061</v>
      </c>
      <c r="F197" s="23">
        <f>YEAR('Merged raw data'!$B197)</f>
        <v>2011</v>
      </c>
      <c r="G197" s="23" t="str">
        <f>TEXT('Merged raw data'!$B197,"mmmm")</f>
        <v>January</v>
      </c>
      <c r="H197" s="37" t="str">
        <f>TEXT(TIME('Merged raw data'!F197,0,0),"h AM/PM")</f>
        <v>10 AM</v>
      </c>
      <c r="I197" s="23" t="str">
        <f>IF(OR('Merged raw data'!H197=1,'Merged raw data'!H197=2,'Merged raw data'!H197=3,'Merged raw data'!H197=4,'Merged raw data'!H197=5),"weekday","weekend")</f>
        <v>weekend</v>
      </c>
      <c r="J197" s="23" t="s">
        <v>23</v>
      </c>
      <c r="K197" s="23" t="str">
        <f>IF('Merged raw data'!I197=1,"Clear",IF('Merged raw data'!I197=2,"Mist",IF('Merged raw data'!I197=3,"Rain",IF('Merged raw data'!I197=4,"Storm","NA"))))</f>
        <v>Clear</v>
      </c>
      <c r="L197" s="24">
        <v>0.43</v>
      </c>
      <c r="M197" s="24">
        <v>0.3881</v>
      </c>
      <c r="N197" s="21">
        <f>'Merged raw data'!$J197*100</f>
        <v>14.000000000000002</v>
      </c>
      <c r="O197" s="21">
        <v>0</v>
      </c>
      <c r="P197" s="21">
        <v>49</v>
      </c>
      <c r="Q197" s="21">
        <v>49</v>
      </c>
      <c r="R197" s="21" t="str">
        <f>IF(Q197&gt;=outliers!I199,"High",IF(Q197&lt;=outliers!I198,"Low","Moderate"))</f>
        <v>High</v>
      </c>
      <c r="S197" s="8" t="str">
        <f>IF(OR(Q197&lt;outliers!$I$6,Q197&gt;outliers!$I$7),"Outlier","Normal")</f>
        <v>Normal</v>
      </c>
      <c r="T197" s="8" t="str">
        <f>IF(OR(L197&lt;outliers!$J$6,L197&gt;outliers!$J$7),"Outlier","Normal")</f>
        <v>Normal</v>
      </c>
      <c r="U197" s="8" t="str">
        <f>IF(OR(M197&lt;outliers!$K$6,M197&gt;outliers!$K$7),"Outlier","Normal")</f>
        <v>Normal</v>
      </c>
    </row>
    <row r="198" spans="1:21">
      <c r="A198" s="21">
        <v>197</v>
      </c>
      <c r="B198" s="68">
        <v>40552</v>
      </c>
      <c r="C198" s="22" t="b">
        <v>0</v>
      </c>
      <c r="D198" s="21" t="str">
        <f t="shared" si="3"/>
        <v>Sunday</v>
      </c>
      <c r="E198" s="23">
        <v>0.1212</v>
      </c>
      <c r="F198" s="23">
        <f>YEAR('Merged raw data'!$B198)</f>
        <v>2011</v>
      </c>
      <c r="G198" s="23" t="str">
        <f>TEXT('Merged raw data'!$B198,"mmmm")</f>
        <v>January</v>
      </c>
      <c r="H198" s="37" t="str">
        <f>TEXT(TIME('Merged raw data'!F198,0,0),"h AM/PM")</f>
        <v>11 AM</v>
      </c>
      <c r="I198" s="23" t="str">
        <f>IF(OR('Merged raw data'!H198=1,'Merged raw data'!H198=2,'Merged raw data'!H198=3,'Merged raw data'!H198=4,'Merged raw data'!H198=5),"weekday","weekend")</f>
        <v>weekend</v>
      </c>
      <c r="J198" s="23" t="s">
        <v>23</v>
      </c>
      <c r="K198" s="23" t="str">
        <f>IF('Merged raw data'!I198=1,"Clear",IF('Merged raw data'!I198=2,"Mist",IF('Merged raw data'!I198=3,"Rain",IF('Merged raw data'!I198=4,"Storm","NA"))))</f>
        <v>Clear</v>
      </c>
      <c r="L198" s="24">
        <v>0.4</v>
      </c>
      <c r="M198" s="24">
        <v>0.52239999999999998</v>
      </c>
      <c r="N198" s="21">
        <f>'Merged raw data'!$J198*100</f>
        <v>16</v>
      </c>
      <c r="O198" s="21">
        <v>2</v>
      </c>
      <c r="P198" s="21">
        <v>47</v>
      </c>
      <c r="Q198" s="21">
        <v>49</v>
      </c>
      <c r="R198" s="21" t="str">
        <f>IF(Q198&gt;=outliers!I200,"High",IF(Q198&lt;=outliers!I199,"Low","Moderate"))</f>
        <v>High</v>
      </c>
      <c r="S198" s="8" t="str">
        <f>IF(OR(Q198&lt;outliers!$I$6,Q198&gt;outliers!$I$7),"Outlier","Normal")</f>
        <v>Normal</v>
      </c>
      <c r="T198" s="8" t="str">
        <f>IF(OR(L198&lt;outliers!$J$6,L198&gt;outliers!$J$7),"Outlier","Normal")</f>
        <v>Normal</v>
      </c>
      <c r="U198" s="8" t="str">
        <f>IF(OR(M198&lt;outliers!$K$6,M198&gt;outliers!$K$7),"Outlier","Normal")</f>
        <v>Outlier</v>
      </c>
    </row>
    <row r="199" spans="1:21">
      <c r="A199" s="21">
        <v>198</v>
      </c>
      <c r="B199" s="68">
        <v>40552</v>
      </c>
      <c r="C199" s="22" t="b">
        <v>0</v>
      </c>
      <c r="D199" s="21" t="str">
        <f t="shared" si="3"/>
        <v>Sunday</v>
      </c>
      <c r="E199" s="23">
        <v>0.13639999999999999</v>
      </c>
      <c r="F199" s="23">
        <f>YEAR('Merged raw data'!$B199)</f>
        <v>2011</v>
      </c>
      <c r="G199" s="23" t="str">
        <f>TEXT('Merged raw data'!$B199,"mmmm")</f>
        <v>January</v>
      </c>
      <c r="H199" s="37" t="str">
        <f>TEXT(TIME('Merged raw data'!F199,0,0),"h AM/PM")</f>
        <v>12 PM</v>
      </c>
      <c r="I199" s="23" t="str">
        <f>IF(OR('Merged raw data'!H199=1,'Merged raw data'!H199=2,'Merged raw data'!H199=3,'Merged raw data'!H199=4,'Merged raw data'!H199=5),"weekday","weekend")</f>
        <v>weekend</v>
      </c>
      <c r="J199" s="23" t="s">
        <v>23</v>
      </c>
      <c r="K199" s="23" t="str">
        <f>IF('Merged raw data'!I199=1,"Clear",IF('Merged raw data'!I199=2,"Mist",IF('Merged raw data'!I199=3,"Rain",IF('Merged raw data'!I199=4,"Storm","NA"))))</f>
        <v>Clear</v>
      </c>
      <c r="L199" s="24">
        <v>0.37</v>
      </c>
      <c r="M199" s="24">
        <v>0.44779999999999998</v>
      </c>
      <c r="N199" s="21">
        <f>'Merged raw data'!$J199*100</f>
        <v>18</v>
      </c>
      <c r="O199" s="21">
        <v>4</v>
      </c>
      <c r="P199" s="21">
        <v>79</v>
      </c>
      <c r="Q199" s="21">
        <v>83</v>
      </c>
      <c r="R199" s="21" t="str">
        <f>IF(Q199&gt;=outliers!I201,"High",IF(Q199&lt;=outliers!I200,"Low","Moderate"))</f>
        <v>High</v>
      </c>
      <c r="S199" s="8" t="str">
        <f>IF(OR(Q199&lt;outliers!$I$6,Q199&gt;outliers!$I$7),"Outlier","Normal")</f>
        <v>Normal</v>
      </c>
      <c r="T199" s="8" t="str">
        <f>IF(OR(L199&lt;outliers!$J$6,L199&gt;outliers!$J$7),"Outlier","Normal")</f>
        <v>Normal</v>
      </c>
      <c r="U199" s="8" t="str">
        <f>IF(OR(M199&lt;outliers!$K$6,M199&gt;outliers!$K$7),"Outlier","Normal")</f>
        <v>Normal</v>
      </c>
    </row>
    <row r="200" spans="1:21">
      <c r="A200" s="21">
        <v>199</v>
      </c>
      <c r="B200" s="68">
        <v>40552</v>
      </c>
      <c r="C200" s="22" t="b">
        <v>0</v>
      </c>
      <c r="D200" s="21" t="str">
        <f t="shared" si="3"/>
        <v>Sunday</v>
      </c>
      <c r="E200" s="23">
        <v>0.16669999999999999</v>
      </c>
      <c r="F200" s="23">
        <f>YEAR('Merged raw data'!$B200)</f>
        <v>2011</v>
      </c>
      <c r="G200" s="23" t="str">
        <f>TEXT('Merged raw data'!$B200,"mmmm")</f>
        <v>January</v>
      </c>
      <c r="H200" s="37" t="str">
        <f>TEXT(TIME('Merged raw data'!F200,0,0),"h AM/PM")</f>
        <v>1 PM</v>
      </c>
      <c r="I200" s="23" t="str">
        <f>IF(OR('Merged raw data'!H200=1,'Merged raw data'!H200=2,'Merged raw data'!H200=3,'Merged raw data'!H200=4,'Merged raw data'!H200=5),"weekday","weekend")</f>
        <v>weekend</v>
      </c>
      <c r="J200" s="23" t="s">
        <v>23</v>
      </c>
      <c r="K200" s="23" t="str">
        <f>IF('Merged raw data'!I200=1,"Clear",IF('Merged raw data'!I200=2,"Mist",IF('Merged raw data'!I200=3,"Rain",IF('Merged raw data'!I200=4,"Storm","NA"))))</f>
        <v>Clear</v>
      </c>
      <c r="L200" s="24">
        <v>0.34</v>
      </c>
      <c r="M200" s="24">
        <v>0.44779999999999998</v>
      </c>
      <c r="N200" s="21">
        <f>'Merged raw data'!$J200*100</f>
        <v>20</v>
      </c>
      <c r="O200" s="21">
        <v>6</v>
      </c>
      <c r="P200" s="21">
        <v>69</v>
      </c>
      <c r="Q200" s="21">
        <v>75</v>
      </c>
      <c r="R200" s="21" t="str">
        <f>IF(Q200&gt;=outliers!I202,"High",IF(Q200&lt;=outliers!I201,"Low","Moderate"))</f>
        <v>High</v>
      </c>
      <c r="S200" s="8" t="str">
        <f>IF(OR(Q200&lt;outliers!$I$6,Q200&gt;outliers!$I$7),"Outlier","Normal")</f>
        <v>Normal</v>
      </c>
      <c r="T200" s="8" t="str">
        <f>IF(OR(L200&lt;outliers!$J$6,L200&gt;outliers!$J$7),"Outlier","Normal")</f>
        <v>Normal</v>
      </c>
      <c r="U200" s="8" t="str">
        <f>IF(OR(M200&lt;outliers!$K$6,M200&gt;outliers!$K$7),"Outlier","Normal")</f>
        <v>Normal</v>
      </c>
    </row>
    <row r="201" spans="1:21">
      <c r="A201" s="21">
        <v>200</v>
      </c>
      <c r="B201" s="68">
        <v>40552</v>
      </c>
      <c r="C201" s="22" t="b">
        <v>0</v>
      </c>
      <c r="D201" s="21" t="str">
        <f t="shared" si="3"/>
        <v>Sunday</v>
      </c>
      <c r="E201" s="23">
        <v>0.18179999999999999</v>
      </c>
      <c r="F201" s="23">
        <f>YEAR('Merged raw data'!$B201)</f>
        <v>2011</v>
      </c>
      <c r="G201" s="23" t="str">
        <f>TEXT('Merged raw data'!$B201,"mmmm")</f>
        <v>January</v>
      </c>
      <c r="H201" s="37" t="str">
        <f>TEXT(TIME('Merged raw data'!F201,0,0),"h AM/PM")</f>
        <v>2 PM</v>
      </c>
      <c r="I201" s="23" t="str">
        <f>IF(OR('Merged raw data'!H201=1,'Merged raw data'!H201=2,'Merged raw data'!H201=3,'Merged raw data'!H201=4,'Merged raw data'!H201=5),"weekday","weekend")</f>
        <v>weekend</v>
      </c>
      <c r="J201" s="23" t="s">
        <v>23</v>
      </c>
      <c r="K201" s="23" t="str">
        <f>IF('Merged raw data'!I201=1,"Clear",IF('Merged raw data'!I201=2,"Mist",IF('Merged raw data'!I201=3,"Rain",IF('Merged raw data'!I201=4,"Storm","NA"))))</f>
        <v>Clear</v>
      </c>
      <c r="L201" s="24">
        <v>0.32</v>
      </c>
      <c r="M201" s="24">
        <v>0.4627</v>
      </c>
      <c r="N201" s="21">
        <f>'Merged raw data'!$J201*100</f>
        <v>22</v>
      </c>
      <c r="O201" s="21">
        <v>8</v>
      </c>
      <c r="P201" s="21">
        <v>64</v>
      </c>
      <c r="Q201" s="21">
        <v>72</v>
      </c>
      <c r="R201" s="21" t="str">
        <f>IF(Q201&gt;=outliers!I203,"High",IF(Q201&lt;=outliers!I202,"Low","Moderate"))</f>
        <v>High</v>
      </c>
      <c r="S201" s="8" t="str">
        <f>IF(OR(Q201&lt;outliers!$I$6,Q201&gt;outliers!$I$7),"Outlier","Normal")</f>
        <v>Normal</v>
      </c>
      <c r="T201" s="8" t="str">
        <f>IF(OR(L201&lt;outliers!$J$6,L201&gt;outliers!$J$7),"Outlier","Normal")</f>
        <v>Normal</v>
      </c>
      <c r="U201" s="8" t="str">
        <f>IF(OR(M201&lt;outliers!$K$6,M201&gt;outliers!$K$7),"Outlier","Normal")</f>
        <v>Normal</v>
      </c>
    </row>
    <row r="202" spans="1:21">
      <c r="A202" s="21">
        <v>201</v>
      </c>
      <c r="B202" s="68">
        <v>40552</v>
      </c>
      <c r="C202" s="22" t="b">
        <v>0</v>
      </c>
      <c r="D202" s="21" t="str">
        <f t="shared" si="3"/>
        <v>Sunday</v>
      </c>
      <c r="E202" s="23">
        <v>0.19700000000000001</v>
      </c>
      <c r="F202" s="23">
        <f>YEAR('Merged raw data'!$B202)</f>
        <v>2011</v>
      </c>
      <c r="G202" s="23" t="str">
        <f>TEXT('Merged raw data'!$B202,"mmmm")</f>
        <v>January</v>
      </c>
      <c r="H202" s="37" t="str">
        <f>TEXT(TIME('Merged raw data'!F202,0,0),"h AM/PM")</f>
        <v>3 PM</v>
      </c>
      <c r="I202" s="23" t="str">
        <f>IF(OR('Merged raw data'!H202=1,'Merged raw data'!H202=2,'Merged raw data'!H202=3,'Merged raw data'!H202=4,'Merged raw data'!H202=5),"weekday","weekend")</f>
        <v>weekend</v>
      </c>
      <c r="J202" s="23" t="s">
        <v>23</v>
      </c>
      <c r="K202" s="23" t="str">
        <f>IF('Merged raw data'!I202=1,"Clear",IF('Merged raw data'!I202=2,"Mist",IF('Merged raw data'!I202=3,"Rain",IF('Merged raw data'!I202=4,"Storm","NA"))))</f>
        <v>Clear</v>
      </c>
      <c r="L202" s="24">
        <v>0.35</v>
      </c>
      <c r="M202" s="24">
        <v>0.35820000000000002</v>
      </c>
      <c r="N202" s="21">
        <f>'Merged raw data'!$J202*100</f>
        <v>22</v>
      </c>
      <c r="O202" s="21">
        <v>5</v>
      </c>
      <c r="P202" s="21">
        <v>77</v>
      </c>
      <c r="Q202" s="21">
        <v>82</v>
      </c>
      <c r="R202" s="21" t="str">
        <f>IF(Q202&gt;=outliers!I204,"High",IF(Q202&lt;=outliers!I203,"Low","Moderate"))</f>
        <v>High</v>
      </c>
      <c r="S202" s="8" t="str">
        <f>IF(OR(Q202&lt;outliers!$I$6,Q202&gt;outliers!$I$7),"Outlier","Normal")</f>
        <v>Normal</v>
      </c>
      <c r="T202" s="8" t="str">
        <f>IF(OR(L202&lt;outliers!$J$6,L202&gt;outliers!$J$7),"Outlier","Normal")</f>
        <v>Normal</v>
      </c>
      <c r="U202" s="8" t="str">
        <f>IF(OR(M202&lt;outliers!$K$6,M202&gt;outliers!$K$7),"Outlier","Normal")</f>
        <v>Normal</v>
      </c>
    </row>
    <row r="203" spans="1:21">
      <c r="A203" s="21">
        <v>202</v>
      </c>
      <c r="B203" s="68">
        <v>40552</v>
      </c>
      <c r="C203" s="22" t="b">
        <v>0</v>
      </c>
      <c r="D203" s="21" t="str">
        <f t="shared" si="3"/>
        <v>Sunday</v>
      </c>
      <c r="E203" s="23">
        <v>0.16669999999999999</v>
      </c>
      <c r="F203" s="23">
        <f>YEAR('Merged raw data'!$B203)</f>
        <v>2011</v>
      </c>
      <c r="G203" s="23" t="str">
        <f>TEXT('Merged raw data'!$B203,"mmmm")</f>
        <v>January</v>
      </c>
      <c r="H203" s="37" t="str">
        <f>TEXT(TIME('Merged raw data'!F203,0,0),"h AM/PM")</f>
        <v>4 PM</v>
      </c>
      <c r="I203" s="23" t="str">
        <f>IF(OR('Merged raw data'!H203=1,'Merged raw data'!H203=2,'Merged raw data'!H203=3,'Merged raw data'!H203=4,'Merged raw data'!H203=5),"weekday","weekend")</f>
        <v>weekend</v>
      </c>
      <c r="J203" s="23" t="s">
        <v>23</v>
      </c>
      <c r="K203" s="23" t="str">
        <f>IF('Merged raw data'!I203=1,"Clear",IF('Merged raw data'!I203=2,"Mist",IF('Merged raw data'!I203=3,"Rain",IF('Merged raw data'!I203=4,"Storm","NA"))))</f>
        <v>Clear</v>
      </c>
      <c r="L203" s="24">
        <v>0.34</v>
      </c>
      <c r="M203" s="24">
        <v>0.44779999999999998</v>
      </c>
      <c r="N203" s="21">
        <f>'Merged raw data'!$J203*100</f>
        <v>20</v>
      </c>
      <c r="O203" s="21">
        <v>13</v>
      </c>
      <c r="P203" s="21">
        <v>79</v>
      </c>
      <c r="Q203" s="21">
        <v>92</v>
      </c>
      <c r="R203" s="21" t="str">
        <f>IF(Q203&gt;=outliers!I205,"High",IF(Q203&lt;=outliers!I204,"Low","Moderate"))</f>
        <v>High</v>
      </c>
      <c r="S203" s="8" t="str">
        <f>IF(OR(Q203&lt;outliers!$I$6,Q203&gt;outliers!$I$7),"Outlier","Normal")</f>
        <v>Normal</v>
      </c>
      <c r="T203" s="8" t="str">
        <f>IF(OR(L203&lt;outliers!$J$6,L203&gt;outliers!$J$7),"Outlier","Normal")</f>
        <v>Normal</v>
      </c>
      <c r="U203" s="8" t="str">
        <f>IF(OR(M203&lt;outliers!$K$6,M203&gt;outliers!$K$7),"Outlier","Normal")</f>
        <v>Normal</v>
      </c>
    </row>
    <row r="204" spans="1:21">
      <c r="A204" s="21">
        <v>203</v>
      </c>
      <c r="B204" s="68">
        <v>40552</v>
      </c>
      <c r="C204" s="22" t="b">
        <v>0</v>
      </c>
      <c r="D204" s="21" t="str">
        <f t="shared" si="3"/>
        <v>Sunday</v>
      </c>
      <c r="E204" s="23">
        <v>0.1515</v>
      </c>
      <c r="F204" s="23">
        <f>YEAR('Merged raw data'!$B204)</f>
        <v>2011</v>
      </c>
      <c r="G204" s="23" t="str">
        <f>TEXT('Merged raw data'!$B204,"mmmm")</f>
        <v>January</v>
      </c>
      <c r="H204" s="37" t="str">
        <f>TEXT(TIME('Merged raw data'!F204,0,0),"h AM/PM")</f>
        <v>5 PM</v>
      </c>
      <c r="I204" s="23" t="str">
        <f>IF(OR('Merged raw data'!H204=1,'Merged raw data'!H204=2,'Merged raw data'!H204=3,'Merged raw data'!H204=4,'Merged raw data'!H204=5),"weekday","weekend")</f>
        <v>weekend</v>
      </c>
      <c r="J204" s="23" t="s">
        <v>23</v>
      </c>
      <c r="K204" s="23" t="str">
        <f>IF('Merged raw data'!I204=1,"Clear",IF('Merged raw data'!I204=2,"Mist",IF('Merged raw data'!I204=3,"Rain",IF('Merged raw data'!I204=4,"Storm","NA"))))</f>
        <v>Clear</v>
      </c>
      <c r="L204" s="24">
        <v>0.37</v>
      </c>
      <c r="M204" s="24">
        <v>0.3881</v>
      </c>
      <c r="N204" s="21">
        <f>'Merged raw data'!$J204*100</f>
        <v>18</v>
      </c>
      <c r="O204" s="21">
        <v>3</v>
      </c>
      <c r="P204" s="21">
        <v>59</v>
      </c>
      <c r="Q204" s="21">
        <v>62</v>
      </c>
      <c r="R204" s="21" t="str">
        <f>IF(Q204&gt;=outliers!I206,"High",IF(Q204&lt;=outliers!I205,"Low","Moderate"))</f>
        <v>High</v>
      </c>
      <c r="S204" s="8" t="str">
        <f>IF(OR(Q204&lt;outliers!$I$6,Q204&gt;outliers!$I$7),"Outlier","Normal")</f>
        <v>Normal</v>
      </c>
      <c r="T204" s="8" t="str">
        <f>IF(OR(L204&lt;outliers!$J$6,L204&gt;outliers!$J$7),"Outlier","Normal")</f>
        <v>Normal</v>
      </c>
      <c r="U204" s="8" t="str">
        <f>IF(OR(M204&lt;outliers!$K$6,M204&gt;outliers!$K$7),"Outlier","Normal")</f>
        <v>Normal</v>
      </c>
    </row>
    <row r="205" spans="1:21">
      <c r="A205" s="21">
        <v>204</v>
      </c>
      <c r="B205" s="68">
        <v>40552</v>
      </c>
      <c r="C205" s="22" t="b">
        <v>0</v>
      </c>
      <c r="D205" s="21" t="str">
        <f t="shared" si="3"/>
        <v>Sunday</v>
      </c>
      <c r="E205" s="23">
        <v>0.13639999999999999</v>
      </c>
      <c r="F205" s="23">
        <f>YEAR('Merged raw data'!$B205)</f>
        <v>2011</v>
      </c>
      <c r="G205" s="23" t="str">
        <f>TEXT('Merged raw data'!$B205,"mmmm")</f>
        <v>January</v>
      </c>
      <c r="H205" s="37" t="str">
        <f>TEXT(TIME('Merged raw data'!F205,0,0),"h AM/PM")</f>
        <v>6 PM</v>
      </c>
      <c r="I205" s="23" t="str">
        <f>IF(OR('Merged raw data'!H205=1,'Merged raw data'!H205=2,'Merged raw data'!H205=3,'Merged raw data'!H205=4,'Merged raw data'!H205=5),"weekday","weekend")</f>
        <v>weekend</v>
      </c>
      <c r="J205" s="23" t="s">
        <v>23</v>
      </c>
      <c r="K205" s="23" t="str">
        <f>IF('Merged raw data'!I205=1,"Clear",IF('Merged raw data'!I205=2,"Mist",IF('Merged raw data'!I205=3,"Rain",IF('Merged raw data'!I205=4,"Storm","NA"))))</f>
        <v>Clear</v>
      </c>
      <c r="L205" s="24">
        <v>0.4</v>
      </c>
      <c r="M205" s="24">
        <v>0.32840000000000003</v>
      </c>
      <c r="N205" s="21">
        <f>'Merged raw data'!$J205*100</f>
        <v>16</v>
      </c>
      <c r="O205" s="21">
        <v>4</v>
      </c>
      <c r="P205" s="21">
        <v>44</v>
      </c>
      <c r="Q205" s="21">
        <v>48</v>
      </c>
      <c r="R205" s="21" t="str">
        <f>IF(Q205&gt;=outliers!I207,"High",IF(Q205&lt;=outliers!I206,"Low","Moderate"))</f>
        <v>High</v>
      </c>
      <c r="S205" s="8" t="str">
        <f>IF(OR(Q205&lt;outliers!$I$6,Q205&gt;outliers!$I$7),"Outlier","Normal")</f>
        <v>Normal</v>
      </c>
      <c r="T205" s="8" t="str">
        <f>IF(OR(L205&lt;outliers!$J$6,L205&gt;outliers!$J$7),"Outlier","Normal")</f>
        <v>Normal</v>
      </c>
      <c r="U205" s="8" t="str">
        <f>IF(OR(M205&lt;outliers!$K$6,M205&gt;outliers!$K$7),"Outlier","Normal")</f>
        <v>Normal</v>
      </c>
    </row>
    <row r="206" spans="1:21">
      <c r="A206" s="21">
        <v>205</v>
      </c>
      <c r="B206" s="68">
        <v>40552</v>
      </c>
      <c r="C206" s="22" t="b">
        <v>0</v>
      </c>
      <c r="D206" s="21" t="str">
        <f t="shared" si="3"/>
        <v>Sunday</v>
      </c>
      <c r="E206" s="23">
        <v>0.13639999999999999</v>
      </c>
      <c r="F206" s="23">
        <f>YEAR('Merged raw data'!$B206)</f>
        <v>2011</v>
      </c>
      <c r="G206" s="23" t="str">
        <f>TEXT('Merged raw data'!$B206,"mmmm")</f>
        <v>January</v>
      </c>
      <c r="H206" s="37" t="str">
        <f>TEXT(TIME('Merged raw data'!F206,0,0),"h AM/PM")</f>
        <v>7 PM</v>
      </c>
      <c r="I206" s="23" t="str">
        <f>IF(OR('Merged raw data'!H206=1,'Merged raw data'!H206=2,'Merged raw data'!H206=3,'Merged raw data'!H206=4,'Merged raw data'!H206=5),"weekday","weekend")</f>
        <v>weekend</v>
      </c>
      <c r="J206" s="23" t="s">
        <v>23</v>
      </c>
      <c r="K206" s="23" t="str">
        <f>IF('Merged raw data'!I206=1,"Clear",IF('Merged raw data'!I206=2,"Mist",IF('Merged raw data'!I206=3,"Rain",IF('Merged raw data'!I206=4,"Storm","NA"))))</f>
        <v>Clear</v>
      </c>
      <c r="L206" s="24">
        <v>0.43</v>
      </c>
      <c r="M206" s="24">
        <v>0.32840000000000003</v>
      </c>
      <c r="N206" s="21">
        <f>'Merged raw data'!$J206*100</f>
        <v>16</v>
      </c>
      <c r="O206" s="21">
        <v>1</v>
      </c>
      <c r="P206" s="21">
        <v>40</v>
      </c>
      <c r="Q206" s="21">
        <v>41</v>
      </c>
      <c r="R206" s="21" t="str">
        <f>IF(Q206&gt;=outliers!I208,"High",IF(Q206&lt;=outliers!I207,"Low","Moderate"))</f>
        <v>High</v>
      </c>
      <c r="S206" s="8" t="str">
        <f>IF(OR(Q206&lt;outliers!$I$6,Q206&gt;outliers!$I$7),"Outlier","Normal")</f>
        <v>Normal</v>
      </c>
      <c r="T206" s="8" t="str">
        <f>IF(OR(L206&lt;outliers!$J$6,L206&gt;outliers!$J$7),"Outlier","Normal")</f>
        <v>Normal</v>
      </c>
      <c r="U206" s="8" t="str">
        <f>IF(OR(M206&lt;outliers!$K$6,M206&gt;outliers!$K$7),"Outlier","Normal")</f>
        <v>Normal</v>
      </c>
    </row>
    <row r="207" spans="1:21">
      <c r="A207" s="21">
        <v>206</v>
      </c>
      <c r="B207" s="68">
        <v>40552</v>
      </c>
      <c r="C207" s="22" t="b">
        <v>0</v>
      </c>
      <c r="D207" s="21" t="str">
        <f t="shared" si="3"/>
        <v>Sunday</v>
      </c>
      <c r="E207" s="23">
        <v>0.1212</v>
      </c>
      <c r="F207" s="23">
        <f>YEAR('Merged raw data'!$B207)</f>
        <v>2011</v>
      </c>
      <c r="G207" s="23" t="str">
        <f>TEXT('Merged raw data'!$B207,"mmmm")</f>
        <v>January</v>
      </c>
      <c r="H207" s="37" t="str">
        <f>TEXT(TIME('Merged raw data'!F207,0,0),"h AM/PM")</f>
        <v>8 PM</v>
      </c>
      <c r="I207" s="23" t="str">
        <f>IF(OR('Merged raw data'!H207=1,'Merged raw data'!H207=2,'Merged raw data'!H207=3,'Merged raw data'!H207=4,'Merged raw data'!H207=5),"weekday","weekend")</f>
        <v>weekend</v>
      </c>
      <c r="J207" s="23" t="s">
        <v>23</v>
      </c>
      <c r="K207" s="23" t="str">
        <f>IF('Merged raw data'!I207=1,"Clear",IF('Merged raw data'!I207=2,"Mist",IF('Merged raw data'!I207=3,"Rain",IF('Merged raw data'!I207=4,"Storm","NA"))))</f>
        <v>Clear</v>
      </c>
      <c r="L207" s="24">
        <v>0.46</v>
      </c>
      <c r="M207" s="24">
        <v>0.25369999999999998</v>
      </c>
      <c r="N207" s="21">
        <f>'Merged raw data'!$J207*100</f>
        <v>14.000000000000002</v>
      </c>
      <c r="O207" s="21">
        <v>0</v>
      </c>
      <c r="P207" s="21">
        <v>38</v>
      </c>
      <c r="Q207" s="21">
        <v>38</v>
      </c>
      <c r="R207" s="21" t="str">
        <f>IF(Q207&gt;=outliers!I209,"High",IF(Q207&lt;=outliers!I208,"Low","Moderate"))</f>
        <v>High</v>
      </c>
      <c r="S207" s="8" t="str">
        <f>IF(OR(Q207&lt;outliers!$I$6,Q207&gt;outliers!$I$7),"Outlier","Normal")</f>
        <v>Normal</v>
      </c>
      <c r="T207" s="8" t="str">
        <f>IF(OR(L207&lt;outliers!$J$6,L207&gt;outliers!$J$7),"Outlier","Normal")</f>
        <v>Normal</v>
      </c>
      <c r="U207" s="8" t="str">
        <f>IF(OR(M207&lt;outliers!$K$6,M207&gt;outliers!$K$7),"Outlier","Normal")</f>
        <v>Normal</v>
      </c>
    </row>
    <row r="208" spans="1:21">
      <c r="A208" s="21">
        <v>207</v>
      </c>
      <c r="B208" s="68">
        <v>40552</v>
      </c>
      <c r="C208" s="22" t="b">
        <v>0</v>
      </c>
      <c r="D208" s="21" t="str">
        <f t="shared" si="3"/>
        <v>Sunday</v>
      </c>
      <c r="E208" s="23">
        <v>0.1061</v>
      </c>
      <c r="F208" s="23">
        <f>YEAR('Merged raw data'!$B208)</f>
        <v>2011</v>
      </c>
      <c r="G208" s="23" t="str">
        <f>TEXT('Merged raw data'!$B208,"mmmm")</f>
        <v>January</v>
      </c>
      <c r="H208" s="37" t="str">
        <f>TEXT(TIME('Merged raw data'!F208,0,0),"h AM/PM")</f>
        <v>9 PM</v>
      </c>
      <c r="I208" s="23" t="str">
        <f>IF(OR('Merged raw data'!H208=1,'Merged raw data'!H208=2,'Merged raw data'!H208=3,'Merged raw data'!H208=4,'Merged raw data'!H208=5),"weekday","weekend")</f>
        <v>weekend</v>
      </c>
      <c r="J208" s="23" t="s">
        <v>23</v>
      </c>
      <c r="K208" s="23" t="str">
        <f>IF('Merged raw data'!I208=1,"Clear",IF('Merged raw data'!I208=2,"Mist",IF('Merged raw data'!I208=3,"Rain",IF('Merged raw data'!I208=4,"Storm","NA"))))</f>
        <v>Clear</v>
      </c>
      <c r="L208" s="24">
        <v>0.46</v>
      </c>
      <c r="M208" s="24">
        <v>0.41789999999999999</v>
      </c>
      <c r="N208" s="21">
        <f>'Merged raw data'!$J208*100</f>
        <v>14.000000000000002</v>
      </c>
      <c r="O208" s="21">
        <v>1</v>
      </c>
      <c r="P208" s="21">
        <v>19</v>
      </c>
      <c r="Q208" s="21">
        <v>20</v>
      </c>
      <c r="R208" s="21" t="str">
        <f>IF(Q208&gt;=outliers!I210,"High",IF(Q208&lt;=outliers!I209,"Low","Moderate"))</f>
        <v>High</v>
      </c>
      <c r="S208" s="8" t="str">
        <f>IF(OR(Q208&lt;outliers!$I$6,Q208&gt;outliers!$I$7),"Outlier","Normal")</f>
        <v>Normal</v>
      </c>
      <c r="T208" s="8" t="str">
        <f>IF(OR(L208&lt;outliers!$J$6,L208&gt;outliers!$J$7),"Outlier","Normal")</f>
        <v>Normal</v>
      </c>
      <c r="U208" s="8" t="str">
        <f>IF(OR(M208&lt;outliers!$K$6,M208&gt;outliers!$K$7),"Outlier","Normal")</f>
        <v>Normal</v>
      </c>
    </row>
    <row r="209" spans="1:21">
      <c r="A209" s="21">
        <v>208</v>
      </c>
      <c r="B209" s="68">
        <v>40552</v>
      </c>
      <c r="C209" s="22" t="b">
        <v>0</v>
      </c>
      <c r="D209" s="21" t="str">
        <f t="shared" si="3"/>
        <v>Sunday</v>
      </c>
      <c r="E209" s="23">
        <v>0.1212</v>
      </c>
      <c r="F209" s="23">
        <f>YEAR('Merged raw data'!$B209)</f>
        <v>2011</v>
      </c>
      <c r="G209" s="23" t="str">
        <f>TEXT('Merged raw data'!$B209,"mmmm")</f>
        <v>January</v>
      </c>
      <c r="H209" s="37" t="str">
        <f>TEXT(TIME('Merged raw data'!F209,0,0),"h AM/PM")</f>
        <v>10 PM</v>
      </c>
      <c r="I209" s="23" t="str">
        <f>IF(OR('Merged raw data'!H209=1,'Merged raw data'!H209=2,'Merged raw data'!H209=3,'Merged raw data'!H209=4,'Merged raw data'!H209=5),"weekday","weekend")</f>
        <v>weekend</v>
      </c>
      <c r="J209" s="23" t="s">
        <v>23</v>
      </c>
      <c r="K209" s="23" t="str">
        <f>IF('Merged raw data'!I209=1,"Clear",IF('Merged raw data'!I209=2,"Mist",IF('Merged raw data'!I209=3,"Rain",IF('Merged raw data'!I209=4,"Storm","NA"))))</f>
        <v>Clear</v>
      </c>
      <c r="L209" s="24">
        <v>0.46</v>
      </c>
      <c r="M209" s="24">
        <v>0.29849999999999999</v>
      </c>
      <c r="N209" s="21">
        <f>'Merged raw data'!$J209*100</f>
        <v>14.000000000000002</v>
      </c>
      <c r="O209" s="21">
        <v>5</v>
      </c>
      <c r="P209" s="21">
        <v>10</v>
      </c>
      <c r="Q209" s="21">
        <v>15</v>
      </c>
      <c r="R209" s="21" t="str">
        <f>IF(Q209&gt;=outliers!I211,"High",IF(Q209&lt;=outliers!I210,"Low","Moderate"))</f>
        <v>High</v>
      </c>
      <c r="S209" s="8" t="str">
        <f>IF(OR(Q209&lt;outliers!$I$6,Q209&gt;outliers!$I$7),"Outlier","Normal")</f>
        <v>Normal</v>
      </c>
      <c r="T209" s="8" t="str">
        <f>IF(OR(L209&lt;outliers!$J$6,L209&gt;outliers!$J$7),"Outlier","Normal")</f>
        <v>Normal</v>
      </c>
      <c r="U209" s="8" t="str">
        <f>IF(OR(M209&lt;outliers!$K$6,M209&gt;outliers!$K$7),"Outlier","Normal")</f>
        <v>Normal</v>
      </c>
    </row>
    <row r="210" spans="1:21">
      <c r="A210" s="21">
        <v>209</v>
      </c>
      <c r="B210" s="68">
        <v>40552</v>
      </c>
      <c r="C210" s="22" t="b">
        <v>0</v>
      </c>
      <c r="D210" s="21" t="str">
        <f t="shared" si="3"/>
        <v>Sunday</v>
      </c>
      <c r="E210" s="23">
        <v>0.13639999999999999</v>
      </c>
      <c r="F210" s="23">
        <f>YEAR('Merged raw data'!$B210)</f>
        <v>2011</v>
      </c>
      <c r="G210" s="23" t="str">
        <f>TEXT('Merged raw data'!$B210,"mmmm")</f>
        <v>January</v>
      </c>
      <c r="H210" s="37" t="str">
        <f>TEXT(TIME('Merged raw data'!F210,0,0),"h AM/PM")</f>
        <v>11 PM</v>
      </c>
      <c r="I210" s="23" t="str">
        <f>IF(OR('Merged raw data'!H210=1,'Merged raw data'!H210=2,'Merged raw data'!H210=3,'Merged raw data'!H210=4,'Merged raw data'!H210=5),"weekday","weekend")</f>
        <v>weekend</v>
      </c>
      <c r="J210" s="23" t="s">
        <v>23</v>
      </c>
      <c r="K210" s="23" t="str">
        <f>IF('Merged raw data'!I210=1,"Clear",IF('Merged raw data'!I210=2,"Mist",IF('Merged raw data'!I210=3,"Rain",IF('Merged raw data'!I210=4,"Storm","NA"))))</f>
        <v>Clear</v>
      </c>
      <c r="L210" s="24">
        <v>0.5</v>
      </c>
      <c r="M210" s="24">
        <v>0.19400000000000001</v>
      </c>
      <c r="N210" s="21">
        <f>'Merged raw data'!$J210*100</f>
        <v>12</v>
      </c>
      <c r="O210" s="21">
        <v>0</v>
      </c>
      <c r="P210" s="21">
        <v>6</v>
      </c>
      <c r="Q210" s="21">
        <v>6</v>
      </c>
      <c r="R210" s="21" t="str">
        <f>IF(Q210&gt;=outliers!I212,"High",IF(Q210&lt;=outliers!I211,"Low","Moderate"))</f>
        <v>High</v>
      </c>
      <c r="S210" s="8" t="str">
        <f>IF(OR(Q210&lt;outliers!$I$6,Q210&gt;outliers!$I$7),"Outlier","Normal")</f>
        <v>Normal</v>
      </c>
      <c r="T210" s="8" t="str">
        <f>IF(OR(L210&lt;outliers!$J$6,L210&gt;outliers!$J$7),"Outlier","Normal")</f>
        <v>Normal</v>
      </c>
      <c r="U210" s="8" t="str">
        <f>IF(OR(M210&lt;outliers!$K$6,M210&gt;outliers!$K$7),"Outlier","Normal")</f>
        <v>Normal</v>
      </c>
    </row>
    <row r="211" spans="1:21">
      <c r="A211" s="21">
        <v>210</v>
      </c>
      <c r="B211" s="68">
        <v>40553</v>
      </c>
      <c r="C211" s="22" t="b">
        <v>0</v>
      </c>
      <c r="D211" s="21" t="str">
        <f t="shared" si="3"/>
        <v>Monday</v>
      </c>
      <c r="E211" s="23">
        <v>0.1212</v>
      </c>
      <c r="F211" s="23">
        <f>YEAR('Merged raw data'!$B211)</f>
        <v>2011</v>
      </c>
      <c r="G211" s="23" t="str">
        <f>TEXT('Merged raw data'!$B211,"mmmm")</f>
        <v>January</v>
      </c>
      <c r="H211" s="37" t="str">
        <f>TEXT(TIME('Merged raw data'!F211,0,0),"h AM/PM")</f>
        <v>12 AM</v>
      </c>
      <c r="I211" s="23" t="str">
        <f>IF(OR('Merged raw data'!H211=1,'Merged raw data'!H211=2,'Merged raw data'!H211=3,'Merged raw data'!H211=4,'Merged raw data'!H211=5),"weekday","weekend")</f>
        <v>weekday</v>
      </c>
      <c r="J211" s="23" t="s">
        <v>23</v>
      </c>
      <c r="K211" s="23" t="str">
        <f>IF('Merged raw data'!I211=1,"Clear",IF('Merged raw data'!I211=2,"Mist",IF('Merged raw data'!I211=3,"Rain",IF('Merged raw data'!I211=4,"Storm","NA"))))</f>
        <v>Clear</v>
      </c>
      <c r="L211" s="24">
        <v>0.5</v>
      </c>
      <c r="M211" s="24">
        <v>0.28360000000000002</v>
      </c>
      <c r="N211" s="21">
        <f>'Merged raw data'!$J211*100</f>
        <v>12</v>
      </c>
      <c r="O211" s="21">
        <v>2</v>
      </c>
      <c r="P211" s="21">
        <v>3</v>
      </c>
      <c r="Q211" s="21">
        <v>5</v>
      </c>
      <c r="R211" s="21" t="str">
        <f>IF(Q211&gt;=outliers!I213,"High",IF(Q211&lt;=outliers!I212,"Low","Moderate"))</f>
        <v>High</v>
      </c>
      <c r="S211" s="8" t="str">
        <f>IF(OR(Q211&lt;outliers!$I$6,Q211&gt;outliers!$I$7),"Outlier","Normal")</f>
        <v>Normal</v>
      </c>
      <c r="T211" s="8" t="str">
        <f>IF(OR(L211&lt;outliers!$J$6,L211&gt;outliers!$J$7),"Outlier","Normal")</f>
        <v>Normal</v>
      </c>
      <c r="U211" s="8" t="str">
        <f>IF(OR(M211&lt;outliers!$K$6,M211&gt;outliers!$K$7),"Outlier","Normal")</f>
        <v>Normal</v>
      </c>
    </row>
    <row r="212" spans="1:21">
      <c r="A212" s="21">
        <v>211</v>
      </c>
      <c r="B212" s="68">
        <v>40553</v>
      </c>
      <c r="C212" s="22" t="b">
        <v>0</v>
      </c>
      <c r="D212" s="21" t="str">
        <f t="shared" si="3"/>
        <v>Monday</v>
      </c>
      <c r="E212" s="23">
        <v>0.1212</v>
      </c>
      <c r="F212" s="23">
        <f>YEAR('Merged raw data'!$B212)</f>
        <v>2011</v>
      </c>
      <c r="G212" s="23" t="str">
        <f>TEXT('Merged raw data'!$B212,"mmmm")</f>
        <v>January</v>
      </c>
      <c r="H212" s="37" t="str">
        <f>TEXT(TIME('Merged raw data'!F212,0,0),"h AM/PM")</f>
        <v>1 AM</v>
      </c>
      <c r="I212" s="23" t="str">
        <f>IF(OR('Merged raw data'!H212=1,'Merged raw data'!H212=2,'Merged raw data'!H212=3,'Merged raw data'!H212=4,'Merged raw data'!H212=5),"weekday","weekend")</f>
        <v>weekday</v>
      </c>
      <c r="J212" s="23" t="s">
        <v>23</v>
      </c>
      <c r="K212" s="23" t="str">
        <f>IF('Merged raw data'!I212=1,"Clear",IF('Merged raw data'!I212=2,"Mist",IF('Merged raw data'!I212=3,"Rain",IF('Merged raw data'!I212=4,"Storm","NA"))))</f>
        <v>Clear</v>
      </c>
      <c r="L212" s="24">
        <v>0.5</v>
      </c>
      <c r="M212" s="24">
        <v>0.28360000000000002</v>
      </c>
      <c r="N212" s="21">
        <f>'Merged raw data'!$J212*100</f>
        <v>12</v>
      </c>
      <c r="O212" s="21">
        <v>1</v>
      </c>
      <c r="P212" s="21">
        <v>0</v>
      </c>
      <c r="Q212" s="21">
        <v>1</v>
      </c>
      <c r="R212" s="21" t="str">
        <f>IF(Q212&gt;=outliers!I214,"High",IF(Q212&lt;=outliers!I213,"Low","Moderate"))</f>
        <v>High</v>
      </c>
      <c r="S212" s="8" t="str">
        <f>IF(OR(Q212&lt;outliers!$I$6,Q212&gt;outliers!$I$7),"Outlier","Normal")</f>
        <v>Normal</v>
      </c>
      <c r="T212" s="8" t="str">
        <f>IF(OR(L212&lt;outliers!$J$6,L212&gt;outliers!$J$7),"Outlier","Normal")</f>
        <v>Normal</v>
      </c>
      <c r="U212" s="8" t="str">
        <f>IF(OR(M212&lt;outliers!$K$6,M212&gt;outliers!$K$7),"Outlier","Normal")</f>
        <v>Normal</v>
      </c>
    </row>
    <row r="213" spans="1:21">
      <c r="A213" s="21">
        <v>212</v>
      </c>
      <c r="B213" s="68">
        <v>40553</v>
      </c>
      <c r="C213" s="22" t="b">
        <v>0</v>
      </c>
      <c r="D213" s="21" t="str">
        <f t="shared" si="3"/>
        <v>Monday</v>
      </c>
      <c r="E213" s="23">
        <v>0.1212</v>
      </c>
      <c r="F213" s="23">
        <f>YEAR('Merged raw data'!$B213)</f>
        <v>2011</v>
      </c>
      <c r="G213" s="23" t="str">
        <f>TEXT('Merged raw data'!$B213,"mmmm")</f>
        <v>January</v>
      </c>
      <c r="H213" s="37" t="str">
        <f>TEXT(TIME('Merged raw data'!F213,0,0),"h AM/PM")</f>
        <v>2 AM</v>
      </c>
      <c r="I213" s="23" t="str">
        <f>IF(OR('Merged raw data'!H213=1,'Merged raw data'!H213=2,'Merged raw data'!H213=3,'Merged raw data'!H213=4,'Merged raw data'!H213=5),"weekday","weekend")</f>
        <v>weekday</v>
      </c>
      <c r="J213" s="23" t="s">
        <v>23</v>
      </c>
      <c r="K213" s="23" t="str">
        <f>IF('Merged raw data'!I213=1,"Clear",IF('Merged raw data'!I213=2,"Mist",IF('Merged raw data'!I213=3,"Rain",IF('Merged raw data'!I213=4,"Storm","NA"))))</f>
        <v>Clear</v>
      </c>
      <c r="L213" s="24">
        <v>0.5</v>
      </c>
      <c r="M213" s="24">
        <v>0.22389999999999999</v>
      </c>
      <c r="N213" s="21">
        <f>'Merged raw data'!$J213*100</f>
        <v>12</v>
      </c>
      <c r="O213" s="21">
        <v>0</v>
      </c>
      <c r="P213" s="21">
        <v>3</v>
      </c>
      <c r="Q213" s="21">
        <v>3</v>
      </c>
      <c r="R213" s="21" t="str">
        <f>IF(Q213&gt;=outliers!I215,"High",IF(Q213&lt;=outliers!I214,"Low","Moderate"))</f>
        <v>High</v>
      </c>
      <c r="S213" s="8" t="str">
        <f>IF(OR(Q213&lt;outliers!$I$6,Q213&gt;outliers!$I$7),"Outlier","Normal")</f>
        <v>Normal</v>
      </c>
      <c r="T213" s="8" t="str">
        <f>IF(OR(L213&lt;outliers!$J$6,L213&gt;outliers!$J$7),"Outlier","Normal")</f>
        <v>Normal</v>
      </c>
      <c r="U213" s="8" t="str">
        <f>IF(OR(M213&lt;outliers!$K$6,M213&gt;outliers!$K$7),"Outlier","Normal")</f>
        <v>Normal</v>
      </c>
    </row>
    <row r="214" spans="1:21">
      <c r="A214" s="21">
        <v>213</v>
      </c>
      <c r="B214" s="68">
        <v>40553</v>
      </c>
      <c r="C214" s="22" t="b">
        <v>0</v>
      </c>
      <c r="D214" s="21" t="str">
        <f t="shared" si="3"/>
        <v>Monday</v>
      </c>
      <c r="E214" s="23">
        <v>0.1212</v>
      </c>
      <c r="F214" s="23">
        <f>YEAR('Merged raw data'!$B214)</f>
        <v>2011</v>
      </c>
      <c r="G214" s="23" t="str">
        <f>TEXT('Merged raw data'!$B214,"mmmm")</f>
        <v>January</v>
      </c>
      <c r="H214" s="37" t="str">
        <f>TEXT(TIME('Merged raw data'!F214,0,0),"h AM/PM")</f>
        <v>3 AM</v>
      </c>
      <c r="I214" s="23" t="str">
        <f>IF(OR('Merged raw data'!H214=1,'Merged raw data'!H214=2,'Merged raw data'!H214=3,'Merged raw data'!H214=4,'Merged raw data'!H214=5),"weekday","weekend")</f>
        <v>weekday</v>
      </c>
      <c r="J214" s="23" t="s">
        <v>23</v>
      </c>
      <c r="K214" s="23" t="str">
        <f>IF('Merged raw data'!I214=1,"Clear",IF('Merged raw data'!I214=2,"Mist",IF('Merged raw data'!I214=3,"Rain",IF('Merged raw data'!I214=4,"Storm","NA"))))</f>
        <v>Clear</v>
      </c>
      <c r="L214" s="24">
        <v>0.5</v>
      </c>
      <c r="M214" s="24">
        <v>0.22389999999999999</v>
      </c>
      <c r="N214" s="21">
        <f>'Merged raw data'!$J214*100</f>
        <v>12</v>
      </c>
      <c r="O214" s="21">
        <v>0</v>
      </c>
      <c r="P214" s="21">
        <v>1</v>
      </c>
      <c r="Q214" s="21">
        <v>1</v>
      </c>
      <c r="R214" s="21" t="str">
        <f>IF(Q214&gt;=outliers!I216,"High",IF(Q214&lt;=outliers!I215,"Low","Moderate"))</f>
        <v>High</v>
      </c>
      <c r="S214" s="8" t="str">
        <f>IF(OR(Q214&lt;outliers!$I$6,Q214&gt;outliers!$I$7),"Outlier","Normal")</f>
        <v>Normal</v>
      </c>
      <c r="T214" s="8" t="str">
        <f>IF(OR(L214&lt;outliers!$J$6,L214&gt;outliers!$J$7),"Outlier","Normal")</f>
        <v>Normal</v>
      </c>
      <c r="U214" s="8" t="str">
        <f>IF(OR(M214&lt;outliers!$K$6,M214&gt;outliers!$K$7),"Outlier","Normal")</f>
        <v>Normal</v>
      </c>
    </row>
    <row r="215" spans="1:21">
      <c r="A215" s="21">
        <v>214</v>
      </c>
      <c r="B215" s="68">
        <v>40553</v>
      </c>
      <c r="C215" s="22" t="b">
        <v>0</v>
      </c>
      <c r="D215" s="21" t="str">
        <f t="shared" si="3"/>
        <v>Monday</v>
      </c>
      <c r="E215" s="23">
        <v>0.1212</v>
      </c>
      <c r="F215" s="23">
        <f>YEAR('Merged raw data'!$B215)</f>
        <v>2011</v>
      </c>
      <c r="G215" s="23" t="str">
        <f>TEXT('Merged raw data'!$B215,"mmmm")</f>
        <v>January</v>
      </c>
      <c r="H215" s="37" t="str">
        <f>TEXT(TIME('Merged raw data'!F215,0,0),"h AM/PM")</f>
        <v>4 AM</v>
      </c>
      <c r="I215" s="23" t="str">
        <f>IF(OR('Merged raw data'!H215=1,'Merged raw data'!H215=2,'Merged raw data'!H215=3,'Merged raw data'!H215=4,'Merged raw data'!H215=5),"weekday","weekend")</f>
        <v>weekday</v>
      </c>
      <c r="J215" s="23" t="s">
        <v>23</v>
      </c>
      <c r="K215" s="23" t="str">
        <f>IF('Merged raw data'!I215=1,"Clear",IF('Merged raw data'!I215=2,"Mist",IF('Merged raw data'!I215=3,"Rain",IF('Merged raw data'!I215=4,"Storm","NA"))))</f>
        <v>Clear</v>
      </c>
      <c r="L215" s="24">
        <v>0.54</v>
      </c>
      <c r="M215" s="24">
        <v>0.1343</v>
      </c>
      <c r="N215" s="21">
        <f>'Merged raw data'!$J215*100</f>
        <v>10</v>
      </c>
      <c r="O215" s="21">
        <v>1</v>
      </c>
      <c r="P215" s="21">
        <v>2</v>
      </c>
      <c r="Q215" s="21">
        <v>3</v>
      </c>
      <c r="R215" s="21" t="str">
        <f>IF(Q215&gt;=outliers!I217,"High",IF(Q215&lt;=outliers!I216,"Low","Moderate"))</f>
        <v>High</v>
      </c>
      <c r="S215" s="8" t="str">
        <f>IF(OR(Q215&lt;outliers!$I$6,Q215&gt;outliers!$I$7),"Outlier","Normal")</f>
        <v>Normal</v>
      </c>
      <c r="T215" s="8" t="str">
        <f>IF(OR(L215&lt;outliers!$J$6,L215&gt;outliers!$J$7),"Outlier","Normal")</f>
        <v>Normal</v>
      </c>
      <c r="U215" s="8" t="str">
        <f>IF(OR(M215&lt;outliers!$K$6,M215&gt;outliers!$K$7),"Outlier","Normal")</f>
        <v>Normal</v>
      </c>
    </row>
    <row r="216" spans="1:21">
      <c r="A216" s="21">
        <v>215</v>
      </c>
      <c r="B216" s="68">
        <v>40553</v>
      </c>
      <c r="C216" s="22" t="b">
        <v>0</v>
      </c>
      <c r="D216" s="21" t="str">
        <f t="shared" si="3"/>
        <v>Monday</v>
      </c>
      <c r="E216" s="23">
        <v>0.1061</v>
      </c>
      <c r="F216" s="23">
        <f>YEAR('Merged raw data'!$B216)</f>
        <v>2011</v>
      </c>
      <c r="G216" s="23" t="str">
        <f>TEXT('Merged raw data'!$B216,"mmmm")</f>
        <v>January</v>
      </c>
      <c r="H216" s="37" t="str">
        <f>TEXT(TIME('Merged raw data'!F216,0,0),"h AM/PM")</f>
        <v>5 AM</v>
      </c>
      <c r="I216" s="23" t="str">
        <f>IF(OR('Merged raw data'!H216=1,'Merged raw data'!H216=2,'Merged raw data'!H216=3,'Merged raw data'!H216=4,'Merged raw data'!H216=5),"weekday","weekend")</f>
        <v>weekday</v>
      </c>
      <c r="J216" s="23" t="s">
        <v>23</v>
      </c>
      <c r="K216" s="23" t="str">
        <f>IF('Merged raw data'!I216=1,"Clear",IF('Merged raw data'!I216=2,"Mist",IF('Merged raw data'!I216=3,"Rain",IF('Merged raw data'!I216=4,"Storm","NA"))))</f>
        <v>Clear</v>
      </c>
      <c r="L216" s="24">
        <v>0.54</v>
      </c>
      <c r="M216" s="24">
        <v>0.25369999999999998</v>
      </c>
      <c r="N216" s="21">
        <f>'Merged raw data'!$J216*100</f>
        <v>10</v>
      </c>
      <c r="O216" s="21">
        <v>0</v>
      </c>
      <c r="P216" s="21">
        <v>3</v>
      </c>
      <c r="Q216" s="21">
        <v>3</v>
      </c>
      <c r="R216" s="21" t="str">
        <f>IF(Q216&gt;=outliers!I218,"High",IF(Q216&lt;=outliers!I217,"Low","Moderate"))</f>
        <v>High</v>
      </c>
      <c r="S216" s="8" t="str">
        <f>IF(OR(Q216&lt;outliers!$I$6,Q216&gt;outliers!$I$7),"Outlier","Normal")</f>
        <v>Normal</v>
      </c>
      <c r="T216" s="8" t="str">
        <f>IF(OR(L216&lt;outliers!$J$6,L216&gt;outliers!$J$7),"Outlier","Normal")</f>
        <v>Normal</v>
      </c>
      <c r="U216" s="8" t="str">
        <f>IF(OR(M216&lt;outliers!$K$6,M216&gt;outliers!$K$7),"Outlier","Normal")</f>
        <v>Normal</v>
      </c>
    </row>
    <row r="217" spans="1:21">
      <c r="A217" s="21">
        <v>216</v>
      </c>
      <c r="B217" s="68">
        <v>40553</v>
      </c>
      <c r="C217" s="22" t="b">
        <v>0</v>
      </c>
      <c r="D217" s="21" t="str">
        <f t="shared" si="3"/>
        <v>Monday</v>
      </c>
      <c r="E217" s="23">
        <v>0.1212</v>
      </c>
      <c r="F217" s="23">
        <f>YEAR('Merged raw data'!$B217)</f>
        <v>2011</v>
      </c>
      <c r="G217" s="23" t="str">
        <f>TEXT('Merged raw data'!$B217,"mmmm")</f>
        <v>January</v>
      </c>
      <c r="H217" s="37" t="str">
        <f>TEXT(TIME('Merged raw data'!F217,0,0),"h AM/PM")</f>
        <v>6 AM</v>
      </c>
      <c r="I217" s="23" t="str">
        <f>IF(OR('Merged raw data'!H217=1,'Merged raw data'!H217=2,'Merged raw data'!H217=3,'Merged raw data'!H217=4,'Merged raw data'!H217=5),"weekday","weekend")</f>
        <v>weekday</v>
      </c>
      <c r="J217" s="23" t="s">
        <v>23</v>
      </c>
      <c r="K217" s="23" t="str">
        <f>IF('Merged raw data'!I217=1,"Clear",IF('Merged raw data'!I217=2,"Mist",IF('Merged raw data'!I217=3,"Rain",IF('Merged raw data'!I217=4,"Storm","NA"))))</f>
        <v>Clear</v>
      </c>
      <c r="L217" s="24">
        <v>0.5</v>
      </c>
      <c r="M217" s="24">
        <v>0.28360000000000002</v>
      </c>
      <c r="N217" s="21">
        <f>'Merged raw data'!$J217*100</f>
        <v>12</v>
      </c>
      <c r="O217" s="21">
        <v>0</v>
      </c>
      <c r="P217" s="21">
        <v>31</v>
      </c>
      <c r="Q217" s="21">
        <v>31</v>
      </c>
      <c r="R217" s="21" t="str">
        <f>IF(Q217&gt;=outliers!I219,"High",IF(Q217&lt;=outliers!I218,"Low","Moderate"))</f>
        <v>High</v>
      </c>
      <c r="S217" s="8" t="str">
        <f>IF(OR(Q217&lt;outliers!$I$6,Q217&gt;outliers!$I$7),"Outlier","Normal")</f>
        <v>Normal</v>
      </c>
      <c r="T217" s="8" t="str">
        <f>IF(OR(L217&lt;outliers!$J$6,L217&gt;outliers!$J$7),"Outlier","Normal")</f>
        <v>Normal</v>
      </c>
      <c r="U217" s="8" t="str">
        <f>IF(OR(M217&lt;outliers!$K$6,M217&gt;outliers!$K$7),"Outlier","Normal")</f>
        <v>Normal</v>
      </c>
    </row>
    <row r="218" spans="1:21">
      <c r="A218" s="21">
        <v>217</v>
      </c>
      <c r="B218" s="68">
        <v>40553</v>
      </c>
      <c r="C218" s="22" t="b">
        <v>0</v>
      </c>
      <c r="D218" s="21" t="str">
        <f t="shared" si="3"/>
        <v>Monday</v>
      </c>
      <c r="E218" s="23">
        <v>0.1212</v>
      </c>
      <c r="F218" s="23">
        <f>YEAR('Merged raw data'!$B218)</f>
        <v>2011</v>
      </c>
      <c r="G218" s="23" t="str">
        <f>TEXT('Merged raw data'!$B218,"mmmm")</f>
        <v>January</v>
      </c>
      <c r="H218" s="37" t="str">
        <f>TEXT(TIME('Merged raw data'!F218,0,0),"h AM/PM")</f>
        <v>7 AM</v>
      </c>
      <c r="I218" s="23" t="str">
        <f>IF(OR('Merged raw data'!H218=1,'Merged raw data'!H218=2,'Merged raw data'!H218=3,'Merged raw data'!H218=4,'Merged raw data'!H218=5),"weekday","weekend")</f>
        <v>weekday</v>
      </c>
      <c r="J218" s="23" t="s">
        <v>23</v>
      </c>
      <c r="K218" s="23" t="str">
        <f>IF('Merged raw data'!I218=1,"Clear",IF('Merged raw data'!I218=2,"Mist",IF('Merged raw data'!I218=3,"Rain",IF('Merged raw data'!I218=4,"Storm","NA"))))</f>
        <v>Clear</v>
      </c>
      <c r="L218" s="24">
        <v>0.5</v>
      </c>
      <c r="M218" s="24">
        <v>0.22389999999999999</v>
      </c>
      <c r="N218" s="21">
        <f>'Merged raw data'!$J218*100</f>
        <v>12</v>
      </c>
      <c r="O218" s="21">
        <v>2</v>
      </c>
      <c r="P218" s="21">
        <v>75</v>
      </c>
      <c r="Q218" s="21">
        <v>77</v>
      </c>
      <c r="R218" s="21" t="str">
        <f>IF(Q218&gt;=outliers!I220,"High",IF(Q218&lt;=outliers!I219,"Low","Moderate"))</f>
        <v>High</v>
      </c>
      <c r="S218" s="8" t="str">
        <f>IF(OR(Q218&lt;outliers!$I$6,Q218&gt;outliers!$I$7),"Outlier","Normal")</f>
        <v>Normal</v>
      </c>
      <c r="T218" s="8" t="str">
        <f>IF(OR(L218&lt;outliers!$J$6,L218&gt;outliers!$J$7),"Outlier","Normal")</f>
        <v>Normal</v>
      </c>
      <c r="U218" s="8" t="str">
        <f>IF(OR(M218&lt;outliers!$K$6,M218&gt;outliers!$K$7),"Outlier","Normal")</f>
        <v>Normal</v>
      </c>
    </row>
    <row r="219" spans="1:21">
      <c r="A219" s="21">
        <v>218</v>
      </c>
      <c r="B219" s="68">
        <v>40553</v>
      </c>
      <c r="C219" s="22" t="b">
        <v>0</v>
      </c>
      <c r="D219" s="21" t="str">
        <f t="shared" si="3"/>
        <v>Monday</v>
      </c>
      <c r="E219" s="23">
        <v>0.1212</v>
      </c>
      <c r="F219" s="23">
        <f>YEAR('Merged raw data'!$B219)</f>
        <v>2011</v>
      </c>
      <c r="G219" s="23" t="str">
        <f>TEXT('Merged raw data'!$B219,"mmmm")</f>
        <v>January</v>
      </c>
      <c r="H219" s="37" t="str">
        <f>TEXT(TIME('Merged raw data'!F219,0,0),"h AM/PM")</f>
        <v>8 AM</v>
      </c>
      <c r="I219" s="23" t="str">
        <f>IF(OR('Merged raw data'!H219=1,'Merged raw data'!H219=2,'Merged raw data'!H219=3,'Merged raw data'!H219=4,'Merged raw data'!H219=5),"weekday","weekend")</f>
        <v>weekday</v>
      </c>
      <c r="J219" s="23" t="s">
        <v>23</v>
      </c>
      <c r="K219" s="23" t="str">
        <f>IF('Merged raw data'!I219=1,"Clear",IF('Merged raw data'!I219=2,"Mist",IF('Merged raw data'!I219=3,"Rain",IF('Merged raw data'!I219=4,"Storm","NA"))))</f>
        <v>Mist</v>
      </c>
      <c r="L219" s="24">
        <v>0.5</v>
      </c>
      <c r="M219" s="24">
        <v>0.28360000000000002</v>
      </c>
      <c r="N219" s="21">
        <f>'Merged raw data'!$J219*100</f>
        <v>12</v>
      </c>
      <c r="O219" s="21">
        <v>4</v>
      </c>
      <c r="P219" s="21">
        <v>184</v>
      </c>
      <c r="Q219" s="21">
        <v>188</v>
      </c>
      <c r="R219" s="21" t="str">
        <f>IF(Q219&gt;=outliers!I221,"High",IF(Q219&lt;=outliers!I220,"Low","Moderate"))</f>
        <v>High</v>
      </c>
      <c r="S219" s="8" t="str">
        <f>IF(OR(Q219&lt;outliers!$I$6,Q219&gt;outliers!$I$7),"Outlier","Normal")</f>
        <v>Outlier</v>
      </c>
      <c r="T219" s="8" t="str">
        <f>IF(OR(L219&lt;outliers!$J$6,L219&gt;outliers!$J$7),"Outlier","Normal")</f>
        <v>Normal</v>
      </c>
      <c r="U219" s="8" t="str">
        <f>IF(OR(M219&lt;outliers!$K$6,M219&gt;outliers!$K$7),"Outlier","Normal")</f>
        <v>Normal</v>
      </c>
    </row>
    <row r="220" spans="1:21">
      <c r="A220" s="21">
        <v>219</v>
      </c>
      <c r="B220" s="68">
        <v>40553</v>
      </c>
      <c r="C220" s="22" t="b">
        <v>0</v>
      </c>
      <c r="D220" s="21" t="str">
        <f t="shared" si="3"/>
        <v>Monday</v>
      </c>
      <c r="E220" s="23">
        <v>0.1212</v>
      </c>
      <c r="F220" s="23">
        <f>YEAR('Merged raw data'!$B220)</f>
        <v>2011</v>
      </c>
      <c r="G220" s="23" t="str">
        <f>TEXT('Merged raw data'!$B220,"mmmm")</f>
        <v>January</v>
      </c>
      <c r="H220" s="37" t="str">
        <f>TEXT(TIME('Merged raw data'!F220,0,0),"h AM/PM")</f>
        <v>9 AM</v>
      </c>
      <c r="I220" s="23" t="str">
        <f>IF(OR('Merged raw data'!H220=1,'Merged raw data'!H220=2,'Merged raw data'!H220=3,'Merged raw data'!H220=4,'Merged raw data'!H220=5),"weekday","weekend")</f>
        <v>weekday</v>
      </c>
      <c r="J220" s="23" t="s">
        <v>23</v>
      </c>
      <c r="K220" s="23" t="str">
        <f>IF('Merged raw data'!I220=1,"Clear",IF('Merged raw data'!I220=2,"Mist",IF('Merged raw data'!I220=3,"Rain",IF('Merged raw data'!I220=4,"Storm","NA"))))</f>
        <v>Mist</v>
      </c>
      <c r="L220" s="24">
        <v>0.5</v>
      </c>
      <c r="M220" s="24">
        <v>0.25369999999999998</v>
      </c>
      <c r="N220" s="21">
        <f>'Merged raw data'!$J220*100</f>
        <v>14.000000000000002</v>
      </c>
      <c r="O220" s="21">
        <v>2</v>
      </c>
      <c r="P220" s="21">
        <v>92</v>
      </c>
      <c r="Q220" s="21">
        <v>94</v>
      </c>
      <c r="R220" s="21" t="str">
        <f>IF(Q220&gt;=outliers!I222,"High",IF(Q220&lt;=outliers!I221,"Low","Moderate"))</f>
        <v>High</v>
      </c>
      <c r="S220" s="8" t="str">
        <f>IF(OR(Q220&lt;outliers!$I$6,Q220&gt;outliers!$I$7),"Outlier","Normal")</f>
        <v>Normal</v>
      </c>
      <c r="T220" s="8" t="str">
        <f>IF(OR(L220&lt;outliers!$J$6,L220&gt;outliers!$J$7),"Outlier","Normal")</f>
        <v>Normal</v>
      </c>
      <c r="U220" s="8" t="str">
        <f>IF(OR(M220&lt;outliers!$K$6,M220&gt;outliers!$K$7),"Outlier","Normal")</f>
        <v>Normal</v>
      </c>
    </row>
    <row r="221" spans="1:21">
      <c r="A221" s="21">
        <v>220</v>
      </c>
      <c r="B221" s="68">
        <v>40553</v>
      </c>
      <c r="C221" s="22" t="b">
        <v>0</v>
      </c>
      <c r="D221" s="21" t="str">
        <f t="shared" si="3"/>
        <v>Monday</v>
      </c>
      <c r="E221" s="23">
        <v>0.1212</v>
      </c>
      <c r="F221" s="23">
        <f>YEAR('Merged raw data'!$B221)</f>
        <v>2011</v>
      </c>
      <c r="G221" s="23" t="str">
        <f>TEXT('Merged raw data'!$B221,"mmmm")</f>
        <v>January</v>
      </c>
      <c r="H221" s="37" t="str">
        <f>TEXT(TIME('Merged raw data'!F221,0,0),"h AM/PM")</f>
        <v>10 AM</v>
      </c>
      <c r="I221" s="23" t="str">
        <f>IF(OR('Merged raw data'!H221=1,'Merged raw data'!H221=2,'Merged raw data'!H221=3,'Merged raw data'!H221=4,'Merged raw data'!H221=5),"weekday","weekend")</f>
        <v>weekday</v>
      </c>
      <c r="J221" s="23" t="s">
        <v>23</v>
      </c>
      <c r="K221" s="23" t="str">
        <f>IF('Merged raw data'!I221=1,"Clear",IF('Merged raw data'!I221=2,"Mist",IF('Merged raw data'!I221=3,"Rain",IF('Merged raw data'!I221=4,"Storm","NA"))))</f>
        <v>Mist</v>
      </c>
      <c r="L221" s="24">
        <v>0.5</v>
      </c>
      <c r="M221" s="24">
        <v>0.29849999999999999</v>
      </c>
      <c r="N221" s="21">
        <f>'Merged raw data'!$J221*100</f>
        <v>14.000000000000002</v>
      </c>
      <c r="O221" s="21">
        <v>0</v>
      </c>
      <c r="P221" s="21">
        <v>31</v>
      </c>
      <c r="Q221" s="21">
        <v>31</v>
      </c>
      <c r="R221" s="21" t="str">
        <f>IF(Q221&gt;=outliers!I223,"High",IF(Q221&lt;=outliers!I222,"Low","Moderate"))</f>
        <v>High</v>
      </c>
      <c r="S221" s="8" t="str">
        <f>IF(OR(Q221&lt;outliers!$I$6,Q221&gt;outliers!$I$7),"Outlier","Normal")</f>
        <v>Normal</v>
      </c>
      <c r="T221" s="8" t="str">
        <f>IF(OR(L221&lt;outliers!$J$6,L221&gt;outliers!$J$7),"Outlier","Normal")</f>
        <v>Normal</v>
      </c>
      <c r="U221" s="8" t="str">
        <f>IF(OR(M221&lt;outliers!$K$6,M221&gt;outliers!$K$7),"Outlier","Normal")</f>
        <v>Normal</v>
      </c>
    </row>
    <row r="222" spans="1:21">
      <c r="A222" s="21">
        <v>221</v>
      </c>
      <c r="B222" s="68">
        <v>40553</v>
      </c>
      <c r="C222" s="22" t="b">
        <v>0</v>
      </c>
      <c r="D222" s="21" t="str">
        <f t="shared" si="3"/>
        <v>Monday</v>
      </c>
      <c r="E222" s="23">
        <v>0.13639999999999999</v>
      </c>
      <c r="F222" s="23">
        <f>YEAR('Merged raw data'!$B222)</f>
        <v>2011</v>
      </c>
      <c r="G222" s="23" t="str">
        <f>TEXT('Merged raw data'!$B222,"mmmm")</f>
        <v>January</v>
      </c>
      <c r="H222" s="37" t="str">
        <f>TEXT(TIME('Merged raw data'!F222,0,0),"h AM/PM")</f>
        <v>11 AM</v>
      </c>
      <c r="I222" s="23" t="str">
        <f>IF(OR('Merged raw data'!H222=1,'Merged raw data'!H222=2,'Merged raw data'!H222=3,'Merged raw data'!H222=4,'Merged raw data'!H222=5),"weekday","weekend")</f>
        <v>weekday</v>
      </c>
      <c r="J222" s="23" t="s">
        <v>23</v>
      </c>
      <c r="K222" s="23" t="str">
        <f>IF('Merged raw data'!I222=1,"Clear",IF('Merged raw data'!I222=2,"Mist",IF('Merged raw data'!I222=3,"Rain",IF('Merged raw data'!I222=4,"Storm","NA"))))</f>
        <v>Mist</v>
      </c>
      <c r="L222" s="24">
        <v>0.47</v>
      </c>
      <c r="M222" s="24">
        <v>0.28360000000000002</v>
      </c>
      <c r="N222" s="21">
        <f>'Merged raw data'!$J222*100</f>
        <v>16</v>
      </c>
      <c r="O222" s="21">
        <v>2</v>
      </c>
      <c r="P222" s="21">
        <v>28</v>
      </c>
      <c r="Q222" s="21">
        <v>30</v>
      </c>
      <c r="R222" s="21" t="str">
        <f>IF(Q222&gt;=outliers!I224,"High",IF(Q222&lt;=outliers!I223,"Low","Moderate"))</f>
        <v>High</v>
      </c>
      <c r="S222" s="8" t="str">
        <f>IF(OR(Q222&lt;outliers!$I$6,Q222&gt;outliers!$I$7),"Outlier","Normal")</f>
        <v>Normal</v>
      </c>
      <c r="T222" s="8" t="str">
        <f>IF(OR(L222&lt;outliers!$J$6,L222&gt;outliers!$J$7),"Outlier","Normal")</f>
        <v>Normal</v>
      </c>
      <c r="U222" s="8" t="str">
        <f>IF(OR(M222&lt;outliers!$K$6,M222&gt;outliers!$K$7),"Outlier","Normal")</f>
        <v>Normal</v>
      </c>
    </row>
    <row r="223" spans="1:21">
      <c r="A223" s="21">
        <v>222</v>
      </c>
      <c r="B223" s="68">
        <v>40553</v>
      </c>
      <c r="C223" s="22" t="b">
        <v>0</v>
      </c>
      <c r="D223" s="21" t="str">
        <f t="shared" si="3"/>
        <v>Monday</v>
      </c>
      <c r="E223" s="23">
        <v>0.18179999999999999</v>
      </c>
      <c r="F223" s="23">
        <f>YEAR('Merged raw data'!$B223)</f>
        <v>2011</v>
      </c>
      <c r="G223" s="23" t="str">
        <f>TEXT('Merged raw data'!$B223,"mmmm")</f>
        <v>January</v>
      </c>
      <c r="H223" s="37" t="str">
        <f>TEXT(TIME('Merged raw data'!F223,0,0),"h AM/PM")</f>
        <v>12 PM</v>
      </c>
      <c r="I223" s="23" t="str">
        <f>IF(OR('Merged raw data'!H223=1,'Merged raw data'!H223=2,'Merged raw data'!H223=3,'Merged raw data'!H223=4,'Merged raw data'!H223=5),"weekday","weekend")</f>
        <v>weekday</v>
      </c>
      <c r="J223" s="23" t="s">
        <v>23</v>
      </c>
      <c r="K223" s="23" t="str">
        <f>IF('Merged raw data'!I223=1,"Clear",IF('Merged raw data'!I223=2,"Mist",IF('Merged raw data'!I223=3,"Rain",IF('Merged raw data'!I223=4,"Storm","NA"))))</f>
        <v>Mist</v>
      </c>
      <c r="L223" s="24">
        <v>0.4</v>
      </c>
      <c r="M223" s="24">
        <v>0.28360000000000002</v>
      </c>
      <c r="N223" s="21">
        <f>'Merged raw data'!$J223*100</f>
        <v>20</v>
      </c>
      <c r="O223" s="21">
        <v>5</v>
      </c>
      <c r="P223" s="21">
        <v>47</v>
      </c>
      <c r="Q223" s="21">
        <v>52</v>
      </c>
      <c r="R223" s="21" t="str">
        <f>IF(Q223&gt;=outliers!I225,"High",IF(Q223&lt;=outliers!I224,"Low","Moderate"))</f>
        <v>High</v>
      </c>
      <c r="S223" s="8" t="str">
        <f>IF(OR(Q223&lt;outliers!$I$6,Q223&gt;outliers!$I$7),"Outlier","Normal")</f>
        <v>Normal</v>
      </c>
      <c r="T223" s="8" t="str">
        <f>IF(OR(L223&lt;outliers!$J$6,L223&gt;outliers!$J$7),"Outlier","Normal")</f>
        <v>Normal</v>
      </c>
      <c r="U223" s="8" t="str">
        <f>IF(OR(M223&lt;outliers!$K$6,M223&gt;outliers!$K$7),"Outlier","Normal")</f>
        <v>Normal</v>
      </c>
    </row>
    <row r="224" spans="1:21">
      <c r="A224" s="21">
        <v>223</v>
      </c>
      <c r="B224" s="68">
        <v>40553</v>
      </c>
      <c r="C224" s="22" t="b">
        <v>0</v>
      </c>
      <c r="D224" s="21" t="str">
        <f t="shared" si="3"/>
        <v>Monday</v>
      </c>
      <c r="E224" s="23">
        <v>0.18179999999999999</v>
      </c>
      <c r="F224" s="23">
        <f>YEAR('Merged raw data'!$B224)</f>
        <v>2011</v>
      </c>
      <c r="G224" s="23" t="str">
        <f>TEXT('Merged raw data'!$B224,"mmmm")</f>
        <v>January</v>
      </c>
      <c r="H224" s="37" t="str">
        <f>TEXT(TIME('Merged raw data'!F224,0,0),"h AM/PM")</f>
        <v>1 PM</v>
      </c>
      <c r="I224" s="23" t="str">
        <f>IF(OR('Merged raw data'!H224=1,'Merged raw data'!H224=2,'Merged raw data'!H224=3,'Merged raw data'!H224=4,'Merged raw data'!H224=5),"weekday","weekend")</f>
        <v>weekday</v>
      </c>
      <c r="J224" s="23" t="s">
        <v>23</v>
      </c>
      <c r="K224" s="23" t="str">
        <f>IF('Merged raw data'!I224=1,"Clear",IF('Merged raw data'!I224=2,"Mist",IF('Merged raw data'!I224=3,"Rain",IF('Merged raw data'!I224=4,"Storm","NA"))))</f>
        <v>Mist</v>
      </c>
      <c r="L224" s="24">
        <v>0.4</v>
      </c>
      <c r="M224" s="24">
        <v>0.28360000000000002</v>
      </c>
      <c r="N224" s="21">
        <f>'Merged raw data'!$J224*100</f>
        <v>20</v>
      </c>
      <c r="O224" s="21">
        <v>4</v>
      </c>
      <c r="P224" s="21">
        <v>50</v>
      </c>
      <c r="Q224" s="21">
        <v>54</v>
      </c>
      <c r="R224" s="21" t="str">
        <f>IF(Q224&gt;=outliers!I226,"High",IF(Q224&lt;=outliers!I225,"Low","Moderate"))</f>
        <v>High</v>
      </c>
      <c r="S224" s="8" t="str">
        <f>IF(OR(Q224&lt;outliers!$I$6,Q224&gt;outliers!$I$7),"Outlier","Normal")</f>
        <v>Normal</v>
      </c>
      <c r="T224" s="8" t="str">
        <f>IF(OR(L224&lt;outliers!$J$6,L224&gt;outliers!$J$7),"Outlier","Normal")</f>
        <v>Normal</v>
      </c>
      <c r="U224" s="8" t="str">
        <f>IF(OR(M224&lt;outliers!$K$6,M224&gt;outliers!$K$7),"Outlier","Normal")</f>
        <v>Normal</v>
      </c>
    </row>
    <row r="225" spans="1:21">
      <c r="A225" s="21">
        <v>224</v>
      </c>
      <c r="B225" s="68">
        <v>40553</v>
      </c>
      <c r="C225" s="22" t="b">
        <v>0</v>
      </c>
      <c r="D225" s="21" t="str">
        <f t="shared" si="3"/>
        <v>Monday</v>
      </c>
      <c r="E225" s="23">
        <v>0.19700000000000001</v>
      </c>
      <c r="F225" s="23">
        <f>YEAR('Merged raw data'!$B225)</f>
        <v>2011</v>
      </c>
      <c r="G225" s="23" t="str">
        <f>TEXT('Merged raw data'!$B225,"mmmm")</f>
        <v>January</v>
      </c>
      <c r="H225" s="37" t="str">
        <f>TEXT(TIME('Merged raw data'!F225,0,0),"h AM/PM")</f>
        <v>2 PM</v>
      </c>
      <c r="I225" s="23" t="str">
        <f>IF(OR('Merged raw data'!H225=1,'Merged raw data'!H225=2,'Merged raw data'!H225=3,'Merged raw data'!H225=4,'Merged raw data'!H225=5),"weekday","weekend")</f>
        <v>weekday</v>
      </c>
      <c r="J225" s="23" t="s">
        <v>23</v>
      </c>
      <c r="K225" s="23" t="str">
        <f>IF('Merged raw data'!I225=1,"Clear",IF('Merged raw data'!I225=2,"Mist",IF('Merged raw data'!I225=3,"Rain",IF('Merged raw data'!I225=4,"Storm","NA"))))</f>
        <v>Mist</v>
      </c>
      <c r="L225" s="24">
        <v>0.4</v>
      </c>
      <c r="M225" s="24">
        <v>0.22389999999999999</v>
      </c>
      <c r="N225" s="21">
        <f>'Merged raw data'!$J225*100</f>
        <v>20</v>
      </c>
      <c r="O225" s="21">
        <v>0</v>
      </c>
      <c r="P225" s="21">
        <v>47</v>
      </c>
      <c r="Q225" s="21">
        <v>47</v>
      </c>
      <c r="R225" s="21" t="str">
        <f>IF(Q225&gt;=outliers!I227,"High",IF(Q225&lt;=outliers!I226,"Low","Moderate"))</f>
        <v>High</v>
      </c>
      <c r="S225" s="8" t="str">
        <f>IF(OR(Q225&lt;outliers!$I$6,Q225&gt;outliers!$I$7),"Outlier","Normal")</f>
        <v>Normal</v>
      </c>
      <c r="T225" s="8" t="str">
        <f>IF(OR(L225&lt;outliers!$J$6,L225&gt;outliers!$J$7),"Outlier","Normal")</f>
        <v>Normal</v>
      </c>
      <c r="U225" s="8" t="str">
        <f>IF(OR(M225&lt;outliers!$K$6,M225&gt;outliers!$K$7),"Outlier","Normal")</f>
        <v>Normal</v>
      </c>
    </row>
    <row r="226" spans="1:21">
      <c r="A226" s="21">
        <v>225</v>
      </c>
      <c r="B226" s="68">
        <v>40553</v>
      </c>
      <c r="C226" s="22" t="b">
        <v>0</v>
      </c>
      <c r="D226" s="21" t="str">
        <f t="shared" si="3"/>
        <v>Monday</v>
      </c>
      <c r="E226" s="23">
        <v>0.19700000000000001</v>
      </c>
      <c r="F226" s="23">
        <f>YEAR('Merged raw data'!$B226)</f>
        <v>2011</v>
      </c>
      <c r="G226" s="23" t="str">
        <f>TEXT('Merged raw data'!$B226,"mmmm")</f>
        <v>January</v>
      </c>
      <c r="H226" s="37" t="str">
        <f>TEXT(TIME('Merged raw data'!F226,0,0),"h AM/PM")</f>
        <v>3 PM</v>
      </c>
      <c r="I226" s="23" t="str">
        <f>IF(OR('Merged raw data'!H226=1,'Merged raw data'!H226=2,'Merged raw data'!H226=3,'Merged raw data'!H226=4,'Merged raw data'!H226=5),"weekday","weekend")</f>
        <v>weekday</v>
      </c>
      <c r="J226" s="23" t="s">
        <v>23</v>
      </c>
      <c r="K226" s="23" t="str">
        <f>IF('Merged raw data'!I226=1,"Clear",IF('Merged raw data'!I226=2,"Mist",IF('Merged raw data'!I226=3,"Rain",IF('Merged raw data'!I226=4,"Storm","NA"))))</f>
        <v>Mist</v>
      </c>
      <c r="L226" s="24">
        <v>0.4</v>
      </c>
      <c r="M226" s="24">
        <v>0.22389999999999999</v>
      </c>
      <c r="N226" s="21">
        <f>'Merged raw data'!$J226*100</f>
        <v>20</v>
      </c>
      <c r="O226" s="21">
        <v>2</v>
      </c>
      <c r="P226" s="21">
        <v>43</v>
      </c>
      <c r="Q226" s="21">
        <v>45</v>
      </c>
      <c r="R226" s="21" t="str">
        <f>IF(Q226&gt;=outliers!I228,"High",IF(Q226&lt;=outliers!I227,"Low","Moderate"))</f>
        <v>High</v>
      </c>
      <c r="S226" s="8" t="str">
        <f>IF(OR(Q226&lt;outliers!$I$6,Q226&gt;outliers!$I$7),"Outlier","Normal")</f>
        <v>Normal</v>
      </c>
      <c r="T226" s="8" t="str">
        <f>IF(OR(L226&lt;outliers!$J$6,L226&gt;outliers!$J$7),"Outlier","Normal")</f>
        <v>Normal</v>
      </c>
      <c r="U226" s="8" t="str">
        <f>IF(OR(M226&lt;outliers!$K$6,M226&gt;outliers!$K$7),"Outlier","Normal")</f>
        <v>Normal</v>
      </c>
    </row>
    <row r="227" spans="1:21">
      <c r="A227" s="21">
        <v>226</v>
      </c>
      <c r="B227" s="68">
        <v>40553</v>
      </c>
      <c r="C227" s="22" t="b">
        <v>0</v>
      </c>
      <c r="D227" s="21" t="str">
        <f t="shared" si="3"/>
        <v>Monday</v>
      </c>
      <c r="E227" s="23">
        <v>0.21210000000000001</v>
      </c>
      <c r="F227" s="23">
        <f>YEAR('Merged raw data'!$B227)</f>
        <v>2011</v>
      </c>
      <c r="G227" s="23" t="str">
        <f>TEXT('Merged raw data'!$B227,"mmmm")</f>
        <v>January</v>
      </c>
      <c r="H227" s="37" t="str">
        <f>TEXT(TIME('Merged raw data'!F227,0,0),"h AM/PM")</f>
        <v>4 PM</v>
      </c>
      <c r="I227" s="23" t="str">
        <f>IF(OR('Merged raw data'!H227=1,'Merged raw data'!H227=2,'Merged raw data'!H227=3,'Merged raw data'!H227=4,'Merged raw data'!H227=5),"weekday","weekend")</f>
        <v>weekday</v>
      </c>
      <c r="J227" s="23" t="s">
        <v>23</v>
      </c>
      <c r="K227" s="23" t="str">
        <f>IF('Merged raw data'!I227=1,"Clear",IF('Merged raw data'!I227=2,"Mist",IF('Merged raw data'!I227=3,"Rain",IF('Merged raw data'!I227=4,"Storm","NA"))))</f>
        <v>Clear</v>
      </c>
      <c r="L227" s="24">
        <v>0.4</v>
      </c>
      <c r="M227" s="24">
        <v>0.1343</v>
      </c>
      <c r="N227" s="21">
        <f>'Merged raw data'!$J227*100</f>
        <v>20</v>
      </c>
      <c r="O227" s="21">
        <v>4</v>
      </c>
      <c r="P227" s="21">
        <v>70</v>
      </c>
      <c r="Q227" s="21">
        <v>74</v>
      </c>
      <c r="R227" s="21" t="str">
        <f>IF(Q227&gt;=outliers!I229,"High",IF(Q227&lt;=outliers!I228,"Low","Moderate"))</f>
        <v>High</v>
      </c>
      <c r="S227" s="8" t="str">
        <f>IF(OR(Q227&lt;outliers!$I$6,Q227&gt;outliers!$I$7),"Outlier","Normal")</f>
        <v>Normal</v>
      </c>
      <c r="T227" s="8" t="str">
        <f>IF(OR(L227&lt;outliers!$J$6,L227&gt;outliers!$J$7),"Outlier","Normal")</f>
        <v>Normal</v>
      </c>
      <c r="U227" s="8" t="str">
        <f>IF(OR(M227&lt;outliers!$K$6,M227&gt;outliers!$K$7),"Outlier","Normal")</f>
        <v>Normal</v>
      </c>
    </row>
    <row r="228" spans="1:21">
      <c r="A228" s="21">
        <v>227</v>
      </c>
      <c r="B228" s="68">
        <v>40553</v>
      </c>
      <c r="C228" s="22" t="b">
        <v>0</v>
      </c>
      <c r="D228" s="21" t="str">
        <f t="shared" si="3"/>
        <v>Monday</v>
      </c>
      <c r="E228" s="23">
        <v>0.2273</v>
      </c>
      <c r="F228" s="23">
        <f>YEAR('Merged raw data'!$B228)</f>
        <v>2011</v>
      </c>
      <c r="G228" s="23" t="str">
        <f>TEXT('Merged raw data'!$B228,"mmmm")</f>
        <v>January</v>
      </c>
      <c r="H228" s="37" t="str">
        <f>TEXT(TIME('Merged raw data'!F228,0,0),"h AM/PM")</f>
        <v>5 PM</v>
      </c>
      <c r="I228" s="23" t="str">
        <f>IF(OR('Merged raw data'!H228=1,'Merged raw data'!H228=2,'Merged raw data'!H228=3,'Merged raw data'!H228=4,'Merged raw data'!H228=5),"weekday","weekend")</f>
        <v>weekday</v>
      </c>
      <c r="J228" s="23" t="s">
        <v>23</v>
      </c>
      <c r="K228" s="23" t="str">
        <f>IF('Merged raw data'!I228=1,"Clear",IF('Merged raw data'!I228=2,"Mist",IF('Merged raw data'!I228=3,"Rain",IF('Merged raw data'!I228=4,"Storm","NA"))))</f>
        <v>Clear</v>
      </c>
      <c r="L228" s="24">
        <v>0.4</v>
      </c>
      <c r="M228" s="24">
        <v>0.1045</v>
      </c>
      <c r="N228" s="21">
        <f>'Merged raw data'!$J228*100</f>
        <v>20</v>
      </c>
      <c r="O228" s="21">
        <v>4</v>
      </c>
      <c r="P228" s="21">
        <v>174</v>
      </c>
      <c r="Q228" s="21">
        <v>178</v>
      </c>
      <c r="R228" s="21" t="str">
        <f>IF(Q228&gt;=outliers!I230,"High",IF(Q228&lt;=outliers!I229,"Low","Moderate"))</f>
        <v>High</v>
      </c>
      <c r="S228" s="8" t="str">
        <f>IF(OR(Q228&lt;outliers!$I$6,Q228&gt;outliers!$I$7),"Outlier","Normal")</f>
        <v>Normal</v>
      </c>
      <c r="T228" s="8" t="str">
        <f>IF(OR(L228&lt;outliers!$J$6,L228&gt;outliers!$J$7),"Outlier","Normal")</f>
        <v>Normal</v>
      </c>
      <c r="U228" s="8" t="str">
        <f>IF(OR(M228&lt;outliers!$K$6,M228&gt;outliers!$K$7),"Outlier","Normal")</f>
        <v>Normal</v>
      </c>
    </row>
    <row r="229" spans="1:21">
      <c r="A229" s="21">
        <v>228</v>
      </c>
      <c r="B229" s="68">
        <v>40553</v>
      </c>
      <c r="C229" s="22" t="b">
        <v>0</v>
      </c>
      <c r="D229" s="21" t="str">
        <f t="shared" si="3"/>
        <v>Monday</v>
      </c>
      <c r="E229" s="23">
        <v>0.19700000000000001</v>
      </c>
      <c r="F229" s="23">
        <f>YEAR('Merged raw data'!$B229)</f>
        <v>2011</v>
      </c>
      <c r="G229" s="23" t="str">
        <f>TEXT('Merged raw data'!$B229,"mmmm")</f>
        <v>January</v>
      </c>
      <c r="H229" s="37" t="str">
        <f>TEXT(TIME('Merged raw data'!F229,0,0),"h AM/PM")</f>
        <v>6 PM</v>
      </c>
      <c r="I229" s="23" t="str">
        <f>IF(OR('Merged raw data'!H229=1,'Merged raw data'!H229=2,'Merged raw data'!H229=3,'Merged raw data'!H229=4,'Merged raw data'!H229=5),"weekday","weekend")</f>
        <v>weekday</v>
      </c>
      <c r="J229" s="23" t="s">
        <v>23</v>
      </c>
      <c r="K229" s="23" t="str">
        <f>IF('Merged raw data'!I229=1,"Clear",IF('Merged raw data'!I229=2,"Mist",IF('Merged raw data'!I229=3,"Rain",IF('Merged raw data'!I229=4,"Storm","NA"))))</f>
        <v>Clear</v>
      </c>
      <c r="L229" s="24">
        <v>0.4</v>
      </c>
      <c r="M229" s="24">
        <v>0.22389999999999999</v>
      </c>
      <c r="N229" s="21">
        <f>'Merged raw data'!$J229*100</f>
        <v>20</v>
      </c>
      <c r="O229" s="21">
        <v>1</v>
      </c>
      <c r="P229" s="21">
        <v>154</v>
      </c>
      <c r="Q229" s="21">
        <v>155</v>
      </c>
      <c r="R229" s="21" t="str">
        <f>IF(Q229&gt;=outliers!I231,"High",IF(Q229&lt;=outliers!I230,"Low","Moderate"))</f>
        <v>High</v>
      </c>
      <c r="S229" s="8" t="str">
        <f>IF(OR(Q229&lt;outliers!$I$6,Q229&gt;outliers!$I$7),"Outlier","Normal")</f>
        <v>Normal</v>
      </c>
      <c r="T229" s="8" t="str">
        <f>IF(OR(L229&lt;outliers!$J$6,L229&gt;outliers!$J$7),"Outlier","Normal")</f>
        <v>Normal</v>
      </c>
      <c r="U229" s="8" t="str">
        <f>IF(OR(M229&lt;outliers!$K$6,M229&gt;outliers!$K$7),"Outlier","Normal")</f>
        <v>Normal</v>
      </c>
    </row>
    <row r="230" spans="1:21">
      <c r="A230" s="21">
        <v>229</v>
      </c>
      <c r="B230" s="68">
        <v>40553</v>
      </c>
      <c r="C230" s="22" t="b">
        <v>0</v>
      </c>
      <c r="D230" s="21" t="str">
        <f t="shared" si="3"/>
        <v>Monday</v>
      </c>
      <c r="E230" s="23">
        <v>0.16669999999999999</v>
      </c>
      <c r="F230" s="23">
        <f>YEAR('Merged raw data'!$B230)</f>
        <v>2011</v>
      </c>
      <c r="G230" s="23" t="str">
        <f>TEXT('Merged raw data'!$B230,"mmmm")</f>
        <v>January</v>
      </c>
      <c r="H230" s="37" t="str">
        <f>TEXT(TIME('Merged raw data'!F230,0,0),"h AM/PM")</f>
        <v>7 PM</v>
      </c>
      <c r="I230" s="23" t="str">
        <f>IF(OR('Merged raw data'!H230=1,'Merged raw data'!H230=2,'Merged raw data'!H230=3,'Merged raw data'!H230=4,'Merged raw data'!H230=5),"weekday","weekend")</f>
        <v>weekday</v>
      </c>
      <c r="J230" s="23" t="s">
        <v>23</v>
      </c>
      <c r="K230" s="23" t="str">
        <f>IF('Merged raw data'!I230=1,"Clear",IF('Merged raw data'!I230=2,"Mist",IF('Merged raw data'!I230=3,"Rain",IF('Merged raw data'!I230=4,"Storm","NA"))))</f>
        <v>Clear</v>
      </c>
      <c r="L230" s="24">
        <v>0.47</v>
      </c>
      <c r="M230" s="24">
        <v>0.16420000000000001</v>
      </c>
      <c r="N230" s="21">
        <f>'Merged raw data'!$J230*100</f>
        <v>16</v>
      </c>
      <c r="O230" s="21">
        <v>3</v>
      </c>
      <c r="P230" s="21">
        <v>92</v>
      </c>
      <c r="Q230" s="21">
        <v>95</v>
      </c>
      <c r="R230" s="21" t="str">
        <f>IF(Q230&gt;=outliers!I232,"High",IF(Q230&lt;=outliers!I231,"Low","Moderate"))</f>
        <v>High</v>
      </c>
      <c r="S230" s="8" t="str">
        <f>IF(OR(Q230&lt;outliers!$I$6,Q230&gt;outliers!$I$7),"Outlier","Normal")</f>
        <v>Normal</v>
      </c>
      <c r="T230" s="8" t="str">
        <f>IF(OR(L230&lt;outliers!$J$6,L230&gt;outliers!$J$7),"Outlier","Normal")</f>
        <v>Normal</v>
      </c>
      <c r="U230" s="8" t="str">
        <f>IF(OR(M230&lt;outliers!$K$6,M230&gt;outliers!$K$7),"Outlier","Normal")</f>
        <v>Normal</v>
      </c>
    </row>
    <row r="231" spans="1:21">
      <c r="A231" s="21">
        <v>230</v>
      </c>
      <c r="B231" s="68">
        <v>40553</v>
      </c>
      <c r="C231" s="22" t="b">
        <v>0</v>
      </c>
      <c r="D231" s="21" t="str">
        <f t="shared" si="3"/>
        <v>Monday</v>
      </c>
      <c r="E231" s="23">
        <v>0.16669999999999999</v>
      </c>
      <c r="F231" s="23">
        <f>YEAR('Merged raw data'!$B231)</f>
        <v>2011</v>
      </c>
      <c r="G231" s="23" t="str">
        <f>TEXT('Merged raw data'!$B231,"mmmm")</f>
        <v>January</v>
      </c>
      <c r="H231" s="37" t="str">
        <f>TEXT(TIME('Merged raw data'!F231,0,0),"h AM/PM")</f>
        <v>8 PM</v>
      </c>
      <c r="I231" s="23" t="str">
        <f>IF(OR('Merged raw data'!H231=1,'Merged raw data'!H231=2,'Merged raw data'!H231=3,'Merged raw data'!H231=4,'Merged raw data'!H231=5),"weekday","weekend")</f>
        <v>weekday</v>
      </c>
      <c r="J231" s="23" t="s">
        <v>23</v>
      </c>
      <c r="K231" s="23" t="str">
        <f>IF('Merged raw data'!I231=1,"Clear",IF('Merged raw data'!I231=2,"Mist",IF('Merged raw data'!I231=3,"Rain",IF('Merged raw data'!I231=4,"Storm","NA"))))</f>
        <v>Clear</v>
      </c>
      <c r="L231" s="24">
        <v>0.5</v>
      </c>
      <c r="M231" s="24">
        <v>0.16420000000000001</v>
      </c>
      <c r="N231" s="21">
        <f>'Merged raw data'!$J231*100</f>
        <v>16</v>
      </c>
      <c r="O231" s="21">
        <v>1</v>
      </c>
      <c r="P231" s="21">
        <v>73</v>
      </c>
      <c r="Q231" s="21">
        <v>74</v>
      </c>
      <c r="R231" s="21" t="str">
        <f>IF(Q231&gt;=outliers!I233,"High",IF(Q231&lt;=outliers!I232,"Low","Moderate"))</f>
        <v>High</v>
      </c>
      <c r="S231" s="8" t="str">
        <f>IF(OR(Q231&lt;outliers!$I$6,Q231&gt;outliers!$I$7),"Outlier","Normal")</f>
        <v>Normal</v>
      </c>
      <c r="T231" s="8" t="str">
        <f>IF(OR(L231&lt;outliers!$J$6,L231&gt;outliers!$J$7),"Outlier","Normal")</f>
        <v>Normal</v>
      </c>
      <c r="U231" s="8" t="str">
        <f>IF(OR(M231&lt;outliers!$K$6,M231&gt;outliers!$K$7),"Outlier","Normal")</f>
        <v>Normal</v>
      </c>
    </row>
    <row r="232" spans="1:21">
      <c r="A232" s="21">
        <v>231</v>
      </c>
      <c r="B232" s="68">
        <v>40553</v>
      </c>
      <c r="C232" s="22" t="b">
        <v>0</v>
      </c>
      <c r="D232" s="21" t="str">
        <f t="shared" si="3"/>
        <v>Monday</v>
      </c>
      <c r="E232" s="23">
        <v>0.13639999999999999</v>
      </c>
      <c r="F232" s="23">
        <f>YEAR('Merged raw data'!$B232)</f>
        <v>2011</v>
      </c>
      <c r="G232" s="23" t="str">
        <f>TEXT('Merged raw data'!$B232,"mmmm")</f>
        <v>January</v>
      </c>
      <c r="H232" s="37" t="str">
        <f>TEXT(TIME('Merged raw data'!F232,0,0),"h AM/PM")</f>
        <v>9 PM</v>
      </c>
      <c r="I232" s="23" t="str">
        <f>IF(OR('Merged raw data'!H232=1,'Merged raw data'!H232=2,'Merged raw data'!H232=3,'Merged raw data'!H232=4,'Merged raw data'!H232=5),"weekday","weekend")</f>
        <v>weekday</v>
      </c>
      <c r="J232" s="23" t="s">
        <v>23</v>
      </c>
      <c r="K232" s="23" t="str">
        <f>IF('Merged raw data'!I232=1,"Clear",IF('Merged raw data'!I232=2,"Mist",IF('Merged raw data'!I232=3,"Rain",IF('Merged raw data'!I232=4,"Storm","NA"))))</f>
        <v>Clear</v>
      </c>
      <c r="L232" s="24">
        <v>0.59</v>
      </c>
      <c r="M232" s="24">
        <v>0.19400000000000001</v>
      </c>
      <c r="N232" s="21">
        <f>'Merged raw data'!$J232*100</f>
        <v>14.000000000000002</v>
      </c>
      <c r="O232" s="21">
        <v>1</v>
      </c>
      <c r="P232" s="21">
        <v>37</v>
      </c>
      <c r="Q232" s="21">
        <v>38</v>
      </c>
      <c r="R232" s="21" t="str">
        <f>IF(Q232&gt;=outliers!I234,"High",IF(Q232&lt;=outliers!I233,"Low","Moderate"))</f>
        <v>High</v>
      </c>
      <c r="S232" s="8" t="str">
        <f>IF(OR(Q232&lt;outliers!$I$6,Q232&gt;outliers!$I$7),"Outlier","Normal")</f>
        <v>Normal</v>
      </c>
      <c r="T232" s="8" t="str">
        <f>IF(OR(L232&lt;outliers!$J$6,L232&gt;outliers!$J$7),"Outlier","Normal")</f>
        <v>Normal</v>
      </c>
      <c r="U232" s="8" t="str">
        <f>IF(OR(M232&lt;outliers!$K$6,M232&gt;outliers!$K$7),"Outlier","Normal")</f>
        <v>Normal</v>
      </c>
    </row>
    <row r="233" spans="1:21">
      <c r="A233" s="21">
        <v>232</v>
      </c>
      <c r="B233" s="68">
        <v>40553</v>
      </c>
      <c r="C233" s="22" t="b">
        <v>0</v>
      </c>
      <c r="D233" s="21" t="str">
        <f t="shared" si="3"/>
        <v>Monday</v>
      </c>
      <c r="E233" s="23">
        <v>0.1515</v>
      </c>
      <c r="F233" s="23">
        <f>YEAR('Merged raw data'!$B233)</f>
        <v>2011</v>
      </c>
      <c r="G233" s="23" t="str">
        <f>TEXT('Merged raw data'!$B233,"mmmm")</f>
        <v>January</v>
      </c>
      <c r="H233" s="37" t="str">
        <f>TEXT(TIME('Merged raw data'!F233,0,0),"h AM/PM")</f>
        <v>10 PM</v>
      </c>
      <c r="I233" s="23" t="str">
        <f>IF(OR('Merged raw data'!H233=1,'Merged raw data'!H233=2,'Merged raw data'!H233=3,'Merged raw data'!H233=4,'Merged raw data'!H233=5),"weekday","weekend")</f>
        <v>weekday</v>
      </c>
      <c r="J233" s="23" t="s">
        <v>23</v>
      </c>
      <c r="K233" s="23" t="str">
        <f>IF('Merged raw data'!I233=1,"Clear",IF('Merged raw data'!I233=2,"Mist",IF('Merged raw data'!I233=3,"Rain",IF('Merged raw data'!I233=4,"Storm","NA"))))</f>
        <v>Clear</v>
      </c>
      <c r="L233" s="24">
        <v>0.59</v>
      </c>
      <c r="M233" s="24">
        <v>0.16420000000000001</v>
      </c>
      <c r="N233" s="21">
        <f>'Merged raw data'!$J233*100</f>
        <v>14.000000000000002</v>
      </c>
      <c r="O233" s="21">
        <v>2</v>
      </c>
      <c r="P233" s="21">
        <v>22</v>
      </c>
      <c r="Q233" s="21">
        <v>24</v>
      </c>
      <c r="R233" s="21" t="str">
        <f>IF(Q233&gt;=outliers!I235,"High",IF(Q233&lt;=outliers!I234,"Low","Moderate"))</f>
        <v>High</v>
      </c>
      <c r="S233" s="8" t="str">
        <f>IF(OR(Q233&lt;outliers!$I$6,Q233&gt;outliers!$I$7),"Outlier","Normal")</f>
        <v>Normal</v>
      </c>
      <c r="T233" s="8" t="str">
        <f>IF(OR(L233&lt;outliers!$J$6,L233&gt;outliers!$J$7),"Outlier","Normal")</f>
        <v>Normal</v>
      </c>
      <c r="U233" s="8" t="str">
        <f>IF(OR(M233&lt;outliers!$K$6,M233&gt;outliers!$K$7),"Outlier","Normal")</f>
        <v>Normal</v>
      </c>
    </row>
    <row r="234" spans="1:21">
      <c r="A234" s="21">
        <v>233</v>
      </c>
      <c r="B234" s="68">
        <v>40553</v>
      </c>
      <c r="C234" s="22" t="b">
        <v>0</v>
      </c>
      <c r="D234" s="21" t="str">
        <f t="shared" si="3"/>
        <v>Monday</v>
      </c>
      <c r="E234" s="23">
        <v>0.1515</v>
      </c>
      <c r="F234" s="23">
        <f>YEAR('Merged raw data'!$B234)</f>
        <v>2011</v>
      </c>
      <c r="G234" s="23" t="str">
        <f>TEXT('Merged raw data'!$B234,"mmmm")</f>
        <v>January</v>
      </c>
      <c r="H234" s="37" t="str">
        <f>TEXT(TIME('Merged raw data'!F234,0,0),"h AM/PM")</f>
        <v>11 PM</v>
      </c>
      <c r="I234" s="23" t="str">
        <f>IF(OR('Merged raw data'!H234=1,'Merged raw data'!H234=2,'Merged raw data'!H234=3,'Merged raw data'!H234=4,'Merged raw data'!H234=5),"weekday","weekend")</f>
        <v>weekday</v>
      </c>
      <c r="J234" s="23" t="s">
        <v>23</v>
      </c>
      <c r="K234" s="23" t="str">
        <f>IF('Merged raw data'!I234=1,"Clear",IF('Merged raw data'!I234=2,"Mist",IF('Merged raw data'!I234=3,"Rain",IF('Merged raw data'!I234=4,"Storm","NA"))))</f>
        <v>Clear</v>
      </c>
      <c r="L234" s="24">
        <v>0.59</v>
      </c>
      <c r="M234" s="24">
        <v>0.16420000000000001</v>
      </c>
      <c r="N234" s="21">
        <f>'Merged raw data'!$J234*100</f>
        <v>14.000000000000002</v>
      </c>
      <c r="O234" s="21">
        <v>0</v>
      </c>
      <c r="P234" s="21">
        <v>18</v>
      </c>
      <c r="Q234" s="21">
        <v>18</v>
      </c>
      <c r="R234" s="21" t="str">
        <f>IF(Q234&gt;=outliers!I236,"High",IF(Q234&lt;=outliers!I235,"Low","Moderate"))</f>
        <v>High</v>
      </c>
      <c r="S234" s="8" t="str">
        <f>IF(OR(Q234&lt;outliers!$I$6,Q234&gt;outliers!$I$7),"Outlier","Normal")</f>
        <v>Normal</v>
      </c>
      <c r="T234" s="8" t="str">
        <f>IF(OR(L234&lt;outliers!$J$6,L234&gt;outliers!$J$7),"Outlier","Normal")</f>
        <v>Normal</v>
      </c>
      <c r="U234" s="8" t="str">
        <f>IF(OR(M234&lt;outliers!$K$6,M234&gt;outliers!$K$7),"Outlier","Normal")</f>
        <v>Normal</v>
      </c>
    </row>
    <row r="235" spans="1:21">
      <c r="A235" s="21">
        <v>234</v>
      </c>
      <c r="B235" s="68">
        <v>40554</v>
      </c>
      <c r="C235" s="22" t="b">
        <v>0</v>
      </c>
      <c r="D235" s="21" t="str">
        <f t="shared" si="3"/>
        <v>Tuesday</v>
      </c>
      <c r="E235" s="23">
        <v>0.16669999999999999</v>
      </c>
      <c r="F235" s="23">
        <f>YEAR('Merged raw data'!$B235)</f>
        <v>2011</v>
      </c>
      <c r="G235" s="23" t="str">
        <f>TEXT('Merged raw data'!$B235,"mmmm")</f>
        <v>January</v>
      </c>
      <c r="H235" s="37" t="str">
        <f>TEXT(TIME('Merged raw data'!F235,0,0),"h AM/PM")</f>
        <v>12 AM</v>
      </c>
      <c r="I235" s="23" t="str">
        <f>IF(OR('Merged raw data'!H235=1,'Merged raw data'!H235=2,'Merged raw data'!H235=3,'Merged raw data'!H235=4,'Merged raw data'!H235=5),"weekday","weekend")</f>
        <v>weekday</v>
      </c>
      <c r="J235" s="23" t="s">
        <v>23</v>
      </c>
      <c r="K235" s="23" t="str">
        <f>IF('Merged raw data'!I235=1,"Clear",IF('Merged raw data'!I235=2,"Mist",IF('Merged raw data'!I235=3,"Rain",IF('Merged raw data'!I235=4,"Storm","NA"))))</f>
        <v>Clear</v>
      </c>
      <c r="L235" s="24">
        <v>0.59</v>
      </c>
      <c r="M235" s="24">
        <v>0.1045</v>
      </c>
      <c r="N235" s="21">
        <f>'Merged raw data'!$J235*100</f>
        <v>14.000000000000002</v>
      </c>
      <c r="O235" s="21">
        <v>2</v>
      </c>
      <c r="P235" s="21">
        <v>10</v>
      </c>
      <c r="Q235" s="21">
        <v>12</v>
      </c>
      <c r="R235" s="21" t="str">
        <f>IF(Q235&gt;=outliers!I237,"High",IF(Q235&lt;=outliers!I236,"Low","Moderate"))</f>
        <v>High</v>
      </c>
      <c r="S235" s="8" t="str">
        <f>IF(OR(Q235&lt;outliers!$I$6,Q235&gt;outliers!$I$7),"Outlier","Normal")</f>
        <v>Normal</v>
      </c>
      <c r="T235" s="8" t="str">
        <f>IF(OR(L235&lt;outliers!$J$6,L235&gt;outliers!$J$7),"Outlier","Normal")</f>
        <v>Normal</v>
      </c>
      <c r="U235" s="8" t="str">
        <f>IF(OR(M235&lt;outliers!$K$6,M235&gt;outliers!$K$7),"Outlier","Normal")</f>
        <v>Normal</v>
      </c>
    </row>
    <row r="236" spans="1:21">
      <c r="A236" s="21">
        <v>235</v>
      </c>
      <c r="B236" s="68">
        <v>40554</v>
      </c>
      <c r="C236" s="22" t="b">
        <v>0</v>
      </c>
      <c r="D236" s="21" t="str">
        <f t="shared" si="3"/>
        <v>Tuesday</v>
      </c>
      <c r="E236" s="23">
        <v>0.1515</v>
      </c>
      <c r="F236" s="23">
        <f>YEAR('Merged raw data'!$B236)</f>
        <v>2011</v>
      </c>
      <c r="G236" s="23" t="str">
        <f>TEXT('Merged raw data'!$B236,"mmmm")</f>
        <v>January</v>
      </c>
      <c r="H236" s="37" t="str">
        <f>TEXT(TIME('Merged raw data'!F236,0,0),"h AM/PM")</f>
        <v>1 AM</v>
      </c>
      <c r="I236" s="23" t="str">
        <f>IF(OR('Merged raw data'!H236=1,'Merged raw data'!H236=2,'Merged raw data'!H236=3,'Merged raw data'!H236=4,'Merged raw data'!H236=5),"weekday","weekend")</f>
        <v>weekday</v>
      </c>
      <c r="J236" s="23" t="s">
        <v>23</v>
      </c>
      <c r="K236" s="23" t="str">
        <f>IF('Merged raw data'!I236=1,"Clear",IF('Merged raw data'!I236=2,"Mist",IF('Merged raw data'!I236=3,"Rain",IF('Merged raw data'!I236=4,"Storm","NA"))))</f>
        <v>Clear</v>
      </c>
      <c r="L236" s="24">
        <v>0.59</v>
      </c>
      <c r="M236" s="24">
        <v>0.16420000000000001</v>
      </c>
      <c r="N236" s="21">
        <f>'Merged raw data'!$J236*100</f>
        <v>14.000000000000002</v>
      </c>
      <c r="O236" s="21">
        <v>0</v>
      </c>
      <c r="P236" s="21">
        <v>3</v>
      </c>
      <c r="Q236" s="21">
        <v>3</v>
      </c>
      <c r="R236" s="21" t="str">
        <f>IF(Q236&gt;=outliers!I238,"High",IF(Q236&lt;=outliers!I237,"Low","Moderate"))</f>
        <v>High</v>
      </c>
      <c r="S236" s="8" t="str">
        <f>IF(OR(Q236&lt;outliers!$I$6,Q236&gt;outliers!$I$7),"Outlier","Normal")</f>
        <v>Normal</v>
      </c>
      <c r="T236" s="8" t="str">
        <f>IF(OR(L236&lt;outliers!$J$6,L236&gt;outliers!$J$7),"Outlier","Normal")</f>
        <v>Normal</v>
      </c>
      <c r="U236" s="8" t="str">
        <f>IF(OR(M236&lt;outliers!$K$6,M236&gt;outliers!$K$7),"Outlier","Normal")</f>
        <v>Normal</v>
      </c>
    </row>
    <row r="237" spans="1:21">
      <c r="A237" s="21">
        <v>236</v>
      </c>
      <c r="B237" s="68">
        <v>40554</v>
      </c>
      <c r="C237" s="22" t="b">
        <v>0</v>
      </c>
      <c r="D237" s="21" t="str">
        <f t="shared" si="3"/>
        <v>Tuesday</v>
      </c>
      <c r="E237" s="23">
        <v>0.1515</v>
      </c>
      <c r="F237" s="23">
        <f>YEAR('Merged raw data'!$B237)</f>
        <v>2011</v>
      </c>
      <c r="G237" s="23" t="str">
        <f>TEXT('Merged raw data'!$B237,"mmmm")</f>
        <v>January</v>
      </c>
      <c r="H237" s="37" t="str">
        <f>TEXT(TIME('Merged raw data'!F237,0,0),"h AM/PM")</f>
        <v>2 AM</v>
      </c>
      <c r="I237" s="23" t="str">
        <f>IF(OR('Merged raw data'!H237=1,'Merged raw data'!H237=2,'Merged raw data'!H237=3,'Merged raw data'!H237=4,'Merged raw data'!H237=5),"weekday","weekend")</f>
        <v>weekday</v>
      </c>
      <c r="J237" s="23" t="s">
        <v>23</v>
      </c>
      <c r="K237" s="23" t="str">
        <f>IF('Merged raw data'!I237=1,"Clear",IF('Merged raw data'!I237=2,"Mist",IF('Merged raw data'!I237=3,"Rain",IF('Merged raw data'!I237=4,"Storm","NA"))))</f>
        <v>Mist</v>
      </c>
      <c r="L237" s="24">
        <v>0.55000000000000004</v>
      </c>
      <c r="M237" s="24">
        <v>0.19400000000000001</v>
      </c>
      <c r="N237" s="21">
        <f>'Merged raw data'!$J237*100</f>
        <v>16</v>
      </c>
      <c r="O237" s="21">
        <v>0</v>
      </c>
      <c r="P237" s="21">
        <v>3</v>
      </c>
      <c r="Q237" s="21">
        <v>3</v>
      </c>
      <c r="R237" s="21" t="str">
        <f>IF(Q237&gt;=outliers!I239,"High",IF(Q237&lt;=outliers!I238,"Low","Moderate"))</f>
        <v>High</v>
      </c>
      <c r="S237" s="8" t="str">
        <f>IF(OR(Q237&lt;outliers!$I$6,Q237&gt;outliers!$I$7),"Outlier","Normal")</f>
        <v>Normal</v>
      </c>
      <c r="T237" s="8" t="str">
        <f>IF(OR(L237&lt;outliers!$J$6,L237&gt;outliers!$J$7),"Outlier","Normal")</f>
        <v>Normal</v>
      </c>
      <c r="U237" s="8" t="str">
        <f>IF(OR(M237&lt;outliers!$K$6,M237&gt;outliers!$K$7),"Outlier","Normal")</f>
        <v>Normal</v>
      </c>
    </row>
    <row r="238" spans="1:21">
      <c r="A238" s="21">
        <v>237</v>
      </c>
      <c r="B238" s="68">
        <v>40554</v>
      </c>
      <c r="C238" s="22" t="b">
        <v>0</v>
      </c>
      <c r="D238" s="21" t="str">
        <f t="shared" si="3"/>
        <v>Tuesday</v>
      </c>
      <c r="E238" s="23">
        <v>0.18179999999999999</v>
      </c>
      <c r="F238" s="23">
        <f>YEAR('Merged raw data'!$B238)</f>
        <v>2011</v>
      </c>
      <c r="G238" s="23" t="str">
        <f>TEXT('Merged raw data'!$B238,"mmmm")</f>
        <v>January</v>
      </c>
      <c r="H238" s="37" t="str">
        <f>TEXT(TIME('Merged raw data'!F238,0,0),"h AM/PM")</f>
        <v>5 AM</v>
      </c>
      <c r="I238" s="23" t="str">
        <f>IF(OR('Merged raw data'!H238=1,'Merged raw data'!H238=2,'Merged raw data'!H238=3,'Merged raw data'!H238=4,'Merged raw data'!H238=5),"weekday","weekend")</f>
        <v>weekday</v>
      </c>
      <c r="J238" s="23" t="s">
        <v>23</v>
      </c>
      <c r="K238" s="23" t="str">
        <f>IF('Merged raw data'!I238=1,"Clear",IF('Merged raw data'!I238=2,"Mist",IF('Merged raw data'!I238=3,"Rain",IF('Merged raw data'!I238=4,"Storm","NA"))))</f>
        <v>Mist</v>
      </c>
      <c r="L238" s="24">
        <v>0.55000000000000004</v>
      </c>
      <c r="M238" s="24">
        <v>0.1343</v>
      </c>
      <c r="N238" s="21">
        <f>'Merged raw data'!$J238*100</f>
        <v>16</v>
      </c>
      <c r="O238" s="21">
        <v>0</v>
      </c>
      <c r="P238" s="21">
        <v>6</v>
      </c>
      <c r="Q238" s="21">
        <v>6</v>
      </c>
      <c r="R238" s="21" t="str">
        <f>IF(Q238&gt;=outliers!I240,"High",IF(Q238&lt;=outliers!I239,"Low","Moderate"))</f>
        <v>High</v>
      </c>
      <c r="S238" s="8" t="str">
        <f>IF(OR(Q238&lt;outliers!$I$6,Q238&gt;outliers!$I$7),"Outlier","Normal")</f>
        <v>Normal</v>
      </c>
      <c r="T238" s="8" t="str">
        <f>IF(OR(L238&lt;outliers!$J$6,L238&gt;outliers!$J$7),"Outlier","Normal")</f>
        <v>Normal</v>
      </c>
      <c r="U238" s="8" t="str">
        <f>IF(OR(M238&lt;outliers!$K$6,M238&gt;outliers!$K$7),"Outlier","Normal")</f>
        <v>Normal</v>
      </c>
    </row>
    <row r="239" spans="1:21">
      <c r="A239" s="21">
        <v>238</v>
      </c>
      <c r="B239" s="68">
        <v>40554</v>
      </c>
      <c r="C239" s="22" t="b">
        <v>0</v>
      </c>
      <c r="D239" s="21" t="str">
        <f t="shared" si="3"/>
        <v>Tuesday</v>
      </c>
      <c r="E239" s="23">
        <v>0.18179999999999999</v>
      </c>
      <c r="F239" s="23">
        <f>YEAR('Merged raw data'!$B239)</f>
        <v>2011</v>
      </c>
      <c r="G239" s="23" t="str">
        <f>TEXT('Merged raw data'!$B239,"mmmm")</f>
        <v>January</v>
      </c>
      <c r="H239" s="37" t="str">
        <f>TEXT(TIME('Merged raw data'!F239,0,0),"h AM/PM")</f>
        <v>6 AM</v>
      </c>
      <c r="I239" s="23" t="str">
        <f>IF(OR('Merged raw data'!H239=1,'Merged raw data'!H239=2,'Merged raw data'!H239=3,'Merged raw data'!H239=4,'Merged raw data'!H239=5),"weekday","weekend")</f>
        <v>weekday</v>
      </c>
      <c r="J239" s="23" t="s">
        <v>23</v>
      </c>
      <c r="K239" s="23" t="str">
        <f>IF('Merged raw data'!I239=1,"Clear",IF('Merged raw data'!I239=2,"Mist",IF('Merged raw data'!I239=3,"Rain",IF('Merged raw data'!I239=4,"Storm","NA"))))</f>
        <v>Mist</v>
      </c>
      <c r="L239" s="24">
        <v>0.55000000000000004</v>
      </c>
      <c r="M239" s="24">
        <v>0.1343</v>
      </c>
      <c r="N239" s="21">
        <f>'Merged raw data'!$J239*100</f>
        <v>16</v>
      </c>
      <c r="O239" s="21">
        <v>0</v>
      </c>
      <c r="P239" s="21">
        <v>27</v>
      </c>
      <c r="Q239" s="21">
        <v>27</v>
      </c>
      <c r="R239" s="21" t="str">
        <f>IF(Q239&gt;=outliers!I241,"High",IF(Q239&lt;=outliers!I240,"Low","Moderate"))</f>
        <v>High</v>
      </c>
      <c r="S239" s="8" t="str">
        <f>IF(OR(Q239&lt;outliers!$I$6,Q239&gt;outliers!$I$7),"Outlier","Normal")</f>
        <v>Normal</v>
      </c>
      <c r="T239" s="8" t="str">
        <f>IF(OR(L239&lt;outliers!$J$6,L239&gt;outliers!$J$7),"Outlier","Normal")</f>
        <v>Normal</v>
      </c>
      <c r="U239" s="8" t="str">
        <f>IF(OR(M239&lt;outliers!$K$6,M239&gt;outliers!$K$7),"Outlier","Normal")</f>
        <v>Normal</v>
      </c>
    </row>
    <row r="240" spans="1:21">
      <c r="A240" s="21">
        <v>239</v>
      </c>
      <c r="B240" s="68">
        <v>40554</v>
      </c>
      <c r="C240" s="22" t="b">
        <v>0</v>
      </c>
      <c r="D240" s="21" t="str">
        <f t="shared" si="3"/>
        <v>Tuesday</v>
      </c>
      <c r="E240" s="23">
        <v>0.2273</v>
      </c>
      <c r="F240" s="23">
        <f>YEAR('Merged raw data'!$B240)</f>
        <v>2011</v>
      </c>
      <c r="G240" s="23" t="str">
        <f>TEXT('Merged raw data'!$B240,"mmmm")</f>
        <v>January</v>
      </c>
      <c r="H240" s="37" t="str">
        <f>TEXT(TIME('Merged raw data'!F240,0,0),"h AM/PM")</f>
        <v>7 AM</v>
      </c>
      <c r="I240" s="23" t="str">
        <f>IF(OR('Merged raw data'!H240=1,'Merged raw data'!H240=2,'Merged raw data'!H240=3,'Merged raw data'!H240=4,'Merged raw data'!H240=5),"weekday","weekend")</f>
        <v>weekday</v>
      </c>
      <c r="J240" s="23" t="s">
        <v>23</v>
      </c>
      <c r="K240" s="23" t="str">
        <f>IF('Merged raw data'!I240=1,"Clear",IF('Merged raw data'!I240=2,"Mist",IF('Merged raw data'!I240=3,"Rain",IF('Merged raw data'!I240=4,"Storm","NA"))))</f>
        <v>Mist</v>
      </c>
      <c r="L240" s="24">
        <v>0.55000000000000004</v>
      </c>
      <c r="M240" s="24">
        <v>0.23</v>
      </c>
      <c r="N240" s="21">
        <f>'Merged raw data'!$J240*100</f>
        <v>16</v>
      </c>
      <c r="O240" s="21">
        <v>2</v>
      </c>
      <c r="P240" s="21">
        <v>97</v>
      </c>
      <c r="Q240" s="21">
        <v>99</v>
      </c>
      <c r="R240" s="21" t="str">
        <f>IF(Q240&gt;=outliers!I242,"High",IF(Q240&lt;=outliers!I241,"Low","Moderate"))</f>
        <v>High</v>
      </c>
      <c r="S240" s="8" t="str">
        <f>IF(OR(Q240&lt;outliers!$I$6,Q240&gt;outliers!$I$7),"Outlier","Normal")</f>
        <v>Normal</v>
      </c>
      <c r="T240" s="8" t="str">
        <f>IF(OR(L240&lt;outliers!$J$6,L240&gt;outliers!$J$7),"Outlier","Normal")</f>
        <v>Normal</v>
      </c>
      <c r="U240" s="8" t="str">
        <f>IF(OR(M240&lt;outliers!$K$6,M240&gt;outliers!$K$7),"Outlier","Normal")</f>
        <v>Normal</v>
      </c>
    </row>
    <row r="241" spans="1:21">
      <c r="A241" s="21">
        <v>240</v>
      </c>
      <c r="B241" s="68">
        <v>40554</v>
      </c>
      <c r="C241" s="22" t="b">
        <v>0</v>
      </c>
      <c r="D241" s="21" t="str">
        <f t="shared" si="3"/>
        <v>Tuesday</v>
      </c>
      <c r="E241" s="23">
        <v>0.21210000000000001</v>
      </c>
      <c r="F241" s="23">
        <f>YEAR('Merged raw data'!$B241)</f>
        <v>2011</v>
      </c>
      <c r="G241" s="23" t="str">
        <f>TEXT('Merged raw data'!$B241,"mmmm")</f>
        <v>January</v>
      </c>
      <c r="H241" s="37" t="str">
        <f>TEXT(TIME('Merged raw data'!F241,0,0),"h AM/PM")</f>
        <v>8 AM</v>
      </c>
      <c r="I241" s="23" t="str">
        <f>IF(OR('Merged raw data'!H241=1,'Merged raw data'!H241=2,'Merged raw data'!H241=3,'Merged raw data'!H241=4,'Merged raw data'!H241=5),"weekday","weekend")</f>
        <v>weekday</v>
      </c>
      <c r="J241" s="23" t="s">
        <v>23</v>
      </c>
      <c r="K241" s="23" t="str">
        <f>IF('Merged raw data'!I241=1,"Clear",IF('Merged raw data'!I241=2,"Mist",IF('Merged raw data'!I241=3,"Rain",IF('Merged raw data'!I241=4,"Storm","NA"))))</f>
        <v>Mist</v>
      </c>
      <c r="L241" s="24">
        <v>0.51</v>
      </c>
      <c r="M241" s="24">
        <v>8.9599999999999999E-2</v>
      </c>
      <c r="N241" s="21">
        <f>'Merged raw data'!$J241*100</f>
        <v>18</v>
      </c>
      <c r="O241" s="21">
        <v>3</v>
      </c>
      <c r="P241" s="21">
        <v>214</v>
      </c>
      <c r="Q241" s="21">
        <v>217</v>
      </c>
      <c r="R241" s="21" t="str">
        <f>IF(Q241&gt;=outliers!I243,"High",IF(Q241&lt;=outliers!I242,"Low","Moderate"))</f>
        <v>High</v>
      </c>
      <c r="S241" s="8" t="str">
        <f>IF(OR(Q241&lt;outliers!$I$6,Q241&gt;outliers!$I$7),"Outlier","Normal")</f>
        <v>Outlier</v>
      </c>
      <c r="T241" s="8" t="str">
        <f>IF(OR(L241&lt;outliers!$J$6,L241&gt;outliers!$J$7),"Outlier","Normal")</f>
        <v>Normal</v>
      </c>
      <c r="U241" s="8" t="str">
        <f>IF(OR(M241&lt;outliers!$K$6,M241&gt;outliers!$K$7),"Outlier","Normal")</f>
        <v>Normal</v>
      </c>
    </row>
    <row r="242" spans="1:21">
      <c r="A242" s="21">
        <v>241</v>
      </c>
      <c r="B242" s="68">
        <v>40554</v>
      </c>
      <c r="C242" s="22" t="b">
        <v>0</v>
      </c>
      <c r="D242" s="21" t="str">
        <f t="shared" si="3"/>
        <v>Tuesday</v>
      </c>
      <c r="E242" s="23">
        <v>0.19700000000000001</v>
      </c>
      <c r="F242" s="23">
        <f>YEAR('Merged raw data'!$B242)</f>
        <v>2011</v>
      </c>
      <c r="G242" s="23" t="str">
        <f>TEXT('Merged raw data'!$B242,"mmmm")</f>
        <v>January</v>
      </c>
      <c r="H242" s="37" t="str">
        <f>TEXT(TIME('Merged raw data'!F242,0,0),"h AM/PM")</f>
        <v>9 AM</v>
      </c>
      <c r="I242" s="23" t="str">
        <f>IF(OR('Merged raw data'!H242=1,'Merged raw data'!H242=2,'Merged raw data'!H242=3,'Merged raw data'!H242=4,'Merged raw data'!H242=5),"weekday","weekend")</f>
        <v>weekday</v>
      </c>
      <c r="J242" s="23" t="s">
        <v>23</v>
      </c>
      <c r="K242" s="23" t="str">
        <f>IF('Merged raw data'!I242=1,"Clear",IF('Merged raw data'!I242=2,"Mist",IF('Merged raw data'!I242=3,"Rain",IF('Merged raw data'!I242=4,"Storm","NA"))))</f>
        <v>Mist</v>
      </c>
      <c r="L242" s="24">
        <v>0.51</v>
      </c>
      <c r="M242" s="24">
        <v>0.16420000000000001</v>
      </c>
      <c r="N242" s="21">
        <f>'Merged raw data'!$J242*100</f>
        <v>18</v>
      </c>
      <c r="O242" s="21">
        <v>3</v>
      </c>
      <c r="P242" s="21">
        <v>127</v>
      </c>
      <c r="Q242" s="21">
        <v>130</v>
      </c>
      <c r="R242" s="21" t="str">
        <f>IF(Q242&gt;=outliers!I244,"High",IF(Q242&lt;=outliers!I243,"Low","Moderate"))</f>
        <v>High</v>
      </c>
      <c r="S242" s="8" t="str">
        <f>IF(OR(Q242&lt;outliers!$I$6,Q242&gt;outliers!$I$7),"Outlier","Normal")</f>
        <v>Normal</v>
      </c>
      <c r="T242" s="8" t="str">
        <f>IF(OR(L242&lt;outliers!$J$6,L242&gt;outliers!$J$7),"Outlier","Normal")</f>
        <v>Normal</v>
      </c>
      <c r="U242" s="8" t="str">
        <f>IF(OR(M242&lt;outliers!$K$6,M242&gt;outliers!$K$7),"Outlier","Normal")</f>
        <v>Normal</v>
      </c>
    </row>
    <row r="243" spans="1:21">
      <c r="A243" s="21">
        <v>242</v>
      </c>
      <c r="B243" s="68">
        <v>40554</v>
      </c>
      <c r="C243" s="22" t="b">
        <v>0</v>
      </c>
      <c r="D243" s="21" t="str">
        <f t="shared" si="3"/>
        <v>Tuesday</v>
      </c>
      <c r="E243" s="23">
        <v>0.21210000000000001</v>
      </c>
      <c r="F243" s="23">
        <f>YEAR('Merged raw data'!$B243)</f>
        <v>2011</v>
      </c>
      <c r="G243" s="23" t="str">
        <f>TEXT('Merged raw data'!$B243,"mmmm")</f>
        <v>January</v>
      </c>
      <c r="H243" s="37" t="str">
        <f>TEXT(TIME('Merged raw data'!F243,0,0),"h AM/PM")</f>
        <v>10 AM</v>
      </c>
      <c r="I243" s="23" t="str">
        <f>IF(OR('Merged raw data'!H243=1,'Merged raw data'!H243=2,'Merged raw data'!H243=3,'Merged raw data'!H243=4,'Merged raw data'!H243=5),"weekday","weekend")</f>
        <v>weekday</v>
      </c>
      <c r="J243" s="23" t="s">
        <v>23</v>
      </c>
      <c r="K243" s="23" t="str">
        <f>IF('Merged raw data'!I243=1,"Clear",IF('Merged raw data'!I243=2,"Mist",IF('Merged raw data'!I243=3,"Rain",IF('Merged raw data'!I243=4,"Storm","NA"))))</f>
        <v>Mist</v>
      </c>
      <c r="L243" s="24">
        <v>0.51</v>
      </c>
      <c r="M243" s="24">
        <v>0.16420000000000001</v>
      </c>
      <c r="N243" s="21">
        <f>'Merged raw data'!$J243*100</f>
        <v>20</v>
      </c>
      <c r="O243" s="21">
        <v>3</v>
      </c>
      <c r="P243" s="21">
        <v>51</v>
      </c>
      <c r="Q243" s="21">
        <v>54</v>
      </c>
      <c r="R243" s="21" t="str">
        <f>IF(Q243&gt;=outliers!I245,"High",IF(Q243&lt;=outliers!I244,"Low","Moderate"))</f>
        <v>High</v>
      </c>
      <c r="S243" s="8" t="str">
        <f>IF(OR(Q243&lt;outliers!$I$6,Q243&gt;outliers!$I$7),"Outlier","Normal")</f>
        <v>Normal</v>
      </c>
      <c r="T243" s="8" t="str">
        <f>IF(OR(L243&lt;outliers!$J$6,L243&gt;outliers!$J$7),"Outlier","Normal")</f>
        <v>Normal</v>
      </c>
      <c r="U243" s="8" t="str">
        <f>IF(OR(M243&lt;outliers!$K$6,M243&gt;outliers!$K$7),"Outlier","Normal")</f>
        <v>Normal</v>
      </c>
    </row>
    <row r="244" spans="1:21">
      <c r="A244" s="21">
        <v>243</v>
      </c>
      <c r="B244" s="68">
        <v>40554</v>
      </c>
      <c r="C244" s="22" t="b">
        <v>0</v>
      </c>
      <c r="D244" s="21" t="str">
        <f t="shared" si="3"/>
        <v>Tuesday</v>
      </c>
      <c r="E244" s="23">
        <v>0.21210000000000001</v>
      </c>
      <c r="F244" s="23">
        <f>YEAR('Merged raw data'!$B244)</f>
        <v>2011</v>
      </c>
      <c r="G244" s="23" t="str">
        <f>TEXT('Merged raw data'!$B244,"mmmm")</f>
        <v>January</v>
      </c>
      <c r="H244" s="37" t="str">
        <f>TEXT(TIME('Merged raw data'!F244,0,0),"h AM/PM")</f>
        <v>11 AM</v>
      </c>
      <c r="I244" s="23" t="str">
        <f>IF(OR('Merged raw data'!H244=1,'Merged raw data'!H244=2,'Merged raw data'!H244=3,'Merged raw data'!H244=4,'Merged raw data'!H244=5),"weekday","weekend")</f>
        <v>weekday</v>
      </c>
      <c r="J244" s="23" t="s">
        <v>23</v>
      </c>
      <c r="K244" s="23" t="str">
        <f>IF('Merged raw data'!I244=1,"Clear",IF('Merged raw data'!I244=2,"Mist",IF('Merged raw data'!I244=3,"Rain",IF('Merged raw data'!I244=4,"Storm","NA"))))</f>
        <v>Mist</v>
      </c>
      <c r="L244" s="24">
        <v>0.47</v>
      </c>
      <c r="M244" s="24">
        <v>0.1343</v>
      </c>
      <c r="N244" s="21">
        <f>'Merged raw data'!$J244*100</f>
        <v>20</v>
      </c>
      <c r="O244" s="21">
        <v>4</v>
      </c>
      <c r="P244" s="21">
        <v>31</v>
      </c>
      <c r="Q244" s="21">
        <v>35</v>
      </c>
      <c r="R244" s="21" t="str">
        <f>IF(Q244&gt;=outliers!I246,"High",IF(Q244&lt;=outliers!I245,"Low","Moderate"))</f>
        <v>High</v>
      </c>
      <c r="S244" s="8" t="str">
        <f>IF(OR(Q244&lt;outliers!$I$6,Q244&gt;outliers!$I$7),"Outlier","Normal")</f>
        <v>Normal</v>
      </c>
      <c r="T244" s="8" t="str">
        <f>IF(OR(L244&lt;outliers!$J$6,L244&gt;outliers!$J$7),"Outlier","Normal")</f>
        <v>Normal</v>
      </c>
      <c r="U244" s="8" t="str">
        <f>IF(OR(M244&lt;outliers!$K$6,M244&gt;outliers!$K$7),"Outlier","Normal")</f>
        <v>Normal</v>
      </c>
    </row>
    <row r="245" spans="1:21">
      <c r="A245" s="21">
        <v>244</v>
      </c>
      <c r="B245" s="68">
        <v>40554</v>
      </c>
      <c r="C245" s="22" t="b">
        <v>0</v>
      </c>
      <c r="D245" s="21" t="str">
        <f t="shared" si="3"/>
        <v>Tuesday</v>
      </c>
      <c r="E245" s="23">
        <v>0.2273</v>
      </c>
      <c r="F245" s="23">
        <f>YEAR('Merged raw data'!$B245)</f>
        <v>2011</v>
      </c>
      <c r="G245" s="23" t="str">
        <f>TEXT('Merged raw data'!$B245,"mmmm")</f>
        <v>January</v>
      </c>
      <c r="H245" s="37" t="str">
        <f>TEXT(TIME('Merged raw data'!F245,0,0),"h AM/PM")</f>
        <v>12 PM</v>
      </c>
      <c r="I245" s="23" t="str">
        <f>IF(OR('Merged raw data'!H245=1,'Merged raw data'!H245=2,'Merged raw data'!H245=3,'Merged raw data'!H245=4,'Merged raw data'!H245=5),"weekday","weekend")</f>
        <v>weekday</v>
      </c>
      <c r="J245" s="23" t="s">
        <v>23</v>
      </c>
      <c r="K245" s="23" t="str">
        <f>IF('Merged raw data'!I245=1,"Clear",IF('Merged raw data'!I245=2,"Mist",IF('Merged raw data'!I245=3,"Rain",IF('Merged raw data'!I245=4,"Storm","NA"))))</f>
        <v>Mist</v>
      </c>
      <c r="L245" s="24">
        <v>0.51</v>
      </c>
      <c r="M245" s="24">
        <v>0.1045</v>
      </c>
      <c r="N245" s="21">
        <f>'Merged raw data'!$J245*100</f>
        <v>20</v>
      </c>
      <c r="O245" s="21">
        <v>2</v>
      </c>
      <c r="P245" s="21">
        <v>55</v>
      </c>
      <c r="Q245" s="21">
        <v>57</v>
      </c>
      <c r="R245" s="21" t="str">
        <f>IF(Q245&gt;=outliers!I247,"High",IF(Q245&lt;=outliers!I246,"Low","Moderate"))</f>
        <v>High</v>
      </c>
      <c r="S245" s="8" t="str">
        <f>IF(OR(Q245&lt;outliers!$I$6,Q245&gt;outliers!$I$7),"Outlier","Normal")</f>
        <v>Normal</v>
      </c>
      <c r="T245" s="8" t="str">
        <f>IF(OR(L245&lt;outliers!$J$6,L245&gt;outliers!$J$7),"Outlier","Normal")</f>
        <v>Normal</v>
      </c>
      <c r="U245" s="8" t="str">
        <f>IF(OR(M245&lt;outliers!$K$6,M245&gt;outliers!$K$7),"Outlier","Normal")</f>
        <v>Normal</v>
      </c>
    </row>
    <row r="246" spans="1:21">
      <c r="A246" s="21">
        <v>245</v>
      </c>
      <c r="B246" s="68">
        <v>40554</v>
      </c>
      <c r="C246" s="22" t="b">
        <v>0</v>
      </c>
      <c r="D246" s="21" t="str">
        <f t="shared" si="3"/>
        <v>Tuesday</v>
      </c>
      <c r="E246" s="23">
        <v>0.2273</v>
      </c>
      <c r="F246" s="23">
        <f>YEAR('Merged raw data'!$B246)</f>
        <v>2011</v>
      </c>
      <c r="G246" s="23" t="str">
        <f>TEXT('Merged raw data'!$B246,"mmmm")</f>
        <v>January</v>
      </c>
      <c r="H246" s="37" t="str">
        <f>TEXT(TIME('Merged raw data'!F246,0,0),"h AM/PM")</f>
        <v>1 PM</v>
      </c>
      <c r="I246" s="23" t="str">
        <f>IF(OR('Merged raw data'!H246=1,'Merged raw data'!H246=2,'Merged raw data'!H246=3,'Merged raw data'!H246=4,'Merged raw data'!H246=5),"weekday","weekend")</f>
        <v>weekday</v>
      </c>
      <c r="J246" s="23" t="s">
        <v>23</v>
      </c>
      <c r="K246" s="23" t="str">
        <f>IF('Merged raw data'!I246=1,"Clear",IF('Merged raw data'!I246=2,"Mist",IF('Merged raw data'!I246=3,"Rain",IF('Merged raw data'!I246=4,"Storm","NA"))))</f>
        <v>Mist</v>
      </c>
      <c r="L246" s="24">
        <v>0.59</v>
      </c>
      <c r="M246" s="24">
        <v>8.9599999999999999E-2</v>
      </c>
      <c r="N246" s="21">
        <f>'Merged raw data'!$J246*100</f>
        <v>20</v>
      </c>
      <c r="O246" s="21">
        <v>6</v>
      </c>
      <c r="P246" s="21">
        <v>46</v>
      </c>
      <c r="Q246" s="21">
        <v>52</v>
      </c>
      <c r="R246" s="21" t="str">
        <f>IF(Q246&gt;=outliers!I248,"High",IF(Q246&lt;=outliers!I247,"Low","Moderate"))</f>
        <v>High</v>
      </c>
      <c r="S246" s="8" t="str">
        <f>IF(OR(Q246&lt;outliers!$I$6,Q246&gt;outliers!$I$7),"Outlier","Normal")</f>
        <v>Normal</v>
      </c>
      <c r="T246" s="8" t="str">
        <f>IF(OR(L246&lt;outliers!$J$6,L246&gt;outliers!$J$7),"Outlier","Normal")</f>
        <v>Normal</v>
      </c>
      <c r="U246" s="8" t="str">
        <f>IF(OR(M246&lt;outliers!$K$6,M246&gt;outliers!$K$7),"Outlier","Normal")</f>
        <v>Normal</v>
      </c>
    </row>
    <row r="247" spans="1:21">
      <c r="A247" s="21">
        <v>246</v>
      </c>
      <c r="B247" s="68">
        <v>40554</v>
      </c>
      <c r="C247" s="22" t="b">
        <v>0</v>
      </c>
      <c r="D247" s="21" t="str">
        <f t="shared" si="3"/>
        <v>Tuesday</v>
      </c>
      <c r="E247" s="23">
        <v>0.2273</v>
      </c>
      <c r="F247" s="23">
        <f>YEAR('Merged raw data'!$B247)</f>
        <v>2011</v>
      </c>
      <c r="G247" s="23" t="str">
        <f>TEXT('Merged raw data'!$B247,"mmmm")</f>
        <v>January</v>
      </c>
      <c r="H247" s="37" t="str">
        <f>TEXT(TIME('Merged raw data'!F247,0,0),"h AM/PM")</f>
        <v>2 PM</v>
      </c>
      <c r="I247" s="23" t="str">
        <f>IF(OR('Merged raw data'!H247=1,'Merged raw data'!H247=2,'Merged raw data'!H247=3,'Merged raw data'!H247=4,'Merged raw data'!H247=5),"weekday","weekend")</f>
        <v>weekday</v>
      </c>
      <c r="J247" s="23" t="s">
        <v>23</v>
      </c>
      <c r="K247" s="23" t="str">
        <f>IF('Merged raw data'!I247=1,"Clear",IF('Merged raw data'!I247=2,"Mist",IF('Merged raw data'!I247=3,"Rain",IF('Merged raw data'!I247=4,"Storm","NA"))))</f>
        <v>Mist</v>
      </c>
      <c r="L247" s="24">
        <v>0.59</v>
      </c>
      <c r="M247" s="24">
        <v>8.9599999999999999E-2</v>
      </c>
      <c r="N247" s="21">
        <f>'Merged raw data'!$J247*100</f>
        <v>20</v>
      </c>
      <c r="O247" s="21">
        <v>3</v>
      </c>
      <c r="P247" s="21">
        <v>60</v>
      </c>
      <c r="Q247" s="21">
        <v>63</v>
      </c>
      <c r="R247" s="21" t="str">
        <f>IF(Q247&gt;=outliers!I249,"High",IF(Q247&lt;=outliers!I248,"Low","Moderate"))</f>
        <v>High</v>
      </c>
      <c r="S247" s="8" t="str">
        <f>IF(OR(Q247&lt;outliers!$I$6,Q247&gt;outliers!$I$7),"Outlier","Normal")</f>
        <v>Normal</v>
      </c>
      <c r="T247" s="8" t="str">
        <f>IF(OR(L247&lt;outliers!$J$6,L247&gt;outliers!$J$7),"Outlier","Normal")</f>
        <v>Normal</v>
      </c>
      <c r="U247" s="8" t="str">
        <f>IF(OR(M247&lt;outliers!$K$6,M247&gt;outliers!$K$7),"Outlier","Normal")</f>
        <v>Normal</v>
      </c>
    </row>
    <row r="248" spans="1:21">
      <c r="A248" s="21">
        <v>247</v>
      </c>
      <c r="B248" s="68">
        <v>40554</v>
      </c>
      <c r="C248" s="22" t="b">
        <v>0</v>
      </c>
      <c r="D248" s="21" t="str">
        <f t="shared" si="3"/>
        <v>Tuesday</v>
      </c>
      <c r="E248" s="23">
        <v>0.19700000000000001</v>
      </c>
      <c r="F248" s="23">
        <f>YEAR('Merged raw data'!$B248)</f>
        <v>2011</v>
      </c>
      <c r="G248" s="23" t="str">
        <f>TEXT('Merged raw data'!$B248,"mmmm")</f>
        <v>January</v>
      </c>
      <c r="H248" s="37" t="str">
        <f>TEXT(TIME('Merged raw data'!F248,0,0),"h AM/PM")</f>
        <v>3 PM</v>
      </c>
      <c r="I248" s="23" t="str">
        <f>IF(OR('Merged raw data'!H248=1,'Merged raw data'!H248=2,'Merged raw data'!H248=3,'Merged raw data'!H248=4,'Merged raw data'!H248=5),"weekday","weekend")</f>
        <v>weekday</v>
      </c>
      <c r="J248" s="23" t="s">
        <v>23</v>
      </c>
      <c r="K248" s="23" t="str">
        <f>IF('Merged raw data'!I248=1,"Clear",IF('Merged raw data'!I248=2,"Mist",IF('Merged raw data'!I248=3,"Rain",IF('Merged raw data'!I248=4,"Storm","NA"))))</f>
        <v>Mist</v>
      </c>
      <c r="L248" s="24">
        <v>0.8</v>
      </c>
      <c r="M248" s="24">
        <v>8.9599999999999999E-2</v>
      </c>
      <c r="N248" s="21">
        <f>'Merged raw data'!$J248*100</f>
        <v>16</v>
      </c>
      <c r="O248" s="21">
        <v>2</v>
      </c>
      <c r="P248" s="21">
        <v>45</v>
      </c>
      <c r="Q248" s="21">
        <v>47</v>
      </c>
      <c r="R248" s="21" t="str">
        <f>IF(Q248&gt;=outliers!I250,"High",IF(Q248&lt;=outliers!I249,"Low","Moderate"))</f>
        <v>High</v>
      </c>
      <c r="S248" s="8" t="str">
        <f>IF(OR(Q248&lt;outliers!$I$6,Q248&gt;outliers!$I$7),"Outlier","Normal")</f>
        <v>Normal</v>
      </c>
      <c r="T248" s="8" t="str">
        <f>IF(OR(L248&lt;outliers!$J$6,L248&gt;outliers!$J$7),"Outlier","Normal")</f>
        <v>Normal</v>
      </c>
      <c r="U248" s="8" t="str">
        <f>IF(OR(M248&lt;outliers!$K$6,M248&gt;outliers!$K$7),"Outlier","Normal")</f>
        <v>Normal</v>
      </c>
    </row>
    <row r="249" spans="1:21">
      <c r="A249" s="21">
        <v>248</v>
      </c>
      <c r="B249" s="68">
        <v>40554</v>
      </c>
      <c r="C249" s="22" t="b">
        <v>0</v>
      </c>
      <c r="D249" s="21" t="str">
        <f t="shared" si="3"/>
        <v>Tuesday</v>
      </c>
      <c r="E249" s="23">
        <v>0.1515</v>
      </c>
      <c r="F249" s="23">
        <f>YEAR('Merged raw data'!$B249)</f>
        <v>2011</v>
      </c>
      <c r="G249" s="23" t="str">
        <f>TEXT('Merged raw data'!$B249,"mmmm")</f>
        <v>January</v>
      </c>
      <c r="H249" s="37" t="str">
        <f>TEXT(TIME('Merged raw data'!F249,0,0),"h AM/PM")</f>
        <v>4 PM</v>
      </c>
      <c r="I249" s="23" t="str">
        <f>IF(OR('Merged raw data'!H249=1,'Merged raw data'!H249=2,'Merged raw data'!H249=3,'Merged raw data'!H249=4,'Merged raw data'!H249=5),"weekday","weekend")</f>
        <v>weekday</v>
      </c>
      <c r="J249" s="23" t="s">
        <v>23</v>
      </c>
      <c r="K249" s="23" t="str">
        <f>IF('Merged raw data'!I249=1,"Clear",IF('Merged raw data'!I249=2,"Mist",IF('Merged raw data'!I249=3,"Rain",IF('Merged raw data'!I249=4,"Storm","NA"))))</f>
        <v>Mist</v>
      </c>
      <c r="L249" s="24">
        <v>0.86</v>
      </c>
      <c r="M249" s="24">
        <v>0.22389999999999999</v>
      </c>
      <c r="N249" s="21">
        <f>'Merged raw data'!$J249*100</f>
        <v>16</v>
      </c>
      <c r="O249" s="21">
        <v>4</v>
      </c>
      <c r="P249" s="21">
        <v>72</v>
      </c>
      <c r="Q249" s="21">
        <v>76</v>
      </c>
      <c r="R249" s="21" t="str">
        <f>IF(Q249&gt;=outliers!I251,"High",IF(Q249&lt;=outliers!I250,"Low","Moderate"))</f>
        <v>High</v>
      </c>
      <c r="S249" s="8" t="str">
        <f>IF(OR(Q249&lt;outliers!$I$6,Q249&gt;outliers!$I$7),"Outlier","Normal")</f>
        <v>Normal</v>
      </c>
      <c r="T249" s="8" t="str">
        <f>IF(OR(L249&lt;outliers!$J$6,L249&gt;outliers!$J$7),"Outlier","Normal")</f>
        <v>Normal</v>
      </c>
      <c r="U249" s="8" t="str">
        <f>IF(OR(M249&lt;outliers!$K$6,M249&gt;outliers!$K$7),"Outlier","Normal")</f>
        <v>Normal</v>
      </c>
    </row>
    <row r="250" spans="1:21">
      <c r="A250" s="21">
        <v>249</v>
      </c>
      <c r="B250" s="68">
        <v>40554</v>
      </c>
      <c r="C250" s="22" t="b">
        <v>0</v>
      </c>
      <c r="D250" s="21" t="str">
        <f t="shared" si="3"/>
        <v>Tuesday</v>
      </c>
      <c r="E250" s="23">
        <v>0.1515</v>
      </c>
      <c r="F250" s="23">
        <f>YEAR('Merged raw data'!$B250)</f>
        <v>2011</v>
      </c>
      <c r="G250" s="23" t="str">
        <f>TEXT('Merged raw data'!$B250,"mmmm")</f>
        <v>January</v>
      </c>
      <c r="H250" s="37" t="str">
        <f>TEXT(TIME('Merged raw data'!F250,0,0),"h AM/PM")</f>
        <v>5 PM</v>
      </c>
      <c r="I250" s="23" t="str">
        <f>IF(OR('Merged raw data'!H250=1,'Merged raw data'!H250=2,'Merged raw data'!H250=3,'Merged raw data'!H250=4,'Merged raw data'!H250=5),"weekday","weekend")</f>
        <v>weekday</v>
      </c>
      <c r="J250" s="23" t="s">
        <v>23</v>
      </c>
      <c r="K250" s="23" t="str">
        <f>IF('Merged raw data'!I250=1,"Clear",IF('Merged raw data'!I250=2,"Mist",IF('Merged raw data'!I250=3,"Rain",IF('Merged raw data'!I250=4,"Storm","NA"))))</f>
        <v>Mist</v>
      </c>
      <c r="L250" s="24">
        <v>0.86</v>
      </c>
      <c r="M250" s="24">
        <v>0.22389999999999999</v>
      </c>
      <c r="N250" s="21">
        <f>'Merged raw data'!$J250*100</f>
        <v>16</v>
      </c>
      <c r="O250" s="21">
        <v>6</v>
      </c>
      <c r="P250" s="21">
        <v>130</v>
      </c>
      <c r="Q250" s="21">
        <v>136</v>
      </c>
      <c r="R250" s="21" t="str">
        <f>IF(Q250&gt;=outliers!I252,"High",IF(Q250&lt;=outliers!I251,"Low","Moderate"))</f>
        <v>High</v>
      </c>
      <c r="S250" s="8" t="str">
        <f>IF(OR(Q250&lt;outliers!$I$6,Q250&gt;outliers!$I$7),"Outlier","Normal")</f>
        <v>Normal</v>
      </c>
      <c r="T250" s="8" t="str">
        <f>IF(OR(L250&lt;outliers!$J$6,L250&gt;outliers!$J$7),"Outlier","Normal")</f>
        <v>Normal</v>
      </c>
      <c r="U250" s="8" t="str">
        <f>IF(OR(M250&lt;outliers!$K$6,M250&gt;outliers!$K$7),"Outlier","Normal")</f>
        <v>Normal</v>
      </c>
    </row>
    <row r="251" spans="1:21">
      <c r="A251" s="21">
        <v>250</v>
      </c>
      <c r="B251" s="68">
        <v>40554</v>
      </c>
      <c r="C251" s="22" t="b">
        <v>0</v>
      </c>
      <c r="D251" s="21" t="str">
        <f t="shared" si="3"/>
        <v>Tuesday</v>
      </c>
      <c r="E251" s="23">
        <v>0.18179999999999999</v>
      </c>
      <c r="F251" s="23">
        <f>YEAR('Merged raw data'!$B251)</f>
        <v>2011</v>
      </c>
      <c r="G251" s="23" t="str">
        <f>TEXT('Merged raw data'!$B251,"mmmm")</f>
        <v>January</v>
      </c>
      <c r="H251" s="37" t="str">
        <f>TEXT(TIME('Merged raw data'!F251,0,0),"h AM/PM")</f>
        <v>6 PM</v>
      </c>
      <c r="I251" s="23" t="str">
        <f>IF(OR('Merged raw data'!H251=1,'Merged raw data'!H251=2,'Merged raw data'!H251=3,'Merged raw data'!H251=4,'Merged raw data'!H251=5),"weekday","weekend")</f>
        <v>weekday</v>
      </c>
      <c r="J251" s="23" t="s">
        <v>23</v>
      </c>
      <c r="K251" s="23" t="str">
        <f>IF('Merged raw data'!I251=1,"Clear",IF('Merged raw data'!I251=2,"Mist",IF('Merged raw data'!I251=3,"Rain",IF('Merged raw data'!I251=4,"Storm","NA"))))</f>
        <v>Rain</v>
      </c>
      <c r="L251" s="24">
        <v>0.93</v>
      </c>
      <c r="M251" s="24">
        <v>0.1045</v>
      </c>
      <c r="N251" s="21">
        <f>'Merged raw data'!$J251*100</f>
        <v>16</v>
      </c>
      <c r="O251" s="21">
        <v>1</v>
      </c>
      <c r="P251" s="21">
        <v>94</v>
      </c>
      <c r="Q251" s="21">
        <v>95</v>
      </c>
      <c r="R251" s="21" t="str">
        <f>IF(Q251&gt;=outliers!I253,"High",IF(Q251&lt;=outliers!I252,"Low","Moderate"))</f>
        <v>High</v>
      </c>
      <c r="S251" s="8" t="str">
        <f>IF(OR(Q251&lt;outliers!$I$6,Q251&gt;outliers!$I$7),"Outlier","Normal")</f>
        <v>Normal</v>
      </c>
      <c r="T251" s="8" t="str">
        <f>IF(OR(L251&lt;outliers!$J$6,L251&gt;outliers!$J$7),"Outlier","Normal")</f>
        <v>Normal</v>
      </c>
      <c r="U251" s="8" t="str">
        <f>IF(OR(M251&lt;outliers!$K$6,M251&gt;outliers!$K$7),"Outlier","Normal")</f>
        <v>Normal</v>
      </c>
    </row>
    <row r="252" spans="1:21">
      <c r="A252" s="21">
        <v>251</v>
      </c>
      <c r="B252" s="68">
        <v>40554</v>
      </c>
      <c r="C252" s="22" t="b">
        <v>0</v>
      </c>
      <c r="D252" s="21" t="str">
        <f t="shared" si="3"/>
        <v>Tuesday</v>
      </c>
      <c r="E252" s="23">
        <v>0.2273</v>
      </c>
      <c r="F252" s="23">
        <f>YEAR('Merged raw data'!$B252)</f>
        <v>2011</v>
      </c>
      <c r="G252" s="23" t="str">
        <f>TEXT('Merged raw data'!$B252,"mmmm")</f>
        <v>January</v>
      </c>
      <c r="H252" s="37" t="str">
        <f>TEXT(TIME('Merged raw data'!F252,0,0),"h AM/PM")</f>
        <v>7 PM</v>
      </c>
      <c r="I252" s="23" t="str">
        <f>IF(OR('Merged raw data'!H252=1,'Merged raw data'!H252=2,'Merged raw data'!H252=3,'Merged raw data'!H252=4,'Merged raw data'!H252=5),"weekday","weekend")</f>
        <v>weekday</v>
      </c>
      <c r="J252" s="23" t="s">
        <v>23</v>
      </c>
      <c r="K252" s="23" t="str">
        <f>IF('Merged raw data'!I252=1,"Clear",IF('Merged raw data'!I252=2,"Mist",IF('Merged raw data'!I252=3,"Rain",IF('Merged raw data'!I252=4,"Storm","NA"))))</f>
        <v>Rain</v>
      </c>
      <c r="L252" s="24">
        <v>0.93</v>
      </c>
      <c r="M252" s="24">
        <v>0.23</v>
      </c>
      <c r="N252" s="21">
        <f>'Merged raw data'!$J252*100</f>
        <v>16</v>
      </c>
      <c r="O252" s="21">
        <v>0</v>
      </c>
      <c r="P252" s="21">
        <v>51</v>
      </c>
      <c r="Q252" s="21">
        <v>51</v>
      </c>
      <c r="R252" s="21" t="str">
        <f>IF(Q252&gt;=outliers!I254,"High",IF(Q252&lt;=outliers!I253,"Low","Moderate"))</f>
        <v>High</v>
      </c>
      <c r="S252" s="8" t="str">
        <f>IF(OR(Q252&lt;outliers!$I$6,Q252&gt;outliers!$I$7),"Outlier","Normal")</f>
        <v>Normal</v>
      </c>
      <c r="T252" s="8" t="str">
        <f>IF(OR(L252&lt;outliers!$J$6,L252&gt;outliers!$J$7),"Outlier","Normal")</f>
        <v>Normal</v>
      </c>
      <c r="U252" s="8" t="str">
        <f>IF(OR(M252&lt;outliers!$K$6,M252&gt;outliers!$K$7),"Outlier","Normal")</f>
        <v>Normal</v>
      </c>
    </row>
    <row r="253" spans="1:21">
      <c r="A253" s="21">
        <v>252</v>
      </c>
      <c r="B253" s="68">
        <v>40554</v>
      </c>
      <c r="C253" s="22" t="b">
        <v>0</v>
      </c>
      <c r="D253" s="21" t="str">
        <f t="shared" si="3"/>
        <v>Tuesday</v>
      </c>
      <c r="E253" s="23">
        <v>0.1515</v>
      </c>
      <c r="F253" s="23">
        <f>YEAR('Merged raw data'!$B253)</f>
        <v>2011</v>
      </c>
      <c r="G253" s="23" t="str">
        <f>TEXT('Merged raw data'!$B253,"mmmm")</f>
        <v>January</v>
      </c>
      <c r="H253" s="37" t="str">
        <f>TEXT(TIME('Merged raw data'!F253,0,0),"h AM/PM")</f>
        <v>8 PM</v>
      </c>
      <c r="I253" s="23" t="str">
        <f>IF(OR('Merged raw data'!H253=1,'Merged raw data'!H253=2,'Merged raw data'!H253=3,'Merged raw data'!H253=4,'Merged raw data'!H253=5),"weekday","weekend")</f>
        <v>weekday</v>
      </c>
      <c r="J253" s="23" t="s">
        <v>23</v>
      </c>
      <c r="K253" s="23" t="str">
        <f>IF('Merged raw data'!I253=1,"Clear",IF('Merged raw data'!I253=2,"Mist",IF('Merged raw data'!I253=3,"Rain",IF('Merged raw data'!I253=4,"Storm","NA"))))</f>
        <v>Rain</v>
      </c>
      <c r="L253" s="24">
        <v>0.93</v>
      </c>
      <c r="M253" s="24">
        <v>0.19400000000000001</v>
      </c>
      <c r="N253" s="21">
        <f>'Merged raw data'!$J253*100</f>
        <v>16</v>
      </c>
      <c r="O253" s="21">
        <v>0</v>
      </c>
      <c r="P253" s="21">
        <v>32</v>
      </c>
      <c r="Q253" s="21">
        <v>32</v>
      </c>
      <c r="R253" s="21" t="str">
        <f>IF(Q253&gt;=outliers!I255,"High",IF(Q253&lt;=outliers!I254,"Low","Moderate"))</f>
        <v>High</v>
      </c>
      <c r="S253" s="8" t="str">
        <f>IF(OR(Q253&lt;outliers!$I$6,Q253&gt;outliers!$I$7),"Outlier","Normal")</f>
        <v>Normal</v>
      </c>
      <c r="T253" s="8" t="str">
        <f>IF(OR(L253&lt;outliers!$J$6,L253&gt;outliers!$J$7),"Outlier","Normal")</f>
        <v>Normal</v>
      </c>
      <c r="U253" s="8" t="str">
        <f>IF(OR(M253&lt;outliers!$K$6,M253&gt;outliers!$K$7),"Outlier","Normal")</f>
        <v>Normal</v>
      </c>
    </row>
    <row r="254" spans="1:21">
      <c r="A254" s="21">
        <v>253</v>
      </c>
      <c r="B254" s="68">
        <v>40554</v>
      </c>
      <c r="C254" s="22" t="b">
        <v>0</v>
      </c>
      <c r="D254" s="21" t="str">
        <f t="shared" si="3"/>
        <v>Tuesday</v>
      </c>
      <c r="E254" s="23">
        <v>0.19700000000000001</v>
      </c>
      <c r="F254" s="23">
        <f>YEAR('Merged raw data'!$B254)</f>
        <v>2011</v>
      </c>
      <c r="G254" s="23" t="str">
        <f>TEXT('Merged raw data'!$B254,"mmmm")</f>
        <v>January</v>
      </c>
      <c r="H254" s="37" t="str">
        <f>TEXT(TIME('Merged raw data'!F254,0,0),"h AM/PM")</f>
        <v>9 PM</v>
      </c>
      <c r="I254" s="23" t="str">
        <f>IF(OR('Merged raw data'!H254=1,'Merged raw data'!H254=2,'Merged raw data'!H254=3,'Merged raw data'!H254=4,'Merged raw data'!H254=5),"weekday","weekend")</f>
        <v>weekday</v>
      </c>
      <c r="J254" s="23" t="s">
        <v>23</v>
      </c>
      <c r="K254" s="23" t="str">
        <f>IF('Merged raw data'!I254=1,"Clear",IF('Merged raw data'!I254=2,"Mist",IF('Merged raw data'!I254=3,"Rain",IF('Merged raw data'!I254=4,"Storm","NA"))))</f>
        <v>Rain</v>
      </c>
      <c r="L254" s="24">
        <v>0.86</v>
      </c>
      <c r="M254" s="24">
        <v>8.9599999999999999E-2</v>
      </c>
      <c r="N254" s="21">
        <f>'Merged raw data'!$J254*100</f>
        <v>16</v>
      </c>
      <c r="O254" s="21">
        <v>0</v>
      </c>
      <c r="P254" s="21">
        <v>20</v>
      </c>
      <c r="Q254" s="21">
        <v>20</v>
      </c>
      <c r="R254" s="21" t="str">
        <f>IF(Q254&gt;=outliers!I256,"High",IF(Q254&lt;=outliers!I255,"Low","Moderate"))</f>
        <v>High</v>
      </c>
      <c r="S254" s="8" t="str">
        <f>IF(OR(Q254&lt;outliers!$I$6,Q254&gt;outliers!$I$7),"Outlier","Normal")</f>
        <v>Normal</v>
      </c>
      <c r="T254" s="8" t="str">
        <f>IF(OR(L254&lt;outliers!$J$6,L254&gt;outliers!$J$7),"Outlier","Normal")</f>
        <v>Normal</v>
      </c>
      <c r="U254" s="8" t="str">
        <f>IF(OR(M254&lt;outliers!$K$6,M254&gt;outliers!$K$7),"Outlier","Normal")</f>
        <v>Normal</v>
      </c>
    </row>
    <row r="255" spans="1:21">
      <c r="A255" s="21">
        <v>254</v>
      </c>
      <c r="B255" s="68">
        <v>40554</v>
      </c>
      <c r="C255" s="22" t="b">
        <v>0</v>
      </c>
      <c r="D255" s="21" t="str">
        <f t="shared" si="3"/>
        <v>Tuesday</v>
      </c>
      <c r="E255" s="23">
        <v>0.18179999999999999</v>
      </c>
      <c r="F255" s="23">
        <f>YEAR('Merged raw data'!$B255)</f>
        <v>2011</v>
      </c>
      <c r="G255" s="23" t="str">
        <f>TEXT('Merged raw data'!$B255,"mmmm")</f>
        <v>January</v>
      </c>
      <c r="H255" s="37" t="str">
        <f>TEXT(TIME('Merged raw data'!F255,0,0),"h AM/PM")</f>
        <v>10 PM</v>
      </c>
      <c r="I255" s="23" t="str">
        <f>IF(OR('Merged raw data'!H255=1,'Merged raw data'!H255=2,'Merged raw data'!H255=3,'Merged raw data'!H255=4,'Merged raw data'!H255=5),"weekday","weekend")</f>
        <v>weekday</v>
      </c>
      <c r="J255" s="23" t="s">
        <v>23</v>
      </c>
      <c r="K255" s="23" t="str">
        <f>IF('Merged raw data'!I255=1,"Clear",IF('Merged raw data'!I255=2,"Mist",IF('Merged raw data'!I255=3,"Rain",IF('Merged raw data'!I255=4,"Storm","NA"))))</f>
        <v>Rain</v>
      </c>
      <c r="L255" s="24">
        <v>0.93</v>
      </c>
      <c r="M255" s="24">
        <v>0.1045</v>
      </c>
      <c r="N255" s="21">
        <f>'Merged raw data'!$J255*100</f>
        <v>16</v>
      </c>
      <c r="O255" s="21">
        <v>1</v>
      </c>
      <c r="P255" s="21">
        <v>28</v>
      </c>
      <c r="Q255" s="21">
        <v>29</v>
      </c>
      <c r="R255" s="21" t="str">
        <f>IF(Q255&gt;=outliers!I257,"High",IF(Q255&lt;=outliers!I256,"Low","Moderate"))</f>
        <v>High</v>
      </c>
      <c r="S255" s="8" t="str">
        <f>IF(OR(Q255&lt;outliers!$I$6,Q255&gt;outliers!$I$7),"Outlier","Normal")</f>
        <v>Normal</v>
      </c>
      <c r="T255" s="8" t="str">
        <f>IF(OR(L255&lt;outliers!$J$6,L255&gt;outliers!$J$7),"Outlier","Normal")</f>
        <v>Normal</v>
      </c>
      <c r="U255" s="8" t="str">
        <f>IF(OR(M255&lt;outliers!$K$6,M255&gt;outliers!$K$7),"Outlier","Normal")</f>
        <v>Normal</v>
      </c>
    </row>
    <row r="256" spans="1:21">
      <c r="A256" s="21">
        <v>255</v>
      </c>
      <c r="B256" s="68">
        <v>40554</v>
      </c>
      <c r="C256" s="22" t="b">
        <v>0</v>
      </c>
      <c r="D256" s="21" t="str">
        <f t="shared" si="3"/>
        <v>Tuesday</v>
      </c>
      <c r="E256" s="23">
        <v>0.19700000000000001</v>
      </c>
      <c r="F256" s="23">
        <f>YEAR('Merged raw data'!$B256)</f>
        <v>2011</v>
      </c>
      <c r="G256" s="23" t="str">
        <f>TEXT('Merged raw data'!$B256,"mmmm")</f>
        <v>January</v>
      </c>
      <c r="H256" s="37" t="str">
        <f>TEXT(TIME('Merged raw data'!F256,0,0),"h AM/PM")</f>
        <v>11 PM</v>
      </c>
      <c r="I256" s="23" t="str">
        <f>IF(OR('Merged raw data'!H256=1,'Merged raw data'!H256=2,'Merged raw data'!H256=3,'Merged raw data'!H256=4,'Merged raw data'!H256=5),"weekday","weekend")</f>
        <v>weekday</v>
      </c>
      <c r="J256" s="23" t="s">
        <v>23</v>
      </c>
      <c r="K256" s="23" t="str">
        <f>IF('Merged raw data'!I256=1,"Clear",IF('Merged raw data'!I256=2,"Mist",IF('Merged raw data'!I256=3,"Rain",IF('Merged raw data'!I256=4,"Storm","NA"))))</f>
        <v>Rain</v>
      </c>
      <c r="L256" s="24">
        <v>0.93</v>
      </c>
      <c r="M256" s="24">
        <v>8.9599999999999999E-2</v>
      </c>
      <c r="N256" s="21">
        <f>'Merged raw data'!$J256*100</f>
        <v>16</v>
      </c>
      <c r="O256" s="21">
        <v>1</v>
      </c>
      <c r="P256" s="21">
        <v>18</v>
      </c>
      <c r="Q256" s="21">
        <v>19</v>
      </c>
      <c r="R256" s="21" t="str">
        <f>IF(Q256&gt;=outliers!I258,"High",IF(Q256&lt;=outliers!I257,"Low","Moderate"))</f>
        <v>High</v>
      </c>
      <c r="S256" s="8" t="str">
        <f>IF(OR(Q256&lt;outliers!$I$6,Q256&gt;outliers!$I$7),"Outlier","Normal")</f>
        <v>Normal</v>
      </c>
      <c r="T256" s="8" t="str">
        <f>IF(OR(L256&lt;outliers!$J$6,L256&gt;outliers!$J$7),"Outlier","Normal")</f>
        <v>Normal</v>
      </c>
      <c r="U256" s="8" t="str">
        <f>IF(OR(M256&lt;outliers!$K$6,M256&gt;outliers!$K$7),"Outlier","Normal")</f>
        <v>Normal</v>
      </c>
    </row>
    <row r="257" spans="1:21">
      <c r="A257" s="21">
        <v>256</v>
      </c>
      <c r="B257" s="68">
        <v>40555</v>
      </c>
      <c r="C257" s="22" t="b">
        <v>0</v>
      </c>
      <c r="D257" s="21" t="str">
        <f t="shared" si="3"/>
        <v>Wednesday</v>
      </c>
      <c r="E257" s="23">
        <v>0.19700000000000001</v>
      </c>
      <c r="F257" s="23">
        <f>YEAR('Merged raw data'!$B257)</f>
        <v>2011</v>
      </c>
      <c r="G257" s="23" t="str">
        <f>TEXT('Merged raw data'!$B257,"mmmm")</f>
        <v>January</v>
      </c>
      <c r="H257" s="37" t="str">
        <f>TEXT(TIME('Merged raw data'!F257,0,0),"h AM/PM")</f>
        <v>12 AM</v>
      </c>
      <c r="I257" s="23" t="str">
        <f>IF(OR('Merged raw data'!H257=1,'Merged raw data'!H257=2,'Merged raw data'!H257=3,'Merged raw data'!H257=4,'Merged raw data'!H257=5),"weekday","weekend")</f>
        <v>weekday</v>
      </c>
      <c r="J257" s="23" t="s">
        <v>23</v>
      </c>
      <c r="K257" s="23" t="str">
        <f>IF('Merged raw data'!I257=1,"Clear",IF('Merged raw data'!I257=2,"Mist",IF('Merged raw data'!I257=3,"Rain",IF('Merged raw data'!I257=4,"Storm","NA"))))</f>
        <v>Mist</v>
      </c>
      <c r="L257" s="24">
        <v>0.86</v>
      </c>
      <c r="M257" s="24">
        <v>8.9599999999999999E-2</v>
      </c>
      <c r="N257" s="21">
        <f>'Merged raw data'!$J257*100</f>
        <v>16</v>
      </c>
      <c r="O257" s="21">
        <v>0</v>
      </c>
      <c r="P257" s="21">
        <v>7</v>
      </c>
      <c r="Q257" s="21">
        <v>7</v>
      </c>
      <c r="R257" s="21" t="str">
        <f>IF(Q257&gt;=outliers!I259,"High",IF(Q257&lt;=outliers!I258,"Low","Moderate"))</f>
        <v>High</v>
      </c>
      <c r="S257" s="8" t="str">
        <f>IF(OR(Q257&lt;outliers!$I$6,Q257&gt;outliers!$I$7),"Outlier","Normal")</f>
        <v>Normal</v>
      </c>
      <c r="T257" s="8" t="str">
        <f>IF(OR(L257&lt;outliers!$J$6,L257&gt;outliers!$J$7),"Outlier","Normal")</f>
        <v>Normal</v>
      </c>
      <c r="U257" s="8" t="str">
        <f>IF(OR(M257&lt;outliers!$K$6,M257&gt;outliers!$K$7),"Outlier","Normal")</f>
        <v>Normal</v>
      </c>
    </row>
    <row r="258" spans="1:21">
      <c r="A258" s="21">
        <v>257</v>
      </c>
      <c r="B258" s="68">
        <v>40555</v>
      </c>
      <c r="C258" s="22" t="b">
        <v>0</v>
      </c>
      <c r="D258" s="21" t="str">
        <f t="shared" si="3"/>
        <v>Wednesday</v>
      </c>
      <c r="E258" s="23">
        <v>0.18179999999999999</v>
      </c>
      <c r="F258" s="23">
        <f>YEAR('Merged raw data'!$B258)</f>
        <v>2011</v>
      </c>
      <c r="G258" s="23" t="str">
        <f>TEXT('Merged raw data'!$B258,"mmmm")</f>
        <v>January</v>
      </c>
      <c r="H258" s="37" t="str">
        <f>TEXT(TIME('Merged raw data'!F258,0,0),"h AM/PM")</f>
        <v>1 AM</v>
      </c>
      <c r="I258" s="23" t="str">
        <f>IF(OR('Merged raw data'!H258=1,'Merged raw data'!H258=2,'Merged raw data'!H258=3,'Merged raw data'!H258=4,'Merged raw data'!H258=5),"weekday","weekend")</f>
        <v>weekday</v>
      </c>
      <c r="J258" s="23" t="s">
        <v>23</v>
      </c>
      <c r="K258" s="23" t="str">
        <f>IF('Merged raw data'!I258=1,"Clear",IF('Merged raw data'!I258=2,"Mist",IF('Merged raw data'!I258=3,"Rain",IF('Merged raw data'!I258=4,"Storm","NA"))))</f>
        <v>Mist</v>
      </c>
      <c r="L258" s="24">
        <v>0.86</v>
      </c>
      <c r="M258" s="24">
        <v>0.1045</v>
      </c>
      <c r="N258" s="21">
        <f>'Merged raw data'!$J258*100</f>
        <v>16</v>
      </c>
      <c r="O258" s="21">
        <v>0</v>
      </c>
      <c r="P258" s="21">
        <v>6</v>
      </c>
      <c r="Q258" s="21">
        <v>6</v>
      </c>
      <c r="R258" s="21" t="str">
        <f>IF(Q258&gt;=outliers!I260,"High",IF(Q258&lt;=outliers!I259,"Low","Moderate"))</f>
        <v>High</v>
      </c>
      <c r="S258" s="8" t="str">
        <f>IF(OR(Q258&lt;outliers!$I$6,Q258&gt;outliers!$I$7),"Outlier","Normal")</f>
        <v>Normal</v>
      </c>
      <c r="T258" s="8" t="str">
        <f>IF(OR(L258&lt;outliers!$J$6,L258&gt;outliers!$J$7),"Outlier","Normal")</f>
        <v>Normal</v>
      </c>
      <c r="U258" s="8" t="str">
        <f>IF(OR(M258&lt;outliers!$K$6,M258&gt;outliers!$K$7),"Outlier","Normal")</f>
        <v>Normal</v>
      </c>
    </row>
    <row r="259" spans="1:21">
      <c r="A259" s="21">
        <v>258</v>
      </c>
      <c r="B259" s="68">
        <v>40555</v>
      </c>
      <c r="C259" s="22" t="b">
        <v>0</v>
      </c>
      <c r="D259" s="21" t="str">
        <f t="shared" ref="D259:D322" si="4">TEXT(B259,"dddd")</f>
        <v>Wednesday</v>
      </c>
      <c r="E259" s="23">
        <v>0.1515</v>
      </c>
      <c r="F259" s="23">
        <f>YEAR('Merged raw data'!$B259)</f>
        <v>2011</v>
      </c>
      <c r="G259" s="23" t="str">
        <f>TEXT('Merged raw data'!$B259,"mmmm")</f>
        <v>January</v>
      </c>
      <c r="H259" s="37" t="str">
        <f>TEXT(TIME('Merged raw data'!F259,0,0),"h AM/PM")</f>
        <v>2 AM</v>
      </c>
      <c r="I259" s="23" t="str">
        <f>IF(OR('Merged raw data'!H259=1,'Merged raw data'!H259=2,'Merged raw data'!H259=3,'Merged raw data'!H259=4,'Merged raw data'!H259=5),"weekday","weekend")</f>
        <v>weekday</v>
      </c>
      <c r="J259" s="23" t="s">
        <v>23</v>
      </c>
      <c r="K259" s="23" t="str">
        <f>IF('Merged raw data'!I259=1,"Clear",IF('Merged raw data'!I259=2,"Mist",IF('Merged raw data'!I259=3,"Rain",IF('Merged raw data'!I259=4,"Storm","NA"))))</f>
        <v>Clear</v>
      </c>
      <c r="L259" s="24">
        <v>0.86</v>
      </c>
      <c r="M259" s="24">
        <v>0.1343</v>
      </c>
      <c r="N259" s="21">
        <f>'Merged raw data'!$J259*100</f>
        <v>14.000000000000002</v>
      </c>
      <c r="O259" s="21">
        <v>0</v>
      </c>
      <c r="P259" s="21">
        <v>1</v>
      </c>
      <c r="Q259" s="21">
        <v>1</v>
      </c>
      <c r="R259" s="21" t="str">
        <f>IF(Q259&gt;=outliers!I261,"High",IF(Q259&lt;=outliers!I260,"Low","Moderate"))</f>
        <v>High</v>
      </c>
      <c r="S259" s="8" t="str">
        <f>IF(OR(Q259&lt;outliers!$I$6,Q259&gt;outliers!$I$7),"Outlier","Normal")</f>
        <v>Normal</v>
      </c>
      <c r="T259" s="8" t="str">
        <f>IF(OR(L259&lt;outliers!$J$6,L259&gt;outliers!$J$7),"Outlier","Normal")</f>
        <v>Normal</v>
      </c>
      <c r="U259" s="8" t="str">
        <f>IF(OR(M259&lt;outliers!$K$6,M259&gt;outliers!$K$7),"Outlier","Normal")</f>
        <v>Normal</v>
      </c>
    </row>
    <row r="260" spans="1:21">
      <c r="A260" s="21">
        <v>259</v>
      </c>
      <c r="B260" s="68">
        <v>40555</v>
      </c>
      <c r="C260" s="22" t="b">
        <v>0</v>
      </c>
      <c r="D260" s="21" t="str">
        <f t="shared" si="4"/>
        <v>Wednesday</v>
      </c>
      <c r="E260" s="23">
        <v>0.1515</v>
      </c>
      <c r="F260" s="23">
        <f>YEAR('Merged raw data'!$B260)</f>
        <v>2011</v>
      </c>
      <c r="G260" s="23" t="str">
        <f>TEXT('Merged raw data'!$B260,"mmmm")</f>
        <v>January</v>
      </c>
      <c r="H260" s="37" t="str">
        <f>TEXT(TIME('Merged raw data'!F260,0,0),"h AM/PM")</f>
        <v>5 AM</v>
      </c>
      <c r="I260" s="23" t="str">
        <f>IF(OR('Merged raw data'!H260=1,'Merged raw data'!H260=2,'Merged raw data'!H260=3,'Merged raw data'!H260=4,'Merged raw data'!H260=5),"weekday","weekend")</f>
        <v>weekday</v>
      </c>
      <c r="J260" s="23" t="s">
        <v>23</v>
      </c>
      <c r="K260" s="23" t="str">
        <f>IF('Merged raw data'!I260=1,"Clear",IF('Merged raw data'!I260=2,"Mist",IF('Merged raw data'!I260=3,"Rain",IF('Merged raw data'!I260=4,"Storm","NA"))))</f>
        <v>Clear</v>
      </c>
      <c r="L260" s="24">
        <v>0.86</v>
      </c>
      <c r="M260" s="24">
        <v>0.16420000000000001</v>
      </c>
      <c r="N260" s="21">
        <f>'Merged raw data'!$J260*100</f>
        <v>14.000000000000002</v>
      </c>
      <c r="O260" s="21">
        <v>0</v>
      </c>
      <c r="P260" s="21">
        <v>5</v>
      </c>
      <c r="Q260" s="21">
        <v>5</v>
      </c>
      <c r="R260" s="21" t="str">
        <f>IF(Q260&gt;=outliers!I262,"High",IF(Q260&lt;=outliers!I261,"Low","Moderate"))</f>
        <v>High</v>
      </c>
      <c r="S260" s="8" t="str">
        <f>IF(OR(Q260&lt;outliers!$I$6,Q260&gt;outliers!$I$7),"Outlier","Normal")</f>
        <v>Normal</v>
      </c>
      <c r="T260" s="8" t="str">
        <f>IF(OR(L260&lt;outliers!$J$6,L260&gt;outliers!$J$7),"Outlier","Normal")</f>
        <v>Normal</v>
      </c>
      <c r="U260" s="8" t="str">
        <f>IF(OR(M260&lt;outliers!$K$6,M260&gt;outliers!$K$7),"Outlier","Normal")</f>
        <v>Normal</v>
      </c>
    </row>
    <row r="261" spans="1:21">
      <c r="A261" s="21">
        <v>260</v>
      </c>
      <c r="B261" s="68">
        <v>40555</v>
      </c>
      <c r="C261" s="22" t="b">
        <v>0</v>
      </c>
      <c r="D261" s="21" t="str">
        <f t="shared" si="4"/>
        <v>Wednesday</v>
      </c>
      <c r="E261" s="23">
        <v>0.1515</v>
      </c>
      <c r="F261" s="23">
        <f>YEAR('Merged raw data'!$B261)</f>
        <v>2011</v>
      </c>
      <c r="G261" s="23" t="str">
        <f>TEXT('Merged raw data'!$B261,"mmmm")</f>
        <v>January</v>
      </c>
      <c r="H261" s="37" t="str">
        <f>TEXT(TIME('Merged raw data'!F261,0,0),"h AM/PM")</f>
        <v>6 AM</v>
      </c>
      <c r="I261" s="23" t="str">
        <f>IF(OR('Merged raw data'!H261=1,'Merged raw data'!H261=2,'Merged raw data'!H261=3,'Merged raw data'!H261=4,'Merged raw data'!H261=5),"weekday","weekend")</f>
        <v>weekday</v>
      </c>
      <c r="J261" s="23" t="s">
        <v>23</v>
      </c>
      <c r="K261" s="23" t="str">
        <f>IF('Merged raw data'!I261=1,"Clear",IF('Merged raw data'!I261=2,"Mist",IF('Merged raw data'!I261=3,"Rain",IF('Merged raw data'!I261=4,"Storm","NA"))))</f>
        <v>Clear</v>
      </c>
      <c r="L261" s="24">
        <v>0.93</v>
      </c>
      <c r="M261" s="24">
        <v>0.1343</v>
      </c>
      <c r="N261" s="21">
        <f>'Merged raw data'!$J261*100</f>
        <v>12</v>
      </c>
      <c r="O261" s="21">
        <v>0</v>
      </c>
      <c r="P261" s="21">
        <v>16</v>
      </c>
      <c r="Q261" s="21">
        <v>16</v>
      </c>
      <c r="R261" s="21" t="str">
        <f>IF(Q261&gt;=outliers!I263,"High",IF(Q261&lt;=outliers!I262,"Low","Moderate"))</f>
        <v>High</v>
      </c>
      <c r="S261" s="8" t="str">
        <f>IF(OR(Q261&lt;outliers!$I$6,Q261&gt;outliers!$I$7),"Outlier","Normal")</f>
        <v>Normal</v>
      </c>
      <c r="T261" s="8" t="str">
        <f>IF(OR(L261&lt;outliers!$J$6,L261&gt;outliers!$J$7),"Outlier","Normal")</f>
        <v>Normal</v>
      </c>
      <c r="U261" s="8" t="str">
        <f>IF(OR(M261&lt;outliers!$K$6,M261&gt;outliers!$K$7),"Outlier","Normal")</f>
        <v>Normal</v>
      </c>
    </row>
    <row r="262" spans="1:21">
      <c r="A262" s="21">
        <v>261</v>
      </c>
      <c r="B262" s="68">
        <v>40555</v>
      </c>
      <c r="C262" s="22" t="b">
        <v>0</v>
      </c>
      <c r="D262" s="21" t="str">
        <f t="shared" si="4"/>
        <v>Wednesday</v>
      </c>
      <c r="E262" s="23">
        <v>0.1515</v>
      </c>
      <c r="F262" s="23">
        <f>YEAR('Merged raw data'!$B262)</f>
        <v>2011</v>
      </c>
      <c r="G262" s="23" t="str">
        <f>TEXT('Merged raw data'!$B262,"mmmm")</f>
        <v>January</v>
      </c>
      <c r="H262" s="37" t="str">
        <f>TEXT(TIME('Merged raw data'!F262,0,0),"h AM/PM")</f>
        <v>7 AM</v>
      </c>
      <c r="I262" s="23" t="str">
        <f>IF(OR('Merged raw data'!H262=1,'Merged raw data'!H262=2,'Merged raw data'!H262=3,'Merged raw data'!H262=4,'Merged raw data'!H262=5),"weekday","weekend")</f>
        <v>weekday</v>
      </c>
      <c r="J262" s="23" t="s">
        <v>23</v>
      </c>
      <c r="K262" s="23" t="str">
        <f>IF('Merged raw data'!I262=1,"Clear",IF('Merged raw data'!I262=2,"Mist",IF('Merged raw data'!I262=3,"Rain",IF('Merged raw data'!I262=4,"Storm","NA"))))</f>
        <v>Clear</v>
      </c>
      <c r="L262" s="24">
        <v>0.69</v>
      </c>
      <c r="M262" s="24">
        <v>0.1343</v>
      </c>
      <c r="N262" s="21">
        <f>'Merged raw data'!$J262*100</f>
        <v>14.000000000000002</v>
      </c>
      <c r="O262" s="21">
        <v>0</v>
      </c>
      <c r="P262" s="21">
        <v>54</v>
      </c>
      <c r="Q262" s="21">
        <v>54</v>
      </c>
      <c r="R262" s="21" t="str">
        <f>IF(Q262&gt;=outliers!I264,"High",IF(Q262&lt;=outliers!I263,"Low","Moderate"))</f>
        <v>High</v>
      </c>
      <c r="S262" s="8" t="str">
        <f>IF(OR(Q262&lt;outliers!$I$6,Q262&gt;outliers!$I$7),"Outlier","Normal")</f>
        <v>Normal</v>
      </c>
      <c r="T262" s="8" t="str">
        <f>IF(OR(L262&lt;outliers!$J$6,L262&gt;outliers!$J$7),"Outlier","Normal")</f>
        <v>Normal</v>
      </c>
      <c r="U262" s="8" t="str">
        <f>IF(OR(M262&lt;outliers!$K$6,M262&gt;outliers!$K$7),"Outlier","Normal")</f>
        <v>Normal</v>
      </c>
    </row>
    <row r="263" spans="1:21">
      <c r="A263" s="21">
        <v>262</v>
      </c>
      <c r="B263" s="68">
        <v>40555</v>
      </c>
      <c r="C263" s="22" t="b">
        <v>0</v>
      </c>
      <c r="D263" s="21" t="str">
        <f t="shared" si="4"/>
        <v>Wednesday</v>
      </c>
      <c r="E263" s="23">
        <v>0.16669999999999999</v>
      </c>
      <c r="F263" s="23">
        <f>YEAR('Merged raw data'!$B263)</f>
        <v>2011</v>
      </c>
      <c r="G263" s="23" t="str">
        <f>TEXT('Merged raw data'!$B263,"mmmm")</f>
        <v>January</v>
      </c>
      <c r="H263" s="37" t="str">
        <f>TEXT(TIME('Merged raw data'!F263,0,0),"h AM/PM")</f>
        <v>8 AM</v>
      </c>
      <c r="I263" s="23" t="str">
        <f>IF(OR('Merged raw data'!H263=1,'Merged raw data'!H263=2,'Merged raw data'!H263=3,'Merged raw data'!H263=4,'Merged raw data'!H263=5),"weekday","weekend")</f>
        <v>weekday</v>
      </c>
      <c r="J263" s="23" t="s">
        <v>23</v>
      </c>
      <c r="K263" s="23" t="str">
        <f>IF('Merged raw data'!I263=1,"Clear",IF('Merged raw data'!I263=2,"Mist",IF('Merged raw data'!I263=3,"Rain",IF('Merged raw data'!I263=4,"Storm","NA"))))</f>
        <v>Clear</v>
      </c>
      <c r="L263" s="24">
        <v>0.59</v>
      </c>
      <c r="M263" s="24">
        <v>0.16420000000000001</v>
      </c>
      <c r="N263" s="21">
        <f>'Merged raw data'!$J263*100</f>
        <v>16</v>
      </c>
      <c r="O263" s="21">
        <v>3</v>
      </c>
      <c r="P263" s="21">
        <v>125</v>
      </c>
      <c r="Q263" s="21">
        <v>128</v>
      </c>
      <c r="R263" s="21" t="str">
        <f>IF(Q263&gt;=outliers!I265,"High",IF(Q263&lt;=outliers!I264,"Low","Moderate"))</f>
        <v>High</v>
      </c>
      <c r="S263" s="8" t="str">
        <f>IF(OR(Q263&lt;outliers!$I$6,Q263&gt;outliers!$I$7),"Outlier","Normal")</f>
        <v>Normal</v>
      </c>
      <c r="T263" s="8" t="str">
        <f>IF(OR(L263&lt;outliers!$J$6,L263&gt;outliers!$J$7),"Outlier","Normal")</f>
        <v>Normal</v>
      </c>
      <c r="U263" s="8" t="str">
        <f>IF(OR(M263&lt;outliers!$K$6,M263&gt;outliers!$K$7),"Outlier","Normal")</f>
        <v>Normal</v>
      </c>
    </row>
    <row r="264" spans="1:21">
      <c r="A264" s="21">
        <v>263</v>
      </c>
      <c r="B264" s="68">
        <v>40555</v>
      </c>
      <c r="C264" s="22" t="b">
        <v>0</v>
      </c>
      <c r="D264" s="21" t="str">
        <f t="shared" si="4"/>
        <v>Wednesday</v>
      </c>
      <c r="E264" s="23">
        <v>0.13639999999999999</v>
      </c>
      <c r="F264" s="23">
        <f>YEAR('Merged raw data'!$B264)</f>
        <v>2011</v>
      </c>
      <c r="G264" s="23" t="str">
        <f>TEXT('Merged raw data'!$B264,"mmmm")</f>
        <v>January</v>
      </c>
      <c r="H264" s="37" t="str">
        <f>TEXT(TIME('Merged raw data'!F264,0,0),"h AM/PM")</f>
        <v>9 AM</v>
      </c>
      <c r="I264" s="23" t="str">
        <f>IF(OR('Merged raw data'!H264=1,'Merged raw data'!H264=2,'Merged raw data'!H264=3,'Merged raw data'!H264=4,'Merged raw data'!H264=5),"weekday","weekend")</f>
        <v>weekday</v>
      </c>
      <c r="J264" s="23" t="s">
        <v>23</v>
      </c>
      <c r="K264" s="23" t="str">
        <f>IF('Merged raw data'!I264=1,"Clear",IF('Merged raw data'!I264=2,"Mist",IF('Merged raw data'!I264=3,"Rain",IF('Merged raw data'!I264=4,"Storm","NA"))))</f>
        <v>Clear</v>
      </c>
      <c r="L264" s="24">
        <v>0.59</v>
      </c>
      <c r="M264" s="24">
        <v>0.32840000000000003</v>
      </c>
      <c r="N264" s="21">
        <f>'Merged raw data'!$J264*100</f>
        <v>16</v>
      </c>
      <c r="O264" s="21">
        <v>3</v>
      </c>
      <c r="P264" s="21">
        <v>78</v>
      </c>
      <c r="Q264" s="21">
        <v>81</v>
      </c>
      <c r="R264" s="21" t="str">
        <f>IF(Q264&gt;=outliers!I266,"High",IF(Q264&lt;=outliers!I265,"Low","Moderate"))</f>
        <v>High</v>
      </c>
      <c r="S264" s="8" t="str">
        <f>IF(OR(Q264&lt;outliers!$I$6,Q264&gt;outliers!$I$7),"Outlier","Normal")</f>
        <v>Normal</v>
      </c>
      <c r="T264" s="8" t="str">
        <f>IF(OR(L264&lt;outliers!$J$6,L264&gt;outliers!$J$7),"Outlier","Normal")</f>
        <v>Normal</v>
      </c>
      <c r="U264" s="8" t="str">
        <f>IF(OR(M264&lt;outliers!$K$6,M264&gt;outliers!$K$7),"Outlier","Normal")</f>
        <v>Normal</v>
      </c>
    </row>
    <row r="265" spans="1:21">
      <c r="A265" s="21">
        <v>264</v>
      </c>
      <c r="B265" s="68">
        <v>40555</v>
      </c>
      <c r="C265" s="22" t="b">
        <v>0</v>
      </c>
      <c r="D265" s="21" t="str">
        <f t="shared" si="4"/>
        <v>Wednesday</v>
      </c>
      <c r="E265" s="23">
        <v>0.18179999999999999</v>
      </c>
      <c r="F265" s="23">
        <f>YEAR('Merged raw data'!$B265)</f>
        <v>2011</v>
      </c>
      <c r="G265" s="23" t="str">
        <f>TEXT('Merged raw data'!$B265,"mmmm")</f>
        <v>January</v>
      </c>
      <c r="H265" s="37" t="str">
        <f>TEXT(TIME('Merged raw data'!F265,0,0),"h AM/PM")</f>
        <v>10 AM</v>
      </c>
      <c r="I265" s="23" t="str">
        <f>IF(OR('Merged raw data'!H265=1,'Merged raw data'!H265=2,'Merged raw data'!H265=3,'Merged raw data'!H265=4,'Merged raw data'!H265=5),"weekday","weekend")</f>
        <v>weekday</v>
      </c>
      <c r="J265" s="23" t="s">
        <v>23</v>
      </c>
      <c r="K265" s="23" t="str">
        <f>IF('Merged raw data'!I265=1,"Clear",IF('Merged raw data'!I265=2,"Mist",IF('Merged raw data'!I265=3,"Rain",IF('Merged raw data'!I265=4,"Storm","NA"))))</f>
        <v>Clear</v>
      </c>
      <c r="L265" s="24">
        <v>0.55000000000000004</v>
      </c>
      <c r="M265" s="24">
        <v>0.22389999999999999</v>
      </c>
      <c r="N265" s="21">
        <f>'Merged raw data'!$J265*100</f>
        <v>18</v>
      </c>
      <c r="O265" s="21">
        <v>0</v>
      </c>
      <c r="P265" s="21">
        <v>39</v>
      </c>
      <c r="Q265" s="21">
        <v>39</v>
      </c>
      <c r="R265" s="21" t="str">
        <f>IF(Q265&gt;=outliers!I267,"High",IF(Q265&lt;=outliers!I266,"Low","Moderate"))</f>
        <v>High</v>
      </c>
      <c r="S265" s="8" t="str">
        <f>IF(OR(Q265&lt;outliers!$I$6,Q265&gt;outliers!$I$7),"Outlier","Normal")</f>
        <v>Normal</v>
      </c>
      <c r="T265" s="8" t="str">
        <f>IF(OR(L265&lt;outliers!$J$6,L265&gt;outliers!$J$7),"Outlier","Normal")</f>
        <v>Normal</v>
      </c>
      <c r="U265" s="8" t="str">
        <f>IF(OR(M265&lt;outliers!$K$6,M265&gt;outliers!$K$7),"Outlier","Normal")</f>
        <v>Normal</v>
      </c>
    </row>
    <row r="266" spans="1:21">
      <c r="A266" s="21">
        <v>265</v>
      </c>
      <c r="B266" s="68">
        <v>40555</v>
      </c>
      <c r="C266" s="22" t="b">
        <v>0</v>
      </c>
      <c r="D266" s="21" t="str">
        <f t="shared" si="4"/>
        <v>Wednesday</v>
      </c>
      <c r="E266" s="23">
        <v>0.18179999999999999</v>
      </c>
      <c r="F266" s="23">
        <f>YEAR('Merged raw data'!$B266)</f>
        <v>2011</v>
      </c>
      <c r="G266" s="23" t="str">
        <f>TEXT('Merged raw data'!$B266,"mmmm")</f>
        <v>January</v>
      </c>
      <c r="H266" s="37" t="str">
        <f>TEXT(TIME('Merged raw data'!F266,0,0),"h AM/PM")</f>
        <v>11 AM</v>
      </c>
      <c r="I266" s="23" t="str">
        <f>IF(OR('Merged raw data'!H266=1,'Merged raw data'!H266=2,'Merged raw data'!H266=3,'Merged raw data'!H266=4,'Merged raw data'!H266=5),"weekday","weekend")</f>
        <v>weekday</v>
      </c>
      <c r="J266" s="23" t="s">
        <v>23</v>
      </c>
      <c r="K266" s="23" t="str">
        <f>IF('Merged raw data'!I266=1,"Clear",IF('Merged raw data'!I266=2,"Mist",IF('Merged raw data'!I266=3,"Rain",IF('Merged raw data'!I266=4,"Storm","NA"))))</f>
        <v>Clear</v>
      </c>
      <c r="L266" s="24">
        <v>0.51</v>
      </c>
      <c r="M266" s="24">
        <v>0.3881</v>
      </c>
      <c r="N266" s="21">
        <f>'Merged raw data'!$J266*100</f>
        <v>20</v>
      </c>
      <c r="O266" s="21">
        <v>3</v>
      </c>
      <c r="P266" s="21">
        <v>32</v>
      </c>
      <c r="Q266" s="21">
        <v>35</v>
      </c>
      <c r="R266" s="21" t="str">
        <f>IF(Q266&gt;=outliers!I268,"High",IF(Q266&lt;=outliers!I267,"Low","Moderate"))</f>
        <v>High</v>
      </c>
      <c r="S266" s="8" t="str">
        <f>IF(OR(Q266&lt;outliers!$I$6,Q266&gt;outliers!$I$7),"Outlier","Normal")</f>
        <v>Normal</v>
      </c>
      <c r="T266" s="8" t="str">
        <f>IF(OR(L266&lt;outliers!$J$6,L266&gt;outliers!$J$7),"Outlier","Normal")</f>
        <v>Normal</v>
      </c>
      <c r="U266" s="8" t="str">
        <f>IF(OR(M266&lt;outliers!$K$6,M266&gt;outliers!$K$7),"Outlier","Normal")</f>
        <v>Normal</v>
      </c>
    </row>
    <row r="267" spans="1:21">
      <c r="A267" s="21">
        <v>266</v>
      </c>
      <c r="B267" s="68">
        <v>40555</v>
      </c>
      <c r="C267" s="22" t="b">
        <v>0</v>
      </c>
      <c r="D267" s="21" t="str">
        <f t="shared" si="4"/>
        <v>Wednesday</v>
      </c>
      <c r="E267" s="23">
        <v>0.1515</v>
      </c>
      <c r="F267" s="23">
        <f>YEAR('Merged raw data'!$B267)</f>
        <v>2011</v>
      </c>
      <c r="G267" s="23" t="str">
        <f>TEXT('Merged raw data'!$B267,"mmmm")</f>
        <v>January</v>
      </c>
      <c r="H267" s="37" t="str">
        <f>TEXT(TIME('Merged raw data'!F267,0,0),"h AM/PM")</f>
        <v>12 PM</v>
      </c>
      <c r="I267" s="23" t="str">
        <f>IF(OR('Merged raw data'!H267=1,'Merged raw data'!H267=2,'Merged raw data'!H267=3,'Merged raw data'!H267=4,'Merged raw data'!H267=5),"weekday","weekend")</f>
        <v>weekday</v>
      </c>
      <c r="J267" s="23" t="s">
        <v>23</v>
      </c>
      <c r="K267" s="23" t="str">
        <f>IF('Merged raw data'!I267=1,"Clear",IF('Merged raw data'!I267=2,"Mist",IF('Merged raw data'!I267=3,"Rain",IF('Merged raw data'!I267=4,"Storm","NA"))))</f>
        <v>Clear</v>
      </c>
      <c r="L267" s="24">
        <v>0.47</v>
      </c>
      <c r="M267" s="24">
        <v>0.58209999999999995</v>
      </c>
      <c r="N267" s="21">
        <f>'Merged raw data'!$J267*100</f>
        <v>20</v>
      </c>
      <c r="O267" s="21">
        <v>3</v>
      </c>
      <c r="P267" s="21">
        <v>52</v>
      </c>
      <c r="Q267" s="21">
        <v>55</v>
      </c>
      <c r="R267" s="21" t="str">
        <f>IF(Q267&gt;=outliers!I269,"High",IF(Q267&lt;=outliers!I268,"Low","Moderate"))</f>
        <v>High</v>
      </c>
      <c r="S267" s="8" t="str">
        <f>IF(OR(Q267&lt;outliers!$I$6,Q267&gt;outliers!$I$7),"Outlier","Normal")</f>
        <v>Normal</v>
      </c>
      <c r="T267" s="8" t="str">
        <f>IF(OR(L267&lt;outliers!$J$6,L267&gt;outliers!$J$7),"Outlier","Normal")</f>
        <v>Normal</v>
      </c>
      <c r="U267" s="8" t="str">
        <f>IF(OR(M267&lt;outliers!$K$6,M267&gt;outliers!$K$7),"Outlier","Normal")</f>
        <v>Outlier</v>
      </c>
    </row>
    <row r="268" spans="1:21">
      <c r="A268" s="21">
        <v>267</v>
      </c>
      <c r="B268" s="68">
        <v>40555</v>
      </c>
      <c r="C268" s="22" t="b">
        <v>0</v>
      </c>
      <c r="D268" s="21" t="str">
        <f t="shared" si="4"/>
        <v>Wednesday</v>
      </c>
      <c r="E268" s="23">
        <v>0.19700000000000001</v>
      </c>
      <c r="F268" s="23">
        <f>YEAR('Merged raw data'!$B268)</f>
        <v>2011</v>
      </c>
      <c r="G268" s="23" t="str">
        <f>TEXT('Merged raw data'!$B268,"mmmm")</f>
        <v>January</v>
      </c>
      <c r="H268" s="37" t="str">
        <f>TEXT(TIME('Merged raw data'!F268,0,0),"h AM/PM")</f>
        <v>1 PM</v>
      </c>
      <c r="I268" s="23" t="str">
        <f>IF(OR('Merged raw data'!H268=1,'Merged raw data'!H268=2,'Merged raw data'!H268=3,'Merged raw data'!H268=4,'Merged raw data'!H268=5),"weekday","weekend")</f>
        <v>weekday</v>
      </c>
      <c r="J268" s="23" t="s">
        <v>23</v>
      </c>
      <c r="K268" s="23" t="str">
        <f>IF('Merged raw data'!I268=1,"Clear",IF('Merged raw data'!I268=2,"Mist",IF('Merged raw data'!I268=3,"Rain",IF('Merged raw data'!I268=4,"Storm","NA"))))</f>
        <v>Clear</v>
      </c>
      <c r="L268" s="24">
        <v>0.44</v>
      </c>
      <c r="M268" s="24">
        <v>0.35820000000000002</v>
      </c>
      <c r="N268" s="21">
        <f>'Merged raw data'!$J268*100</f>
        <v>22</v>
      </c>
      <c r="O268" s="21">
        <v>0</v>
      </c>
      <c r="P268" s="21">
        <v>49</v>
      </c>
      <c r="Q268" s="21">
        <v>49</v>
      </c>
      <c r="R268" s="21" t="str">
        <f>IF(Q268&gt;=outliers!I270,"High",IF(Q268&lt;=outliers!I269,"Low","Moderate"))</f>
        <v>High</v>
      </c>
      <c r="S268" s="8" t="str">
        <f>IF(OR(Q268&lt;outliers!$I$6,Q268&gt;outliers!$I$7),"Outlier","Normal")</f>
        <v>Normal</v>
      </c>
      <c r="T268" s="8" t="str">
        <f>IF(OR(L268&lt;outliers!$J$6,L268&gt;outliers!$J$7),"Outlier","Normal")</f>
        <v>Normal</v>
      </c>
      <c r="U268" s="8" t="str">
        <f>IF(OR(M268&lt;outliers!$K$6,M268&gt;outliers!$K$7),"Outlier","Normal")</f>
        <v>Normal</v>
      </c>
    </row>
    <row r="269" spans="1:21">
      <c r="A269" s="21">
        <v>268</v>
      </c>
      <c r="B269" s="68">
        <v>40555</v>
      </c>
      <c r="C269" s="22" t="b">
        <v>0</v>
      </c>
      <c r="D269" s="21" t="str">
        <f t="shared" si="4"/>
        <v>Wednesday</v>
      </c>
      <c r="E269" s="23">
        <v>0.18179999999999999</v>
      </c>
      <c r="F269" s="23">
        <f>YEAR('Merged raw data'!$B269)</f>
        <v>2011</v>
      </c>
      <c r="G269" s="23" t="str">
        <f>TEXT('Merged raw data'!$B269,"mmmm")</f>
        <v>January</v>
      </c>
      <c r="H269" s="37" t="str">
        <f>TEXT(TIME('Merged raw data'!F269,0,0),"h AM/PM")</f>
        <v>2 PM</v>
      </c>
      <c r="I269" s="23" t="str">
        <f>IF(OR('Merged raw data'!H269=1,'Merged raw data'!H269=2,'Merged raw data'!H269=3,'Merged raw data'!H269=4,'Merged raw data'!H269=5),"weekday","weekend")</f>
        <v>weekday</v>
      </c>
      <c r="J269" s="23" t="s">
        <v>23</v>
      </c>
      <c r="K269" s="23" t="str">
        <f>IF('Merged raw data'!I269=1,"Clear",IF('Merged raw data'!I269=2,"Mist",IF('Merged raw data'!I269=3,"Rain",IF('Merged raw data'!I269=4,"Storm","NA"))))</f>
        <v>Clear</v>
      </c>
      <c r="L269" s="24">
        <v>0.47</v>
      </c>
      <c r="M269" s="24">
        <v>0.32840000000000003</v>
      </c>
      <c r="N269" s="21">
        <f>'Merged raw data'!$J269*100</f>
        <v>20</v>
      </c>
      <c r="O269" s="21">
        <v>0</v>
      </c>
      <c r="P269" s="21">
        <v>44</v>
      </c>
      <c r="Q269" s="21">
        <v>44</v>
      </c>
      <c r="R269" s="21" t="str">
        <f>IF(Q269&gt;=outliers!I271,"High",IF(Q269&lt;=outliers!I270,"Low","Moderate"))</f>
        <v>High</v>
      </c>
      <c r="S269" s="8" t="str">
        <f>IF(OR(Q269&lt;outliers!$I$6,Q269&gt;outliers!$I$7),"Outlier","Normal")</f>
        <v>Normal</v>
      </c>
      <c r="T269" s="8" t="str">
        <f>IF(OR(L269&lt;outliers!$J$6,L269&gt;outliers!$J$7),"Outlier","Normal")</f>
        <v>Normal</v>
      </c>
      <c r="U269" s="8" t="str">
        <f>IF(OR(M269&lt;outliers!$K$6,M269&gt;outliers!$K$7),"Outlier","Normal")</f>
        <v>Normal</v>
      </c>
    </row>
    <row r="270" spans="1:21">
      <c r="A270" s="21">
        <v>269</v>
      </c>
      <c r="B270" s="68">
        <v>40555</v>
      </c>
      <c r="C270" s="22" t="b">
        <v>0</v>
      </c>
      <c r="D270" s="21" t="str">
        <f t="shared" si="4"/>
        <v>Wednesday</v>
      </c>
      <c r="E270" s="23">
        <v>0.16669999999999999</v>
      </c>
      <c r="F270" s="23">
        <f>YEAR('Merged raw data'!$B270)</f>
        <v>2011</v>
      </c>
      <c r="G270" s="23" t="str">
        <f>TEXT('Merged raw data'!$B270,"mmmm")</f>
        <v>January</v>
      </c>
      <c r="H270" s="37" t="str">
        <f>TEXT(TIME('Merged raw data'!F270,0,0),"h AM/PM")</f>
        <v>3 PM</v>
      </c>
      <c r="I270" s="23" t="str">
        <f>IF(OR('Merged raw data'!H270=1,'Merged raw data'!H270=2,'Merged raw data'!H270=3,'Merged raw data'!H270=4,'Merged raw data'!H270=5),"weekday","weekend")</f>
        <v>weekday</v>
      </c>
      <c r="J270" s="23" t="s">
        <v>23</v>
      </c>
      <c r="K270" s="23" t="str">
        <f>IF('Merged raw data'!I270=1,"Clear",IF('Merged raw data'!I270=2,"Mist",IF('Merged raw data'!I270=3,"Rain",IF('Merged raw data'!I270=4,"Storm","NA"))))</f>
        <v>Clear</v>
      </c>
      <c r="L270" s="24">
        <v>0.47</v>
      </c>
      <c r="M270" s="24">
        <v>0.41789999999999999</v>
      </c>
      <c r="N270" s="21">
        <f>'Merged raw data'!$J270*100</f>
        <v>20</v>
      </c>
      <c r="O270" s="21">
        <v>1</v>
      </c>
      <c r="P270" s="21">
        <v>48</v>
      </c>
      <c r="Q270" s="21">
        <v>49</v>
      </c>
      <c r="R270" s="21" t="str">
        <f>IF(Q270&gt;=outliers!I272,"High",IF(Q270&lt;=outliers!I271,"Low","Moderate"))</f>
        <v>High</v>
      </c>
      <c r="S270" s="8" t="str">
        <f>IF(OR(Q270&lt;outliers!$I$6,Q270&gt;outliers!$I$7),"Outlier","Normal")</f>
        <v>Normal</v>
      </c>
      <c r="T270" s="8" t="str">
        <f>IF(OR(L270&lt;outliers!$J$6,L270&gt;outliers!$J$7),"Outlier","Normal")</f>
        <v>Normal</v>
      </c>
      <c r="U270" s="8" t="str">
        <f>IF(OR(M270&lt;outliers!$K$6,M270&gt;outliers!$K$7),"Outlier","Normal")</f>
        <v>Normal</v>
      </c>
    </row>
    <row r="271" spans="1:21">
      <c r="A271" s="21">
        <v>270</v>
      </c>
      <c r="B271" s="68">
        <v>40555</v>
      </c>
      <c r="C271" s="22" t="b">
        <v>0</v>
      </c>
      <c r="D271" s="21" t="str">
        <f t="shared" si="4"/>
        <v>Wednesday</v>
      </c>
      <c r="E271" s="23">
        <v>0.19700000000000001</v>
      </c>
      <c r="F271" s="23">
        <f>YEAR('Merged raw data'!$B271)</f>
        <v>2011</v>
      </c>
      <c r="G271" s="23" t="str">
        <f>TEXT('Merged raw data'!$B271,"mmmm")</f>
        <v>January</v>
      </c>
      <c r="H271" s="37" t="str">
        <f>TEXT(TIME('Merged raw data'!F271,0,0),"h AM/PM")</f>
        <v>4 PM</v>
      </c>
      <c r="I271" s="23" t="str">
        <f>IF(OR('Merged raw data'!H271=1,'Merged raw data'!H271=2,'Merged raw data'!H271=3,'Merged raw data'!H271=4,'Merged raw data'!H271=5),"weekday","weekend")</f>
        <v>weekday</v>
      </c>
      <c r="J271" s="23" t="s">
        <v>23</v>
      </c>
      <c r="K271" s="23" t="str">
        <f>IF('Merged raw data'!I271=1,"Clear",IF('Merged raw data'!I271=2,"Mist",IF('Merged raw data'!I271=3,"Rain",IF('Merged raw data'!I271=4,"Storm","NA"))))</f>
        <v>Clear</v>
      </c>
      <c r="L271" s="24">
        <v>0.44</v>
      </c>
      <c r="M271" s="24">
        <v>0.32840000000000003</v>
      </c>
      <c r="N271" s="21">
        <f>'Merged raw data'!$J271*100</f>
        <v>22</v>
      </c>
      <c r="O271" s="21">
        <v>5</v>
      </c>
      <c r="P271" s="21">
        <v>63</v>
      </c>
      <c r="Q271" s="21">
        <v>68</v>
      </c>
      <c r="R271" s="21" t="str">
        <f>IF(Q271&gt;=outliers!I273,"High",IF(Q271&lt;=outliers!I272,"Low","Moderate"))</f>
        <v>High</v>
      </c>
      <c r="S271" s="8" t="str">
        <f>IF(OR(Q271&lt;outliers!$I$6,Q271&gt;outliers!$I$7),"Outlier","Normal")</f>
        <v>Normal</v>
      </c>
      <c r="T271" s="8" t="str">
        <f>IF(OR(L271&lt;outliers!$J$6,L271&gt;outliers!$J$7),"Outlier","Normal")</f>
        <v>Normal</v>
      </c>
      <c r="U271" s="8" t="str">
        <f>IF(OR(M271&lt;outliers!$K$6,M271&gt;outliers!$K$7),"Outlier","Normal")</f>
        <v>Normal</v>
      </c>
    </row>
    <row r="272" spans="1:21">
      <c r="A272" s="21">
        <v>271</v>
      </c>
      <c r="B272" s="68">
        <v>40555</v>
      </c>
      <c r="C272" s="22" t="b">
        <v>0</v>
      </c>
      <c r="D272" s="21" t="str">
        <f t="shared" si="4"/>
        <v>Wednesday</v>
      </c>
      <c r="E272" s="23">
        <v>0.18179999999999999</v>
      </c>
      <c r="F272" s="23">
        <f>YEAR('Merged raw data'!$B272)</f>
        <v>2011</v>
      </c>
      <c r="G272" s="23" t="str">
        <f>TEXT('Merged raw data'!$B272,"mmmm")</f>
        <v>January</v>
      </c>
      <c r="H272" s="37" t="str">
        <f>TEXT(TIME('Merged raw data'!F272,0,0),"h AM/PM")</f>
        <v>5 PM</v>
      </c>
      <c r="I272" s="23" t="str">
        <f>IF(OR('Merged raw data'!H272=1,'Merged raw data'!H272=2,'Merged raw data'!H272=3,'Merged raw data'!H272=4,'Merged raw data'!H272=5),"weekday","weekend")</f>
        <v>weekday</v>
      </c>
      <c r="J272" s="23" t="s">
        <v>23</v>
      </c>
      <c r="K272" s="23" t="str">
        <f>IF('Merged raw data'!I272=1,"Clear",IF('Merged raw data'!I272=2,"Mist",IF('Merged raw data'!I272=3,"Rain",IF('Merged raw data'!I272=4,"Storm","NA"))))</f>
        <v>Clear</v>
      </c>
      <c r="L272" s="24">
        <v>0.47</v>
      </c>
      <c r="M272" s="24">
        <v>0.35820000000000002</v>
      </c>
      <c r="N272" s="21">
        <f>'Merged raw data'!$J272*100</f>
        <v>20</v>
      </c>
      <c r="O272" s="21">
        <v>0</v>
      </c>
      <c r="P272" s="21">
        <v>139</v>
      </c>
      <c r="Q272" s="21">
        <v>139</v>
      </c>
      <c r="R272" s="21" t="str">
        <f>IF(Q272&gt;=outliers!I274,"High",IF(Q272&lt;=outliers!I273,"Low","Moderate"))</f>
        <v>High</v>
      </c>
      <c r="S272" s="8" t="str">
        <f>IF(OR(Q272&lt;outliers!$I$6,Q272&gt;outliers!$I$7),"Outlier","Normal")</f>
        <v>Normal</v>
      </c>
      <c r="T272" s="8" t="str">
        <f>IF(OR(L272&lt;outliers!$J$6,L272&gt;outliers!$J$7),"Outlier","Normal")</f>
        <v>Normal</v>
      </c>
      <c r="U272" s="8" t="str">
        <f>IF(OR(M272&lt;outliers!$K$6,M272&gt;outliers!$K$7),"Outlier","Normal")</f>
        <v>Normal</v>
      </c>
    </row>
    <row r="273" spans="1:21">
      <c r="A273" s="21">
        <v>272</v>
      </c>
      <c r="B273" s="68">
        <v>40555</v>
      </c>
      <c r="C273" s="22" t="b">
        <v>0</v>
      </c>
      <c r="D273" s="21" t="str">
        <f t="shared" si="4"/>
        <v>Wednesday</v>
      </c>
      <c r="E273" s="23">
        <v>0.1515</v>
      </c>
      <c r="F273" s="23">
        <f>YEAR('Merged raw data'!$B273)</f>
        <v>2011</v>
      </c>
      <c r="G273" s="23" t="str">
        <f>TEXT('Merged raw data'!$B273,"mmmm")</f>
        <v>January</v>
      </c>
      <c r="H273" s="37" t="str">
        <f>TEXT(TIME('Merged raw data'!F273,0,0),"h AM/PM")</f>
        <v>6 PM</v>
      </c>
      <c r="I273" s="23" t="str">
        <f>IF(OR('Merged raw data'!H273=1,'Merged raw data'!H273=2,'Merged raw data'!H273=3,'Merged raw data'!H273=4,'Merged raw data'!H273=5),"weekday","weekend")</f>
        <v>weekday</v>
      </c>
      <c r="J273" s="23" t="s">
        <v>23</v>
      </c>
      <c r="K273" s="23" t="str">
        <f>IF('Merged raw data'!I273=1,"Clear",IF('Merged raw data'!I273=2,"Mist",IF('Merged raw data'!I273=3,"Rain",IF('Merged raw data'!I273=4,"Storm","NA"))))</f>
        <v>Clear</v>
      </c>
      <c r="L273" s="24">
        <v>0.47</v>
      </c>
      <c r="M273" s="24">
        <v>0.52239999999999998</v>
      </c>
      <c r="N273" s="21">
        <f>'Merged raw data'!$J273*100</f>
        <v>20</v>
      </c>
      <c r="O273" s="21">
        <v>2</v>
      </c>
      <c r="P273" s="21">
        <v>135</v>
      </c>
      <c r="Q273" s="21">
        <v>137</v>
      </c>
      <c r="R273" s="21" t="str">
        <f>IF(Q273&gt;=outliers!I275,"High",IF(Q273&lt;=outliers!I274,"Low","Moderate"))</f>
        <v>High</v>
      </c>
      <c r="S273" s="8" t="str">
        <f>IF(OR(Q273&lt;outliers!$I$6,Q273&gt;outliers!$I$7),"Outlier","Normal")</f>
        <v>Normal</v>
      </c>
      <c r="T273" s="8" t="str">
        <f>IF(OR(L273&lt;outliers!$J$6,L273&gt;outliers!$J$7),"Outlier","Normal")</f>
        <v>Normal</v>
      </c>
      <c r="U273" s="8" t="str">
        <f>IF(OR(M273&lt;outliers!$K$6,M273&gt;outliers!$K$7),"Outlier","Normal")</f>
        <v>Outlier</v>
      </c>
    </row>
    <row r="274" spans="1:21">
      <c r="A274" s="21">
        <v>273</v>
      </c>
      <c r="B274" s="68">
        <v>40555</v>
      </c>
      <c r="C274" s="22" t="b">
        <v>0</v>
      </c>
      <c r="D274" s="21" t="str">
        <f t="shared" si="4"/>
        <v>Wednesday</v>
      </c>
      <c r="E274" s="23">
        <v>0.1515</v>
      </c>
      <c r="F274" s="23">
        <f>YEAR('Merged raw data'!$B274)</f>
        <v>2011</v>
      </c>
      <c r="G274" s="23" t="str">
        <f>TEXT('Merged raw data'!$B274,"mmmm")</f>
        <v>January</v>
      </c>
      <c r="H274" s="37" t="str">
        <f>TEXT(TIME('Merged raw data'!F274,0,0),"h AM/PM")</f>
        <v>7 PM</v>
      </c>
      <c r="I274" s="23" t="str">
        <f>IF(OR('Merged raw data'!H274=1,'Merged raw data'!H274=2,'Merged raw data'!H274=3,'Merged raw data'!H274=4,'Merged raw data'!H274=5),"weekday","weekend")</f>
        <v>weekday</v>
      </c>
      <c r="J274" s="23" t="s">
        <v>23</v>
      </c>
      <c r="K274" s="23" t="str">
        <f>IF('Merged raw data'!I274=1,"Clear",IF('Merged raw data'!I274=2,"Mist",IF('Merged raw data'!I274=3,"Rain",IF('Merged raw data'!I274=4,"Storm","NA"))))</f>
        <v>Clear</v>
      </c>
      <c r="L274" s="24">
        <v>0.47</v>
      </c>
      <c r="M274" s="24">
        <v>0.41789999999999999</v>
      </c>
      <c r="N274" s="21">
        <f>'Merged raw data'!$J274*100</f>
        <v>18</v>
      </c>
      <c r="O274" s="21">
        <v>1</v>
      </c>
      <c r="P274" s="21">
        <v>82</v>
      </c>
      <c r="Q274" s="21">
        <v>83</v>
      </c>
      <c r="R274" s="21" t="str">
        <f>IF(Q274&gt;=outliers!I276,"High",IF(Q274&lt;=outliers!I275,"Low","Moderate"))</f>
        <v>High</v>
      </c>
      <c r="S274" s="8" t="str">
        <f>IF(OR(Q274&lt;outliers!$I$6,Q274&gt;outliers!$I$7),"Outlier","Normal")</f>
        <v>Normal</v>
      </c>
      <c r="T274" s="8" t="str">
        <f>IF(OR(L274&lt;outliers!$J$6,L274&gt;outliers!$J$7),"Outlier","Normal")</f>
        <v>Normal</v>
      </c>
      <c r="U274" s="8" t="str">
        <f>IF(OR(M274&lt;outliers!$K$6,M274&gt;outliers!$K$7),"Outlier","Normal")</f>
        <v>Normal</v>
      </c>
    </row>
    <row r="275" spans="1:21">
      <c r="A275" s="21">
        <v>274</v>
      </c>
      <c r="B275" s="68">
        <v>40555</v>
      </c>
      <c r="C275" s="22" t="b">
        <v>0</v>
      </c>
      <c r="D275" s="21" t="str">
        <f t="shared" si="4"/>
        <v>Wednesday</v>
      </c>
      <c r="E275" s="23">
        <v>0.13639999999999999</v>
      </c>
      <c r="F275" s="23">
        <f>YEAR('Merged raw data'!$B275)</f>
        <v>2011</v>
      </c>
      <c r="G275" s="23" t="str">
        <f>TEXT('Merged raw data'!$B275,"mmmm")</f>
        <v>January</v>
      </c>
      <c r="H275" s="37" t="str">
        <f>TEXT(TIME('Merged raw data'!F275,0,0),"h AM/PM")</f>
        <v>8 PM</v>
      </c>
      <c r="I275" s="23" t="str">
        <f>IF(OR('Merged raw data'!H275=1,'Merged raw data'!H275=2,'Merged raw data'!H275=3,'Merged raw data'!H275=4,'Merged raw data'!H275=5),"weekday","weekend")</f>
        <v>weekday</v>
      </c>
      <c r="J275" s="23" t="s">
        <v>23</v>
      </c>
      <c r="K275" s="23" t="str">
        <f>IF('Merged raw data'!I275=1,"Clear",IF('Merged raw data'!I275=2,"Mist",IF('Merged raw data'!I275=3,"Rain",IF('Merged raw data'!I275=4,"Storm","NA"))))</f>
        <v>Clear</v>
      </c>
      <c r="L275" s="24">
        <v>0.5</v>
      </c>
      <c r="M275" s="24">
        <v>0.32840000000000003</v>
      </c>
      <c r="N275" s="21">
        <f>'Merged raw data'!$J275*100</f>
        <v>16</v>
      </c>
      <c r="O275" s="21">
        <v>2</v>
      </c>
      <c r="P275" s="21">
        <v>54</v>
      </c>
      <c r="Q275" s="21">
        <v>56</v>
      </c>
      <c r="R275" s="21" t="str">
        <f>IF(Q275&gt;=outliers!I277,"High",IF(Q275&lt;=outliers!I276,"Low","Moderate"))</f>
        <v>High</v>
      </c>
      <c r="S275" s="8" t="str">
        <f>IF(OR(Q275&lt;outliers!$I$6,Q275&gt;outliers!$I$7),"Outlier","Normal")</f>
        <v>Normal</v>
      </c>
      <c r="T275" s="8" t="str">
        <f>IF(OR(L275&lt;outliers!$J$6,L275&gt;outliers!$J$7),"Outlier","Normal")</f>
        <v>Normal</v>
      </c>
      <c r="U275" s="8" t="str">
        <f>IF(OR(M275&lt;outliers!$K$6,M275&gt;outliers!$K$7),"Outlier","Normal")</f>
        <v>Normal</v>
      </c>
    </row>
    <row r="276" spans="1:21">
      <c r="A276" s="21">
        <v>275</v>
      </c>
      <c r="B276" s="68">
        <v>40555</v>
      </c>
      <c r="C276" s="22" t="b">
        <v>0</v>
      </c>
      <c r="D276" s="21" t="str">
        <f t="shared" si="4"/>
        <v>Wednesday</v>
      </c>
      <c r="E276" s="23">
        <v>0.13639999999999999</v>
      </c>
      <c r="F276" s="23">
        <f>YEAR('Merged raw data'!$B276)</f>
        <v>2011</v>
      </c>
      <c r="G276" s="23" t="str">
        <f>TEXT('Merged raw data'!$B276,"mmmm")</f>
        <v>January</v>
      </c>
      <c r="H276" s="37" t="str">
        <f>TEXT(TIME('Merged raw data'!F276,0,0),"h AM/PM")</f>
        <v>9 PM</v>
      </c>
      <c r="I276" s="23" t="str">
        <f>IF(OR('Merged raw data'!H276=1,'Merged raw data'!H276=2,'Merged raw data'!H276=3,'Merged raw data'!H276=4,'Merged raw data'!H276=5),"weekday","weekend")</f>
        <v>weekday</v>
      </c>
      <c r="J276" s="23" t="s">
        <v>23</v>
      </c>
      <c r="K276" s="23" t="str">
        <f>IF('Merged raw data'!I276=1,"Clear",IF('Merged raw data'!I276=2,"Mist",IF('Merged raw data'!I276=3,"Rain",IF('Merged raw data'!I276=4,"Storm","NA"))))</f>
        <v>Clear</v>
      </c>
      <c r="L276" s="24">
        <v>0.55000000000000004</v>
      </c>
      <c r="M276" s="24">
        <v>0.32840000000000003</v>
      </c>
      <c r="N276" s="21">
        <f>'Merged raw data'!$J276*100</f>
        <v>16</v>
      </c>
      <c r="O276" s="21">
        <v>0</v>
      </c>
      <c r="P276" s="21">
        <v>57</v>
      </c>
      <c r="Q276" s="21">
        <v>57</v>
      </c>
      <c r="R276" s="21" t="str">
        <f>IF(Q276&gt;=outliers!I278,"High",IF(Q276&lt;=outliers!I277,"Low","Moderate"))</f>
        <v>High</v>
      </c>
      <c r="S276" s="8" t="str">
        <f>IF(OR(Q276&lt;outliers!$I$6,Q276&gt;outliers!$I$7),"Outlier","Normal")</f>
        <v>Normal</v>
      </c>
      <c r="T276" s="8" t="str">
        <f>IF(OR(L276&lt;outliers!$J$6,L276&gt;outliers!$J$7),"Outlier","Normal")</f>
        <v>Normal</v>
      </c>
      <c r="U276" s="8" t="str">
        <f>IF(OR(M276&lt;outliers!$K$6,M276&gt;outliers!$K$7),"Outlier","Normal")</f>
        <v>Normal</v>
      </c>
    </row>
    <row r="277" spans="1:21">
      <c r="A277" s="21">
        <v>276</v>
      </c>
      <c r="B277" s="68">
        <v>40555</v>
      </c>
      <c r="C277" s="22" t="b">
        <v>0</v>
      </c>
      <c r="D277" s="21" t="str">
        <f t="shared" si="4"/>
        <v>Wednesday</v>
      </c>
      <c r="E277" s="23">
        <v>0.1212</v>
      </c>
      <c r="F277" s="23">
        <f>YEAR('Merged raw data'!$B277)</f>
        <v>2011</v>
      </c>
      <c r="G277" s="23" t="str">
        <f>TEXT('Merged raw data'!$B277,"mmmm")</f>
        <v>January</v>
      </c>
      <c r="H277" s="37" t="str">
        <f>TEXT(TIME('Merged raw data'!F277,0,0),"h AM/PM")</f>
        <v>10 PM</v>
      </c>
      <c r="I277" s="23" t="str">
        <f>IF(OR('Merged raw data'!H277=1,'Merged raw data'!H277=2,'Merged raw data'!H277=3,'Merged raw data'!H277=4,'Merged raw data'!H277=5),"weekday","weekend")</f>
        <v>weekday</v>
      </c>
      <c r="J277" s="23" t="s">
        <v>23</v>
      </c>
      <c r="K277" s="23" t="str">
        <f>IF('Merged raw data'!I277=1,"Clear",IF('Merged raw data'!I277=2,"Mist",IF('Merged raw data'!I277=3,"Rain",IF('Merged raw data'!I277=4,"Storm","NA"))))</f>
        <v>Clear</v>
      </c>
      <c r="L277" s="24">
        <v>0.55000000000000004</v>
      </c>
      <c r="M277" s="24">
        <v>0.44779999999999998</v>
      </c>
      <c r="N277" s="21">
        <f>'Merged raw data'!$J277*100</f>
        <v>16</v>
      </c>
      <c r="O277" s="21">
        <v>1</v>
      </c>
      <c r="P277" s="21">
        <v>32</v>
      </c>
      <c r="Q277" s="21">
        <v>33</v>
      </c>
      <c r="R277" s="21" t="str">
        <f>IF(Q277&gt;=outliers!I279,"High",IF(Q277&lt;=outliers!I278,"Low","Moderate"))</f>
        <v>High</v>
      </c>
      <c r="S277" s="8" t="str">
        <f>IF(OR(Q277&lt;outliers!$I$6,Q277&gt;outliers!$I$7),"Outlier","Normal")</f>
        <v>Normal</v>
      </c>
      <c r="T277" s="8" t="str">
        <f>IF(OR(L277&lt;outliers!$J$6,L277&gt;outliers!$J$7),"Outlier","Normal")</f>
        <v>Normal</v>
      </c>
      <c r="U277" s="8" t="str">
        <f>IF(OR(M277&lt;outliers!$K$6,M277&gt;outliers!$K$7),"Outlier","Normal")</f>
        <v>Normal</v>
      </c>
    </row>
    <row r="278" spans="1:21">
      <c r="A278" s="21">
        <v>277</v>
      </c>
      <c r="B278" s="68">
        <v>40555</v>
      </c>
      <c r="C278" s="22" t="b">
        <v>0</v>
      </c>
      <c r="D278" s="21" t="str">
        <f t="shared" si="4"/>
        <v>Wednesday</v>
      </c>
      <c r="E278" s="23">
        <v>0.1061</v>
      </c>
      <c r="F278" s="23">
        <f>YEAR('Merged raw data'!$B278)</f>
        <v>2011</v>
      </c>
      <c r="G278" s="23" t="str">
        <f>TEXT('Merged raw data'!$B278,"mmmm")</f>
        <v>January</v>
      </c>
      <c r="H278" s="37" t="str">
        <f>TEXT(TIME('Merged raw data'!F278,0,0),"h AM/PM")</f>
        <v>11 PM</v>
      </c>
      <c r="I278" s="23" t="str">
        <f>IF(OR('Merged raw data'!H278=1,'Merged raw data'!H278=2,'Merged raw data'!H278=3,'Merged raw data'!H278=4,'Merged raw data'!H278=5),"weekday","weekend")</f>
        <v>weekday</v>
      </c>
      <c r="J278" s="23" t="s">
        <v>23</v>
      </c>
      <c r="K278" s="23" t="str">
        <f>IF('Merged raw data'!I278=1,"Clear",IF('Merged raw data'!I278=2,"Mist",IF('Merged raw data'!I278=3,"Rain",IF('Merged raw data'!I278=4,"Storm","NA"))))</f>
        <v>Clear</v>
      </c>
      <c r="L278" s="24">
        <v>0.59</v>
      </c>
      <c r="M278" s="24">
        <v>0.41789999999999999</v>
      </c>
      <c r="N278" s="21">
        <f>'Merged raw data'!$J278*100</f>
        <v>14.000000000000002</v>
      </c>
      <c r="O278" s="21">
        <v>1</v>
      </c>
      <c r="P278" s="21">
        <v>19</v>
      </c>
      <c r="Q278" s="21">
        <v>20</v>
      </c>
      <c r="R278" s="21" t="str">
        <f>IF(Q278&gt;=outliers!I280,"High",IF(Q278&lt;=outliers!I279,"Low","Moderate"))</f>
        <v>High</v>
      </c>
      <c r="S278" s="8" t="str">
        <f>IF(OR(Q278&lt;outliers!$I$6,Q278&gt;outliers!$I$7),"Outlier","Normal")</f>
        <v>Normal</v>
      </c>
      <c r="T278" s="8" t="str">
        <f>IF(OR(L278&lt;outliers!$J$6,L278&gt;outliers!$J$7),"Outlier","Normal")</f>
        <v>Normal</v>
      </c>
      <c r="U278" s="8" t="str">
        <f>IF(OR(M278&lt;outliers!$K$6,M278&gt;outliers!$K$7),"Outlier","Normal")</f>
        <v>Normal</v>
      </c>
    </row>
    <row r="279" spans="1:21">
      <c r="A279" s="21">
        <v>278</v>
      </c>
      <c r="B279" s="68">
        <v>40556</v>
      </c>
      <c r="C279" s="22" t="b">
        <v>0</v>
      </c>
      <c r="D279" s="21" t="str">
        <f t="shared" si="4"/>
        <v>Thursday</v>
      </c>
      <c r="E279" s="23">
        <v>0.1212</v>
      </c>
      <c r="F279" s="23">
        <f>YEAR('Merged raw data'!$B279)</f>
        <v>2011</v>
      </c>
      <c r="G279" s="23" t="str">
        <f>TEXT('Merged raw data'!$B279,"mmmm")</f>
        <v>January</v>
      </c>
      <c r="H279" s="37" t="str">
        <f>TEXT(TIME('Merged raw data'!F279,0,0),"h AM/PM")</f>
        <v>12 AM</v>
      </c>
      <c r="I279" s="23" t="str">
        <f>IF(OR('Merged raw data'!H279=1,'Merged raw data'!H279=2,'Merged raw data'!H279=3,'Merged raw data'!H279=4,'Merged raw data'!H279=5),"weekday","weekend")</f>
        <v>weekday</v>
      </c>
      <c r="J279" s="23" t="s">
        <v>23</v>
      </c>
      <c r="K279" s="23" t="str">
        <f>IF('Merged raw data'!I279=1,"Clear",IF('Merged raw data'!I279=2,"Mist",IF('Merged raw data'!I279=3,"Rain",IF('Merged raw data'!I279=4,"Storm","NA"))))</f>
        <v>Clear</v>
      </c>
      <c r="L279" s="24">
        <v>0.59</v>
      </c>
      <c r="M279" s="24">
        <v>0.28360000000000002</v>
      </c>
      <c r="N279" s="21">
        <f>'Merged raw data'!$J279*100</f>
        <v>14.000000000000002</v>
      </c>
      <c r="O279" s="21">
        <v>1</v>
      </c>
      <c r="P279" s="21">
        <v>6</v>
      </c>
      <c r="Q279" s="21">
        <v>7</v>
      </c>
      <c r="R279" s="21" t="str">
        <f>IF(Q279&gt;=outliers!I281,"High",IF(Q279&lt;=outliers!I280,"Low","Moderate"))</f>
        <v>High</v>
      </c>
      <c r="S279" s="8" t="str">
        <f>IF(OR(Q279&lt;outliers!$I$6,Q279&gt;outliers!$I$7),"Outlier","Normal")</f>
        <v>Normal</v>
      </c>
      <c r="T279" s="8" t="str">
        <f>IF(OR(L279&lt;outliers!$J$6,L279&gt;outliers!$J$7),"Outlier","Normal")</f>
        <v>Normal</v>
      </c>
      <c r="U279" s="8" t="str">
        <f>IF(OR(M279&lt;outliers!$K$6,M279&gt;outliers!$K$7),"Outlier","Normal")</f>
        <v>Normal</v>
      </c>
    </row>
    <row r="280" spans="1:21">
      <c r="A280" s="21">
        <v>279</v>
      </c>
      <c r="B280" s="68">
        <v>40556</v>
      </c>
      <c r="C280" s="22" t="b">
        <v>0</v>
      </c>
      <c r="D280" s="21" t="str">
        <f t="shared" si="4"/>
        <v>Thursday</v>
      </c>
      <c r="E280" s="23">
        <v>0.1212</v>
      </c>
      <c r="F280" s="23">
        <f>YEAR('Merged raw data'!$B280)</f>
        <v>2011</v>
      </c>
      <c r="G280" s="23" t="str">
        <f>TEXT('Merged raw data'!$B280,"mmmm")</f>
        <v>January</v>
      </c>
      <c r="H280" s="37" t="str">
        <f>TEXT(TIME('Merged raw data'!F280,0,0),"h AM/PM")</f>
        <v>1 AM</v>
      </c>
      <c r="I280" s="23" t="str">
        <f>IF(OR('Merged raw data'!H280=1,'Merged raw data'!H280=2,'Merged raw data'!H280=3,'Merged raw data'!H280=4,'Merged raw data'!H280=5),"weekday","weekend")</f>
        <v>weekday</v>
      </c>
      <c r="J280" s="23" t="s">
        <v>23</v>
      </c>
      <c r="K280" s="23" t="str">
        <f>IF('Merged raw data'!I280=1,"Clear",IF('Merged raw data'!I280=2,"Mist",IF('Merged raw data'!I280=3,"Rain",IF('Merged raw data'!I280=4,"Storm","NA"))))</f>
        <v>Clear</v>
      </c>
      <c r="L280" s="24">
        <v>0.5</v>
      </c>
      <c r="M280" s="24">
        <v>0.28360000000000002</v>
      </c>
      <c r="N280" s="21">
        <f>'Merged raw data'!$J280*100</f>
        <v>14.000000000000002</v>
      </c>
      <c r="O280" s="21">
        <v>0</v>
      </c>
      <c r="P280" s="21">
        <v>2</v>
      </c>
      <c r="Q280" s="21">
        <v>2</v>
      </c>
      <c r="R280" s="21" t="str">
        <f>IF(Q280&gt;=outliers!I282,"High",IF(Q280&lt;=outliers!I281,"Low","Moderate"))</f>
        <v>High</v>
      </c>
      <c r="S280" s="8" t="str">
        <f>IF(OR(Q280&lt;outliers!$I$6,Q280&gt;outliers!$I$7),"Outlier","Normal")</f>
        <v>Normal</v>
      </c>
      <c r="T280" s="8" t="str">
        <f>IF(OR(L280&lt;outliers!$J$6,L280&gt;outliers!$J$7),"Outlier","Normal")</f>
        <v>Normal</v>
      </c>
      <c r="U280" s="8" t="str">
        <f>IF(OR(M280&lt;outliers!$K$6,M280&gt;outliers!$K$7),"Outlier","Normal")</f>
        <v>Normal</v>
      </c>
    </row>
    <row r="281" spans="1:21">
      <c r="A281" s="21">
        <v>280</v>
      </c>
      <c r="B281" s="68">
        <v>40556</v>
      </c>
      <c r="C281" s="22" t="b">
        <v>0</v>
      </c>
      <c r="D281" s="21" t="str">
        <f t="shared" si="4"/>
        <v>Thursday</v>
      </c>
      <c r="E281" s="23">
        <v>0.1212</v>
      </c>
      <c r="F281" s="23">
        <f>YEAR('Merged raw data'!$B281)</f>
        <v>2011</v>
      </c>
      <c r="G281" s="23" t="str">
        <f>TEXT('Merged raw data'!$B281,"mmmm")</f>
        <v>January</v>
      </c>
      <c r="H281" s="37" t="str">
        <f>TEXT(TIME('Merged raw data'!F281,0,0),"h AM/PM")</f>
        <v>2 AM</v>
      </c>
      <c r="I281" s="23" t="str">
        <f>IF(OR('Merged raw data'!H281=1,'Merged raw data'!H281=2,'Merged raw data'!H281=3,'Merged raw data'!H281=4,'Merged raw data'!H281=5),"weekday","weekend")</f>
        <v>weekday</v>
      </c>
      <c r="J281" s="23" t="s">
        <v>23</v>
      </c>
      <c r="K281" s="23" t="str">
        <f>IF('Merged raw data'!I281=1,"Clear",IF('Merged raw data'!I281=2,"Mist",IF('Merged raw data'!I281=3,"Rain",IF('Merged raw data'!I281=4,"Storm","NA"))))</f>
        <v>Clear</v>
      </c>
      <c r="L281" s="24">
        <v>0.5</v>
      </c>
      <c r="M281" s="24">
        <v>0.35820000000000002</v>
      </c>
      <c r="N281" s="21">
        <f>'Merged raw data'!$J281*100</f>
        <v>14.000000000000002</v>
      </c>
      <c r="O281" s="21">
        <v>0</v>
      </c>
      <c r="P281" s="21">
        <v>2</v>
      </c>
      <c r="Q281" s="21">
        <v>2</v>
      </c>
      <c r="R281" s="21" t="str">
        <f>IF(Q281&gt;=outliers!I283,"High",IF(Q281&lt;=outliers!I282,"Low","Moderate"))</f>
        <v>High</v>
      </c>
      <c r="S281" s="8" t="str">
        <f>IF(OR(Q281&lt;outliers!$I$6,Q281&gt;outliers!$I$7),"Outlier","Normal")</f>
        <v>Normal</v>
      </c>
      <c r="T281" s="8" t="str">
        <f>IF(OR(L281&lt;outliers!$J$6,L281&gt;outliers!$J$7),"Outlier","Normal")</f>
        <v>Normal</v>
      </c>
      <c r="U281" s="8" t="str">
        <f>IF(OR(M281&lt;outliers!$K$6,M281&gt;outliers!$K$7),"Outlier","Normal")</f>
        <v>Normal</v>
      </c>
    </row>
    <row r="282" spans="1:21">
      <c r="A282" s="21">
        <v>281</v>
      </c>
      <c r="B282" s="68">
        <v>40556</v>
      </c>
      <c r="C282" s="22" t="b">
        <v>0</v>
      </c>
      <c r="D282" s="21" t="str">
        <f t="shared" si="4"/>
        <v>Thursday</v>
      </c>
      <c r="E282" s="23">
        <v>0.1212</v>
      </c>
      <c r="F282" s="23">
        <f>YEAR('Merged raw data'!$B282)</f>
        <v>2011</v>
      </c>
      <c r="G282" s="23" t="str">
        <f>TEXT('Merged raw data'!$B282,"mmmm")</f>
        <v>January</v>
      </c>
      <c r="H282" s="37" t="str">
        <f>TEXT(TIME('Merged raw data'!F282,0,0),"h AM/PM")</f>
        <v>3 AM</v>
      </c>
      <c r="I282" s="23" t="str">
        <f>IF(OR('Merged raw data'!H282=1,'Merged raw data'!H282=2,'Merged raw data'!H282=3,'Merged raw data'!H282=4,'Merged raw data'!H282=5),"weekday","weekend")</f>
        <v>weekday</v>
      </c>
      <c r="J282" s="23" t="s">
        <v>23</v>
      </c>
      <c r="K282" s="23" t="str">
        <f>IF('Merged raw data'!I282=1,"Clear",IF('Merged raw data'!I282=2,"Mist",IF('Merged raw data'!I282=3,"Rain",IF('Merged raw data'!I282=4,"Storm","NA"))))</f>
        <v>Clear</v>
      </c>
      <c r="L282" s="24">
        <v>0.5</v>
      </c>
      <c r="M282" s="24">
        <v>0.32840000000000003</v>
      </c>
      <c r="N282" s="21">
        <f>'Merged raw data'!$J282*100</f>
        <v>14.000000000000002</v>
      </c>
      <c r="O282" s="21">
        <v>0</v>
      </c>
      <c r="P282" s="21">
        <v>3</v>
      </c>
      <c r="Q282" s="21">
        <v>3</v>
      </c>
      <c r="R282" s="21" t="str">
        <f>IF(Q282&gt;=outliers!I284,"High",IF(Q282&lt;=outliers!I283,"Low","Moderate"))</f>
        <v>High</v>
      </c>
      <c r="S282" s="8" t="str">
        <f>IF(OR(Q282&lt;outliers!$I$6,Q282&gt;outliers!$I$7),"Outlier","Normal")</f>
        <v>Normal</v>
      </c>
      <c r="T282" s="8" t="str">
        <f>IF(OR(L282&lt;outliers!$J$6,L282&gt;outliers!$J$7),"Outlier","Normal")</f>
        <v>Normal</v>
      </c>
      <c r="U282" s="8" t="str">
        <f>IF(OR(M282&lt;outliers!$K$6,M282&gt;outliers!$K$7),"Outlier","Normal")</f>
        <v>Normal</v>
      </c>
    </row>
    <row r="283" spans="1:21">
      <c r="A283" s="21">
        <v>282</v>
      </c>
      <c r="B283" s="68">
        <v>40556</v>
      </c>
      <c r="C283" s="22" t="b">
        <v>0</v>
      </c>
      <c r="D283" s="21" t="str">
        <f t="shared" si="4"/>
        <v>Thursday</v>
      </c>
      <c r="E283" s="23">
        <v>0.1212</v>
      </c>
      <c r="F283" s="23">
        <f>YEAR('Merged raw data'!$B283)</f>
        <v>2011</v>
      </c>
      <c r="G283" s="23" t="str">
        <f>TEXT('Merged raw data'!$B283,"mmmm")</f>
        <v>January</v>
      </c>
      <c r="H283" s="37" t="str">
        <f>TEXT(TIME('Merged raw data'!F283,0,0),"h AM/PM")</f>
        <v>4 AM</v>
      </c>
      <c r="I283" s="23" t="str">
        <f>IF(OR('Merged raw data'!H283=1,'Merged raw data'!H283=2,'Merged raw data'!H283=3,'Merged raw data'!H283=4,'Merged raw data'!H283=5),"weekday","weekend")</f>
        <v>weekday</v>
      </c>
      <c r="J283" s="23" t="s">
        <v>23</v>
      </c>
      <c r="K283" s="23" t="str">
        <f>IF('Merged raw data'!I283=1,"Clear",IF('Merged raw data'!I283=2,"Mist",IF('Merged raw data'!I283=3,"Rain",IF('Merged raw data'!I283=4,"Storm","NA"))))</f>
        <v>Clear</v>
      </c>
      <c r="L283" s="24">
        <v>0.5</v>
      </c>
      <c r="M283" s="24">
        <v>0.25369999999999998</v>
      </c>
      <c r="N283" s="21">
        <f>'Merged raw data'!$J283*100</f>
        <v>14.000000000000002</v>
      </c>
      <c r="O283" s="21">
        <v>0</v>
      </c>
      <c r="P283" s="21">
        <v>4</v>
      </c>
      <c r="Q283" s="21">
        <v>4</v>
      </c>
      <c r="R283" s="21" t="str">
        <f>IF(Q283&gt;=outliers!I285,"High",IF(Q283&lt;=outliers!I284,"Low","Moderate"))</f>
        <v>High</v>
      </c>
      <c r="S283" s="8" t="str">
        <f>IF(OR(Q283&lt;outliers!$I$6,Q283&gt;outliers!$I$7),"Outlier","Normal")</f>
        <v>Normal</v>
      </c>
      <c r="T283" s="8" t="str">
        <f>IF(OR(L283&lt;outliers!$J$6,L283&gt;outliers!$J$7),"Outlier","Normal")</f>
        <v>Normal</v>
      </c>
      <c r="U283" s="8" t="str">
        <f>IF(OR(M283&lt;outliers!$K$6,M283&gt;outliers!$K$7),"Outlier","Normal")</f>
        <v>Normal</v>
      </c>
    </row>
    <row r="284" spans="1:21">
      <c r="A284" s="21">
        <v>283</v>
      </c>
      <c r="B284" s="68">
        <v>40556</v>
      </c>
      <c r="C284" s="22" t="b">
        <v>0</v>
      </c>
      <c r="D284" s="21" t="str">
        <f t="shared" si="4"/>
        <v>Thursday</v>
      </c>
      <c r="E284" s="23">
        <v>0.1212</v>
      </c>
      <c r="F284" s="23">
        <f>YEAR('Merged raw data'!$B284)</f>
        <v>2011</v>
      </c>
      <c r="G284" s="23" t="str">
        <f>TEXT('Merged raw data'!$B284,"mmmm")</f>
        <v>January</v>
      </c>
      <c r="H284" s="37" t="str">
        <f>TEXT(TIME('Merged raw data'!F284,0,0),"h AM/PM")</f>
        <v>5 AM</v>
      </c>
      <c r="I284" s="23" t="str">
        <f>IF(OR('Merged raw data'!H284=1,'Merged raw data'!H284=2,'Merged raw data'!H284=3,'Merged raw data'!H284=4,'Merged raw data'!H284=5),"weekday","weekend")</f>
        <v>weekday</v>
      </c>
      <c r="J284" s="23" t="s">
        <v>23</v>
      </c>
      <c r="K284" s="23" t="str">
        <f>IF('Merged raw data'!I284=1,"Clear",IF('Merged raw data'!I284=2,"Mist",IF('Merged raw data'!I284=3,"Rain",IF('Merged raw data'!I284=4,"Storm","NA"))))</f>
        <v>Clear</v>
      </c>
      <c r="L284" s="24">
        <v>0.5</v>
      </c>
      <c r="M284" s="24">
        <v>0.29849999999999999</v>
      </c>
      <c r="N284" s="21">
        <f>'Merged raw data'!$J284*100</f>
        <v>14.000000000000002</v>
      </c>
      <c r="O284" s="21">
        <v>0</v>
      </c>
      <c r="P284" s="21">
        <v>3</v>
      </c>
      <c r="Q284" s="21">
        <v>3</v>
      </c>
      <c r="R284" s="21" t="str">
        <f>IF(Q284&gt;=outliers!I286,"High",IF(Q284&lt;=outliers!I285,"Low","Moderate"))</f>
        <v>High</v>
      </c>
      <c r="S284" s="8" t="str">
        <f>IF(OR(Q284&lt;outliers!$I$6,Q284&gt;outliers!$I$7),"Outlier","Normal")</f>
        <v>Normal</v>
      </c>
      <c r="T284" s="8" t="str">
        <f>IF(OR(L284&lt;outliers!$J$6,L284&gt;outliers!$J$7),"Outlier","Normal")</f>
        <v>Normal</v>
      </c>
      <c r="U284" s="8" t="str">
        <f>IF(OR(M284&lt;outliers!$K$6,M284&gt;outliers!$K$7),"Outlier","Normal")</f>
        <v>Normal</v>
      </c>
    </row>
    <row r="285" spans="1:21">
      <c r="A285" s="21">
        <v>284</v>
      </c>
      <c r="B285" s="68">
        <v>40556</v>
      </c>
      <c r="C285" s="22" t="b">
        <v>0</v>
      </c>
      <c r="D285" s="21" t="str">
        <f t="shared" si="4"/>
        <v>Thursday</v>
      </c>
      <c r="E285" s="23">
        <v>0.1515</v>
      </c>
      <c r="F285" s="23">
        <f>YEAR('Merged raw data'!$B285)</f>
        <v>2011</v>
      </c>
      <c r="G285" s="23" t="str">
        <f>TEXT('Merged raw data'!$B285,"mmmm")</f>
        <v>January</v>
      </c>
      <c r="H285" s="37" t="str">
        <f>TEXT(TIME('Merged raw data'!F285,0,0),"h AM/PM")</f>
        <v>6 AM</v>
      </c>
      <c r="I285" s="23" t="str">
        <f>IF(OR('Merged raw data'!H285=1,'Merged raw data'!H285=2,'Merged raw data'!H285=3,'Merged raw data'!H285=4,'Merged raw data'!H285=5),"weekday","weekend")</f>
        <v>weekday</v>
      </c>
      <c r="J285" s="23" t="s">
        <v>23</v>
      </c>
      <c r="K285" s="23" t="str">
        <f>IF('Merged raw data'!I285=1,"Clear",IF('Merged raw data'!I285=2,"Mist",IF('Merged raw data'!I285=3,"Rain",IF('Merged raw data'!I285=4,"Storm","NA"))))</f>
        <v>Clear</v>
      </c>
      <c r="L285" s="24">
        <v>0.54</v>
      </c>
      <c r="M285" s="24">
        <v>0.1343</v>
      </c>
      <c r="N285" s="21">
        <f>'Merged raw data'!$J285*100</f>
        <v>12</v>
      </c>
      <c r="O285" s="21">
        <v>0</v>
      </c>
      <c r="P285" s="21">
        <v>28</v>
      </c>
      <c r="Q285" s="21">
        <v>28</v>
      </c>
      <c r="R285" s="21" t="str">
        <f>IF(Q285&gt;=outliers!I287,"High",IF(Q285&lt;=outliers!I286,"Low","Moderate"))</f>
        <v>High</v>
      </c>
      <c r="S285" s="8" t="str">
        <f>IF(OR(Q285&lt;outliers!$I$6,Q285&gt;outliers!$I$7),"Outlier","Normal")</f>
        <v>Normal</v>
      </c>
      <c r="T285" s="8" t="str">
        <f>IF(OR(L285&lt;outliers!$J$6,L285&gt;outliers!$J$7),"Outlier","Normal")</f>
        <v>Normal</v>
      </c>
      <c r="U285" s="8" t="str">
        <f>IF(OR(M285&lt;outliers!$K$6,M285&gt;outliers!$K$7),"Outlier","Normal")</f>
        <v>Normal</v>
      </c>
    </row>
    <row r="286" spans="1:21">
      <c r="A286" s="21">
        <v>285</v>
      </c>
      <c r="B286" s="68">
        <v>40556</v>
      </c>
      <c r="C286" s="22" t="b">
        <v>0</v>
      </c>
      <c r="D286" s="21" t="str">
        <f t="shared" si="4"/>
        <v>Thursday</v>
      </c>
      <c r="E286" s="23">
        <v>0.1515</v>
      </c>
      <c r="F286" s="23">
        <f>YEAR('Merged raw data'!$B286)</f>
        <v>2011</v>
      </c>
      <c r="G286" s="23" t="str">
        <f>TEXT('Merged raw data'!$B286,"mmmm")</f>
        <v>January</v>
      </c>
      <c r="H286" s="37" t="str">
        <f>TEXT(TIME('Merged raw data'!F286,0,0),"h AM/PM")</f>
        <v>7 AM</v>
      </c>
      <c r="I286" s="23" t="str">
        <f>IF(OR('Merged raw data'!H286=1,'Merged raw data'!H286=2,'Merged raw data'!H286=3,'Merged raw data'!H286=4,'Merged raw data'!H286=5),"weekday","weekend")</f>
        <v>weekday</v>
      </c>
      <c r="J286" s="23" t="s">
        <v>23</v>
      </c>
      <c r="K286" s="23" t="str">
        <f>IF('Merged raw data'!I286=1,"Clear",IF('Merged raw data'!I286=2,"Mist",IF('Merged raw data'!I286=3,"Rain",IF('Merged raw data'!I286=4,"Storm","NA"))))</f>
        <v>Clear</v>
      </c>
      <c r="L286" s="24">
        <v>0.54</v>
      </c>
      <c r="M286" s="24">
        <v>0.1343</v>
      </c>
      <c r="N286" s="21">
        <f>'Merged raw data'!$J286*100</f>
        <v>12</v>
      </c>
      <c r="O286" s="21">
        <v>0</v>
      </c>
      <c r="P286" s="21">
        <v>72</v>
      </c>
      <c r="Q286" s="21">
        <v>72</v>
      </c>
      <c r="R286" s="21" t="str">
        <f>IF(Q286&gt;=outliers!I288,"High",IF(Q286&lt;=outliers!I287,"Low","Moderate"))</f>
        <v>High</v>
      </c>
      <c r="S286" s="8" t="str">
        <f>IF(OR(Q286&lt;outliers!$I$6,Q286&gt;outliers!$I$7),"Outlier","Normal")</f>
        <v>Normal</v>
      </c>
      <c r="T286" s="8" t="str">
        <f>IF(OR(L286&lt;outliers!$J$6,L286&gt;outliers!$J$7),"Outlier","Normal")</f>
        <v>Normal</v>
      </c>
      <c r="U286" s="8" t="str">
        <f>IF(OR(M286&lt;outliers!$K$6,M286&gt;outliers!$K$7),"Outlier","Normal")</f>
        <v>Normal</v>
      </c>
    </row>
    <row r="287" spans="1:21">
      <c r="A287" s="21">
        <v>286</v>
      </c>
      <c r="B287" s="68">
        <v>40556</v>
      </c>
      <c r="C287" s="22" t="b">
        <v>0</v>
      </c>
      <c r="D287" s="21" t="str">
        <f t="shared" si="4"/>
        <v>Thursday</v>
      </c>
      <c r="E287" s="23">
        <v>0.13639999999999999</v>
      </c>
      <c r="F287" s="23">
        <f>YEAR('Merged raw data'!$B287)</f>
        <v>2011</v>
      </c>
      <c r="G287" s="23" t="str">
        <f>TEXT('Merged raw data'!$B287,"mmmm")</f>
        <v>January</v>
      </c>
      <c r="H287" s="37" t="str">
        <f>TEXT(TIME('Merged raw data'!F287,0,0),"h AM/PM")</f>
        <v>8 AM</v>
      </c>
      <c r="I287" s="23" t="str">
        <f>IF(OR('Merged raw data'!H287=1,'Merged raw data'!H287=2,'Merged raw data'!H287=3,'Merged raw data'!H287=4,'Merged raw data'!H287=5),"weekday","weekend")</f>
        <v>weekday</v>
      </c>
      <c r="J287" s="23" t="s">
        <v>23</v>
      </c>
      <c r="K287" s="23" t="str">
        <f>IF('Merged raw data'!I287=1,"Clear",IF('Merged raw data'!I287=2,"Mist",IF('Merged raw data'!I287=3,"Rain",IF('Merged raw data'!I287=4,"Storm","NA"))))</f>
        <v>Clear</v>
      </c>
      <c r="L287" s="24">
        <v>0.5</v>
      </c>
      <c r="M287" s="24">
        <v>0.19400000000000001</v>
      </c>
      <c r="N287" s="21">
        <f>'Merged raw data'!$J287*100</f>
        <v>14.000000000000002</v>
      </c>
      <c r="O287" s="21">
        <v>5</v>
      </c>
      <c r="P287" s="21">
        <v>197</v>
      </c>
      <c r="Q287" s="21">
        <v>202</v>
      </c>
      <c r="R287" s="21" t="str">
        <f>IF(Q287&gt;=outliers!I289,"High",IF(Q287&lt;=outliers!I288,"Low","Moderate"))</f>
        <v>High</v>
      </c>
      <c r="S287" s="8" t="str">
        <f>IF(OR(Q287&lt;outliers!$I$6,Q287&gt;outliers!$I$7),"Outlier","Normal")</f>
        <v>Outlier</v>
      </c>
      <c r="T287" s="8" t="str">
        <f>IF(OR(L287&lt;outliers!$J$6,L287&gt;outliers!$J$7),"Outlier","Normal")</f>
        <v>Normal</v>
      </c>
      <c r="U287" s="8" t="str">
        <f>IF(OR(M287&lt;outliers!$K$6,M287&gt;outliers!$K$7),"Outlier","Normal")</f>
        <v>Normal</v>
      </c>
    </row>
    <row r="288" spans="1:21">
      <c r="A288" s="21">
        <v>287</v>
      </c>
      <c r="B288" s="68">
        <v>40556</v>
      </c>
      <c r="C288" s="22" t="b">
        <v>0</v>
      </c>
      <c r="D288" s="21" t="str">
        <f t="shared" si="4"/>
        <v>Thursday</v>
      </c>
      <c r="E288" s="23">
        <v>0.1212</v>
      </c>
      <c r="F288" s="23">
        <f>YEAR('Merged raw data'!$B288)</f>
        <v>2011</v>
      </c>
      <c r="G288" s="23" t="str">
        <f>TEXT('Merged raw data'!$B288,"mmmm")</f>
        <v>January</v>
      </c>
      <c r="H288" s="37" t="str">
        <f>TEXT(TIME('Merged raw data'!F288,0,0),"h AM/PM")</f>
        <v>9 AM</v>
      </c>
      <c r="I288" s="23" t="str">
        <f>IF(OR('Merged raw data'!H288=1,'Merged raw data'!H288=2,'Merged raw data'!H288=3,'Merged raw data'!H288=4,'Merged raw data'!H288=5),"weekday","weekend")</f>
        <v>weekday</v>
      </c>
      <c r="J288" s="23" t="s">
        <v>23</v>
      </c>
      <c r="K288" s="23" t="str">
        <f>IF('Merged raw data'!I288=1,"Clear",IF('Merged raw data'!I288=2,"Mist",IF('Merged raw data'!I288=3,"Rain",IF('Merged raw data'!I288=4,"Storm","NA"))))</f>
        <v>Clear</v>
      </c>
      <c r="L288" s="24">
        <v>0.5</v>
      </c>
      <c r="M288" s="24">
        <v>0.32840000000000003</v>
      </c>
      <c r="N288" s="21">
        <f>'Merged raw data'!$J288*100</f>
        <v>14.000000000000002</v>
      </c>
      <c r="O288" s="21">
        <v>2</v>
      </c>
      <c r="P288" s="21">
        <v>137</v>
      </c>
      <c r="Q288" s="21">
        <v>139</v>
      </c>
      <c r="R288" s="21" t="str">
        <f>IF(Q288&gt;=outliers!I290,"High",IF(Q288&lt;=outliers!I289,"Low","Moderate"))</f>
        <v>High</v>
      </c>
      <c r="S288" s="8" t="str">
        <f>IF(OR(Q288&lt;outliers!$I$6,Q288&gt;outliers!$I$7),"Outlier","Normal")</f>
        <v>Normal</v>
      </c>
      <c r="T288" s="8" t="str">
        <f>IF(OR(L288&lt;outliers!$J$6,L288&gt;outliers!$J$7),"Outlier","Normal")</f>
        <v>Normal</v>
      </c>
      <c r="U288" s="8" t="str">
        <f>IF(OR(M288&lt;outliers!$K$6,M288&gt;outliers!$K$7),"Outlier","Normal")</f>
        <v>Normal</v>
      </c>
    </row>
    <row r="289" spans="1:21">
      <c r="A289" s="21">
        <v>288</v>
      </c>
      <c r="B289" s="68">
        <v>40556</v>
      </c>
      <c r="C289" s="22" t="b">
        <v>0</v>
      </c>
      <c r="D289" s="21" t="str">
        <f t="shared" si="4"/>
        <v>Thursday</v>
      </c>
      <c r="E289" s="23">
        <v>0.13639999999999999</v>
      </c>
      <c r="F289" s="23">
        <f>YEAR('Merged raw data'!$B289)</f>
        <v>2011</v>
      </c>
      <c r="G289" s="23" t="str">
        <f>TEXT('Merged raw data'!$B289,"mmmm")</f>
        <v>January</v>
      </c>
      <c r="H289" s="37" t="str">
        <f>TEXT(TIME('Merged raw data'!F289,0,0),"h AM/PM")</f>
        <v>10 AM</v>
      </c>
      <c r="I289" s="23" t="str">
        <f>IF(OR('Merged raw data'!H289=1,'Merged raw data'!H289=2,'Merged raw data'!H289=3,'Merged raw data'!H289=4,'Merged raw data'!H289=5),"weekday","weekend")</f>
        <v>weekday</v>
      </c>
      <c r="J289" s="23" t="s">
        <v>23</v>
      </c>
      <c r="K289" s="23" t="str">
        <f>IF('Merged raw data'!I289=1,"Clear",IF('Merged raw data'!I289=2,"Mist",IF('Merged raw data'!I289=3,"Rain",IF('Merged raw data'!I289=4,"Storm","NA"))))</f>
        <v>Mist</v>
      </c>
      <c r="L289" s="24">
        <v>0.5</v>
      </c>
      <c r="M289" s="24">
        <v>0.35820000000000002</v>
      </c>
      <c r="N289" s="21">
        <f>'Merged raw data'!$J289*100</f>
        <v>16</v>
      </c>
      <c r="O289" s="21">
        <v>2</v>
      </c>
      <c r="P289" s="21">
        <v>36</v>
      </c>
      <c r="Q289" s="21">
        <v>38</v>
      </c>
      <c r="R289" s="21" t="str">
        <f>IF(Q289&gt;=outliers!I291,"High",IF(Q289&lt;=outliers!I290,"Low","Moderate"))</f>
        <v>High</v>
      </c>
      <c r="S289" s="8" t="str">
        <f>IF(OR(Q289&lt;outliers!$I$6,Q289&gt;outliers!$I$7),"Outlier","Normal")</f>
        <v>Normal</v>
      </c>
      <c r="T289" s="8" t="str">
        <f>IF(OR(L289&lt;outliers!$J$6,L289&gt;outliers!$J$7),"Outlier","Normal")</f>
        <v>Normal</v>
      </c>
      <c r="U289" s="8" t="str">
        <f>IF(OR(M289&lt;outliers!$K$6,M289&gt;outliers!$K$7),"Outlier","Normal")</f>
        <v>Normal</v>
      </c>
    </row>
    <row r="290" spans="1:21">
      <c r="A290" s="21">
        <v>289</v>
      </c>
      <c r="B290" s="68">
        <v>40556</v>
      </c>
      <c r="C290" s="22" t="b">
        <v>0</v>
      </c>
      <c r="D290" s="21" t="str">
        <f t="shared" si="4"/>
        <v>Thursday</v>
      </c>
      <c r="E290" s="23">
        <v>0.16669999999999999</v>
      </c>
      <c r="F290" s="23">
        <f>YEAR('Merged raw data'!$B290)</f>
        <v>2011</v>
      </c>
      <c r="G290" s="23" t="str">
        <f>TEXT('Merged raw data'!$B290,"mmmm")</f>
        <v>January</v>
      </c>
      <c r="H290" s="37" t="str">
        <f>TEXT(TIME('Merged raw data'!F290,0,0),"h AM/PM")</f>
        <v>11 AM</v>
      </c>
      <c r="I290" s="23" t="str">
        <f>IF(OR('Merged raw data'!H290=1,'Merged raw data'!H290=2,'Merged raw data'!H290=3,'Merged raw data'!H290=4,'Merged raw data'!H290=5),"weekday","weekend")</f>
        <v>weekday</v>
      </c>
      <c r="J290" s="23" t="s">
        <v>23</v>
      </c>
      <c r="K290" s="23" t="str">
        <f>IF('Merged raw data'!I290=1,"Clear",IF('Merged raw data'!I290=2,"Mist",IF('Merged raw data'!I290=3,"Rain",IF('Merged raw data'!I290=4,"Storm","NA"))))</f>
        <v>Mist</v>
      </c>
      <c r="L290" s="24">
        <v>0.44</v>
      </c>
      <c r="M290" s="24">
        <v>0.44779999999999998</v>
      </c>
      <c r="N290" s="21">
        <f>'Merged raw data'!$J290*100</f>
        <v>20</v>
      </c>
      <c r="O290" s="21">
        <v>4</v>
      </c>
      <c r="P290" s="21">
        <v>33</v>
      </c>
      <c r="Q290" s="21">
        <v>37</v>
      </c>
      <c r="R290" s="21" t="str">
        <f>IF(Q290&gt;=outliers!I292,"High",IF(Q290&lt;=outliers!I291,"Low","Moderate"))</f>
        <v>High</v>
      </c>
      <c r="S290" s="8" t="str">
        <f>IF(OR(Q290&lt;outliers!$I$6,Q290&gt;outliers!$I$7),"Outlier","Normal")</f>
        <v>Normal</v>
      </c>
      <c r="T290" s="8" t="str">
        <f>IF(OR(L290&lt;outliers!$J$6,L290&gt;outliers!$J$7),"Outlier","Normal")</f>
        <v>Normal</v>
      </c>
      <c r="U290" s="8" t="str">
        <f>IF(OR(M290&lt;outliers!$K$6,M290&gt;outliers!$K$7),"Outlier","Normal")</f>
        <v>Normal</v>
      </c>
    </row>
    <row r="291" spans="1:21">
      <c r="A291" s="21">
        <v>290</v>
      </c>
      <c r="B291" s="68">
        <v>40556</v>
      </c>
      <c r="C291" s="22" t="b">
        <v>0</v>
      </c>
      <c r="D291" s="21" t="str">
        <f t="shared" si="4"/>
        <v>Thursday</v>
      </c>
      <c r="E291" s="23">
        <v>0.16669999999999999</v>
      </c>
      <c r="F291" s="23">
        <f>YEAR('Merged raw data'!$B291)</f>
        <v>2011</v>
      </c>
      <c r="G291" s="23" t="str">
        <f>TEXT('Merged raw data'!$B291,"mmmm")</f>
        <v>January</v>
      </c>
      <c r="H291" s="37" t="str">
        <f>TEXT(TIME('Merged raw data'!F291,0,0),"h AM/PM")</f>
        <v>12 PM</v>
      </c>
      <c r="I291" s="23" t="str">
        <f>IF(OR('Merged raw data'!H291=1,'Merged raw data'!H291=2,'Merged raw data'!H291=3,'Merged raw data'!H291=4,'Merged raw data'!H291=5),"weekday","weekend")</f>
        <v>weekday</v>
      </c>
      <c r="J291" s="23" t="s">
        <v>23</v>
      </c>
      <c r="K291" s="23" t="str">
        <f>IF('Merged raw data'!I291=1,"Clear",IF('Merged raw data'!I291=2,"Mist",IF('Merged raw data'!I291=3,"Rain",IF('Merged raw data'!I291=4,"Storm","NA"))))</f>
        <v>Clear</v>
      </c>
      <c r="L291" s="24">
        <v>0.44</v>
      </c>
      <c r="M291" s="24">
        <v>0.41789999999999999</v>
      </c>
      <c r="N291" s="21">
        <f>'Merged raw data'!$J291*100</f>
        <v>20</v>
      </c>
      <c r="O291" s="21">
        <v>3</v>
      </c>
      <c r="P291" s="21">
        <v>49</v>
      </c>
      <c r="Q291" s="21">
        <v>52</v>
      </c>
      <c r="R291" s="21" t="str">
        <f>IF(Q291&gt;=outliers!I293,"High",IF(Q291&lt;=outliers!I292,"Low","Moderate"))</f>
        <v>High</v>
      </c>
      <c r="S291" s="8" t="str">
        <f>IF(OR(Q291&lt;outliers!$I$6,Q291&gt;outliers!$I$7),"Outlier","Normal")</f>
        <v>Normal</v>
      </c>
      <c r="T291" s="8" t="str">
        <f>IF(OR(L291&lt;outliers!$J$6,L291&gt;outliers!$J$7),"Outlier","Normal")</f>
        <v>Normal</v>
      </c>
      <c r="U291" s="8" t="str">
        <f>IF(OR(M291&lt;outliers!$K$6,M291&gt;outliers!$K$7),"Outlier","Normal")</f>
        <v>Normal</v>
      </c>
    </row>
    <row r="292" spans="1:21">
      <c r="A292" s="21">
        <v>291</v>
      </c>
      <c r="B292" s="68">
        <v>40556</v>
      </c>
      <c r="C292" s="22" t="b">
        <v>0</v>
      </c>
      <c r="D292" s="21" t="str">
        <f t="shared" si="4"/>
        <v>Thursday</v>
      </c>
      <c r="E292" s="23">
        <v>0.19700000000000001</v>
      </c>
      <c r="F292" s="23">
        <f>YEAR('Merged raw data'!$B292)</f>
        <v>2011</v>
      </c>
      <c r="G292" s="23" t="str">
        <f>TEXT('Merged raw data'!$B292,"mmmm")</f>
        <v>January</v>
      </c>
      <c r="H292" s="37" t="str">
        <f>TEXT(TIME('Merged raw data'!F292,0,0),"h AM/PM")</f>
        <v>1 PM</v>
      </c>
      <c r="I292" s="23" t="str">
        <f>IF(OR('Merged raw data'!H292=1,'Merged raw data'!H292=2,'Merged raw data'!H292=3,'Merged raw data'!H292=4,'Merged raw data'!H292=5),"weekday","weekend")</f>
        <v>weekday</v>
      </c>
      <c r="J292" s="23" t="s">
        <v>23</v>
      </c>
      <c r="K292" s="23" t="str">
        <f>IF('Merged raw data'!I292=1,"Clear",IF('Merged raw data'!I292=2,"Mist",IF('Merged raw data'!I292=3,"Rain",IF('Merged raw data'!I292=4,"Storm","NA"))))</f>
        <v>Clear</v>
      </c>
      <c r="L292" s="24">
        <v>0.41</v>
      </c>
      <c r="M292" s="24">
        <v>0.44779999999999998</v>
      </c>
      <c r="N292" s="21">
        <f>'Merged raw data'!$J292*100</f>
        <v>22</v>
      </c>
      <c r="O292" s="21">
        <v>2</v>
      </c>
      <c r="P292" s="21">
        <v>81</v>
      </c>
      <c r="Q292" s="21">
        <v>83</v>
      </c>
      <c r="R292" s="21" t="str">
        <f>IF(Q292&gt;=outliers!I294,"High",IF(Q292&lt;=outliers!I293,"Low","Moderate"))</f>
        <v>High</v>
      </c>
      <c r="S292" s="8" t="str">
        <f>IF(OR(Q292&lt;outliers!$I$6,Q292&gt;outliers!$I$7),"Outlier","Normal")</f>
        <v>Normal</v>
      </c>
      <c r="T292" s="8" t="str">
        <f>IF(OR(L292&lt;outliers!$J$6,L292&gt;outliers!$J$7),"Outlier","Normal")</f>
        <v>Normal</v>
      </c>
      <c r="U292" s="8" t="str">
        <f>IF(OR(M292&lt;outliers!$K$6,M292&gt;outliers!$K$7),"Outlier","Normal")</f>
        <v>Normal</v>
      </c>
    </row>
    <row r="293" spans="1:21">
      <c r="A293" s="21">
        <v>292</v>
      </c>
      <c r="B293" s="68">
        <v>40556</v>
      </c>
      <c r="C293" s="22" t="b">
        <v>0</v>
      </c>
      <c r="D293" s="21" t="str">
        <f t="shared" si="4"/>
        <v>Thursday</v>
      </c>
      <c r="E293" s="23">
        <v>0.19700000000000001</v>
      </c>
      <c r="F293" s="23">
        <f>YEAR('Merged raw data'!$B293)</f>
        <v>2011</v>
      </c>
      <c r="G293" s="23" t="str">
        <f>TEXT('Merged raw data'!$B293,"mmmm")</f>
        <v>January</v>
      </c>
      <c r="H293" s="37" t="str">
        <f>TEXT(TIME('Merged raw data'!F293,0,0),"h AM/PM")</f>
        <v>2 PM</v>
      </c>
      <c r="I293" s="23" t="str">
        <f>IF(OR('Merged raw data'!H293=1,'Merged raw data'!H293=2,'Merged raw data'!H293=3,'Merged raw data'!H293=4,'Merged raw data'!H293=5),"weekday","weekend")</f>
        <v>weekday</v>
      </c>
      <c r="J293" s="23" t="s">
        <v>23</v>
      </c>
      <c r="K293" s="23" t="str">
        <f>IF('Merged raw data'!I293=1,"Clear",IF('Merged raw data'!I293=2,"Mist",IF('Merged raw data'!I293=3,"Rain",IF('Merged raw data'!I293=4,"Storm","NA"))))</f>
        <v>Clear</v>
      </c>
      <c r="L293" s="24">
        <v>0.41</v>
      </c>
      <c r="M293" s="24">
        <v>0.3881</v>
      </c>
      <c r="N293" s="21">
        <f>'Merged raw data'!$J293*100</f>
        <v>22</v>
      </c>
      <c r="O293" s="21">
        <v>3</v>
      </c>
      <c r="P293" s="21">
        <v>39</v>
      </c>
      <c r="Q293" s="21">
        <v>42</v>
      </c>
      <c r="R293" s="21" t="str">
        <f>IF(Q293&gt;=outliers!I295,"High",IF(Q293&lt;=outliers!I294,"Low","Moderate"))</f>
        <v>High</v>
      </c>
      <c r="S293" s="8" t="str">
        <f>IF(OR(Q293&lt;outliers!$I$6,Q293&gt;outliers!$I$7),"Outlier","Normal")</f>
        <v>Normal</v>
      </c>
      <c r="T293" s="8" t="str">
        <f>IF(OR(L293&lt;outliers!$J$6,L293&gt;outliers!$J$7),"Outlier","Normal")</f>
        <v>Normal</v>
      </c>
      <c r="U293" s="8" t="str">
        <f>IF(OR(M293&lt;outliers!$K$6,M293&gt;outliers!$K$7),"Outlier","Normal")</f>
        <v>Normal</v>
      </c>
    </row>
    <row r="294" spans="1:21">
      <c r="A294" s="21">
        <v>293</v>
      </c>
      <c r="B294" s="68">
        <v>40556</v>
      </c>
      <c r="C294" s="22" t="b">
        <v>0</v>
      </c>
      <c r="D294" s="21" t="str">
        <f t="shared" si="4"/>
        <v>Thursday</v>
      </c>
      <c r="E294" s="23">
        <v>0.21210000000000001</v>
      </c>
      <c r="F294" s="23">
        <f>YEAR('Merged raw data'!$B294)</f>
        <v>2011</v>
      </c>
      <c r="G294" s="23" t="str">
        <f>TEXT('Merged raw data'!$B294,"mmmm")</f>
        <v>January</v>
      </c>
      <c r="H294" s="37" t="str">
        <f>TEXT(TIME('Merged raw data'!F294,0,0),"h AM/PM")</f>
        <v>3 PM</v>
      </c>
      <c r="I294" s="23" t="str">
        <f>IF(OR('Merged raw data'!H294=1,'Merged raw data'!H294=2,'Merged raw data'!H294=3,'Merged raw data'!H294=4,'Merged raw data'!H294=5),"weekday","weekend")</f>
        <v>weekday</v>
      </c>
      <c r="J294" s="23" t="s">
        <v>23</v>
      </c>
      <c r="K294" s="23" t="str">
        <f>IF('Merged raw data'!I294=1,"Clear",IF('Merged raw data'!I294=2,"Mist",IF('Merged raw data'!I294=3,"Rain",IF('Merged raw data'!I294=4,"Storm","NA"))))</f>
        <v>Clear</v>
      </c>
      <c r="L294" s="24">
        <v>0.38</v>
      </c>
      <c r="M294" s="24">
        <v>0.29849999999999999</v>
      </c>
      <c r="N294" s="21">
        <f>'Merged raw data'!$J294*100</f>
        <v>24</v>
      </c>
      <c r="O294" s="21">
        <v>5</v>
      </c>
      <c r="P294" s="21">
        <v>55</v>
      </c>
      <c r="Q294" s="21">
        <v>60</v>
      </c>
      <c r="R294" s="21" t="str">
        <f>IF(Q294&gt;=outliers!I296,"High",IF(Q294&lt;=outliers!I295,"Low","Moderate"))</f>
        <v>High</v>
      </c>
      <c r="S294" s="8" t="str">
        <f>IF(OR(Q294&lt;outliers!$I$6,Q294&gt;outliers!$I$7),"Outlier","Normal")</f>
        <v>Normal</v>
      </c>
      <c r="T294" s="8" t="str">
        <f>IF(OR(L294&lt;outliers!$J$6,L294&gt;outliers!$J$7),"Outlier","Normal")</f>
        <v>Normal</v>
      </c>
      <c r="U294" s="8" t="str">
        <f>IF(OR(M294&lt;outliers!$K$6,M294&gt;outliers!$K$7),"Outlier","Normal")</f>
        <v>Normal</v>
      </c>
    </row>
    <row r="295" spans="1:21">
      <c r="A295" s="21">
        <v>294</v>
      </c>
      <c r="B295" s="68">
        <v>40556</v>
      </c>
      <c r="C295" s="22" t="b">
        <v>0</v>
      </c>
      <c r="D295" s="21" t="str">
        <f t="shared" si="4"/>
        <v>Thursday</v>
      </c>
      <c r="E295" s="23">
        <v>0.21210000000000001</v>
      </c>
      <c r="F295" s="23">
        <f>YEAR('Merged raw data'!$B295)</f>
        <v>2011</v>
      </c>
      <c r="G295" s="23" t="str">
        <f>TEXT('Merged raw data'!$B295,"mmmm")</f>
        <v>January</v>
      </c>
      <c r="H295" s="37" t="str">
        <f>TEXT(TIME('Merged raw data'!F295,0,0),"h AM/PM")</f>
        <v>4 PM</v>
      </c>
      <c r="I295" s="23" t="str">
        <f>IF(OR('Merged raw data'!H295=1,'Merged raw data'!H295=2,'Merged raw data'!H295=3,'Merged raw data'!H295=4,'Merged raw data'!H295=5),"weekday","weekend")</f>
        <v>weekday</v>
      </c>
      <c r="J295" s="23" t="s">
        <v>23</v>
      </c>
      <c r="K295" s="23" t="str">
        <f>IF('Merged raw data'!I295=1,"Clear",IF('Merged raw data'!I295=2,"Mist",IF('Merged raw data'!I295=3,"Rain",IF('Merged raw data'!I295=4,"Storm","NA"))))</f>
        <v>Clear</v>
      </c>
      <c r="L295" s="24">
        <v>0.38</v>
      </c>
      <c r="M295" s="24">
        <v>0.35820000000000002</v>
      </c>
      <c r="N295" s="21">
        <f>'Merged raw data'!$J295*100</f>
        <v>24</v>
      </c>
      <c r="O295" s="21">
        <v>2</v>
      </c>
      <c r="P295" s="21">
        <v>76</v>
      </c>
      <c r="Q295" s="21">
        <v>78</v>
      </c>
      <c r="R295" s="21" t="str">
        <f>IF(Q295&gt;=outliers!I297,"High",IF(Q295&lt;=outliers!I296,"Low","Moderate"))</f>
        <v>High</v>
      </c>
      <c r="S295" s="8" t="str">
        <f>IF(OR(Q295&lt;outliers!$I$6,Q295&gt;outliers!$I$7),"Outlier","Normal")</f>
        <v>Normal</v>
      </c>
      <c r="T295" s="8" t="str">
        <f>IF(OR(L295&lt;outliers!$J$6,L295&gt;outliers!$J$7),"Outlier","Normal")</f>
        <v>Normal</v>
      </c>
      <c r="U295" s="8" t="str">
        <f>IF(OR(M295&lt;outliers!$K$6,M295&gt;outliers!$K$7),"Outlier","Normal")</f>
        <v>Normal</v>
      </c>
    </row>
    <row r="296" spans="1:21">
      <c r="A296" s="21">
        <v>295</v>
      </c>
      <c r="B296" s="68">
        <v>40556</v>
      </c>
      <c r="C296" s="22" t="b">
        <v>0</v>
      </c>
      <c r="D296" s="21" t="str">
        <f t="shared" si="4"/>
        <v>Thursday</v>
      </c>
      <c r="E296" s="23">
        <v>0.18179999999999999</v>
      </c>
      <c r="F296" s="23">
        <f>YEAR('Merged raw data'!$B296)</f>
        <v>2011</v>
      </c>
      <c r="G296" s="23" t="str">
        <f>TEXT('Merged raw data'!$B296,"mmmm")</f>
        <v>January</v>
      </c>
      <c r="H296" s="37" t="str">
        <f>TEXT(TIME('Merged raw data'!F296,0,0),"h AM/PM")</f>
        <v>5 PM</v>
      </c>
      <c r="I296" s="23" t="str">
        <f>IF(OR('Merged raw data'!H296=1,'Merged raw data'!H296=2,'Merged raw data'!H296=3,'Merged raw data'!H296=4,'Merged raw data'!H296=5),"weekday","weekend")</f>
        <v>weekday</v>
      </c>
      <c r="J296" s="23" t="s">
        <v>23</v>
      </c>
      <c r="K296" s="23" t="str">
        <f>IF('Merged raw data'!I296=1,"Clear",IF('Merged raw data'!I296=2,"Mist",IF('Merged raw data'!I296=3,"Rain",IF('Merged raw data'!I296=4,"Storm","NA"))))</f>
        <v>Clear</v>
      </c>
      <c r="L296" s="24">
        <v>0.4</v>
      </c>
      <c r="M296" s="24">
        <v>0.28360000000000002</v>
      </c>
      <c r="N296" s="21">
        <f>'Merged raw data'!$J296*100</f>
        <v>20</v>
      </c>
      <c r="O296" s="21">
        <v>4</v>
      </c>
      <c r="P296" s="21">
        <v>158</v>
      </c>
      <c r="Q296" s="21">
        <v>162</v>
      </c>
      <c r="R296" s="21" t="str">
        <f>IF(Q296&gt;=outliers!I298,"High",IF(Q296&lt;=outliers!I297,"Low","Moderate"))</f>
        <v>High</v>
      </c>
      <c r="S296" s="8" t="str">
        <f>IF(OR(Q296&lt;outliers!$I$6,Q296&gt;outliers!$I$7),"Outlier","Normal")</f>
        <v>Normal</v>
      </c>
      <c r="T296" s="8" t="str">
        <f>IF(OR(L296&lt;outliers!$J$6,L296&gt;outliers!$J$7),"Outlier","Normal")</f>
        <v>Normal</v>
      </c>
      <c r="U296" s="8" t="str">
        <f>IF(OR(M296&lt;outliers!$K$6,M296&gt;outliers!$K$7),"Outlier","Normal")</f>
        <v>Normal</v>
      </c>
    </row>
    <row r="297" spans="1:21">
      <c r="A297" s="21">
        <v>296</v>
      </c>
      <c r="B297" s="68">
        <v>40556</v>
      </c>
      <c r="C297" s="22" t="b">
        <v>0</v>
      </c>
      <c r="D297" s="21" t="str">
        <f t="shared" si="4"/>
        <v>Thursday</v>
      </c>
      <c r="E297" s="23">
        <v>0.18179999999999999</v>
      </c>
      <c r="F297" s="23">
        <f>YEAR('Merged raw data'!$B297)</f>
        <v>2011</v>
      </c>
      <c r="G297" s="23" t="str">
        <f>TEXT('Merged raw data'!$B297,"mmmm")</f>
        <v>January</v>
      </c>
      <c r="H297" s="37" t="str">
        <f>TEXT(TIME('Merged raw data'!F297,0,0),"h AM/PM")</f>
        <v>6 PM</v>
      </c>
      <c r="I297" s="23" t="str">
        <f>IF(OR('Merged raw data'!H297=1,'Merged raw data'!H297=2,'Merged raw data'!H297=3,'Merged raw data'!H297=4,'Merged raw data'!H297=5),"weekday","weekend")</f>
        <v>weekday</v>
      </c>
      <c r="J297" s="23" t="s">
        <v>23</v>
      </c>
      <c r="K297" s="23" t="str">
        <f>IF('Merged raw data'!I297=1,"Clear",IF('Merged raw data'!I297=2,"Mist",IF('Merged raw data'!I297=3,"Rain",IF('Merged raw data'!I297=4,"Storm","NA"))))</f>
        <v>Clear</v>
      </c>
      <c r="L297" s="24">
        <v>0.4</v>
      </c>
      <c r="M297" s="24">
        <v>0.32840000000000003</v>
      </c>
      <c r="N297" s="21">
        <f>'Merged raw data'!$J297*100</f>
        <v>20</v>
      </c>
      <c r="O297" s="21">
        <v>3</v>
      </c>
      <c r="P297" s="21">
        <v>141</v>
      </c>
      <c r="Q297" s="21">
        <v>144</v>
      </c>
      <c r="R297" s="21" t="str">
        <f>IF(Q297&gt;=outliers!I299,"High",IF(Q297&lt;=outliers!I298,"Low","Moderate"))</f>
        <v>High</v>
      </c>
      <c r="S297" s="8" t="str">
        <f>IF(OR(Q297&lt;outliers!$I$6,Q297&gt;outliers!$I$7),"Outlier","Normal")</f>
        <v>Normal</v>
      </c>
      <c r="T297" s="8" t="str">
        <f>IF(OR(L297&lt;outliers!$J$6,L297&gt;outliers!$J$7),"Outlier","Normal")</f>
        <v>Normal</v>
      </c>
      <c r="U297" s="8" t="str">
        <f>IF(OR(M297&lt;outliers!$K$6,M297&gt;outliers!$K$7),"Outlier","Normal")</f>
        <v>Normal</v>
      </c>
    </row>
    <row r="298" spans="1:21">
      <c r="A298" s="21">
        <v>297</v>
      </c>
      <c r="B298" s="68">
        <v>40556</v>
      </c>
      <c r="C298" s="22" t="b">
        <v>0</v>
      </c>
      <c r="D298" s="21" t="str">
        <f t="shared" si="4"/>
        <v>Thursday</v>
      </c>
      <c r="E298" s="23">
        <v>0.1515</v>
      </c>
      <c r="F298" s="23">
        <f>YEAR('Merged raw data'!$B298)</f>
        <v>2011</v>
      </c>
      <c r="G298" s="23" t="str">
        <f>TEXT('Merged raw data'!$B298,"mmmm")</f>
        <v>January</v>
      </c>
      <c r="H298" s="37" t="str">
        <f>TEXT(TIME('Merged raw data'!F298,0,0),"h AM/PM")</f>
        <v>7 PM</v>
      </c>
      <c r="I298" s="23" t="str">
        <f>IF(OR('Merged raw data'!H298=1,'Merged raw data'!H298=2,'Merged raw data'!H298=3,'Merged raw data'!H298=4,'Merged raw data'!H298=5),"weekday","weekend")</f>
        <v>weekday</v>
      </c>
      <c r="J298" s="23" t="s">
        <v>23</v>
      </c>
      <c r="K298" s="23" t="str">
        <f>IF('Merged raw data'!I298=1,"Clear",IF('Merged raw data'!I298=2,"Mist",IF('Merged raw data'!I298=3,"Rain",IF('Merged raw data'!I298=4,"Storm","NA"))))</f>
        <v>Clear</v>
      </c>
      <c r="L298" s="24">
        <v>0.47</v>
      </c>
      <c r="M298" s="24">
        <v>0.25369999999999998</v>
      </c>
      <c r="N298" s="21">
        <f>'Merged raw data'!$J298*100</f>
        <v>16</v>
      </c>
      <c r="O298" s="21">
        <v>1</v>
      </c>
      <c r="P298" s="21">
        <v>98</v>
      </c>
      <c r="Q298" s="21">
        <v>99</v>
      </c>
      <c r="R298" s="21" t="str">
        <f>IF(Q298&gt;=outliers!I300,"High",IF(Q298&lt;=outliers!I299,"Low","Moderate"))</f>
        <v>High</v>
      </c>
      <c r="S298" s="8" t="str">
        <f>IF(OR(Q298&lt;outliers!$I$6,Q298&gt;outliers!$I$7),"Outlier","Normal")</f>
        <v>Normal</v>
      </c>
      <c r="T298" s="8" t="str">
        <f>IF(OR(L298&lt;outliers!$J$6,L298&gt;outliers!$J$7),"Outlier","Normal")</f>
        <v>Normal</v>
      </c>
      <c r="U298" s="8" t="str">
        <f>IF(OR(M298&lt;outliers!$K$6,M298&gt;outliers!$K$7),"Outlier","Normal")</f>
        <v>Normal</v>
      </c>
    </row>
    <row r="299" spans="1:21">
      <c r="A299" s="21">
        <v>298</v>
      </c>
      <c r="B299" s="68">
        <v>40556</v>
      </c>
      <c r="C299" s="22" t="b">
        <v>0</v>
      </c>
      <c r="D299" s="21" t="str">
        <f t="shared" si="4"/>
        <v>Thursday</v>
      </c>
      <c r="E299" s="23">
        <v>0.1515</v>
      </c>
      <c r="F299" s="23">
        <f>YEAR('Merged raw data'!$B299)</f>
        <v>2011</v>
      </c>
      <c r="G299" s="23" t="str">
        <f>TEXT('Merged raw data'!$B299,"mmmm")</f>
        <v>January</v>
      </c>
      <c r="H299" s="37" t="str">
        <f>TEXT(TIME('Merged raw data'!F299,0,0),"h AM/PM")</f>
        <v>8 PM</v>
      </c>
      <c r="I299" s="23" t="str">
        <f>IF(OR('Merged raw data'!H299=1,'Merged raw data'!H299=2,'Merged raw data'!H299=3,'Merged raw data'!H299=4,'Merged raw data'!H299=5),"weekday","weekend")</f>
        <v>weekday</v>
      </c>
      <c r="J299" s="23" t="s">
        <v>23</v>
      </c>
      <c r="K299" s="23" t="str">
        <f>IF('Merged raw data'!I299=1,"Clear",IF('Merged raw data'!I299=2,"Mist",IF('Merged raw data'!I299=3,"Rain",IF('Merged raw data'!I299=4,"Storm","NA"))))</f>
        <v>Clear</v>
      </c>
      <c r="L299" s="24">
        <v>0.47</v>
      </c>
      <c r="M299" s="24">
        <v>0.22389999999999999</v>
      </c>
      <c r="N299" s="21">
        <f>'Merged raw data'!$J299*100</f>
        <v>16</v>
      </c>
      <c r="O299" s="21">
        <v>0</v>
      </c>
      <c r="P299" s="21">
        <v>64</v>
      </c>
      <c r="Q299" s="21">
        <v>64</v>
      </c>
      <c r="R299" s="21" t="str">
        <f>IF(Q299&gt;=outliers!I301,"High",IF(Q299&lt;=outliers!I300,"Low","Moderate"))</f>
        <v>High</v>
      </c>
      <c r="S299" s="8" t="str">
        <f>IF(OR(Q299&lt;outliers!$I$6,Q299&gt;outliers!$I$7),"Outlier","Normal")</f>
        <v>Normal</v>
      </c>
      <c r="T299" s="8" t="str">
        <f>IF(OR(L299&lt;outliers!$J$6,L299&gt;outliers!$J$7),"Outlier","Normal")</f>
        <v>Normal</v>
      </c>
      <c r="U299" s="8" t="str">
        <f>IF(OR(M299&lt;outliers!$K$6,M299&gt;outliers!$K$7),"Outlier","Normal")</f>
        <v>Normal</v>
      </c>
    </row>
    <row r="300" spans="1:21">
      <c r="A300" s="21">
        <v>299</v>
      </c>
      <c r="B300" s="68">
        <v>40556</v>
      </c>
      <c r="C300" s="22" t="b">
        <v>0</v>
      </c>
      <c r="D300" s="21" t="str">
        <f t="shared" si="4"/>
        <v>Thursday</v>
      </c>
      <c r="E300" s="23">
        <v>0.1212</v>
      </c>
      <c r="F300" s="23">
        <f>YEAR('Merged raw data'!$B300)</f>
        <v>2011</v>
      </c>
      <c r="G300" s="23" t="str">
        <f>TEXT('Merged raw data'!$B300,"mmmm")</f>
        <v>January</v>
      </c>
      <c r="H300" s="37" t="str">
        <f>TEXT(TIME('Merged raw data'!F300,0,0),"h AM/PM")</f>
        <v>9 PM</v>
      </c>
      <c r="I300" s="23" t="str">
        <f>IF(OR('Merged raw data'!H300=1,'Merged raw data'!H300=2,'Merged raw data'!H300=3,'Merged raw data'!H300=4,'Merged raw data'!H300=5),"weekday","weekend")</f>
        <v>weekday</v>
      </c>
      <c r="J300" s="23" t="s">
        <v>23</v>
      </c>
      <c r="K300" s="23" t="str">
        <f>IF('Merged raw data'!I300=1,"Clear",IF('Merged raw data'!I300=2,"Mist",IF('Merged raw data'!I300=3,"Rain",IF('Merged raw data'!I300=4,"Storm","NA"))))</f>
        <v>Clear</v>
      </c>
      <c r="L300" s="24">
        <v>0.46</v>
      </c>
      <c r="M300" s="24">
        <v>0.29849999999999999</v>
      </c>
      <c r="N300" s="21">
        <f>'Merged raw data'!$J300*100</f>
        <v>14.000000000000002</v>
      </c>
      <c r="O300" s="21">
        <v>0</v>
      </c>
      <c r="P300" s="21">
        <v>40</v>
      </c>
      <c r="Q300" s="21">
        <v>40</v>
      </c>
      <c r="R300" s="21" t="str">
        <f>IF(Q300&gt;=outliers!I302,"High",IF(Q300&lt;=outliers!I301,"Low","Moderate"))</f>
        <v>High</v>
      </c>
      <c r="S300" s="8" t="str">
        <f>IF(OR(Q300&lt;outliers!$I$6,Q300&gt;outliers!$I$7),"Outlier","Normal")</f>
        <v>Normal</v>
      </c>
      <c r="T300" s="8" t="str">
        <f>IF(OR(L300&lt;outliers!$J$6,L300&gt;outliers!$J$7),"Outlier","Normal")</f>
        <v>Normal</v>
      </c>
      <c r="U300" s="8" t="str">
        <f>IF(OR(M300&lt;outliers!$K$6,M300&gt;outliers!$K$7),"Outlier","Normal")</f>
        <v>Normal</v>
      </c>
    </row>
    <row r="301" spans="1:21">
      <c r="A301" s="21">
        <v>300</v>
      </c>
      <c r="B301" s="68">
        <v>40556</v>
      </c>
      <c r="C301" s="22" t="b">
        <v>0</v>
      </c>
      <c r="D301" s="21" t="str">
        <f t="shared" si="4"/>
        <v>Thursday</v>
      </c>
      <c r="E301" s="23">
        <v>0.1212</v>
      </c>
      <c r="F301" s="23">
        <f>YEAR('Merged raw data'!$B301)</f>
        <v>2011</v>
      </c>
      <c r="G301" s="23" t="str">
        <f>TEXT('Merged raw data'!$B301,"mmmm")</f>
        <v>January</v>
      </c>
      <c r="H301" s="37" t="str">
        <f>TEXT(TIME('Merged raw data'!F301,0,0),"h AM/PM")</f>
        <v>10 PM</v>
      </c>
      <c r="I301" s="23" t="str">
        <f>IF(OR('Merged raw data'!H301=1,'Merged raw data'!H301=2,'Merged raw data'!H301=3,'Merged raw data'!H301=4,'Merged raw data'!H301=5),"weekday","weekend")</f>
        <v>weekday</v>
      </c>
      <c r="J301" s="23" t="s">
        <v>23</v>
      </c>
      <c r="K301" s="23" t="str">
        <f>IF('Merged raw data'!I301=1,"Clear",IF('Merged raw data'!I301=2,"Mist",IF('Merged raw data'!I301=3,"Rain",IF('Merged raw data'!I301=4,"Storm","NA"))))</f>
        <v>Clear</v>
      </c>
      <c r="L301" s="24">
        <v>0.46</v>
      </c>
      <c r="M301" s="24">
        <v>0.32840000000000003</v>
      </c>
      <c r="N301" s="21">
        <f>'Merged raw data'!$J301*100</f>
        <v>14.000000000000002</v>
      </c>
      <c r="O301" s="21">
        <v>0</v>
      </c>
      <c r="P301" s="21">
        <v>30</v>
      </c>
      <c r="Q301" s="21">
        <v>30</v>
      </c>
      <c r="R301" s="21" t="str">
        <f>IF(Q301&gt;=outliers!I303,"High",IF(Q301&lt;=outliers!I302,"Low","Moderate"))</f>
        <v>High</v>
      </c>
      <c r="S301" s="8" t="str">
        <f>IF(OR(Q301&lt;outliers!$I$6,Q301&gt;outliers!$I$7),"Outlier","Normal")</f>
        <v>Normal</v>
      </c>
      <c r="T301" s="8" t="str">
        <f>IF(OR(L301&lt;outliers!$J$6,L301&gt;outliers!$J$7),"Outlier","Normal")</f>
        <v>Normal</v>
      </c>
      <c r="U301" s="8" t="str">
        <f>IF(OR(M301&lt;outliers!$K$6,M301&gt;outliers!$K$7),"Outlier","Normal")</f>
        <v>Normal</v>
      </c>
    </row>
    <row r="302" spans="1:21">
      <c r="A302" s="21">
        <v>301</v>
      </c>
      <c r="B302" s="68">
        <v>40556</v>
      </c>
      <c r="C302" s="22" t="b">
        <v>0</v>
      </c>
      <c r="D302" s="21" t="str">
        <f t="shared" si="4"/>
        <v>Thursday</v>
      </c>
      <c r="E302" s="23">
        <v>0.13639999999999999</v>
      </c>
      <c r="F302" s="23">
        <f>YEAR('Merged raw data'!$B302)</f>
        <v>2011</v>
      </c>
      <c r="G302" s="23" t="str">
        <f>TEXT('Merged raw data'!$B302,"mmmm")</f>
        <v>January</v>
      </c>
      <c r="H302" s="37" t="str">
        <f>TEXT(TIME('Merged raw data'!F302,0,0),"h AM/PM")</f>
        <v>11 PM</v>
      </c>
      <c r="I302" s="23" t="str">
        <f>IF(OR('Merged raw data'!H302=1,'Merged raw data'!H302=2,'Merged raw data'!H302=3,'Merged raw data'!H302=4,'Merged raw data'!H302=5),"weekday","weekend")</f>
        <v>weekday</v>
      </c>
      <c r="J302" s="23" t="s">
        <v>23</v>
      </c>
      <c r="K302" s="23" t="str">
        <f>IF('Merged raw data'!I302=1,"Clear",IF('Merged raw data'!I302=2,"Mist",IF('Merged raw data'!I302=3,"Rain",IF('Merged raw data'!I302=4,"Storm","NA"))))</f>
        <v>Clear</v>
      </c>
      <c r="L302" s="24">
        <v>0.5</v>
      </c>
      <c r="M302" s="24">
        <v>0.19400000000000001</v>
      </c>
      <c r="N302" s="21">
        <f>'Merged raw data'!$J302*100</f>
        <v>12</v>
      </c>
      <c r="O302" s="21">
        <v>1</v>
      </c>
      <c r="P302" s="21">
        <v>14</v>
      </c>
      <c r="Q302" s="21">
        <v>15</v>
      </c>
      <c r="R302" s="21" t="str">
        <f>IF(Q302&gt;=outliers!I304,"High",IF(Q302&lt;=outliers!I303,"Low","Moderate"))</f>
        <v>High</v>
      </c>
      <c r="S302" s="8" t="str">
        <f>IF(OR(Q302&lt;outliers!$I$6,Q302&gt;outliers!$I$7),"Outlier","Normal")</f>
        <v>Normal</v>
      </c>
      <c r="T302" s="8" t="str">
        <f>IF(OR(L302&lt;outliers!$J$6,L302&gt;outliers!$J$7),"Outlier","Normal")</f>
        <v>Normal</v>
      </c>
      <c r="U302" s="8" t="str">
        <f>IF(OR(M302&lt;outliers!$K$6,M302&gt;outliers!$K$7),"Outlier","Normal")</f>
        <v>Normal</v>
      </c>
    </row>
    <row r="303" spans="1:21">
      <c r="A303" s="21">
        <v>302</v>
      </c>
      <c r="B303" s="68">
        <v>40557</v>
      </c>
      <c r="C303" s="22" t="b">
        <v>0</v>
      </c>
      <c r="D303" s="21" t="str">
        <f t="shared" si="4"/>
        <v>Friday</v>
      </c>
      <c r="E303" s="23">
        <v>0.13639999999999999</v>
      </c>
      <c r="F303" s="23">
        <f>YEAR('Merged raw data'!$B303)</f>
        <v>2011</v>
      </c>
      <c r="G303" s="23" t="str">
        <f>TEXT('Merged raw data'!$B303,"mmmm")</f>
        <v>January</v>
      </c>
      <c r="H303" s="37" t="str">
        <f>TEXT(TIME('Merged raw data'!F303,0,0),"h AM/PM")</f>
        <v>12 AM</v>
      </c>
      <c r="I303" s="23" t="str">
        <f>IF(OR('Merged raw data'!H303=1,'Merged raw data'!H303=2,'Merged raw data'!H303=3,'Merged raw data'!H303=4,'Merged raw data'!H303=5),"weekday","weekend")</f>
        <v>weekday</v>
      </c>
      <c r="J303" s="23" t="s">
        <v>23</v>
      </c>
      <c r="K303" s="23" t="str">
        <f>IF('Merged raw data'!I303=1,"Clear",IF('Merged raw data'!I303=2,"Mist",IF('Merged raw data'!I303=3,"Rain",IF('Merged raw data'!I303=4,"Storm","NA"))))</f>
        <v>Clear</v>
      </c>
      <c r="L303" s="24">
        <v>0.5</v>
      </c>
      <c r="M303" s="24">
        <v>0.19400000000000001</v>
      </c>
      <c r="N303" s="21">
        <f>'Merged raw data'!$J303*100</f>
        <v>12</v>
      </c>
      <c r="O303" s="21">
        <v>0</v>
      </c>
      <c r="P303" s="21">
        <v>14</v>
      </c>
      <c r="Q303" s="21">
        <v>14</v>
      </c>
      <c r="R303" s="21" t="str">
        <f>IF(Q303&gt;=outliers!I305,"High",IF(Q303&lt;=outliers!I304,"Low","Moderate"))</f>
        <v>High</v>
      </c>
      <c r="S303" s="8" t="str">
        <f>IF(OR(Q303&lt;outliers!$I$6,Q303&gt;outliers!$I$7),"Outlier","Normal")</f>
        <v>Normal</v>
      </c>
      <c r="T303" s="8" t="str">
        <f>IF(OR(L303&lt;outliers!$J$6,L303&gt;outliers!$J$7),"Outlier","Normal")</f>
        <v>Normal</v>
      </c>
      <c r="U303" s="8" t="str">
        <f>IF(OR(M303&lt;outliers!$K$6,M303&gt;outliers!$K$7),"Outlier","Normal")</f>
        <v>Normal</v>
      </c>
    </row>
    <row r="304" spans="1:21">
      <c r="A304" s="21">
        <v>303</v>
      </c>
      <c r="B304" s="68">
        <v>40557</v>
      </c>
      <c r="C304" s="22" t="b">
        <v>0</v>
      </c>
      <c r="D304" s="21" t="str">
        <f t="shared" si="4"/>
        <v>Friday</v>
      </c>
      <c r="E304" s="23">
        <v>0.1212</v>
      </c>
      <c r="F304" s="23">
        <f>YEAR('Merged raw data'!$B304)</f>
        <v>2011</v>
      </c>
      <c r="G304" s="23" t="str">
        <f>TEXT('Merged raw data'!$B304,"mmmm")</f>
        <v>January</v>
      </c>
      <c r="H304" s="37" t="str">
        <f>TEXT(TIME('Merged raw data'!F304,0,0),"h AM/PM")</f>
        <v>1 AM</v>
      </c>
      <c r="I304" s="23" t="str">
        <f>IF(OR('Merged raw data'!H304=1,'Merged raw data'!H304=2,'Merged raw data'!H304=3,'Merged raw data'!H304=4,'Merged raw data'!H304=5),"weekday","weekend")</f>
        <v>weekday</v>
      </c>
      <c r="J304" s="23" t="s">
        <v>23</v>
      </c>
      <c r="K304" s="23" t="str">
        <f>IF('Merged raw data'!I304=1,"Clear",IF('Merged raw data'!I304=2,"Mist",IF('Merged raw data'!I304=3,"Rain",IF('Merged raw data'!I304=4,"Storm","NA"))))</f>
        <v>Clear</v>
      </c>
      <c r="L304" s="24">
        <v>0.54</v>
      </c>
      <c r="M304" s="24">
        <v>0.16420000000000001</v>
      </c>
      <c r="N304" s="21">
        <f>'Merged raw data'!$J304*100</f>
        <v>10</v>
      </c>
      <c r="O304" s="21">
        <v>0</v>
      </c>
      <c r="P304" s="21">
        <v>5</v>
      </c>
      <c r="Q304" s="21">
        <v>5</v>
      </c>
      <c r="R304" s="21" t="str">
        <f>IF(Q304&gt;=outliers!I306,"High",IF(Q304&lt;=outliers!I305,"Low","Moderate"))</f>
        <v>High</v>
      </c>
      <c r="S304" s="8" t="str">
        <f>IF(OR(Q304&lt;outliers!$I$6,Q304&gt;outliers!$I$7),"Outlier","Normal")</f>
        <v>Normal</v>
      </c>
      <c r="T304" s="8" t="str">
        <f>IF(OR(L304&lt;outliers!$J$6,L304&gt;outliers!$J$7),"Outlier","Normal")</f>
        <v>Normal</v>
      </c>
      <c r="U304" s="8" t="str">
        <f>IF(OR(M304&lt;outliers!$K$6,M304&gt;outliers!$K$7),"Outlier","Normal")</f>
        <v>Normal</v>
      </c>
    </row>
    <row r="305" spans="1:21">
      <c r="A305" s="21">
        <v>304</v>
      </c>
      <c r="B305" s="68">
        <v>40557</v>
      </c>
      <c r="C305" s="22" t="b">
        <v>0</v>
      </c>
      <c r="D305" s="21" t="str">
        <f t="shared" si="4"/>
        <v>Friday</v>
      </c>
      <c r="E305" s="23">
        <v>0.1212</v>
      </c>
      <c r="F305" s="23">
        <f>YEAR('Merged raw data'!$B305)</f>
        <v>2011</v>
      </c>
      <c r="G305" s="23" t="str">
        <f>TEXT('Merged raw data'!$B305,"mmmm")</f>
        <v>January</v>
      </c>
      <c r="H305" s="37" t="str">
        <f>TEXT(TIME('Merged raw data'!F305,0,0),"h AM/PM")</f>
        <v>2 AM</v>
      </c>
      <c r="I305" s="23" t="str">
        <f>IF(OR('Merged raw data'!H305=1,'Merged raw data'!H305=2,'Merged raw data'!H305=3,'Merged raw data'!H305=4,'Merged raw data'!H305=5),"weekday","weekend")</f>
        <v>weekday</v>
      </c>
      <c r="J305" s="23" t="s">
        <v>23</v>
      </c>
      <c r="K305" s="23" t="str">
        <f>IF('Merged raw data'!I305=1,"Clear",IF('Merged raw data'!I305=2,"Mist",IF('Merged raw data'!I305=3,"Rain",IF('Merged raw data'!I305=4,"Storm","NA"))))</f>
        <v>Clear</v>
      </c>
      <c r="L305" s="24">
        <v>0.54</v>
      </c>
      <c r="M305" s="24">
        <v>0.1343</v>
      </c>
      <c r="N305" s="21">
        <f>'Merged raw data'!$J305*100</f>
        <v>10</v>
      </c>
      <c r="O305" s="21">
        <v>0</v>
      </c>
      <c r="P305" s="21">
        <v>1</v>
      </c>
      <c r="Q305" s="21">
        <v>1</v>
      </c>
      <c r="R305" s="21" t="str">
        <f>IF(Q305&gt;=outliers!I307,"High",IF(Q305&lt;=outliers!I306,"Low","Moderate"))</f>
        <v>High</v>
      </c>
      <c r="S305" s="8" t="str">
        <f>IF(OR(Q305&lt;outliers!$I$6,Q305&gt;outliers!$I$7),"Outlier","Normal")</f>
        <v>Normal</v>
      </c>
      <c r="T305" s="8" t="str">
        <f>IF(OR(L305&lt;outliers!$J$6,L305&gt;outliers!$J$7),"Outlier","Normal")</f>
        <v>Normal</v>
      </c>
      <c r="U305" s="8" t="str">
        <f>IF(OR(M305&lt;outliers!$K$6,M305&gt;outliers!$K$7),"Outlier","Normal")</f>
        <v>Normal</v>
      </c>
    </row>
    <row r="306" spans="1:21">
      <c r="A306" s="21">
        <v>305</v>
      </c>
      <c r="B306" s="68">
        <v>40557</v>
      </c>
      <c r="C306" s="22" t="b">
        <v>0</v>
      </c>
      <c r="D306" s="21" t="str">
        <f t="shared" si="4"/>
        <v>Friday</v>
      </c>
      <c r="E306" s="23">
        <v>0.13639999999999999</v>
      </c>
      <c r="F306" s="23">
        <f>YEAR('Merged raw data'!$B306)</f>
        <v>2011</v>
      </c>
      <c r="G306" s="23" t="str">
        <f>TEXT('Merged raw data'!$B306,"mmmm")</f>
        <v>January</v>
      </c>
      <c r="H306" s="37" t="str">
        <f>TEXT(TIME('Merged raw data'!F306,0,0),"h AM/PM")</f>
        <v>3 AM</v>
      </c>
      <c r="I306" s="23" t="str">
        <f>IF(OR('Merged raw data'!H306=1,'Merged raw data'!H306=2,'Merged raw data'!H306=3,'Merged raw data'!H306=4,'Merged raw data'!H306=5),"weekday","weekend")</f>
        <v>weekday</v>
      </c>
      <c r="J306" s="23" t="s">
        <v>23</v>
      </c>
      <c r="K306" s="23" t="str">
        <f>IF('Merged raw data'!I306=1,"Clear",IF('Merged raw data'!I306=2,"Mist",IF('Merged raw data'!I306=3,"Rain",IF('Merged raw data'!I306=4,"Storm","NA"))))</f>
        <v>Clear</v>
      </c>
      <c r="L306" s="24">
        <v>0.54</v>
      </c>
      <c r="M306" s="24">
        <v>0.1045</v>
      </c>
      <c r="N306" s="21">
        <f>'Merged raw data'!$J306*100</f>
        <v>10</v>
      </c>
      <c r="O306" s="21">
        <v>0</v>
      </c>
      <c r="P306" s="21">
        <v>1</v>
      </c>
      <c r="Q306" s="21">
        <v>1</v>
      </c>
      <c r="R306" s="21" t="str">
        <f>IF(Q306&gt;=outliers!I308,"High",IF(Q306&lt;=outliers!I307,"Low","Moderate"))</f>
        <v>High</v>
      </c>
      <c r="S306" s="8" t="str">
        <f>IF(OR(Q306&lt;outliers!$I$6,Q306&gt;outliers!$I$7),"Outlier","Normal")</f>
        <v>Normal</v>
      </c>
      <c r="T306" s="8" t="str">
        <f>IF(OR(L306&lt;outliers!$J$6,L306&gt;outliers!$J$7),"Outlier","Normal")</f>
        <v>Normal</v>
      </c>
      <c r="U306" s="8" t="str">
        <f>IF(OR(M306&lt;outliers!$K$6,M306&gt;outliers!$K$7),"Outlier","Normal")</f>
        <v>Normal</v>
      </c>
    </row>
    <row r="307" spans="1:21">
      <c r="A307" s="21">
        <v>306</v>
      </c>
      <c r="B307" s="68">
        <v>40557</v>
      </c>
      <c r="C307" s="22" t="b">
        <v>0</v>
      </c>
      <c r="D307" s="21" t="str">
        <f t="shared" si="4"/>
        <v>Friday</v>
      </c>
      <c r="E307" s="23">
        <v>0.13639999999999999</v>
      </c>
      <c r="F307" s="23">
        <f>YEAR('Merged raw data'!$B307)</f>
        <v>2011</v>
      </c>
      <c r="G307" s="23" t="str">
        <f>TEXT('Merged raw data'!$B307,"mmmm")</f>
        <v>January</v>
      </c>
      <c r="H307" s="37" t="str">
        <f>TEXT(TIME('Merged raw data'!F307,0,0),"h AM/PM")</f>
        <v>5 AM</v>
      </c>
      <c r="I307" s="23" t="str">
        <f>IF(OR('Merged raw data'!H307=1,'Merged raw data'!H307=2,'Merged raw data'!H307=3,'Merged raw data'!H307=4,'Merged raw data'!H307=5),"weekday","weekend")</f>
        <v>weekday</v>
      </c>
      <c r="J307" s="23" t="s">
        <v>23</v>
      </c>
      <c r="K307" s="23" t="str">
        <f>IF('Merged raw data'!I307=1,"Clear",IF('Merged raw data'!I307=2,"Mist",IF('Merged raw data'!I307=3,"Rain",IF('Merged raw data'!I307=4,"Storm","NA"))))</f>
        <v>Clear</v>
      </c>
      <c r="L307" s="24">
        <v>0.54</v>
      </c>
      <c r="M307" s="24">
        <v>8.9599999999999999E-2</v>
      </c>
      <c r="N307" s="21">
        <f>'Merged raw data'!$J307*100</f>
        <v>10</v>
      </c>
      <c r="O307" s="21">
        <v>0</v>
      </c>
      <c r="P307" s="21">
        <v>8</v>
      </c>
      <c r="Q307" s="21">
        <v>8</v>
      </c>
      <c r="R307" s="21" t="str">
        <f>IF(Q307&gt;=outliers!I309,"High",IF(Q307&lt;=outliers!I308,"Low","Moderate"))</f>
        <v>High</v>
      </c>
      <c r="S307" s="8" t="str">
        <f>IF(OR(Q307&lt;outliers!$I$6,Q307&gt;outliers!$I$7),"Outlier","Normal")</f>
        <v>Normal</v>
      </c>
      <c r="T307" s="8" t="str">
        <f>IF(OR(L307&lt;outliers!$J$6,L307&gt;outliers!$J$7),"Outlier","Normal")</f>
        <v>Normal</v>
      </c>
      <c r="U307" s="8" t="str">
        <f>IF(OR(M307&lt;outliers!$K$6,M307&gt;outliers!$K$7),"Outlier","Normal")</f>
        <v>Normal</v>
      </c>
    </row>
    <row r="308" spans="1:21">
      <c r="A308" s="21">
        <v>307</v>
      </c>
      <c r="B308" s="68">
        <v>40557</v>
      </c>
      <c r="C308" s="22" t="b">
        <v>0</v>
      </c>
      <c r="D308" s="21" t="str">
        <f t="shared" si="4"/>
        <v>Friday</v>
      </c>
      <c r="E308" s="23">
        <v>0.18179999999999999</v>
      </c>
      <c r="F308" s="23">
        <f>YEAR('Merged raw data'!$B308)</f>
        <v>2011</v>
      </c>
      <c r="G308" s="23" t="str">
        <f>TEXT('Merged raw data'!$B308,"mmmm")</f>
        <v>January</v>
      </c>
      <c r="H308" s="37" t="str">
        <f>TEXT(TIME('Merged raw data'!F308,0,0),"h AM/PM")</f>
        <v>6 AM</v>
      </c>
      <c r="I308" s="23" t="str">
        <f>IF(OR('Merged raw data'!H308=1,'Merged raw data'!H308=2,'Merged raw data'!H308=3,'Merged raw data'!H308=4,'Merged raw data'!H308=5),"weekday","weekend")</f>
        <v>weekday</v>
      </c>
      <c r="J308" s="23" t="s">
        <v>23</v>
      </c>
      <c r="K308" s="23" t="str">
        <f>IF('Merged raw data'!I308=1,"Clear",IF('Merged raw data'!I308=2,"Mist",IF('Merged raw data'!I308=3,"Rain",IF('Merged raw data'!I308=4,"Storm","NA"))))</f>
        <v>Clear</v>
      </c>
      <c r="L308" s="24">
        <v>0.54</v>
      </c>
      <c r="M308" s="24">
        <v>0.23</v>
      </c>
      <c r="N308" s="21">
        <f>'Merged raw data'!$J308*100</f>
        <v>10</v>
      </c>
      <c r="O308" s="21">
        <v>0</v>
      </c>
      <c r="P308" s="21">
        <v>17</v>
      </c>
      <c r="Q308" s="21">
        <v>17</v>
      </c>
      <c r="R308" s="21" t="str">
        <f>IF(Q308&gt;=outliers!I310,"High",IF(Q308&lt;=outliers!I309,"Low","Moderate"))</f>
        <v>High</v>
      </c>
      <c r="S308" s="8" t="str">
        <f>IF(OR(Q308&lt;outliers!$I$6,Q308&gt;outliers!$I$7),"Outlier","Normal")</f>
        <v>Normal</v>
      </c>
      <c r="T308" s="8" t="str">
        <f>IF(OR(L308&lt;outliers!$J$6,L308&gt;outliers!$J$7),"Outlier","Normal")</f>
        <v>Normal</v>
      </c>
      <c r="U308" s="8" t="str">
        <f>IF(OR(M308&lt;outliers!$K$6,M308&gt;outliers!$K$7),"Outlier","Normal")</f>
        <v>Normal</v>
      </c>
    </row>
    <row r="309" spans="1:21">
      <c r="A309" s="21">
        <v>308</v>
      </c>
      <c r="B309" s="68">
        <v>40557</v>
      </c>
      <c r="C309" s="22" t="b">
        <v>0</v>
      </c>
      <c r="D309" s="21" t="str">
        <f t="shared" si="4"/>
        <v>Friday</v>
      </c>
      <c r="E309" s="23">
        <v>0.1212</v>
      </c>
      <c r="F309" s="23">
        <f>YEAR('Merged raw data'!$B309)</f>
        <v>2011</v>
      </c>
      <c r="G309" s="23" t="str">
        <f>TEXT('Merged raw data'!$B309,"mmmm")</f>
        <v>January</v>
      </c>
      <c r="H309" s="37" t="str">
        <f>TEXT(TIME('Merged raw data'!F309,0,0),"h AM/PM")</f>
        <v>7 AM</v>
      </c>
      <c r="I309" s="23" t="str">
        <f>IF(OR('Merged raw data'!H309=1,'Merged raw data'!H309=2,'Merged raw data'!H309=3,'Merged raw data'!H309=4,'Merged raw data'!H309=5),"weekday","weekend")</f>
        <v>weekday</v>
      </c>
      <c r="J309" s="23" t="s">
        <v>23</v>
      </c>
      <c r="K309" s="23" t="str">
        <f>IF('Merged raw data'!I309=1,"Clear",IF('Merged raw data'!I309=2,"Mist",IF('Merged raw data'!I309=3,"Rain",IF('Merged raw data'!I309=4,"Storm","NA"))))</f>
        <v>Clear</v>
      </c>
      <c r="L309" s="24">
        <v>0.74</v>
      </c>
      <c r="M309" s="24">
        <v>0.16420000000000001</v>
      </c>
      <c r="N309" s="21">
        <f>'Merged raw data'!$J309*100</f>
        <v>10</v>
      </c>
      <c r="O309" s="21">
        <v>0</v>
      </c>
      <c r="P309" s="21">
        <v>70</v>
      </c>
      <c r="Q309" s="21">
        <v>70</v>
      </c>
      <c r="R309" s="21" t="str">
        <f>IF(Q309&gt;=outliers!I311,"High",IF(Q309&lt;=outliers!I310,"Low","Moderate"))</f>
        <v>High</v>
      </c>
      <c r="S309" s="8" t="str">
        <f>IF(OR(Q309&lt;outliers!$I$6,Q309&gt;outliers!$I$7),"Outlier","Normal")</f>
        <v>Normal</v>
      </c>
      <c r="T309" s="8" t="str">
        <f>IF(OR(L309&lt;outliers!$J$6,L309&gt;outliers!$J$7),"Outlier","Normal")</f>
        <v>Normal</v>
      </c>
      <c r="U309" s="8" t="str">
        <f>IF(OR(M309&lt;outliers!$K$6,M309&gt;outliers!$K$7),"Outlier","Normal")</f>
        <v>Normal</v>
      </c>
    </row>
    <row r="310" spans="1:21">
      <c r="A310" s="21">
        <v>309</v>
      </c>
      <c r="B310" s="68">
        <v>40557</v>
      </c>
      <c r="C310" s="22" t="b">
        <v>0</v>
      </c>
      <c r="D310" s="21" t="str">
        <f t="shared" si="4"/>
        <v>Friday</v>
      </c>
      <c r="E310" s="23">
        <v>0.16669999999999999</v>
      </c>
      <c r="F310" s="23">
        <f>YEAR('Merged raw data'!$B310)</f>
        <v>2011</v>
      </c>
      <c r="G310" s="23" t="str">
        <f>TEXT('Merged raw data'!$B310,"mmmm")</f>
        <v>January</v>
      </c>
      <c r="H310" s="37" t="str">
        <f>TEXT(TIME('Merged raw data'!F310,0,0),"h AM/PM")</f>
        <v>8 AM</v>
      </c>
      <c r="I310" s="23" t="str">
        <f>IF(OR('Merged raw data'!H310=1,'Merged raw data'!H310=2,'Merged raw data'!H310=3,'Merged raw data'!H310=4,'Merged raw data'!H310=5),"weekday","weekend")</f>
        <v>weekday</v>
      </c>
      <c r="J310" s="23" t="s">
        <v>23</v>
      </c>
      <c r="K310" s="23" t="str">
        <f>IF('Merged raw data'!I310=1,"Clear",IF('Merged raw data'!I310=2,"Mist",IF('Merged raw data'!I310=3,"Rain",IF('Merged raw data'!I310=4,"Storm","NA"))))</f>
        <v>Clear</v>
      </c>
      <c r="L310" s="24">
        <v>0.68</v>
      </c>
      <c r="M310" s="24">
        <v>0.23</v>
      </c>
      <c r="N310" s="21">
        <f>'Merged raw data'!$J310*100</f>
        <v>12</v>
      </c>
      <c r="O310" s="21">
        <v>2</v>
      </c>
      <c r="P310" s="21">
        <v>156</v>
      </c>
      <c r="Q310" s="21">
        <v>158</v>
      </c>
      <c r="R310" s="21" t="str">
        <f>IF(Q310&gt;=outliers!I312,"High",IF(Q310&lt;=outliers!I311,"Low","Moderate"))</f>
        <v>High</v>
      </c>
      <c r="S310" s="8" t="str">
        <f>IF(OR(Q310&lt;outliers!$I$6,Q310&gt;outliers!$I$7),"Outlier","Normal")</f>
        <v>Normal</v>
      </c>
      <c r="T310" s="8" t="str">
        <f>IF(OR(L310&lt;outliers!$J$6,L310&gt;outliers!$J$7),"Outlier","Normal")</f>
        <v>Normal</v>
      </c>
      <c r="U310" s="8" t="str">
        <f>IF(OR(M310&lt;outliers!$K$6,M310&gt;outliers!$K$7),"Outlier","Normal")</f>
        <v>Normal</v>
      </c>
    </row>
    <row r="311" spans="1:21">
      <c r="A311" s="21">
        <v>310</v>
      </c>
      <c r="B311" s="68">
        <v>40557</v>
      </c>
      <c r="C311" s="22" t="b">
        <v>0</v>
      </c>
      <c r="D311" s="21" t="str">
        <f t="shared" si="4"/>
        <v>Friday</v>
      </c>
      <c r="E311" s="23">
        <v>0.1515</v>
      </c>
      <c r="F311" s="23">
        <f>YEAR('Merged raw data'!$B311)</f>
        <v>2011</v>
      </c>
      <c r="G311" s="23" t="str">
        <f>TEXT('Merged raw data'!$B311,"mmmm")</f>
        <v>January</v>
      </c>
      <c r="H311" s="37" t="str">
        <f>TEXT(TIME('Merged raw data'!F311,0,0),"h AM/PM")</f>
        <v>9 AM</v>
      </c>
      <c r="I311" s="23" t="str">
        <f>IF(OR('Merged raw data'!H311=1,'Merged raw data'!H311=2,'Merged raw data'!H311=3,'Merged raw data'!H311=4,'Merged raw data'!H311=5),"weekday","weekend")</f>
        <v>weekday</v>
      </c>
      <c r="J311" s="23" t="s">
        <v>23</v>
      </c>
      <c r="K311" s="23" t="str">
        <f>IF('Merged raw data'!I311=1,"Clear",IF('Merged raw data'!I311=2,"Mist",IF('Merged raw data'!I311=3,"Rain",IF('Merged raw data'!I311=4,"Storm","NA"))))</f>
        <v>Clear</v>
      </c>
      <c r="L311" s="24">
        <v>0.69</v>
      </c>
      <c r="M311" s="24">
        <v>0.1343</v>
      </c>
      <c r="N311" s="21">
        <f>'Merged raw data'!$J311*100</f>
        <v>14.000000000000002</v>
      </c>
      <c r="O311" s="21">
        <v>0</v>
      </c>
      <c r="P311" s="21">
        <v>117</v>
      </c>
      <c r="Q311" s="21">
        <v>117</v>
      </c>
      <c r="R311" s="21" t="str">
        <f>IF(Q311&gt;=outliers!I313,"High",IF(Q311&lt;=outliers!I312,"Low","Moderate"))</f>
        <v>High</v>
      </c>
      <c r="S311" s="8" t="str">
        <f>IF(OR(Q311&lt;outliers!$I$6,Q311&gt;outliers!$I$7),"Outlier","Normal")</f>
        <v>Normal</v>
      </c>
      <c r="T311" s="8" t="str">
        <f>IF(OR(L311&lt;outliers!$J$6,L311&gt;outliers!$J$7),"Outlier","Normal")</f>
        <v>Normal</v>
      </c>
      <c r="U311" s="8" t="str">
        <f>IF(OR(M311&lt;outliers!$K$6,M311&gt;outliers!$K$7),"Outlier","Normal")</f>
        <v>Normal</v>
      </c>
    </row>
    <row r="312" spans="1:21">
      <c r="A312" s="21">
        <v>311</v>
      </c>
      <c r="B312" s="68">
        <v>40557</v>
      </c>
      <c r="C312" s="22" t="b">
        <v>0</v>
      </c>
      <c r="D312" s="21" t="str">
        <f t="shared" si="4"/>
        <v>Friday</v>
      </c>
      <c r="E312" s="23">
        <v>0.18179999999999999</v>
      </c>
      <c r="F312" s="23">
        <f>YEAR('Merged raw data'!$B312)</f>
        <v>2011</v>
      </c>
      <c r="G312" s="23" t="str">
        <f>TEXT('Merged raw data'!$B312,"mmmm")</f>
        <v>January</v>
      </c>
      <c r="H312" s="37" t="str">
        <f>TEXT(TIME('Merged raw data'!F312,0,0),"h AM/PM")</f>
        <v>10 AM</v>
      </c>
      <c r="I312" s="23" t="str">
        <f>IF(OR('Merged raw data'!H312=1,'Merged raw data'!H312=2,'Merged raw data'!H312=3,'Merged raw data'!H312=4,'Merged raw data'!H312=5),"weekday","weekend")</f>
        <v>weekday</v>
      </c>
      <c r="J312" s="23" t="s">
        <v>23</v>
      </c>
      <c r="K312" s="23" t="str">
        <f>IF('Merged raw data'!I312=1,"Clear",IF('Merged raw data'!I312=2,"Mist",IF('Merged raw data'!I312=3,"Rain",IF('Merged raw data'!I312=4,"Storm","NA"))))</f>
        <v>Clear</v>
      </c>
      <c r="L312" s="24">
        <v>0.55000000000000004</v>
      </c>
      <c r="M312" s="24">
        <v>0.19400000000000001</v>
      </c>
      <c r="N312" s="21">
        <f>'Merged raw data'!$J312*100</f>
        <v>18</v>
      </c>
      <c r="O312" s="21">
        <v>4</v>
      </c>
      <c r="P312" s="21">
        <v>40</v>
      </c>
      <c r="Q312" s="21">
        <v>44</v>
      </c>
      <c r="R312" s="21" t="str">
        <f>IF(Q312&gt;=outliers!I314,"High",IF(Q312&lt;=outliers!I313,"Low","Moderate"))</f>
        <v>High</v>
      </c>
      <c r="S312" s="8" t="str">
        <f>IF(OR(Q312&lt;outliers!$I$6,Q312&gt;outliers!$I$7),"Outlier","Normal")</f>
        <v>Normal</v>
      </c>
      <c r="T312" s="8" t="str">
        <f>IF(OR(L312&lt;outliers!$J$6,L312&gt;outliers!$J$7),"Outlier","Normal")</f>
        <v>Normal</v>
      </c>
      <c r="U312" s="8" t="str">
        <f>IF(OR(M312&lt;outliers!$K$6,M312&gt;outliers!$K$7),"Outlier","Normal")</f>
        <v>Normal</v>
      </c>
    </row>
    <row r="313" spans="1:21">
      <c r="A313" s="21">
        <v>312</v>
      </c>
      <c r="B313" s="68">
        <v>40557</v>
      </c>
      <c r="C313" s="22" t="b">
        <v>0</v>
      </c>
      <c r="D313" s="21" t="str">
        <f t="shared" si="4"/>
        <v>Friday</v>
      </c>
      <c r="E313" s="23">
        <v>0.16669999999999999</v>
      </c>
      <c r="F313" s="23">
        <f>YEAR('Merged raw data'!$B313)</f>
        <v>2011</v>
      </c>
      <c r="G313" s="23" t="str">
        <f>TEXT('Merged raw data'!$B313,"mmmm")</f>
        <v>January</v>
      </c>
      <c r="H313" s="37" t="str">
        <f>TEXT(TIME('Merged raw data'!F313,0,0),"h AM/PM")</f>
        <v>11 AM</v>
      </c>
      <c r="I313" s="23" t="str">
        <f>IF(OR('Merged raw data'!H313=1,'Merged raw data'!H313=2,'Merged raw data'!H313=3,'Merged raw data'!H313=4,'Merged raw data'!H313=5),"weekday","weekend")</f>
        <v>weekday</v>
      </c>
      <c r="J313" s="23" t="s">
        <v>23</v>
      </c>
      <c r="K313" s="23" t="str">
        <f>IF('Merged raw data'!I313=1,"Clear",IF('Merged raw data'!I313=2,"Mist",IF('Merged raw data'!I313=3,"Rain",IF('Merged raw data'!I313=4,"Storm","NA"))))</f>
        <v>Clear</v>
      </c>
      <c r="L313" s="24">
        <v>0.51</v>
      </c>
      <c r="M313" s="24">
        <v>0.28360000000000002</v>
      </c>
      <c r="N313" s="21">
        <f>'Merged raw data'!$J313*100</f>
        <v>18</v>
      </c>
      <c r="O313" s="21">
        <v>6</v>
      </c>
      <c r="P313" s="21">
        <v>47</v>
      </c>
      <c r="Q313" s="21">
        <v>53</v>
      </c>
      <c r="R313" s="21" t="str">
        <f>IF(Q313&gt;=outliers!I315,"High",IF(Q313&lt;=outliers!I314,"Low","Moderate"))</f>
        <v>High</v>
      </c>
      <c r="S313" s="8" t="str">
        <f>IF(OR(Q313&lt;outliers!$I$6,Q313&gt;outliers!$I$7),"Outlier","Normal")</f>
        <v>Normal</v>
      </c>
      <c r="T313" s="8" t="str">
        <f>IF(OR(L313&lt;outliers!$J$6,L313&gt;outliers!$J$7),"Outlier","Normal")</f>
        <v>Normal</v>
      </c>
      <c r="U313" s="8" t="str">
        <f>IF(OR(M313&lt;outliers!$K$6,M313&gt;outliers!$K$7),"Outlier","Normal")</f>
        <v>Normal</v>
      </c>
    </row>
    <row r="314" spans="1:21">
      <c r="A314" s="21">
        <v>313</v>
      </c>
      <c r="B314" s="68">
        <v>40557</v>
      </c>
      <c r="C314" s="22" t="b">
        <v>0</v>
      </c>
      <c r="D314" s="21" t="str">
        <f t="shared" si="4"/>
        <v>Friday</v>
      </c>
      <c r="E314" s="23">
        <v>0.19700000000000001</v>
      </c>
      <c r="F314" s="23">
        <f>YEAR('Merged raw data'!$B314)</f>
        <v>2011</v>
      </c>
      <c r="G314" s="23" t="str">
        <f>TEXT('Merged raw data'!$B314,"mmmm")</f>
        <v>January</v>
      </c>
      <c r="H314" s="37" t="str">
        <f>TEXT(TIME('Merged raw data'!F314,0,0),"h AM/PM")</f>
        <v>12 PM</v>
      </c>
      <c r="I314" s="23" t="str">
        <f>IF(OR('Merged raw data'!H314=1,'Merged raw data'!H314=2,'Merged raw data'!H314=3,'Merged raw data'!H314=4,'Merged raw data'!H314=5),"weekday","weekend")</f>
        <v>weekday</v>
      </c>
      <c r="J314" s="23" t="s">
        <v>23</v>
      </c>
      <c r="K314" s="23" t="str">
        <f>IF('Merged raw data'!I314=1,"Clear",IF('Merged raw data'!I314=2,"Mist",IF('Merged raw data'!I314=3,"Rain",IF('Merged raw data'!I314=4,"Storm","NA"))))</f>
        <v>Clear</v>
      </c>
      <c r="L314" s="24">
        <v>0.44</v>
      </c>
      <c r="M314" s="24">
        <v>0.25369999999999998</v>
      </c>
      <c r="N314" s="21">
        <f>'Merged raw data'!$J314*100</f>
        <v>20</v>
      </c>
      <c r="O314" s="21">
        <v>2</v>
      </c>
      <c r="P314" s="21">
        <v>59</v>
      </c>
      <c r="Q314" s="21">
        <v>61</v>
      </c>
      <c r="R314" s="21" t="str">
        <f>IF(Q314&gt;=outliers!I316,"High",IF(Q314&lt;=outliers!I315,"Low","Moderate"))</f>
        <v>High</v>
      </c>
      <c r="S314" s="8" t="str">
        <f>IF(OR(Q314&lt;outliers!$I$6,Q314&gt;outliers!$I$7),"Outlier","Normal")</f>
        <v>Normal</v>
      </c>
      <c r="T314" s="8" t="str">
        <f>IF(OR(L314&lt;outliers!$J$6,L314&gt;outliers!$J$7),"Outlier","Normal")</f>
        <v>Normal</v>
      </c>
      <c r="U314" s="8" t="str">
        <f>IF(OR(M314&lt;outliers!$K$6,M314&gt;outliers!$K$7),"Outlier","Normal")</f>
        <v>Normal</v>
      </c>
    </row>
    <row r="315" spans="1:21">
      <c r="A315" s="21">
        <v>314</v>
      </c>
      <c r="B315" s="68">
        <v>40557</v>
      </c>
      <c r="C315" s="22" t="b">
        <v>0</v>
      </c>
      <c r="D315" s="21" t="str">
        <f t="shared" si="4"/>
        <v>Friday</v>
      </c>
      <c r="E315" s="23">
        <v>0.19700000000000001</v>
      </c>
      <c r="F315" s="23">
        <f>YEAR('Merged raw data'!$B315)</f>
        <v>2011</v>
      </c>
      <c r="G315" s="23" t="str">
        <f>TEXT('Merged raw data'!$B315,"mmmm")</f>
        <v>January</v>
      </c>
      <c r="H315" s="37" t="str">
        <f>TEXT(TIME('Merged raw data'!F315,0,0),"h AM/PM")</f>
        <v>1 PM</v>
      </c>
      <c r="I315" s="23" t="str">
        <f>IF(OR('Merged raw data'!H315=1,'Merged raw data'!H315=2,'Merged raw data'!H315=3,'Merged raw data'!H315=4,'Merged raw data'!H315=5),"weekday","weekend")</f>
        <v>weekday</v>
      </c>
      <c r="J315" s="23" t="s">
        <v>23</v>
      </c>
      <c r="K315" s="23" t="str">
        <f>IF('Merged raw data'!I315=1,"Clear",IF('Merged raw data'!I315=2,"Mist",IF('Merged raw data'!I315=3,"Rain",IF('Merged raw data'!I315=4,"Storm","NA"))))</f>
        <v>Clear</v>
      </c>
      <c r="L315" s="24">
        <v>0.37</v>
      </c>
      <c r="M315" s="24">
        <v>0.3881</v>
      </c>
      <c r="N315" s="21">
        <f>'Merged raw data'!$J315*100</f>
        <v>22</v>
      </c>
      <c r="O315" s="21">
        <v>4</v>
      </c>
      <c r="P315" s="21">
        <v>73</v>
      </c>
      <c r="Q315" s="21">
        <v>77</v>
      </c>
      <c r="R315" s="21" t="str">
        <f>IF(Q315&gt;=outliers!I317,"High",IF(Q315&lt;=outliers!I316,"Low","Moderate"))</f>
        <v>High</v>
      </c>
      <c r="S315" s="8" t="str">
        <f>IF(OR(Q315&lt;outliers!$I$6,Q315&gt;outliers!$I$7),"Outlier","Normal")</f>
        <v>Normal</v>
      </c>
      <c r="T315" s="8" t="str">
        <f>IF(OR(L315&lt;outliers!$J$6,L315&gt;outliers!$J$7),"Outlier","Normal")</f>
        <v>Normal</v>
      </c>
      <c r="U315" s="8" t="str">
        <f>IF(OR(M315&lt;outliers!$K$6,M315&gt;outliers!$K$7),"Outlier","Normal")</f>
        <v>Normal</v>
      </c>
    </row>
    <row r="316" spans="1:21">
      <c r="A316" s="21">
        <v>315</v>
      </c>
      <c r="B316" s="68">
        <v>40557</v>
      </c>
      <c r="C316" s="22" t="b">
        <v>0</v>
      </c>
      <c r="D316" s="21" t="str">
        <f t="shared" si="4"/>
        <v>Friday</v>
      </c>
      <c r="E316" s="23">
        <v>0.21210000000000001</v>
      </c>
      <c r="F316" s="23">
        <f>YEAR('Merged raw data'!$B316)</f>
        <v>2011</v>
      </c>
      <c r="G316" s="23" t="str">
        <f>TEXT('Merged raw data'!$B316,"mmmm")</f>
        <v>January</v>
      </c>
      <c r="H316" s="37" t="str">
        <f>TEXT(TIME('Merged raw data'!F316,0,0),"h AM/PM")</f>
        <v>2 PM</v>
      </c>
      <c r="I316" s="23" t="str">
        <f>IF(OR('Merged raw data'!H316=1,'Merged raw data'!H316=2,'Merged raw data'!H316=3,'Merged raw data'!H316=4,'Merged raw data'!H316=5),"weekday","weekend")</f>
        <v>weekday</v>
      </c>
      <c r="J316" s="23" t="s">
        <v>23</v>
      </c>
      <c r="K316" s="23" t="str">
        <f>IF('Merged raw data'!I316=1,"Clear",IF('Merged raw data'!I316=2,"Mist",IF('Merged raw data'!I316=3,"Rain",IF('Merged raw data'!I316=4,"Storm","NA"))))</f>
        <v>Clear</v>
      </c>
      <c r="L316" s="24">
        <v>0.41</v>
      </c>
      <c r="M316" s="24">
        <v>0.28360000000000002</v>
      </c>
      <c r="N316" s="21">
        <f>'Merged raw data'!$J316*100</f>
        <v>22</v>
      </c>
      <c r="O316" s="21">
        <v>5</v>
      </c>
      <c r="P316" s="21">
        <v>59</v>
      </c>
      <c r="Q316" s="21">
        <v>64</v>
      </c>
      <c r="R316" s="21" t="str">
        <f>IF(Q316&gt;=outliers!I318,"High",IF(Q316&lt;=outliers!I317,"Low","Moderate"))</f>
        <v>High</v>
      </c>
      <c r="S316" s="8" t="str">
        <f>IF(OR(Q316&lt;outliers!$I$6,Q316&gt;outliers!$I$7),"Outlier","Normal")</f>
        <v>Normal</v>
      </c>
      <c r="T316" s="8" t="str">
        <f>IF(OR(L316&lt;outliers!$J$6,L316&gt;outliers!$J$7),"Outlier","Normal")</f>
        <v>Normal</v>
      </c>
      <c r="U316" s="8" t="str">
        <f>IF(OR(M316&lt;outliers!$K$6,M316&gt;outliers!$K$7),"Outlier","Normal")</f>
        <v>Normal</v>
      </c>
    </row>
    <row r="317" spans="1:21">
      <c r="A317" s="21">
        <v>316</v>
      </c>
      <c r="B317" s="68">
        <v>40557</v>
      </c>
      <c r="C317" s="22" t="b">
        <v>0</v>
      </c>
      <c r="D317" s="21" t="str">
        <f t="shared" si="4"/>
        <v>Friday</v>
      </c>
      <c r="E317" s="23">
        <v>0.2424</v>
      </c>
      <c r="F317" s="23">
        <f>YEAR('Merged raw data'!$B317)</f>
        <v>2011</v>
      </c>
      <c r="G317" s="23" t="str">
        <f>TEXT('Merged raw data'!$B317,"mmmm")</f>
        <v>January</v>
      </c>
      <c r="H317" s="37" t="str">
        <f>TEXT(TIME('Merged raw data'!F317,0,0),"h AM/PM")</f>
        <v>3 PM</v>
      </c>
      <c r="I317" s="23" t="str">
        <f>IF(OR('Merged raw data'!H317=1,'Merged raw data'!H317=2,'Merged raw data'!H317=3,'Merged raw data'!H317=4,'Merged raw data'!H317=5),"weekday","weekend")</f>
        <v>weekday</v>
      </c>
      <c r="J317" s="23" t="s">
        <v>23</v>
      </c>
      <c r="K317" s="23" t="str">
        <f>IF('Merged raw data'!I317=1,"Clear",IF('Merged raw data'!I317=2,"Mist",IF('Merged raw data'!I317=3,"Rain",IF('Merged raw data'!I317=4,"Storm","NA"))))</f>
        <v>Clear</v>
      </c>
      <c r="L317" s="24">
        <v>0.38</v>
      </c>
      <c r="M317" s="24">
        <v>0.16420000000000001</v>
      </c>
      <c r="N317" s="21">
        <f>'Merged raw data'!$J317*100</f>
        <v>24</v>
      </c>
      <c r="O317" s="21">
        <v>9</v>
      </c>
      <c r="P317" s="21">
        <v>59</v>
      </c>
      <c r="Q317" s="21">
        <v>68</v>
      </c>
      <c r="R317" s="21" t="str">
        <f>IF(Q317&gt;=outliers!I319,"High",IF(Q317&lt;=outliers!I318,"Low","Moderate"))</f>
        <v>High</v>
      </c>
      <c r="S317" s="8" t="str">
        <f>IF(OR(Q317&lt;outliers!$I$6,Q317&gt;outliers!$I$7),"Outlier","Normal")</f>
        <v>Normal</v>
      </c>
      <c r="T317" s="8" t="str">
        <f>IF(OR(L317&lt;outliers!$J$6,L317&gt;outliers!$J$7),"Outlier","Normal")</f>
        <v>Normal</v>
      </c>
      <c r="U317" s="8" t="str">
        <f>IF(OR(M317&lt;outliers!$K$6,M317&gt;outliers!$K$7),"Outlier","Normal")</f>
        <v>Normal</v>
      </c>
    </row>
    <row r="318" spans="1:21">
      <c r="A318" s="21">
        <v>317</v>
      </c>
      <c r="B318" s="68">
        <v>40557</v>
      </c>
      <c r="C318" s="22" t="b">
        <v>0</v>
      </c>
      <c r="D318" s="21" t="str">
        <f t="shared" si="4"/>
        <v>Friday</v>
      </c>
      <c r="E318" s="23">
        <v>0.2424</v>
      </c>
      <c r="F318" s="23">
        <f>YEAR('Merged raw data'!$B318)</f>
        <v>2011</v>
      </c>
      <c r="G318" s="23" t="str">
        <f>TEXT('Merged raw data'!$B318,"mmmm")</f>
        <v>January</v>
      </c>
      <c r="H318" s="37" t="str">
        <f>TEXT(TIME('Merged raw data'!F318,0,0),"h AM/PM")</f>
        <v>4 PM</v>
      </c>
      <c r="I318" s="23" t="str">
        <f>IF(OR('Merged raw data'!H318=1,'Merged raw data'!H318=2,'Merged raw data'!H318=3,'Merged raw data'!H318=4,'Merged raw data'!H318=5),"weekday","weekend")</f>
        <v>weekday</v>
      </c>
      <c r="J318" s="23" t="s">
        <v>23</v>
      </c>
      <c r="K318" s="23" t="str">
        <f>IF('Merged raw data'!I318=1,"Clear",IF('Merged raw data'!I318=2,"Mist",IF('Merged raw data'!I318=3,"Rain",IF('Merged raw data'!I318=4,"Storm","NA"))))</f>
        <v>Clear</v>
      </c>
      <c r="L318" s="24">
        <v>0.41</v>
      </c>
      <c r="M318" s="24">
        <v>0.1045</v>
      </c>
      <c r="N318" s="21">
        <f>'Merged raw data'!$J318*100</f>
        <v>22</v>
      </c>
      <c r="O318" s="21">
        <v>3</v>
      </c>
      <c r="P318" s="21">
        <v>87</v>
      </c>
      <c r="Q318" s="21">
        <v>90</v>
      </c>
      <c r="R318" s="21" t="str">
        <f>IF(Q318&gt;=outliers!I320,"High",IF(Q318&lt;=outliers!I319,"Low","Moderate"))</f>
        <v>High</v>
      </c>
      <c r="S318" s="8" t="str">
        <f>IF(OR(Q318&lt;outliers!$I$6,Q318&gt;outliers!$I$7),"Outlier","Normal")</f>
        <v>Normal</v>
      </c>
      <c r="T318" s="8" t="str">
        <f>IF(OR(L318&lt;outliers!$J$6,L318&gt;outliers!$J$7),"Outlier","Normal")</f>
        <v>Normal</v>
      </c>
      <c r="U318" s="8" t="str">
        <f>IF(OR(M318&lt;outliers!$K$6,M318&gt;outliers!$K$7),"Outlier","Normal")</f>
        <v>Normal</v>
      </c>
    </row>
    <row r="319" spans="1:21">
      <c r="A319" s="21">
        <v>318</v>
      </c>
      <c r="B319" s="68">
        <v>40557</v>
      </c>
      <c r="C319" s="22" t="b">
        <v>0</v>
      </c>
      <c r="D319" s="21" t="str">
        <f t="shared" si="4"/>
        <v>Friday</v>
      </c>
      <c r="E319" s="23">
        <v>0.2273</v>
      </c>
      <c r="F319" s="23">
        <f>YEAR('Merged raw data'!$B319)</f>
        <v>2011</v>
      </c>
      <c r="G319" s="23" t="str">
        <f>TEXT('Merged raw data'!$B319,"mmmm")</f>
        <v>January</v>
      </c>
      <c r="H319" s="37" t="str">
        <f>TEXT(TIME('Merged raw data'!F319,0,0),"h AM/PM")</f>
        <v>5 PM</v>
      </c>
      <c r="I319" s="23" t="str">
        <f>IF(OR('Merged raw data'!H319=1,'Merged raw data'!H319=2,'Merged raw data'!H319=3,'Merged raw data'!H319=4,'Merged raw data'!H319=5),"weekday","weekend")</f>
        <v>weekday</v>
      </c>
      <c r="J319" s="23" t="s">
        <v>23</v>
      </c>
      <c r="K319" s="23" t="str">
        <f>IF('Merged raw data'!I319=1,"Clear",IF('Merged raw data'!I319=2,"Mist",IF('Merged raw data'!I319=3,"Rain",IF('Merged raw data'!I319=4,"Storm","NA"))))</f>
        <v>Clear</v>
      </c>
      <c r="L319" s="24">
        <v>0.41</v>
      </c>
      <c r="M319" s="24">
        <v>0.16420000000000001</v>
      </c>
      <c r="N319" s="21">
        <f>'Merged raw data'!$J319*100</f>
        <v>22</v>
      </c>
      <c r="O319" s="21">
        <v>4</v>
      </c>
      <c r="P319" s="21">
        <v>155</v>
      </c>
      <c r="Q319" s="21">
        <v>159</v>
      </c>
      <c r="R319" s="21" t="str">
        <f>IF(Q319&gt;=outliers!I321,"High",IF(Q319&lt;=outliers!I320,"Low","Moderate"))</f>
        <v>High</v>
      </c>
      <c r="S319" s="8" t="str">
        <f>IF(OR(Q319&lt;outliers!$I$6,Q319&gt;outliers!$I$7),"Outlier","Normal")</f>
        <v>Normal</v>
      </c>
      <c r="T319" s="8" t="str">
        <f>IF(OR(L319&lt;outliers!$J$6,L319&gt;outliers!$J$7),"Outlier","Normal")</f>
        <v>Normal</v>
      </c>
      <c r="U319" s="8" t="str">
        <f>IF(OR(M319&lt;outliers!$K$6,M319&gt;outliers!$K$7),"Outlier","Normal")</f>
        <v>Normal</v>
      </c>
    </row>
    <row r="320" spans="1:21">
      <c r="A320" s="21">
        <v>319</v>
      </c>
      <c r="B320" s="68">
        <v>40557</v>
      </c>
      <c r="C320" s="22" t="b">
        <v>0</v>
      </c>
      <c r="D320" s="21" t="str">
        <f t="shared" si="4"/>
        <v>Friday</v>
      </c>
      <c r="E320" s="23">
        <v>0.2576</v>
      </c>
      <c r="F320" s="23">
        <f>YEAR('Merged raw data'!$B320)</f>
        <v>2011</v>
      </c>
      <c r="G320" s="23" t="str">
        <f>TEXT('Merged raw data'!$B320,"mmmm")</f>
        <v>January</v>
      </c>
      <c r="H320" s="37" t="str">
        <f>TEXT(TIME('Merged raw data'!F320,0,0),"h AM/PM")</f>
        <v>6 PM</v>
      </c>
      <c r="I320" s="23" t="str">
        <f>IF(OR('Merged raw data'!H320=1,'Merged raw data'!H320=2,'Merged raw data'!H320=3,'Merged raw data'!H320=4,'Merged raw data'!H320=5),"weekday","weekend")</f>
        <v>weekday</v>
      </c>
      <c r="J320" s="23" t="s">
        <v>23</v>
      </c>
      <c r="K320" s="23" t="str">
        <f>IF('Merged raw data'!I320=1,"Clear",IF('Merged raw data'!I320=2,"Mist",IF('Merged raw data'!I320=3,"Rain",IF('Merged raw data'!I320=4,"Storm","NA"))))</f>
        <v>Clear</v>
      </c>
      <c r="L320" s="24">
        <v>0.47</v>
      </c>
      <c r="M320" s="24">
        <v>0.23</v>
      </c>
      <c r="N320" s="21">
        <f>'Merged raw data'!$J320*100</f>
        <v>20</v>
      </c>
      <c r="O320" s="21">
        <v>5</v>
      </c>
      <c r="P320" s="21">
        <v>134</v>
      </c>
      <c r="Q320" s="21">
        <v>139</v>
      </c>
      <c r="R320" s="21" t="str">
        <f>IF(Q320&gt;=outliers!I322,"High",IF(Q320&lt;=outliers!I321,"Low","Moderate"))</f>
        <v>High</v>
      </c>
      <c r="S320" s="8" t="str">
        <f>IF(OR(Q320&lt;outliers!$I$6,Q320&gt;outliers!$I$7),"Outlier","Normal")</f>
        <v>Normal</v>
      </c>
      <c r="T320" s="8" t="str">
        <f>IF(OR(L320&lt;outliers!$J$6,L320&gt;outliers!$J$7),"Outlier","Normal")</f>
        <v>Normal</v>
      </c>
      <c r="U320" s="8" t="str">
        <f>IF(OR(M320&lt;outliers!$K$6,M320&gt;outliers!$K$7),"Outlier","Normal")</f>
        <v>Normal</v>
      </c>
    </row>
    <row r="321" spans="1:21">
      <c r="A321" s="21">
        <v>320</v>
      </c>
      <c r="B321" s="68">
        <v>40557</v>
      </c>
      <c r="C321" s="22" t="b">
        <v>0</v>
      </c>
      <c r="D321" s="21" t="str">
        <f t="shared" si="4"/>
        <v>Friday</v>
      </c>
      <c r="E321" s="23">
        <v>0.19700000000000001</v>
      </c>
      <c r="F321" s="23">
        <f>YEAR('Merged raw data'!$B321)</f>
        <v>2011</v>
      </c>
      <c r="G321" s="23" t="str">
        <f>TEXT('Merged raw data'!$B321,"mmmm")</f>
        <v>January</v>
      </c>
      <c r="H321" s="37" t="str">
        <f>TEXT(TIME('Merged raw data'!F321,0,0),"h AM/PM")</f>
        <v>7 PM</v>
      </c>
      <c r="I321" s="23" t="str">
        <f>IF(OR('Merged raw data'!H321=1,'Merged raw data'!H321=2,'Merged raw data'!H321=3,'Merged raw data'!H321=4,'Merged raw data'!H321=5),"weekday","weekend")</f>
        <v>weekday</v>
      </c>
      <c r="J321" s="23" t="s">
        <v>23</v>
      </c>
      <c r="K321" s="23" t="str">
        <f>IF('Merged raw data'!I321=1,"Clear",IF('Merged raw data'!I321=2,"Mist",IF('Merged raw data'!I321=3,"Rain",IF('Merged raw data'!I321=4,"Storm","NA"))))</f>
        <v>Clear</v>
      </c>
      <c r="L321" s="24">
        <v>0.59</v>
      </c>
      <c r="M321" s="24">
        <v>8.9599999999999999E-2</v>
      </c>
      <c r="N321" s="21">
        <f>'Merged raw data'!$J321*100</f>
        <v>16</v>
      </c>
      <c r="O321" s="21">
        <v>3</v>
      </c>
      <c r="P321" s="21">
        <v>89</v>
      </c>
      <c r="Q321" s="21">
        <v>92</v>
      </c>
      <c r="R321" s="21" t="str">
        <f>IF(Q321&gt;=outliers!I323,"High",IF(Q321&lt;=outliers!I322,"Low","Moderate"))</f>
        <v>High</v>
      </c>
      <c r="S321" s="8" t="str">
        <f>IF(OR(Q321&lt;outliers!$I$6,Q321&gt;outliers!$I$7),"Outlier","Normal")</f>
        <v>Normal</v>
      </c>
      <c r="T321" s="8" t="str">
        <f>IF(OR(L321&lt;outliers!$J$6,L321&gt;outliers!$J$7),"Outlier","Normal")</f>
        <v>Normal</v>
      </c>
      <c r="U321" s="8" t="str">
        <f>IF(OR(M321&lt;outliers!$K$6,M321&gt;outliers!$K$7),"Outlier","Normal")</f>
        <v>Normal</v>
      </c>
    </row>
    <row r="322" spans="1:21">
      <c r="A322" s="21">
        <v>321</v>
      </c>
      <c r="B322" s="68">
        <v>40557</v>
      </c>
      <c r="C322" s="22" t="b">
        <v>0</v>
      </c>
      <c r="D322" s="21" t="str">
        <f t="shared" si="4"/>
        <v>Friday</v>
      </c>
      <c r="E322" s="23">
        <v>0.2424</v>
      </c>
      <c r="F322" s="23">
        <f>YEAR('Merged raw data'!$B322)</f>
        <v>2011</v>
      </c>
      <c r="G322" s="23" t="str">
        <f>TEXT('Merged raw data'!$B322,"mmmm")</f>
        <v>January</v>
      </c>
      <c r="H322" s="37" t="str">
        <f>TEXT(TIME('Merged raw data'!F322,0,0),"h AM/PM")</f>
        <v>8 PM</v>
      </c>
      <c r="I322" s="23" t="str">
        <f>IF(OR('Merged raw data'!H322=1,'Merged raw data'!H322=2,'Merged raw data'!H322=3,'Merged raw data'!H322=4,'Merged raw data'!H322=5),"weekday","weekend")</f>
        <v>weekday</v>
      </c>
      <c r="J322" s="23" t="s">
        <v>23</v>
      </c>
      <c r="K322" s="23" t="str">
        <f>IF('Merged raw data'!I322=1,"Clear",IF('Merged raw data'!I322=2,"Mist",IF('Merged raw data'!I322=3,"Rain",IF('Merged raw data'!I322=4,"Storm","NA"))))</f>
        <v>Clear</v>
      </c>
      <c r="L322" s="24">
        <v>0.59</v>
      </c>
      <c r="M322" s="24">
        <v>0.23</v>
      </c>
      <c r="N322" s="21">
        <f>'Merged raw data'!$J322*100</f>
        <v>18</v>
      </c>
      <c r="O322" s="21">
        <v>0</v>
      </c>
      <c r="P322" s="21">
        <v>68</v>
      </c>
      <c r="Q322" s="21">
        <v>68</v>
      </c>
      <c r="R322" s="21" t="str">
        <f>IF(Q322&gt;=outliers!I324,"High",IF(Q322&lt;=outliers!I323,"Low","Moderate"))</f>
        <v>High</v>
      </c>
      <c r="S322" s="8" t="str">
        <f>IF(OR(Q322&lt;outliers!$I$6,Q322&gt;outliers!$I$7),"Outlier","Normal")</f>
        <v>Normal</v>
      </c>
      <c r="T322" s="8" t="str">
        <f>IF(OR(L322&lt;outliers!$J$6,L322&gt;outliers!$J$7),"Outlier","Normal")</f>
        <v>Normal</v>
      </c>
      <c r="U322" s="8" t="str">
        <f>IF(OR(M322&lt;outliers!$K$6,M322&gt;outliers!$K$7),"Outlier","Normal")</f>
        <v>Normal</v>
      </c>
    </row>
    <row r="323" spans="1:21">
      <c r="A323" s="21">
        <v>322</v>
      </c>
      <c r="B323" s="68">
        <v>40557</v>
      </c>
      <c r="C323" s="22" t="b">
        <v>0</v>
      </c>
      <c r="D323" s="21" t="str">
        <f t="shared" ref="D323:D386" si="5">TEXT(B323,"dddd")</f>
        <v>Friday</v>
      </c>
      <c r="E323" s="23">
        <v>0.2273</v>
      </c>
      <c r="F323" s="23">
        <f>YEAR('Merged raw data'!$B323)</f>
        <v>2011</v>
      </c>
      <c r="G323" s="23" t="str">
        <f>TEXT('Merged raw data'!$B323,"mmmm")</f>
        <v>January</v>
      </c>
      <c r="H323" s="37" t="str">
        <f>TEXT(TIME('Merged raw data'!F323,0,0),"h AM/PM")</f>
        <v>9 PM</v>
      </c>
      <c r="I323" s="23" t="str">
        <f>IF(OR('Merged raw data'!H323=1,'Merged raw data'!H323=2,'Merged raw data'!H323=3,'Merged raw data'!H323=4,'Merged raw data'!H323=5),"weekday","weekend")</f>
        <v>weekday</v>
      </c>
      <c r="J323" s="23" t="s">
        <v>23</v>
      </c>
      <c r="K323" s="23" t="str">
        <f>IF('Merged raw data'!I323=1,"Clear",IF('Merged raw data'!I323=2,"Mist",IF('Merged raw data'!I323=3,"Rain",IF('Merged raw data'!I323=4,"Storm","NA"))))</f>
        <v>Clear</v>
      </c>
      <c r="L323" s="24">
        <v>0.69</v>
      </c>
      <c r="M323" s="24">
        <v>0.23</v>
      </c>
      <c r="N323" s="21">
        <f>'Merged raw data'!$J323*100</f>
        <v>16</v>
      </c>
      <c r="O323" s="21">
        <v>4</v>
      </c>
      <c r="P323" s="21">
        <v>48</v>
      </c>
      <c r="Q323" s="21">
        <v>52</v>
      </c>
      <c r="R323" s="21" t="str">
        <f>IF(Q323&gt;=outliers!I325,"High",IF(Q323&lt;=outliers!I324,"Low","Moderate"))</f>
        <v>High</v>
      </c>
      <c r="S323" s="8" t="str">
        <f>IF(OR(Q323&lt;outliers!$I$6,Q323&gt;outliers!$I$7),"Outlier","Normal")</f>
        <v>Normal</v>
      </c>
      <c r="T323" s="8" t="str">
        <f>IF(OR(L323&lt;outliers!$J$6,L323&gt;outliers!$J$7),"Outlier","Normal")</f>
        <v>Normal</v>
      </c>
      <c r="U323" s="8" t="str">
        <f>IF(OR(M323&lt;outliers!$K$6,M323&gt;outliers!$K$7),"Outlier","Normal")</f>
        <v>Normal</v>
      </c>
    </row>
    <row r="324" spans="1:21">
      <c r="A324" s="21">
        <v>323</v>
      </c>
      <c r="B324" s="68">
        <v>40557</v>
      </c>
      <c r="C324" s="22" t="b">
        <v>0</v>
      </c>
      <c r="D324" s="21" t="str">
        <f t="shared" si="5"/>
        <v>Friday</v>
      </c>
      <c r="E324" s="23">
        <v>0.2273</v>
      </c>
      <c r="F324" s="23">
        <f>YEAR('Merged raw data'!$B324)</f>
        <v>2011</v>
      </c>
      <c r="G324" s="23" t="str">
        <f>TEXT('Merged raw data'!$B324,"mmmm")</f>
        <v>January</v>
      </c>
      <c r="H324" s="37" t="str">
        <f>TEXT(TIME('Merged raw data'!F324,0,0),"h AM/PM")</f>
        <v>10 PM</v>
      </c>
      <c r="I324" s="23" t="str">
        <f>IF(OR('Merged raw data'!H324=1,'Merged raw data'!H324=2,'Merged raw data'!H324=3,'Merged raw data'!H324=4,'Merged raw data'!H324=5),"weekday","weekend")</f>
        <v>weekday</v>
      </c>
      <c r="J324" s="23" t="s">
        <v>23</v>
      </c>
      <c r="K324" s="23" t="str">
        <f>IF('Merged raw data'!I324=1,"Clear",IF('Merged raw data'!I324=2,"Mist",IF('Merged raw data'!I324=3,"Rain",IF('Merged raw data'!I324=4,"Storm","NA"))))</f>
        <v>Mist</v>
      </c>
      <c r="L324" s="24">
        <v>0.69</v>
      </c>
      <c r="M324" s="24">
        <v>0.23</v>
      </c>
      <c r="N324" s="21">
        <f>'Merged raw data'!$J324*100</f>
        <v>16</v>
      </c>
      <c r="O324" s="21">
        <v>2</v>
      </c>
      <c r="P324" s="21">
        <v>34</v>
      </c>
      <c r="Q324" s="21">
        <v>36</v>
      </c>
      <c r="R324" s="21" t="str">
        <f>IF(Q324&gt;=outliers!I326,"High",IF(Q324&lt;=outliers!I325,"Low","Moderate"))</f>
        <v>High</v>
      </c>
      <c r="S324" s="8" t="str">
        <f>IF(OR(Q324&lt;outliers!$I$6,Q324&gt;outliers!$I$7),"Outlier","Normal")</f>
        <v>Normal</v>
      </c>
      <c r="T324" s="8" t="str">
        <f>IF(OR(L324&lt;outliers!$J$6,L324&gt;outliers!$J$7),"Outlier","Normal")</f>
        <v>Normal</v>
      </c>
      <c r="U324" s="8" t="str">
        <f>IF(OR(M324&lt;outliers!$K$6,M324&gt;outliers!$K$7),"Outlier","Normal")</f>
        <v>Normal</v>
      </c>
    </row>
    <row r="325" spans="1:21">
      <c r="A325" s="21">
        <v>324</v>
      </c>
      <c r="B325" s="68">
        <v>40557</v>
      </c>
      <c r="C325" s="22" t="b">
        <v>0</v>
      </c>
      <c r="D325" s="21" t="str">
        <f t="shared" si="5"/>
        <v>Friday</v>
      </c>
      <c r="E325" s="23">
        <v>0.2424</v>
      </c>
      <c r="F325" s="23">
        <f>YEAR('Merged raw data'!$B325)</f>
        <v>2011</v>
      </c>
      <c r="G325" s="23" t="str">
        <f>TEXT('Merged raw data'!$B325,"mmmm")</f>
        <v>January</v>
      </c>
      <c r="H325" s="37" t="str">
        <f>TEXT(TIME('Merged raw data'!F325,0,0),"h AM/PM")</f>
        <v>11 PM</v>
      </c>
      <c r="I325" s="23" t="str">
        <f>IF(OR('Merged raw data'!H325=1,'Merged raw data'!H325=2,'Merged raw data'!H325=3,'Merged raw data'!H325=4,'Merged raw data'!H325=5),"weekday","weekend")</f>
        <v>weekday</v>
      </c>
      <c r="J325" s="23" t="s">
        <v>23</v>
      </c>
      <c r="K325" s="23" t="str">
        <f>IF('Merged raw data'!I325=1,"Clear",IF('Merged raw data'!I325=2,"Mist",IF('Merged raw data'!I325=3,"Rain",IF('Merged raw data'!I325=4,"Storm","NA"))))</f>
        <v>Mist</v>
      </c>
      <c r="L325" s="24">
        <v>0.55000000000000004</v>
      </c>
      <c r="M325" s="24">
        <v>0.23</v>
      </c>
      <c r="N325" s="21">
        <f>'Merged raw data'!$J325*100</f>
        <v>18</v>
      </c>
      <c r="O325" s="21">
        <v>1</v>
      </c>
      <c r="P325" s="21">
        <v>26</v>
      </c>
      <c r="Q325" s="21">
        <v>27</v>
      </c>
      <c r="R325" s="21" t="str">
        <f>IF(Q325&gt;=outliers!I327,"High",IF(Q325&lt;=outliers!I326,"Low","Moderate"))</f>
        <v>High</v>
      </c>
      <c r="S325" s="8" t="str">
        <f>IF(OR(Q325&lt;outliers!$I$6,Q325&gt;outliers!$I$7),"Outlier","Normal")</f>
        <v>Normal</v>
      </c>
      <c r="T325" s="8" t="str">
        <f>IF(OR(L325&lt;outliers!$J$6,L325&gt;outliers!$J$7),"Outlier","Normal")</f>
        <v>Normal</v>
      </c>
      <c r="U325" s="8" t="str">
        <f>IF(OR(M325&lt;outliers!$K$6,M325&gt;outliers!$K$7),"Outlier","Normal")</f>
        <v>Normal</v>
      </c>
    </row>
    <row r="326" spans="1:21">
      <c r="A326" s="21">
        <v>325</v>
      </c>
      <c r="B326" s="68">
        <v>40558</v>
      </c>
      <c r="C326" s="22" t="b">
        <v>0</v>
      </c>
      <c r="D326" s="21" t="str">
        <f t="shared" si="5"/>
        <v>Saturday</v>
      </c>
      <c r="E326" s="23">
        <v>0.2424</v>
      </c>
      <c r="F326" s="23">
        <f>YEAR('Merged raw data'!$B326)</f>
        <v>2011</v>
      </c>
      <c r="G326" s="23" t="str">
        <f>TEXT('Merged raw data'!$B326,"mmmm")</f>
        <v>January</v>
      </c>
      <c r="H326" s="37" t="str">
        <f>TEXT(TIME('Merged raw data'!F326,0,0),"h AM/PM")</f>
        <v>12 AM</v>
      </c>
      <c r="I326" s="23" t="str">
        <f>IF(OR('Merged raw data'!H326=1,'Merged raw data'!H326=2,'Merged raw data'!H326=3,'Merged raw data'!H326=4,'Merged raw data'!H326=5),"weekday","weekend")</f>
        <v>weekend</v>
      </c>
      <c r="J326" s="23" t="s">
        <v>23</v>
      </c>
      <c r="K326" s="23" t="str">
        <f>IF('Merged raw data'!I326=1,"Clear",IF('Merged raw data'!I326=2,"Mist",IF('Merged raw data'!I326=3,"Rain",IF('Merged raw data'!I326=4,"Storm","NA"))))</f>
        <v>Clear</v>
      </c>
      <c r="L326" s="24">
        <v>0.55000000000000004</v>
      </c>
      <c r="M326" s="24">
        <v>0.23</v>
      </c>
      <c r="N326" s="21">
        <f>'Merged raw data'!$J326*100</f>
        <v>18</v>
      </c>
      <c r="O326" s="21">
        <v>3</v>
      </c>
      <c r="P326" s="21">
        <v>25</v>
      </c>
      <c r="Q326" s="21">
        <v>28</v>
      </c>
      <c r="R326" s="21" t="str">
        <f>IF(Q326&gt;=outliers!I328,"High",IF(Q326&lt;=outliers!I327,"Low","Moderate"))</f>
        <v>High</v>
      </c>
      <c r="S326" s="8" t="str">
        <f>IF(OR(Q326&lt;outliers!$I$6,Q326&gt;outliers!$I$7),"Outlier","Normal")</f>
        <v>Normal</v>
      </c>
      <c r="T326" s="8" t="str">
        <f>IF(OR(L326&lt;outliers!$J$6,L326&gt;outliers!$J$7),"Outlier","Normal")</f>
        <v>Normal</v>
      </c>
      <c r="U326" s="8" t="str">
        <f>IF(OR(M326&lt;outliers!$K$6,M326&gt;outliers!$K$7),"Outlier","Normal")</f>
        <v>Normal</v>
      </c>
    </row>
    <row r="327" spans="1:21">
      <c r="A327" s="21">
        <v>326</v>
      </c>
      <c r="B327" s="68">
        <v>40558</v>
      </c>
      <c r="C327" s="22" t="b">
        <v>0</v>
      </c>
      <c r="D327" s="21" t="str">
        <f t="shared" si="5"/>
        <v>Saturday</v>
      </c>
      <c r="E327" s="23">
        <v>0.19700000000000001</v>
      </c>
      <c r="F327" s="23">
        <f>YEAR('Merged raw data'!$B327)</f>
        <v>2011</v>
      </c>
      <c r="G327" s="23" t="str">
        <f>TEXT('Merged raw data'!$B327,"mmmm")</f>
        <v>January</v>
      </c>
      <c r="H327" s="37" t="str">
        <f>TEXT(TIME('Merged raw data'!F327,0,0),"h AM/PM")</f>
        <v>1 AM</v>
      </c>
      <c r="I327" s="23" t="str">
        <f>IF(OR('Merged raw data'!H327=1,'Merged raw data'!H327=2,'Merged raw data'!H327=3,'Merged raw data'!H327=4,'Merged raw data'!H327=5),"weekday","weekend")</f>
        <v>weekend</v>
      </c>
      <c r="J327" s="23" t="s">
        <v>23</v>
      </c>
      <c r="K327" s="23" t="str">
        <f>IF('Merged raw data'!I327=1,"Clear",IF('Merged raw data'!I327=2,"Mist",IF('Merged raw data'!I327=3,"Rain",IF('Merged raw data'!I327=4,"Storm","NA"))))</f>
        <v>Mist</v>
      </c>
      <c r="L327" s="24">
        <v>0.59</v>
      </c>
      <c r="M327" s="24">
        <v>8.9599999999999999E-2</v>
      </c>
      <c r="N327" s="21">
        <f>'Merged raw data'!$J327*100</f>
        <v>16</v>
      </c>
      <c r="O327" s="21">
        <v>2</v>
      </c>
      <c r="P327" s="21">
        <v>18</v>
      </c>
      <c r="Q327" s="21">
        <v>20</v>
      </c>
      <c r="R327" s="21" t="str">
        <f>IF(Q327&gt;=outliers!I329,"High",IF(Q327&lt;=outliers!I328,"Low","Moderate"))</f>
        <v>High</v>
      </c>
      <c r="S327" s="8" t="str">
        <f>IF(OR(Q327&lt;outliers!$I$6,Q327&gt;outliers!$I$7),"Outlier","Normal")</f>
        <v>Normal</v>
      </c>
      <c r="T327" s="8" t="str">
        <f>IF(OR(L327&lt;outliers!$J$6,L327&gt;outliers!$J$7),"Outlier","Normal")</f>
        <v>Normal</v>
      </c>
      <c r="U327" s="8" t="str">
        <f>IF(OR(M327&lt;outliers!$K$6,M327&gt;outliers!$K$7),"Outlier","Normal")</f>
        <v>Normal</v>
      </c>
    </row>
    <row r="328" spans="1:21">
      <c r="A328" s="21">
        <v>327</v>
      </c>
      <c r="B328" s="68">
        <v>40558</v>
      </c>
      <c r="C328" s="22" t="b">
        <v>0</v>
      </c>
      <c r="D328" s="21" t="str">
        <f t="shared" si="5"/>
        <v>Saturday</v>
      </c>
      <c r="E328" s="23">
        <v>0.19700000000000001</v>
      </c>
      <c r="F328" s="23">
        <f>YEAR('Merged raw data'!$B328)</f>
        <v>2011</v>
      </c>
      <c r="G328" s="23" t="str">
        <f>TEXT('Merged raw data'!$B328,"mmmm")</f>
        <v>January</v>
      </c>
      <c r="H328" s="37" t="str">
        <f>TEXT(TIME('Merged raw data'!F328,0,0),"h AM/PM")</f>
        <v>2 AM</v>
      </c>
      <c r="I328" s="23" t="str">
        <f>IF(OR('Merged raw data'!H328=1,'Merged raw data'!H328=2,'Merged raw data'!H328=3,'Merged raw data'!H328=4,'Merged raw data'!H328=5),"weekday","weekend")</f>
        <v>weekend</v>
      </c>
      <c r="J328" s="23" t="s">
        <v>23</v>
      </c>
      <c r="K328" s="23" t="str">
        <f>IF('Merged raw data'!I328=1,"Clear",IF('Merged raw data'!I328=2,"Mist",IF('Merged raw data'!I328=3,"Rain",IF('Merged raw data'!I328=4,"Storm","NA"))))</f>
        <v>Mist</v>
      </c>
      <c r="L328" s="24">
        <v>0.59</v>
      </c>
      <c r="M328" s="24">
        <v>8.9599999999999999E-2</v>
      </c>
      <c r="N328" s="21">
        <f>'Merged raw data'!$J328*100</f>
        <v>16</v>
      </c>
      <c r="O328" s="21">
        <v>0</v>
      </c>
      <c r="P328" s="21">
        <v>12</v>
      </c>
      <c r="Q328" s="21">
        <v>12</v>
      </c>
      <c r="R328" s="21" t="str">
        <f>IF(Q328&gt;=outliers!I330,"High",IF(Q328&lt;=outliers!I329,"Low","Moderate"))</f>
        <v>High</v>
      </c>
      <c r="S328" s="8" t="str">
        <f>IF(OR(Q328&lt;outliers!$I$6,Q328&gt;outliers!$I$7),"Outlier","Normal")</f>
        <v>Normal</v>
      </c>
      <c r="T328" s="8" t="str">
        <f>IF(OR(L328&lt;outliers!$J$6,L328&gt;outliers!$J$7),"Outlier","Normal")</f>
        <v>Normal</v>
      </c>
      <c r="U328" s="8" t="str">
        <f>IF(OR(M328&lt;outliers!$K$6,M328&gt;outliers!$K$7),"Outlier","Normal")</f>
        <v>Normal</v>
      </c>
    </row>
    <row r="329" spans="1:21">
      <c r="A329" s="21">
        <v>328</v>
      </c>
      <c r="B329" s="68">
        <v>40558</v>
      </c>
      <c r="C329" s="22" t="b">
        <v>0</v>
      </c>
      <c r="D329" s="21" t="str">
        <f t="shared" si="5"/>
        <v>Saturday</v>
      </c>
      <c r="E329" s="23">
        <v>0.2273</v>
      </c>
      <c r="F329" s="23">
        <f>YEAR('Merged raw data'!$B329)</f>
        <v>2011</v>
      </c>
      <c r="G329" s="23" t="str">
        <f>TEXT('Merged raw data'!$B329,"mmmm")</f>
        <v>January</v>
      </c>
      <c r="H329" s="37" t="str">
        <f>TEXT(TIME('Merged raw data'!F329,0,0),"h AM/PM")</f>
        <v>3 AM</v>
      </c>
      <c r="I329" s="23" t="str">
        <f>IF(OR('Merged raw data'!H329=1,'Merged raw data'!H329=2,'Merged raw data'!H329=3,'Merged raw data'!H329=4,'Merged raw data'!H329=5),"weekday","weekend")</f>
        <v>weekend</v>
      </c>
      <c r="J329" s="23" t="s">
        <v>23</v>
      </c>
      <c r="K329" s="23" t="str">
        <f>IF('Merged raw data'!I329=1,"Clear",IF('Merged raw data'!I329=2,"Mist",IF('Merged raw data'!I329=3,"Rain",IF('Merged raw data'!I329=4,"Storm","NA"))))</f>
        <v>Mist</v>
      </c>
      <c r="L329" s="24">
        <v>0.59</v>
      </c>
      <c r="M329" s="24">
        <v>0.23</v>
      </c>
      <c r="N329" s="21">
        <f>'Merged raw data'!$J329*100</f>
        <v>16</v>
      </c>
      <c r="O329" s="21">
        <v>1</v>
      </c>
      <c r="P329" s="21">
        <v>7</v>
      </c>
      <c r="Q329" s="21">
        <v>8</v>
      </c>
      <c r="R329" s="21" t="str">
        <f>IF(Q329&gt;=outliers!I331,"High",IF(Q329&lt;=outliers!I330,"Low","Moderate"))</f>
        <v>High</v>
      </c>
      <c r="S329" s="8" t="str">
        <f>IF(OR(Q329&lt;outliers!$I$6,Q329&gt;outliers!$I$7),"Outlier","Normal")</f>
        <v>Normal</v>
      </c>
      <c r="T329" s="8" t="str">
        <f>IF(OR(L329&lt;outliers!$J$6,L329&gt;outliers!$J$7),"Outlier","Normal")</f>
        <v>Normal</v>
      </c>
      <c r="U329" s="8" t="str">
        <f>IF(OR(M329&lt;outliers!$K$6,M329&gt;outliers!$K$7),"Outlier","Normal")</f>
        <v>Normal</v>
      </c>
    </row>
    <row r="330" spans="1:21">
      <c r="A330" s="21">
        <v>329</v>
      </c>
      <c r="B330" s="68">
        <v>40558</v>
      </c>
      <c r="C330" s="22" t="b">
        <v>0</v>
      </c>
      <c r="D330" s="21" t="str">
        <f t="shared" si="5"/>
        <v>Saturday</v>
      </c>
      <c r="E330" s="23">
        <v>0.2273</v>
      </c>
      <c r="F330" s="23">
        <f>YEAR('Merged raw data'!$B330)</f>
        <v>2011</v>
      </c>
      <c r="G330" s="23" t="str">
        <f>TEXT('Merged raw data'!$B330,"mmmm")</f>
        <v>January</v>
      </c>
      <c r="H330" s="37" t="str">
        <f>TEXT(TIME('Merged raw data'!F330,0,0),"h AM/PM")</f>
        <v>4 AM</v>
      </c>
      <c r="I330" s="23" t="str">
        <f>IF(OR('Merged raw data'!H330=1,'Merged raw data'!H330=2,'Merged raw data'!H330=3,'Merged raw data'!H330=4,'Merged raw data'!H330=5),"weekday","weekend")</f>
        <v>weekend</v>
      </c>
      <c r="J330" s="23" t="s">
        <v>23</v>
      </c>
      <c r="K330" s="23" t="str">
        <f>IF('Merged raw data'!I330=1,"Clear",IF('Merged raw data'!I330=2,"Mist",IF('Merged raw data'!I330=3,"Rain",IF('Merged raw data'!I330=4,"Storm","NA"))))</f>
        <v>Mist</v>
      </c>
      <c r="L330" s="24">
        <v>0.59</v>
      </c>
      <c r="M330" s="24">
        <v>0.23</v>
      </c>
      <c r="N330" s="21">
        <f>'Merged raw data'!$J330*100</f>
        <v>16</v>
      </c>
      <c r="O330" s="21">
        <v>0</v>
      </c>
      <c r="P330" s="21">
        <v>5</v>
      </c>
      <c r="Q330" s="21">
        <v>5</v>
      </c>
      <c r="R330" s="21" t="str">
        <f>IF(Q330&gt;=outliers!I332,"High",IF(Q330&lt;=outliers!I331,"Low","Moderate"))</f>
        <v>High</v>
      </c>
      <c r="S330" s="8" t="str">
        <f>IF(OR(Q330&lt;outliers!$I$6,Q330&gt;outliers!$I$7),"Outlier","Normal")</f>
        <v>Normal</v>
      </c>
      <c r="T330" s="8" t="str">
        <f>IF(OR(L330&lt;outliers!$J$6,L330&gt;outliers!$J$7),"Outlier","Normal")</f>
        <v>Normal</v>
      </c>
      <c r="U330" s="8" t="str">
        <f>IF(OR(M330&lt;outliers!$K$6,M330&gt;outliers!$K$7),"Outlier","Normal")</f>
        <v>Normal</v>
      </c>
    </row>
    <row r="331" spans="1:21">
      <c r="A331" s="21">
        <v>330</v>
      </c>
      <c r="B331" s="68">
        <v>40558</v>
      </c>
      <c r="C331" s="22" t="b">
        <v>0</v>
      </c>
      <c r="D331" s="21" t="str">
        <f t="shared" si="5"/>
        <v>Saturday</v>
      </c>
      <c r="E331" s="23">
        <v>0.2273</v>
      </c>
      <c r="F331" s="23">
        <f>YEAR('Merged raw data'!$B331)</f>
        <v>2011</v>
      </c>
      <c r="G331" s="23" t="str">
        <f>TEXT('Merged raw data'!$B331,"mmmm")</f>
        <v>January</v>
      </c>
      <c r="H331" s="37" t="str">
        <f>TEXT(TIME('Merged raw data'!F331,0,0),"h AM/PM")</f>
        <v>5 AM</v>
      </c>
      <c r="I331" s="23" t="str">
        <f>IF(OR('Merged raw data'!H331=1,'Merged raw data'!H331=2,'Merged raw data'!H331=3,'Merged raw data'!H331=4,'Merged raw data'!H331=5),"weekday","weekend")</f>
        <v>weekend</v>
      </c>
      <c r="J331" s="23" t="s">
        <v>23</v>
      </c>
      <c r="K331" s="23" t="str">
        <f>IF('Merged raw data'!I331=1,"Clear",IF('Merged raw data'!I331=2,"Mist",IF('Merged raw data'!I331=3,"Rain",IF('Merged raw data'!I331=4,"Storm","NA"))))</f>
        <v>Clear</v>
      </c>
      <c r="L331" s="24">
        <v>0.59</v>
      </c>
      <c r="M331" s="24">
        <v>0.23</v>
      </c>
      <c r="N331" s="21">
        <f>'Merged raw data'!$J331*100</f>
        <v>16</v>
      </c>
      <c r="O331" s="21">
        <v>0</v>
      </c>
      <c r="P331" s="21">
        <v>1</v>
      </c>
      <c r="Q331" s="21">
        <v>1</v>
      </c>
      <c r="R331" s="21" t="str">
        <f>IF(Q331&gt;=outliers!I333,"High",IF(Q331&lt;=outliers!I332,"Low","Moderate"))</f>
        <v>High</v>
      </c>
      <c r="S331" s="8" t="str">
        <f>IF(OR(Q331&lt;outliers!$I$6,Q331&gt;outliers!$I$7),"Outlier","Normal")</f>
        <v>Normal</v>
      </c>
      <c r="T331" s="8" t="str">
        <f>IF(OR(L331&lt;outliers!$J$6,L331&gt;outliers!$J$7),"Outlier","Normal")</f>
        <v>Normal</v>
      </c>
      <c r="U331" s="8" t="str">
        <f>IF(OR(M331&lt;outliers!$K$6,M331&gt;outliers!$K$7),"Outlier","Normal")</f>
        <v>Normal</v>
      </c>
    </row>
    <row r="332" spans="1:21">
      <c r="A332" s="21">
        <v>331</v>
      </c>
      <c r="B332" s="68">
        <v>40558</v>
      </c>
      <c r="C332" s="22" t="b">
        <v>0</v>
      </c>
      <c r="D332" s="21" t="str">
        <f t="shared" si="5"/>
        <v>Saturday</v>
      </c>
      <c r="E332" s="23">
        <v>0.16669999999999999</v>
      </c>
      <c r="F332" s="23">
        <f>YEAR('Merged raw data'!$B332)</f>
        <v>2011</v>
      </c>
      <c r="G332" s="23" t="str">
        <f>TEXT('Merged raw data'!$B332,"mmmm")</f>
        <v>January</v>
      </c>
      <c r="H332" s="37" t="str">
        <f>TEXT(TIME('Merged raw data'!F332,0,0),"h AM/PM")</f>
        <v>6 AM</v>
      </c>
      <c r="I332" s="23" t="str">
        <f>IF(OR('Merged raw data'!H332=1,'Merged raw data'!H332=2,'Merged raw data'!H332=3,'Merged raw data'!H332=4,'Merged raw data'!H332=5),"weekday","weekend")</f>
        <v>weekend</v>
      </c>
      <c r="J332" s="23" t="s">
        <v>23</v>
      </c>
      <c r="K332" s="23" t="str">
        <f>IF('Merged raw data'!I332=1,"Clear",IF('Merged raw data'!I332=2,"Mist",IF('Merged raw data'!I332=3,"Rain",IF('Merged raw data'!I332=4,"Storm","NA"))))</f>
        <v>Clear</v>
      </c>
      <c r="L332" s="24">
        <v>0.63</v>
      </c>
      <c r="M332" s="24">
        <v>0.1045</v>
      </c>
      <c r="N332" s="21">
        <f>'Merged raw data'!$J332*100</f>
        <v>14.000000000000002</v>
      </c>
      <c r="O332" s="21">
        <v>1</v>
      </c>
      <c r="P332" s="21">
        <v>2</v>
      </c>
      <c r="Q332" s="21">
        <v>3</v>
      </c>
      <c r="R332" s="21" t="str">
        <f>IF(Q332&gt;=outliers!I334,"High",IF(Q332&lt;=outliers!I333,"Low","Moderate"))</f>
        <v>High</v>
      </c>
      <c r="S332" s="8" t="str">
        <f>IF(OR(Q332&lt;outliers!$I$6,Q332&gt;outliers!$I$7),"Outlier","Normal")</f>
        <v>Normal</v>
      </c>
      <c r="T332" s="8" t="str">
        <f>IF(OR(L332&lt;outliers!$J$6,L332&gt;outliers!$J$7),"Outlier","Normal")</f>
        <v>Normal</v>
      </c>
      <c r="U332" s="8" t="str">
        <f>IF(OR(M332&lt;outliers!$K$6,M332&gt;outliers!$K$7),"Outlier","Normal")</f>
        <v>Normal</v>
      </c>
    </row>
    <row r="333" spans="1:21">
      <c r="A333" s="21">
        <v>332</v>
      </c>
      <c r="B333" s="68">
        <v>40558</v>
      </c>
      <c r="C333" s="22" t="b">
        <v>0</v>
      </c>
      <c r="D333" s="21" t="str">
        <f t="shared" si="5"/>
        <v>Saturday</v>
      </c>
      <c r="E333" s="23">
        <v>0.21210000000000001</v>
      </c>
      <c r="F333" s="23">
        <f>YEAR('Merged raw data'!$B333)</f>
        <v>2011</v>
      </c>
      <c r="G333" s="23" t="str">
        <f>TEXT('Merged raw data'!$B333,"mmmm")</f>
        <v>January</v>
      </c>
      <c r="H333" s="37" t="str">
        <f>TEXT(TIME('Merged raw data'!F333,0,0),"h AM/PM")</f>
        <v>7 AM</v>
      </c>
      <c r="I333" s="23" t="str">
        <f>IF(OR('Merged raw data'!H333=1,'Merged raw data'!H333=2,'Merged raw data'!H333=3,'Merged raw data'!H333=4,'Merged raw data'!H333=5),"weekday","weekend")</f>
        <v>weekend</v>
      </c>
      <c r="J333" s="23" t="s">
        <v>23</v>
      </c>
      <c r="K333" s="23" t="str">
        <f>IF('Merged raw data'!I333=1,"Clear",IF('Merged raw data'!I333=2,"Mist",IF('Merged raw data'!I333=3,"Rain",IF('Merged raw data'!I333=4,"Storm","NA"))))</f>
        <v>Clear</v>
      </c>
      <c r="L333" s="24">
        <v>0.63</v>
      </c>
      <c r="M333" s="24">
        <v>0.23</v>
      </c>
      <c r="N333" s="21">
        <f>'Merged raw data'!$J333*100</f>
        <v>14.000000000000002</v>
      </c>
      <c r="O333" s="21">
        <v>1</v>
      </c>
      <c r="P333" s="21">
        <v>9</v>
      </c>
      <c r="Q333" s="21">
        <v>10</v>
      </c>
      <c r="R333" s="21" t="str">
        <f>IF(Q333&gt;=outliers!I335,"High",IF(Q333&lt;=outliers!I334,"Low","Moderate"))</f>
        <v>High</v>
      </c>
      <c r="S333" s="8" t="str">
        <f>IF(OR(Q333&lt;outliers!$I$6,Q333&gt;outliers!$I$7),"Outlier","Normal")</f>
        <v>Normal</v>
      </c>
      <c r="T333" s="8" t="str">
        <f>IF(OR(L333&lt;outliers!$J$6,L333&gt;outliers!$J$7),"Outlier","Normal")</f>
        <v>Normal</v>
      </c>
      <c r="U333" s="8" t="str">
        <f>IF(OR(M333&lt;outliers!$K$6,M333&gt;outliers!$K$7),"Outlier","Normal")</f>
        <v>Normal</v>
      </c>
    </row>
    <row r="334" spans="1:21">
      <c r="A334" s="21">
        <v>333</v>
      </c>
      <c r="B334" s="68">
        <v>40558</v>
      </c>
      <c r="C334" s="22" t="b">
        <v>0</v>
      </c>
      <c r="D334" s="21" t="str">
        <f t="shared" si="5"/>
        <v>Saturday</v>
      </c>
      <c r="E334" s="23">
        <v>0.1515</v>
      </c>
      <c r="F334" s="23">
        <f>YEAR('Merged raw data'!$B334)</f>
        <v>2011</v>
      </c>
      <c r="G334" s="23" t="str">
        <f>TEXT('Merged raw data'!$B334,"mmmm")</f>
        <v>January</v>
      </c>
      <c r="H334" s="37" t="str">
        <f>TEXT(TIME('Merged raw data'!F334,0,0),"h AM/PM")</f>
        <v>8 AM</v>
      </c>
      <c r="I334" s="23" t="str">
        <f>IF(OR('Merged raw data'!H334=1,'Merged raw data'!H334=2,'Merged raw data'!H334=3,'Merged raw data'!H334=4,'Merged raw data'!H334=5),"weekday","weekend")</f>
        <v>weekend</v>
      </c>
      <c r="J334" s="23" t="s">
        <v>23</v>
      </c>
      <c r="K334" s="23" t="str">
        <f>IF('Merged raw data'!I334=1,"Clear",IF('Merged raw data'!I334=2,"Mist",IF('Merged raw data'!I334=3,"Rain",IF('Merged raw data'!I334=4,"Storm","NA"))))</f>
        <v>Clear</v>
      </c>
      <c r="L334" s="24">
        <v>0.63</v>
      </c>
      <c r="M334" s="24">
        <v>0.1343</v>
      </c>
      <c r="N334" s="21">
        <f>'Merged raw data'!$J334*100</f>
        <v>14.000000000000002</v>
      </c>
      <c r="O334" s="21">
        <v>1</v>
      </c>
      <c r="P334" s="21">
        <v>22</v>
      </c>
      <c r="Q334" s="21">
        <v>23</v>
      </c>
      <c r="R334" s="21" t="str">
        <f>IF(Q334&gt;=outliers!I336,"High",IF(Q334&lt;=outliers!I335,"Low","Moderate"))</f>
        <v>High</v>
      </c>
      <c r="S334" s="8" t="str">
        <f>IF(OR(Q334&lt;outliers!$I$6,Q334&gt;outliers!$I$7),"Outlier","Normal")</f>
        <v>Normal</v>
      </c>
      <c r="T334" s="8" t="str">
        <f>IF(OR(L334&lt;outliers!$J$6,L334&gt;outliers!$J$7),"Outlier","Normal")</f>
        <v>Normal</v>
      </c>
      <c r="U334" s="8" t="str">
        <f>IF(OR(M334&lt;outliers!$K$6,M334&gt;outliers!$K$7),"Outlier","Normal")</f>
        <v>Normal</v>
      </c>
    </row>
    <row r="335" spans="1:21">
      <c r="A335" s="21">
        <v>334</v>
      </c>
      <c r="B335" s="68">
        <v>40558</v>
      </c>
      <c r="C335" s="22" t="b">
        <v>0</v>
      </c>
      <c r="D335" s="21" t="str">
        <f t="shared" si="5"/>
        <v>Saturday</v>
      </c>
      <c r="E335" s="23">
        <v>0.18179999999999999</v>
      </c>
      <c r="F335" s="23">
        <f>YEAR('Merged raw data'!$B335)</f>
        <v>2011</v>
      </c>
      <c r="G335" s="23" t="str">
        <f>TEXT('Merged raw data'!$B335,"mmmm")</f>
        <v>January</v>
      </c>
      <c r="H335" s="37" t="str">
        <f>TEXT(TIME('Merged raw data'!F335,0,0),"h AM/PM")</f>
        <v>9 AM</v>
      </c>
      <c r="I335" s="23" t="str">
        <f>IF(OR('Merged raw data'!H335=1,'Merged raw data'!H335=2,'Merged raw data'!H335=3,'Merged raw data'!H335=4,'Merged raw data'!H335=5),"weekday","weekend")</f>
        <v>weekend</v>
      </c>
      <c r="J335" s="23" t="s">
        <v>23</v>
      </c>
      <c r="K335" s="23" t="str">
        <f>IF('Merged raw data'!I335=1,"Clear",IF('Merged raw data'!I335=2,"Mist",IF('Merged raw data'!I335=3,"Rain",IF('Merged raw data'!I335=4,"Storm","NA"))))</f>
        <v>Clear</v>
      </c>
      <c r="L335" s="24">
        <v>0.64</v>
      </c>
      <c r="M335" s="24">
        <v>0.1343</v>
      </c>
      <c r="N335" s="21">
        <f>'Merged raw data'!$J335*100</f>
        <v>16</v>
      </c>
      <c r="O335" s="21">
        <v>2</v>
      </c>
      <c r="P335" s="21">
        <v>31</v>
      </c>
      <c r="Q335" s="21">
        <v>33</v>
      </c>
      <c r="R335" s="21" t="str">
        <f>IF(Q335&gt;=outliers!I337,"High",IF(Q335&lt;=outliers!I336,"Low","Moderate"))</f>
        <v>High</v>
      </c>
      <c r="S335" s="8" t="str">
        <f>IF(OR(Q335&lt;outliers!$I$6,Q335&gt;outliers!$I$7),"Outlier","Normal")</f>
        <v>Normal</v>
      </c>
      <c r="T335" s="8" t="str">
        <f>IF(OR(L335&lt;outliers!$J$6,L335&gt;outliers!$J$7),"Outlier","Normal")</f>
        <v>Normal</v>
      </c>
      <c r="U335" s="8" t="str">
        <f>IF(OR(M335&lt;outliers!$K$6,M335&gt;outliers!$K$7),"Outlier","Normal")</f>
        <v>Normal</v>
      </c>
    </row>
    <row r="336" spans="1:21">
      <c r="A336" s="21">
        <v>335</v>
      </c>
      <c r="B336" s="68">
        <v>40558</v>
      </c>
      <c r="C336" s="22" t="b">
        <v>0</v>
      </c>
      <c r="D336" s="21" t="str">
        <f t="shared" si="5"/>
        <v>Saturday</v>
      </c>
      <c r="E336" s="23">
        <v>0.19700000000000001</v>
      </c>
      <c r="F336" s="23">
        <f>YEAR('Merged raw data'!$B336)</f>
        <v>2011</v>
      </c>
      <c r="G336" s="23" t="str">
        <f>TEXT('Merged raw data'!$B336,"mmmm")</f>
        <v>January</v>
      </c>
      <c r="H336" s="37" t="str">
        <f>TEXT(TIME('Merged raw data'!F336,0,0),"h AM/PM")</f>
        <v>10 AM</v>
      </c>
      <c r="I336" s="23" t="str">
        <f>IF(OR('Merged raw data'!H336=1,'Merged raw data'!H336=2,'Merged raw data'!H336=3,'Merged raw data'!H336=4,'Merged raw data'!H336=5),"weekday","weekend")</f>
        <v>weekend</v>
      </c>
      <c r="J336" s="23" t="s">
        <v>23</v>
      </c>
      <c r="K336" s="23" t="str">
        <f>IF('Merged raw data'!I336=1,"Clear",IF('Merged raw data'!I336=2,"Mist",IF('Merged raw data'!I336=3,"Rain",IF('Merged raw data'!I336=4,"Storm","NA"))))</f>
        <v>Clear</v>
      </c>
      <c r="L336" s="24">
        <v>0.59</v>
      </c>
      <c r="M336" s="24">
        <v>0.16420000000000001</v>
      </c>
      <c r="N336" s="21">
        <f>'Merged raw data'!$J336*100</f>
        <v>18</v>
      </c>
      <c r="O336" s="21">
        <v>2</v>
      </c>
      <c r="P336" s="21">
        <v>57</v>
      </c>
      <c r="Q336" s="21">
        <v>59</v>
      </c>
      <c r="R336" s="21" t="str">
        <f>IF(Q336&gt;=outliers!I338,"High",IF(Q336&lt;=outliers!I337,"Low","Moderate"))</f>
        <v>High</v>
      </c>
      <c r="S336" s="8" t="str">
        <f>IF(OR(Q336&lt;outliers!$I$6,Q336&gt;outliers!$I$7),"Outlier","Normal")</f>
        <v>Normal</v>
      </c>
      <c r="T336" s="8" t="str">
        <f>IF(OR(L336&lt;outliers!$J$6,L336&gt;outliers!$J$7),"Outlier","Normal")</f>
        <v>Normal</v>
      </c>
      <c r="U336" s="8" t="str">
        <f>IF(OR(M336&lt;outliers!$K$6,M336&gt;outliers!$K$7),"Outlier","Normal")</f>
        <v>Normal</v>
      </c>
    </row>
    <row r="337" spans="1:21">
      <c r="A337" s="21">
        <v>336</v>
      </c>
      <c r="B337" s="68">
        <v>40558</v>
      </c>
      <c r="C337" s="22" t="b">
        <v>0</v>
      </c>
      <c r="D337" s="21" t="str">
        <f t="shared" si="5"/>
        <v>Saturday</v>
      </c>
      <c r="E337" s="23">
        <v>0.19700000000000001</v>
      </c>
      <c r="F337" s="23">
        <f>YEAR('Merged raw data'!$B337)</f>
        <v>2011</v>
      </c>
      <c r="G337" s="23" t="str">
        <f>TEXT('Merged raw data'!$B337,"mmmm")</f>
        <v>January</v>
      </c>
      <c r="H337" s="37" t="str">
        <f>TEXT(TIME('Merged raw data'!F337,0,0),"h AM/PM")</f>
        <v>11 AM</v>
      </c>
      <c r="I337" s="23" t="str">
        <f>IF(OR('Merged raw data'!H337=1,'Merged raw data'!H337=2,'Merged raw data'!H337=3,'Merged raw data'!H337=4,'Merged raw data'!H337=5),"weekday","weekend")</f>
        <v>weekend</v>
      </c>
      <c r="J337" s="23" t="s">
        <v>23</v>
      </c>
      <c r="K337" s="23" t="str">
        <f>IF('Merged raw data'!I337=1,"Clear",IF('Merged raw data'!I337=2,"Mist",IF('Merged raw data'!I337=3,"Rain",IF('Merged raw data'!I337=4,"Storm","NA"))))</f>
        <v>Clear</v>
      </c>
      <c r="L337" s="24">
        <v>0.55000000000000004</v>
      </c>
      <c r="M337" s="24">
        <v>0.22389999999999999</v>
      </c>
      <c r="N337" s="21">
        <f>'Merged raw data'!$J337*100</f>
        <v>20</v>
      </c>
      <c r="O337" s="21">
        <v>18</v>
      </c>
      <c r="P337" s="21">
        <v>54</v>
      </c>
      <c r="Q337" s="21">
        <v>72</v>
      </c>
      <c r="R337" s="21" t="str">
        <f>IF(Q337&gt;=outliers!I339,"High",IF(Q337&lt;=outliers!I338,"Low","Moderate"))</f>
        <v>High</v>
      </c>
      <c r="S337" s="8" t="str">
        <f>IF(OR(Q337&lt;outliers!$I$6,Q337&gt;outliers!$I$7),"Outlier","Normal")</f>
        <v>Normal</v>
      </c>
      <c r="T337" s="8" t="str">
        <f>IF(OR(L337&lt;outliers!$J$6,L337&gt;outliers!$J$7),"Outlier","Normal")</f>
        <v>Normal</v>
      </c>
      <c r="U337" s="8" t="str">
        <f>IF(OR(M337&lt;outliers!$K$6,M337&gt;outliers!$K$7),"Outlier","Normal")</f>
        <v>Normal</v>
      </c>
    </row>
    <row r="338" spans="1:21">
      <c r="A338" s="21">
        <v>337</v>
      </c>
      <c r="B338" s="68">
        <v>40558</v>
      </c>
      <c r="C338" s="22" t="b">
        <v>0</v>
      </c>
      <c r="D338" s="21" t="str">
        <f t="shared" si="5"/>
        <v>Saturday</v>
      </c>
      <c r="E338" s="23">
        <v>0.2273</v>
      </c>
      <c r="F338" s="23">
        <f>YEAR('Merged raw data'!$B338)</f>
        <v>2011</v>
      </c>
      <c r="G338" s="23" t="str">
        <f>TEXT('Merged raw data'!$B338,"mmmm")</f>
        <v>January</v>
      </c>
      <c r="H338" s="37" t="str">
        <f>TEXT(TIME('Merged raw data'!F338,0,0),"h AM/PM")</f>
        <v>12 PM</v>
      </c>
      <c r="I338" s="23" t="str">
        <f>IF(OR('Merged raw data'!H338=1,'Merged raw data'!H338=2,'Merged raw data'!H338=3,'Merged raw data'!H338=4,'Merged raw data'!H338=5),"weekday","weekend")</f>
        <v>weekend</v>
      </c>
      <c r="J338" s="23" t="s">
        <v>23</v>
      </c>
      <c r="K338" s="23" t="str">
        <f>IF('Merged raw data'!I338=1,"Clear",IF('Merged raw data'!I338=2,"Mist",IF('Merged raw data'!I338=3,"Rain",IF('Merged raw data'!I338=4,"Storm","NA"))))</f>
        <v>Clear</v>
      </c>
      <c r="L338" s="24">
        <v>0.48</v>
      </c>
      <c r="M338" s="24">
        <v>0.22389999999999999</v>
      </c>
      <c r="N338" s="21">
        <f>'Merged raw data'!$J338*100</f>
        <v>24</v>
      </c>
      <c r="O338" s="21">
        <v>15</v>
      </c>
      <c r="P338" s="21">
        <v>74</v>
      </c>
      <c r="Q338" s="21">
        <v>89</v>
      </c>
      <c r="R338" s="21" t="str">
        <f>IF(Q338&gt;=outliers!I340,"High",IF(Q338&lt;=outliers!I339,"Low","Moderate"))</f>
        <v>High</v>
      </c>
      <c r="S338" s="8" t="str">
        <f>IF(OR(Q338&lt;outliers!$I$6,Q338&gt;outliers!$I$7),"Outlier","Normal")</f>
        <v>Normal</v>
      </c>
      <c r="T338" s="8" t="str">
        <f>IF(OR(L338&lt;outliers!$J$6,L338&gt;outliers!$J$7),"Outlier","Normal")</f>
        <v>Normal</v>
      </c>
      <c r="U338" s="8" t="str">
        <f>IF(OR(M338&lt;outliers!$K$6,M338&gt;outliers!$K$7),"Outlier","Normal")</f>
        <v>Normal</v>
      </c>
    </row>
    <row r="339" spans="1:21">
      <c r="A339" s="21">
        <v>338</v>
      </c>
      <c r="B339" s="68">
        <v>40558</v>
      </c>
      <c r="C339" s="22" t="b">
        <v>0</v>
      </c>
      <c r="D339" s="21" t="str">
        <f t="shared" si="5"/>
        <v>Saturday</v>
      </c>
      <c r="E339" s="23">
        <v>0.2576</v>
      </c>
      <c r="F339" s="23">
        <f>YEAR('Merged raw data'!$B339)</f>
        <v>2011</v>
      </c>
      <c r="G339" s="23" t="str">
        <f>TEXT('Merged raw data'!$B339,"mmmm")</f>
        <v>January</v>
      </c>
      <c r="H339" s="37" t="str">
        <f>TEXT(TIME('Merged raw data'!F339,0,0),"h AM/PM")</f>
        <v>1 PM</v>
      </c>
      <c r="I339" s="23" t="str">
        <f>IF(OR('Merged raw data'!H339=1,'Merged raw data'!H339=2,'Merged raw data'!H339=3,'Merged raw data'!H339=4,'Merged raw data'!H339=5),"weekday","weekend")</f>
        <v>weekend</v>
      </c>
      <c r="J339" s="23" t="s">
        <v>23</v>
      </c>
      <c r="K339" s="23" t="str">
        <f>IF('Merged raw data'!I339=1,"Clear",IF('Merged raw data'!I339=2,"Mist",IF('Merged raw data'!I339=3,"Rain",IF('Merged raw data'!I339=4,"Storm","NA"))))</f>
        <v>Clear</v>
      </c>
      <c r="L339" s="24">
        <v>0.38</v>
      </c>
      <c r="M339" s="24">
        <v>0.29849999999999999</v>
      </c>
      <c r="N339" s="21">
        <f>'Merged raw data'!$J339*100</f>
        <v>28.000000000000004</v>
      </c>
      <c r="O339" s="21">
        <v>21</v>
      </c>
      <c r="P339" s="21">
        <v>80</v>
      </c>
      <c r="Q339" s="21">
        <v>101</v>
      </c>
      <c r="R339" s="21" t="str">
        <f>IF(Q339&gt;=outliers!I341,"High",IF(Q339&lt;=outliers!I340,"Low","Moderate"))</f>
        <v>High</v>
      </c>
      <c r="S339" s="8" t="str">
        <f>IF(OR(Q339&lt;outliers!$I$6,Q339&gt;outliers!$I$7),"Outlier","Normal")</f>
        <v>Normal</v>
      </c>
      <c r="T339" s="8" t="str">
        <f>IF(OR(L339&lt;outliers!$J$6,L339&gt;outliers!$J$7),"Outlier","Normal")</f>
        <v>Normal</v>
      </c>
      <c r="U339" s="8" t="str">
        <f>IF(OR(M339&lt;outliers!$K$6,M339&gt;outliers!$K$7),"Outlier","Normal")</f>
        <v>Normal</v>
      </c>
    </row>
    <row r="340" spans="1:21">
      <c r="A340" s="21">
        <v>339</v>
      </c>
      <c r="B340" s="68">
        <v>40558</v>
      </c>
      <c r="C340" s="22" t="b">
        <v>0</v>
      </c>
      <c r="D340" s="21" t="str">
        <f t="shared" si="5"/>
        <v>Saturday</v>
      </c>
      <c r="E340" s="23">
        <v>0.28789999999999999</v>
      </c>
      <c r="F340" s="23">
        <f>YEAR('Merged raw data'!$B340)</f>
        <v>2011</v>
      </c>
      <c r="G340" s="23" t="str">
        <f>TEXT('Merged raw data'!$B340,"mmmm")</f>
        <v>January</v>
      </c>
      <c r="H340" s="37" t="str">
        <f>TEXT(TIME('Merged raw data'!F340,0,0),"h AM/PM")</f>
        <v>2 PM</v>
      </c>
      <c r="I340" s="23" t="str">
        <f>IF(OR('Merged raw data'!H340=1,'Merged raw data'!H340=2,'Merged raw data'!H340=3,'Merged raw data'!H340=4,'Merged raw data'!H340=5),"weekday","weekend")</f>
        <v>weekend</v>
      </c>
      <c r="J340" s="23" t="s">
        <v>23</v>
      </c>
      <c r="K340" s="23" t="str">
        <f>IF('Merged raw data'!I340=1,"Clear",IF('Merged raw data'!I340=2,"Mist",IF('Merged raw data'!I340=3,"Rain",IF('Merged raw data'!I340=4,"Storm","NA"))))</f>
        <v>Clear</v>
      </c>
      <c r="L340" s="24">
        <v>0.39</v>
      </c>
      <c r="M340" s="24">
        <v>0.28360000000000002</v>
      </c>
      <c r="N340" s="21">
        <f>'Merged raw data'!$J340*100</f>
        <v>30</v>
      </c>
      <c r="O340" s="21">
        <v>26</v>
      </c>
      <c r="P340" s="21">
        <v>92</v>
      </c>
      <c r="Q340" s="21">
        <v>118</v>
      </c>
      <c r="R340" s="21" t="str">
        <f>IF(Q340&gt;=outliers!I342,"High",IF(Q340&lt;=outliers!I341,"Low","Moderate"))</f>
        <v>High</v>
      </c>
      <c r="S340" s="8" t="str">
        <f>IF(OR(Q340&lt;outliers!$I$6,Q340&gt;outliers!$I$7),"Outlier","Normal")</f>
        <v>Normal</v>
      </c>
      <c r="T340" s="8" t="str">
        <f>IF(OR(L340&lt;outliers!$J$6,L340&gt;outliers!$J$7),"Outlier","Normal")</f>
        <v>Normal</v>
      </c>
      <c r="U340" s="8" t="str">
        <f>IF(OR(M340&lt;outliers!$K$6,M340&gt;outliers!$K$7),"Outlier","Normal")</f>
        <v>Normal</v>
      </c>
    </row>
    <row r="341" spans="1:21">
      <c r="A341" s="21">
        <v>340</v>
      </c>
      <c r="B341" s="68">
        <v>40558</v>
      </c>
      <c r="C341" s="22" t="b">
        <v>0</v>
      </c>
      <c r="D341" s="21" t="str">
        <f t="shared" si="5"/>
        <v>Saturday</v>
      </c>
      <c r="E341" s="23">
        <v>0.31819999999999998</v>
      </c>
      <c r="F341" s="23">
        <f>YEAR('Merged raw data'!$B341)</f>
        <v>2011</v>
      </c>
      <c r="G341" s="23" t="str">
        <f>TEXT('Merged raw data'!$B341,"mmmm")</f>
        <v>January</v>
      </c>
      <c r="H341" s="37" t="str">
        <f>TEXT(TIME('Merged raw data'!F341,0,0),"h AM/PM")</f>
        <v>3 PM</v>
      </c>
      <c r="I341" s="23" t="str">
        <f>IF(OR('Merged raw data'!H341=1,'Merged raw data'!H341=2,'Merged raw data'!H341=3,'Merged raw data'!H341=4,'Merged raw data'!H341=5),"weekday","weekend")</f>
        <v>weekend</v>
      </c>
      <c r="J341" s="23" t="s">
        <v>23</v>
      </c>
      <c r="K341" s="23" t="str">
        <f>IF('Merged raw data'!I341=1,"Clear",IF('Merged raw data'!I341=2,"Mist",IF('Merged raw data'!I341=3,"Rain",IF('Merged raw data'!I341=4,"Storm","NA"))))</f>
        <v>Mist</v>
      </c>
      <c r="L341" s="24">
        <v>0.36</v>
      </c>
      <c r="M341" s="24">
        <v>0.19400000000000001</v>
      </c>
      <c r="N341" s="21">
        <f>'Merged raw data'!$J341*100</f>
        <v>32</v>
      </c>
      <c r="O341" s="21">
        <v>21</v>
      </c>
      <c r="P341" s="21">
        <v>108</v>
      </c>
      <c r="Q341" s="21">
        <v>129</v>
      </c>
      <c r="R341" s="21" t="str">
        <f>IF(Q341&gt;=outliers!I343,"High",IF(Q341&lt;=outliers!I342,"Low","Moderate"))</f>
        <v>High</v>
      </c>
      <c r="S341" s="8" t="str">
        <f>IF(OR(Q341&lt;outliers!$I$6,Q341&gt;outliers!$I$7),"Outlier","Normal")</f>
        <v>Normal</v>
      </c>
      <c r="T341" s="8" t="str">
        <f>IF(OR(L341&lt;outliers!$J$6,L341&gt;outliers!$J$7),"Outlier","Normal")</f>
        <v>Normal</v>
      </c>
      <c r="U341" s="8" t="str">
        <f>IF(OR(M341&lt;outliers!$K$6,M341&gt;outliers!$K$7),"Outlier","Normal")</f>
        <v>Normal</v>
      </c>
    </row>
    <row r="342" spans="1:21">
      <c r="A342" s="21">
        <v>341</v>
      </c>
      <c r="B342" s="68">
        <v>40558</v>
      </c>
      <c r="C342" s="22" t="b">
        <v>0</v>
      </c>
      <c r="D342" s="21" t="str">
        <f t="shared" si="5"/>
        <v>Saturday</v>
      </c>
      <c r="E342" s="23">
        <v>0.33329999999999999</v>
      </c>
      <c r="F342" s="23">
        <f>YEAR('Merged raw data'!$B342)</f>
        <v>2011</v>
      </c>
      <c r="G342" s="23" t="str">
        <f>TEXT('Merged raw data'!$B342,"mmmm")</f>
        <v>January</v>
      </c>
      <c r="H342" s="37" t="str">
        <f>TEXT(TIME('Merged raw data'!F342,0,0),"h AM/PM")</f>
        <v>4 PM</v>
      </c>
      <c r="I342" s="23" t="str">
        <f>IF(OR('Merged raw data'!H342=1,'Merged raw data'!H342=2,'Merged raw data'!H342=3,'Merged raw data'!H342=4,'Merged raw data'!H342=5),"weekday","weekend")</f>
        <v>weekend</v>
      </c>
      <c r="J342" s="23" t="s">
        <v>23</v>
      </c>
      <c r="K342" s="23" t="str">
        <f>IF('Merged raw data'!I342=1,"Clear",IF('Merged raw data'!I342=2,"Mist",IF('Merged raw data'!I342=3,"Rain",IF('Merged raw data'!I342=4,"Storm","NA"))))</f>
        <v>Mist</v>
      </c>
      <c r="L342" s="24">
        <v>0.34</v>
      </c>
      <c r="M342" s="24">
        <v>0.19400000000000001</v>
      </c>
      <c r="N342" s="21">
        <f>'Merged raw data'!$J342*100</f>
        <v>34</v>
      </c>
      <c r="O342" s="21">
        <v>33</v>
      </c>
      <c r="P342" s="21">
        <v>95</v>
      </c>
      <c r="Q342" s="21">
        <v>128</v>
      </c>
      <c r="R342" s="21" t="str">
        <f>IF(Q342&gt;=outliers!I344,"High",IF(Q342&lt;=outliers!I343,"Low","Moderate"))</f>
        <v>High</v>
      </c>
      <c r="S342" s="8" t="str">
        <f>IF(OR(Q342&lt;outliers!$I$6,Q342&gt;outliers!$I$7),"Outlier","Normal")</f>
        <v>Normal</v>
      </c>
      <c r="T342" s="8" t="str">
        <f>IF(OR(L342&lt;outliers!$J$6,L342&gt;outliers!$J$7),"Outlier","Normal")</f>
        <v>Normal</v>
      </c>
      <c r="U342" s="8" t="str">
        <f>IF(OR(M342&lt;outliers!$K$6,M342&gt;outliers!$K$7),"Outlier","Normal")</f>
        <v>Normal</v>
      </c>
    </row>
    <row r="343" spans="1:21">
      <c r="A343" s="21">
        <v>342</v>
      </c>
      <c r="B343" s="68">
        <v>40558</v>
      </c>
      <c r="C343" s="22" t="b">
        <v>0</v>
      </c>
      <c r="D343" s="21" t="str">
        <f t="shared" si="5"/>
        <v>Saturday</v>
      </c>
      <c r="E343" s="23">
        <v>0.30299999999999999</v>
      </c>
      <c r="F343" s="23">
        <f>YEAR('Merged raw data'!$B343)</f>
        <v>2011</v>
      </c>
      <c r="G343" s="23" t="str">
        <f>TEXT('Merged raw data'!$B343,"mmmm")</f>
        <v>January</v>
      </c>
      <c r="H343" s="37" t="str">
        <f>TEXT(TIME('Merged raw data'!F343,0,0),"h AM/PM")</f>
        <v>5 PM</v>
      </c>
      <c r="I343" s="23" t="str">
        <f>IF(OR('Merged raw data'!H343=1,'Merged raw data'!H343=2,'Merged raw data'!H343=3,'Merged raw data'!H343=4,'Merged raw data'!H343=5),"weekday","weekend")</f>
        <v>weekend</v>
      </c>
      <c r="J343" s="23" t="s">
        <v>23</v>
      </c>
      <c r="K343" s="23" t="str">
        <f>IF('Merged raw data'!I343=1,"Clear",IF('Merged raw data'!I343=2,"Mist",IF('Merged raw data'!I343=3,"Rain",IF('Merged raw data'!I343=4,"Storm","NA"))))</f>
        <v>Mist</v>
      </c>
      <c r="L343" s="24">
        <v>0.36</v>
      </c>
      <c r="M343" s="24">
        <v>0.28360000000000002</v>
      </c>
      <c r="N343" s="21">
        <f>'Merged raw data'!$J343*100</f>
        <v>32</v>
      </c>
      <c r="O343" s="21">
        <v>29</v>
      </c>
      <c r="P343" s="21">
        <v>54</v>
      </c>
      <c r="Q343" s="21">
        <v>83</v>
      </c>
      <c r="R343" s="21" t="str">
        <f>IF(Q343&gt;=outliers!I345,"High",IF(Q343&lt;=outliers!I344,"Low","Moderate"))</f>
        <v>High</v>
      </c>
      <c r="S343" s="8" t="str">
        <f>IF(OR(Q343&lt;outliers!$I$6,Q343&gt;outliers!$I$7),"Outlier","Normal")</f>
        <v>Normal</v>
      </c>
      <c r="T343" s="8" t="str">
        <f>IF(OR(L343&lt;outliers!$J$6,L343&gt;outliers!$J$7),"Outlier","Normal")</f>
        <v>Normal</v>
      </c>
      <c r="U343" s="8" t="str">
        <f>IF(OR(M343&lt;outliers!$K$6,M343&gt;outliers!$K$7),"Outlier","Normal")</f>
        <v>Normal</v>
      </c>
    </row>
    <row r="344" spans="1:21">
      <c r="A344" s="21">
        <v>343</v>
      </c>
      <c r="B344" s="68">
        <v>40558</v>
      </c>
      <c r="C344" s="22" t="b">
        <v>0</v>
      </c>
      <c r="D344" s="21" t="str">
        <f t="shared" si="5"/>
        <v>Saturday</v>
      </c>
      <c r="E344" s="23">
        <v>0.28789999999999999</v>
      </c>
      <c r="F344" s="23">
        <f>YEAR('Merged raw data'!$B344)</f>
        <v>2011</v>
      </c>
      <c r="G344" s="23" t="str">
        <f>TEXT('Merged raw data'!$B344,"mmmm")</f>
        <v>January</v>
      </c>
      <c r="H344" s="37" t="str">
        <f>TEXT(TIME('Merged raw data'!F344,0,0),"h AM/PM")</f>
        <v>6 PM</v>
      </c>
      <c r="I344" s="23" t="str">
        <f>IF(OR('Merged raw data'!H344=1,'Merged raw data'!H344=2,'Merged raw data'!H344=3,'Merged raw data'!H344=4,'Merged raw data'!H344=5),"weekday","weekend")</f>
        <v>weekend</v>
      </c>
      <c r="J344" s="23" t="s">
        <v>23</v>
      </c>
      <c r="K344" s="23" t="str">
        <f>IF('Merged raw data'!I344=1,"Clear",IF('Merged raw data'!I344=2,"Mist",IF('Merged raw data'!I344=3,"Rain",IF('Merged raw data'!I344=4,"Storm","NA"))))</f>
        <v>Mist</v>
      </c>
      <c r="L344" s="24">
        <v>0.45</v>
      </c>
      <c r="M344" s="24">
        <v>0.25369999999999998</v>
      </c>
      <c r="N344" s="21">
        <f>'Merged raw data'!$J344*100</f>
        <v>30</v>
      </c>
      <c r="O344" s="21">
        <v>15</v>
      </c>
      <c r="P344" s="21">
        <v>69</v>
      </c>
      <c r="Q344" s="21">
        <v>84</v>
      </c>
      <c r="R344" s="21" t="str">
        <f>IF(Q344&gt;=outliers!I346,"High",IF(Q344&lt;=outliers!I345,"Low","Moderate"))</f>
        <v>High</v>
      </c>
      <c r="S344" s="8" t="str">
        <f>IF(OR(Q344&lt;outliers!$I$6,Q344&gt;outliers!$I$7),"Outlier","Normal")</f>
        <v>Normal</v>
      </c>
      <c r="T344" s="8" t="str">
        <f>IF(OR(L344&lt;outliers!$J$6,L344&gt;outliers!$J$7),"Outlier","Normal")</f>
        <v>Normal</v>
      </c>
      <c r="U344" s="8" t="str">
        <f>IF(OR(M344&lt;outliers!$K$6,M344&gt;outliers!$K$7),"Outlier","Normal")</f>
        <v>Normal</v>
      </c>
    </row>
    <row r="345" spans="1:21">
      <c r="A345" s="21">
        <v>344</v>
      </c>
      <c r="B345" s="68">
        <v>40558</v>
      </c>
      <c r="C345" s="22" t="b">
        <v>0</v>
      </c>
      <c r="D345" s="21" t="str">
        <f t="shared" si="5"/>
        <v>Saturday</v>
      </c>
      <c r="E345" s="23">
        <v>0.30299999999999999</v>
      </c>
      <c r="F345" s="23">
        <f>YEAR('Merged raw data'!$B345)</f>
        <v>2011</v>
      </c>
      <c r="G345" s="23" t="str">
        <f>TEXT('Merged raw data'!$B345,"mmmm")</f>
        <v>January</v>
      </c>
      <c r="H345" s="37" t="str">
        <f>TEXT(TIME('Merged raw data'!F345,0,0),"h AM/PM")</f>
        <v>7 PM</v>
      </c>
      <c r="I345" s="23" t="str">
        <f>IF(OR('Merged raw data'!H345=1,'Merged raw data'!H345=2,'Merged raw data'!H345=3,'Merged raw data'!H345=4,'Merged raw data'!H345=5),"weekday","weekend")</f>
        <v>weekend</v>
      </c>
      <c r="J345" s="23" t="s">
        <v>23</v>
      </c>
      <c r="K345" s="23" t="str">
        <f>IF('Merged raw data'!I345=1,"Clear",IF('Merged raw data'!I345=2,"Mist",IF('Merged raw data'!I345=3,"Rain",IF('Merged raw data'!I345=4,"Storm","NA"))))</f>
        <v>Mist</v>
      </c>
      <c r="L345" s="24">
        <v>0.39</v>
      </c>
      <c r="M345" s="24">
        <v>0.25369999999999998</v>
      </c>
      <c r="N345" s="21">
        <f>'Merged raw data'!$J345*100</f>
        <v>32</v>
      </c>
      <c r="O345" s="21">
        <v>14</v>
      </c>
      <c r="P345" s="21">
        <v>60</v>
      </c>
      <c r="Q345" s="21">
        <v>74</v>
      </c>
      <c r="R345" s="21" t="str">
        <f>IF(Q345&gt;=outliers!I347,"High",IF(Q345&lt;=outliers!I346,"Low","Moderate"))</f>
        <v>High</v>
      </c>
      <c r="S345" s="8" t="str">
        <f>IF(OR(Q345&lt;outliers!$I$6,Q345&gt;outliers!$I$7),"Outlier","Normal")</f>
        <v>Normal</v>
      </c>
      <c r="T345" s="8" t="str">
        <f>IF(OR(L345&lt;outliers!$J$6,L345&gt;outliers!$J$7),"Outlier","Normal")</f>
        <v>Normal</v>
      </c>
      <c r="U345" s="8" t="str">
        <f>IF(OR(M345&lt;outliers!$K$6,M345&gt;outliers!$K$7),"Outlier","Normal")</f>
        <v>Normal</v>
      </c>
    </row>
    <row r="346" spans="1:21">
      <c r="A346" s="21">
        <v>345</v>
      </c>
      <c r="B346" s="68">
        <v>40558</v>
      </c>
      <c r="C346" s="22" t="b">
        <v>0</v>
      </c>
      <c r="D346" s="21" t="str">
        <f t="shared" si="5"/>
        <v>Saturday</v>
      </c>
      <c r="E346" s="23">
        <v>0.30299999999999999</v>
      </c>
      <c r="F346" s="23">
        <f>YEAR('Merged raw data'!$B346)</f>
        <v>2011</v>
      </c>
      <c r="G346" s="23" t="str">
        <f>TEXT('Merged raw data'!$B346,"mmmm")</f>
        <v>January</v>
      </c>
      <c r="H346" s="37" t="str">
        <f>TEXT(TIME('Merged raw data'!F346,0,0),"h AM/PM")</f>
        <v>8 PM</v>
      </c>
      <c r="I346" s="23" t="str">
        <f>IF(OR('Merged raw data'!H346=1,'Merged raw data'!H346=2,'Merged raw data'!H346=3,'Merged raw data'!H346=4,'Merged raw data'!H346=5),"weekday","weekend")</f>
        <v>weekend</v>
      </c>
      <c r="J346" s="23" t="s">
        <v>23</v>
      </c>
      <c r="K346" s="23" t="str">
        <f>IF('Merged raw data'!I346=1,"Clear",IF('Merged raw data'!I346=2,"Mist",IF('Merged raw data'!I346=3,"Rain",IF('Merged raw data'!I346=4,"Storm","NA"))))</f>
        <v>Mist</v>
      </c>
      <c r="L346" s="24">
        <v>0.39</v>
      </c>
      <c r="M346" s="24">
        <v>0.25369999999999998</v>
      </c>
      <c r="N346" s="21">
        <f>'Merged raw data'!$J346*100</f>
        <v>32</v>
      </c>
      <c r="O346" s="21">
        <v>6</v>
      </c>
      <c r="P346" s="21">
        <v>35</v>
      </c>
      <c r="Q346" s="21">
        <v>41</v>
      </c>
      <c r="R346" s="21" t="str">
        <f>IF(Q346&gt;=outliers!I348,"High",IF(Q346&lt;=outliers!I347,"Low","Moderate"))</f>
        <v>High</v>
      </c>
      <c r="S346" s="8" t="str">
        <f>IF(OR(Q346&lt;outliers!$I$6,Q346&gt;outliers!$I$7),"Outlier","Normal")</f>
        <v>Normal</v>
      </c>
      <c r="T346" s="8" t="str">
        <f>IF(OR(L346&lt;outliers!$J$6,L346&gt;outliers!$J$7),"Outlier","Normal")</f>
        <v>Normal</v>
      </c>
      <c r="U346" s="8" t="str">
        <f>IF(OR(M346&lt;outliers!$K$6,M346&gt;outliers!$K$7),"Outlier","Normal")</f>
        <v>Normal</v>
      </c>
    </row>
    <row r="347" spans="1:21">
      <c r="A347" s="21">
        <v>346</v>
      </c>
      <c r="B347" s="68">
        <v>40558</v>
      </c>
      <c r="C347" s="22" t="b">
        <v>0</v>
      </c>
      <c r="D347" s="21" t="str">
        <f t="shared" si="5"/>
        <v>Saturday</v>
      </c>
      <c r="E347" s="23">
        <v>0.30299999999999999</v>
      </c>
      <c r="F347" s="23">
        <f>YEAR('Merged raw data'!$B347)</f>
        <v>2011</v>
      </c>
      <c r="G347" s="23" t="str">
        <f>TEXT('Merged raw data'!$B347,"mmmm")</f>
        <v>January</v>
      </c>
      <c r="H347" s="37" t="str">
        <f>TEXT(TIME('Merged raw data'!F347,0,0),"h AM/PM")</f>
        <v>9 PM</v>
      </c>
      <c r="I347" s="23" t="str">
        <f>IF(OR('Merged raw data'!H347=1,'Merged raw data'!H347=2,'Merged raw data'!H347=3,'Merged raw data'!H347=4,'Merged raw data'!H347=5),"weekday","weekend")</f>
        <v>weekend</v>
      </c>
      <c r="J347" s="23" t="s">
        <v>23</v>
      </c>
      <c r="K347" s="23" t="str">
        <f>IF('Merged raw data'!I347=1,"Clear",IF('Merged raw data'!I347=2,"Mist",IF('Merged raw data'!I347=3,"Rain",IF('Merged raw data'!I347=4,"Storm","NA"))))</f>
        <v>Mist</v>
      </c>
      <c r="L347" s="24">
        <v>0.39</v>
      </c>
      <c r="M347" s="24">
        <v>0.22389999999999999</v>
      </c>
      <c r="N347" s="21">
        <f>'Merged raw data'!$J347*100</f>
        <v>32</v>
      </c>
      <c r="O347" s="21">
        <v>6</v>
      </c>
      <c r="P347" s="21">
        <v>51</v>
      </c>
      <c r="Q347" s="21">
        <v>57</v>
      </c>
      <c r="R347" s="21" t="str">
        <f>IF(Q347&gt;=outliers!I349,"High",IF(Q347&lt;=outliers!I348,"Low","Moderate"))</f>
        <v>High</v>
      </c>
      <c r="S347" s="8" t="str">
        <f>IF(OR(Q347&lt;outliers!$I$6,Q347&gt;outliers!$I$7),"Outlier","Normal")</f>
        <v>Normal</v>
      </c>
      <c r="T347" s="8" t="str">
        <f>IF(OR(L347&lt;outliers!$J$6,L347&gt;outliers!$J$7),"Outlier","Normal")</f>
        <v>Normal</v>
      </c>
      <c r="U347" s="8" t="str">
        <f>IF(OR(M347&lt;outliers!$K$6,M347&gt;outliers!$K$7),"Outlier","Normal")</f>
        <v>Normal</v>
      </c>
    </row>
    <row r="348" spans="1:21">
      <c r="A348" s="21">
        <v>347</v>
      </c>
      <c r="B348" s="68">
        <v>40558</v>
      </c>
      <c r="C348" s="22" t="b">
        <v>0</v>
      </c>
      <c r="D348" s="21" t="str">
        <f t="shared" si="5"/>
        <v>Saturday</v>
      </c>
      <c r="E348" s="23">
        <v>0.31819999999999998</v>
      </c>
      <c r="F348" s="23">
        <f>YEAR('Merged raw data'!$B348)</f>
        <v>2011</v>
      </c>
      <c r="G348" s="23" t="str">
        <f>TEXT('Merged raw data'!$B348,"mmmm")</f>
        <v>January</v>
      </c>
      <c r="H348" s="37" t="str">
        <f>TEXT(TIME('Merged raw data'!F348,0,0),"h AM/PM")</f>
        <v>10 PM</v>
      </c>
      <c r="I348" s="23" t="str">
        <f>IF(OR('Merged raw data'!H348=1,'Merged raw data'!H348=2,'Merged raw data'!H348=3,'Merged raw data'!H348=4,'Merged raw data'!H348=5),"weekday","weekend")</f>
        <v>weekend</v>
      </c>
      <c r="J348" s="23" t="s">
        <v>23</v>
      </c>
      <c r="K348" s="23" t="str">
        <f>IF('Merged raw data'!I348=1,"Clear",IF('Merged raw data'!I348=2,"Mist",IF('Merged raw data'!I348=3,"Rain",IF('Merged raw data'!I348=4,"Storm","NA"))))</f>
        <v>Mist</v>
      </c>
      <c r="L348" s="24">
        <v>0.42</v>
      </c>
      <c r="M348" s="24">
        <v>0.1045</v>
      </c>
      <c r="N348" s="21">
        <f>'Merged raw data'!$J348*100</f>
        <v>30</v>
      </c>
      <c r="O348" s="21">
        <v>0</v>
      </c>
      <c r="P348" s="21">
        <v>26</v>
      </c>
      <c r="Q348" s="21">
        <v>26</v>
      </c>
      <c r="R348" s="21" t="str">
        <f>IF(Q348&gt;=outliers!I350,"High",IF(Q348&lt;=outliers!I349,"Low","Moderate"))</f>
        <v>High</v>
      </c>
      <c r="S348" s="8" t="str">
        <f>IF(OR(Q348&lt;outliers!$I$6,Q348&gt;outliers!$I$7),"Outlier","Normal")</f>
        <v>Normal</v>
      </c>
      <c r="T348" s="8" t="str">
        <f>IF(OR(L348&lt;outliers!$J$6,L348&gt;outliers!$J$7),"Outlier","Normal")</f>
        <v>Normal</v>
      </c>
      <c r="U348" s="8" t="str">
        <f>IF(OR(M348&lt;outliers!$K$6,M348&gt;outliers!$K$7),"Outlier","Normal")</f>
        <v>Normal</v>
      </c>
    </row>
    <row r="349" spans="1:21">
      <c r="A349" s="21">
        <v>348</v>
      </c>
      <c r="B349" s="68">
        <v>40558</v>
      </c>
      <c r="C349" s="22" t="b">
        <v>0</v>
      </c>
      <c r="D349" s="21" t="str">
        <f t="shared" si="5"/>
        <v>Saturday</v>
      </c>
      <c r="E349" s="23">
        <v>0.28789999999999999</v>
      </c>
      <c r="F349" s="23">
        <f>YEAR('Merged raw data'!$B349)</f>
        <v>2011</v>
      </c>
      <c r="G349" s="23" t="str">
        <f>TEXT('Merged raw data'!$B349,"mmmm")</f>
        <v>January</v>
      </c>
      <c r="H349" s="37" t="str">
        <f>TEXT(TIME('Merged raw data'!F349,0,0),"h AM/PM")</f>
        <v>11 PM</v>
      </c>
      <c r="I349" s="23" t="str">
        <f>IF(OR('Merged raw data'!H349=1,'Merged raw data'!H349=2,'Merged raw data'!H349=3,'Merged raw data'!H349=4,'Merged raw data'!H349=5),"weekday","weekend")</f>
        <v>weekend</v>
      </c>
      <c r="J349" s="23" t="s">
        <v>23</v>
      </c>
      <c r="K349" s="23" t="str">
        <f>IF('Merged raw data'!I349=1,"Clear",IF('Merged raw data'!I349=2,"Mist",IF('Merged raw data'!I349=3,"Rain",IF('Merged raw data'!I349=4,"Storm","NA"))))</f>
        <v>Clear</v>
      </c>
      <c r="L349" s="24">
        <v>0.45</v>
      </c>
      <c r="M349" s="24">
        <v>0.28360000000000002</v>
      </c>
      <c r="N349" s="21">
        <f>'Merged raw data'!$J349*100</f>
        <v>30</v>
      </c>
      <c r="O349" s="21">
        <v>5</v>
      </c>
      <c r="P349" s="21">
        <v>39</v>
      </c>
      <c r="Q349" s="21">
        <v>44</v>
      </c>
      <c r="R349" s="21" t="str">
        <f>IF(Q349&gt;=outliers!I351,"High",IF(Q349&lt;=outliers!I350,"Low","Moderate"))</f>
        <v>High</v>
      </c>
      <c r="S349" s="8" t="str">
        <f>IF(OR(Q349&lt;outliers!$I$6,Q349&gt;outliers!$I$7),"Outlier","Normal")</f>
        <v>Normal</v>
      </c>
      <c r="T349" s="8" t="str">
        <f>IF(OR(L349&lt;outliers!$J$6,L349&gt;outliers!$J$7),"Outlier","Normal")</f>
        <v>Normal</v>
      </c>
      <c r="U349" s="8" t="str">
        <f>IF(OR(M349&lt;outliers!$K$6,M349&gt;outliers!$K$7),"Outlier","Normal")</f>
        <v>Normal</v>
      </c>
    </row>
    <row r="350" spans="1:21">
      <c r="A350" s="21">
        <v>349</v>
      </c>
      <c r="B350" s="68">
        <v>40559</v>
      </c>
      <c r="C350" s="22" t="b">
        <v>0</v>
      </c>
      <c r="D350" s="21" t="str">
        <f t="shared" si="5"/>
        <v>Sunday</v>
      </c>
      <c r="E350" s="23">
        <v>0.30299999999999999</v>
      </c>
      <c r="F350" s="23">
        <f>YEAR('Merged raw data'!$B350)</f>
        <v>2011</v>
      </c>
      <c r="G350" s="23" t="str">
        <f>TEXT('Merged raw data'!$B350,"mmmm")</f>
        <v>January</v>
      </c>
      <c r="H350" s="37" t="str">
        <f>TEXT(TIME('Merged raw data'!F350,0,0),"h AM/PM")</f>
        <v>12 AM</v>
      </c>
      <c r="I350" s="23" t="str">
        <f>IF(OR('Merged raw data'!H350=1,'Merged raw data'!H350=2,'Merged raw data'!H350=3,'Merged raw data'!H350=4,'Merged raw data'!H350=5),"weekday","weekend")</f>
        <v>weekend</v>
      </c>
      <c r="J350" s="23" t="s">
        <v>23</v>
      </c>
      <c r="K350" s="23" t="str">
        <f>IF('Merged raw data'!I350=1,"Clear",IF('Merged raw data'!I350=2,"Mist",IF('Merged raw data'!I350=3,"Rain",IF('Merged raw data'!I350=4,"Storm","NA"))))</f>
        <v>Clear</v>
      </c>
      <c r="L350" s="24">
        <v>0.56000000000000005</v>
      </c>
      <c r="M350" s="24">
        <v>0.23</v>
      </c>
      <c r="N350" s="21">
        <f>'Merged raw data'!$J350*100</f>
        <v>26</v>
      </c>
      <c r="O350" s="21">
        <v>6</v>
      </c>
      <c r="P350" s="21">
        <v>33</v>
      </c>
      <c r="Q350" s="21">
        <v>39</v>
      </c>
      <c r="R350" s="21" t="str">
        <f>IF(Q350&gt;=outliers!I352,"High",IF(Q350&lt;=outliers!I351,"Low","Moderate"))</f>
        <v>High</v>
      </c>
      <c r="S350" s="8" t="str">
        <f>IF(OR(Q350&lt;outliers!$I$6,Q350&gt;outliers!$I$7),"Outlier","Normal")</f>
        <v>Normal</v>
      </c>
      <c r="T350" s="8" t="str">
        <f>IF(OR(L350&lt;outliers!$J$6,L350&gt;outliers!$J$7),"Outlier","Normal")</f>
        <v>Normal</v>
      </c>
      <c r="U350" s="8" t="str">
        <f>IF(OR(M350&lt;outliers!$K$6,M350&gt;outliers!$K$7),"Outlier","Normal")</f>
        <v>Normal</v>
      </c>
    </row>
    <row r="351" spans="1:21">
      <c r="A351" s="21">
        <v>350</v>
      </c>
      <c r="B351" s="68">
        <v>40559</v>
      </c>
      <c r="C351" s="22" t="b">
        <v>0</v>
      </c>
      <c r="D351" s="21" t="str">
        <f t="shared" si="5"/>
        <v>Sunday</v>
      </c>
      <c r="E351" s="23">
        <v>0.2727</v>
      </c>
      <c r="F351" s="23">
        <f>YEAR('Merged raw data'!$B351)</f>
        <v>2011</v>
      </c>
      <c r="G351" s="23" t="str">
        <f>TEXT('Merged raw data'!$B351,"mmmm")</f>
        <v>January</v>
      </c>
      <c r="H351" s="37" t="str">
        <f>TEXT(TIME('Merged raw data'!F351,0,0),"h AM/PM")</f>
        <v>1 AM</v>
      </c>
      <c r="I351" s="23" t="str">
        <f>IF(OR('Merged raw data'!H351=1,'Merged raw data'!H351=2,'Merged raw data'!H351=3,'Merged raw data'!H351=4,'Merged raw data'!H351=5),"weekday","weekend")</f>
        <v>weekend</v>
      </c>
      <c r="J351" s="23" t="s">
        <v>23</v>
      </c>
      <c r="K351" s="23" t="str">
        <f>IF('Merged raw data'!I351=1,"Clear",IF('Merged raw data'!I351=2,"Mist",IF('Merged raw data'!I351=3,"Rain",IF('Merged raw data'!I351=4,"Storm","NA"))))</f>
        <v>Clear</v>
      </c>
      <c r="L351" s="24">
        <v>0.56000000000000005</v>
      </c>
      <c r="M351" s="24">
        <v>0.1343</v>
      </c>
      <c r="N351" s="21">
        <f>'Merged raw data'!$J351*100</f>
        <v>26</v>
      </c>
      <c r="O351" s="21">
        <v>4</v>
      </c>
      <c r="P351" s="21">
        <v>19</v>
      </c>
      <c r="Q351" s="21">
        <v>23</v>
      </c>
      <c r="R351" s="21" t="str">
        <f>IF(Q351&gt;=outliers!I353,"High",IF(Q351&lt;=outliers!I352,"Low","Moderate"))</f>
        <v>High</v>
      </c>
      <c r="S351" s="8" t="str">
        <f>IF(OR(Q351&lt;outliers!$I$6,Q351&gt;outliers!$I$7),"Outlier","Normal")</f>
        <v>Normal</v>
      </c>
      <c r="T351" s="8" t="str">
        <f>IF(OR(L351&lt;outliers!$J$6,L351&gt;outliers!$J$7),"Outlier","Normal")</f>
        <v>Normal</v>
      </c>
      <c r="U351" s="8" t="str">
        <f>IF(OR(M351&lt;outliers!$K$6,M351&gt;outliers!$K$7),"Outlier","Normal")</f>
        <v>Normal</v>
      </c>
    </row>
    <row r="352" spans="1:21">
      <c r="A352" s="21">
        <v>351</v>
      </c>
      <c r="B352" s="68">
        <v>40559</v>
      </c>
      <c r="C352" s="22" t="b">
        <v>0</v>
      </c>
      <c r="D352" s="21" t="str">
        <f t="shared" si="5"/>
        <v>Sunday</v>
      </c>
      <c r="E352" s="23">
        <v>0.28789999999999999</v>
      </c>
      <c r="F352" s="23">
        <f>YEAR('Merged raw data'!$B352)</f>
        <v>2011</v>
      </c>
      <c r="G352" s="23" t="str">
        <f>TEXT('Merged raw data'!$B352,"mmmm")</f>
        <v>January</v>
      </c>
      <c r="H352" s="37" t="str">
        <f>TEXT(TIME('Merged raw data'!F352,0,0),"h AM/PM")</f>
        <v>2 AM</v>
      </c>
      <c r="I352" s="23" t="str">
        <f>IF(OR('Merged raw data'!H352=1,'Merged raw data'!H352=2,'Merged raw data'!H352=3,'Merged raw data'!H352=4,'Merged raw data'!H352=5),"weekday","weekend")</f>
        <v>weekend</v>
      </c>
      <c r="J352" s="23" t="s">
        <v>23</v>
      </c>
      <c r="K352" s="23" t="str">
        <f>IF('Merged raw data'!I352=1,"Clear",IF('Merged raw data'!I352=2,"Mist",IF('Merged raw data'!I352=3,"Rain",IF('Merged raw data'!I352=4,"Storm","NA"))))</f>
        <v>Clear</v>
      </c>
      <c r="L352" s="24">
        <v>0.56000000000000005</v>
      </c>
      <c r="M352" s="24">
        <v>8.9599999999999999E-2</v>
      </c>
      <c r="N352" s="21">
        <f>'Merged raw data'!$J352*100</f>
        <v>26</v>
      </c>
      <c r="O352" s="21">
        <v>3</v>
      </c>
      <c r="P352" s="21">
        <v>13</v>
      </c>
      <c r="Q352" s="21">
        <v>16</v>
      </c>
      <c r="R352" s="21" t="str">
        <f>IF(Q352&gt;=outliers!I354,"High",IF(Q352&lt;=outliers!I353,"Low","Moderate"))</f>
        <v>High</v>
      </c>
      <c r="S352" s="8" t="str">
        <f>IF(OR(Q352&lt;outliers!$I$6,Q352&gt;outliers!$I$7),"Outlier","Normal")</f>
        <v>Normal</v>
      </c>
      <c r="T352" s="8" t="str">
        <f>IF(OR(L352&lt;outliers!$J$6,L352&gt;outliers!$J$7),"Outlier","Normal")</f>
        <v>Normal</v>
      </c>
      <c r="U352" s="8" t="str">
        <f>IF(OR(M352&lt;outliers!$K$6,M352&gt;outliers!$K$7),"Outlier","Normal")</f>
        <v>Normal</v>
      </c>
    </row>
    <row r="353" spans="1:21">
      <c r="A353" s="21">
        <v>352</v>
      </c>
      <c r="B353" s="68">
        <v>40559</v>
      </c>
      <c r="C353" s="22" t="b">
        <v>0</v>
      </c>
      <c r="D353" s="21" t="str">
        <f t="shared" si="5"/>
        <v>Sunday</v>
      </c>
      <c r="E353" s="23">
        <v>0.2727</v>
      </c>
      <c r="F353" s="23">
        <f>YEAR('Merged raw data'!$B353)</f>
        <v>2011</v>
      </c>
      <c r="G353" s="23" t="str">
        <f>TEXT('Merged raw data'!$B353,"mmmm")</f>
        <v>January</v>
      </c>
      <c r="H353" s="37" t="str">
        <f>TEXT(TIME('Merged raw data'!F353,0,0),"h AM/PM")</f>
        <v>3 AM</v>
      </c>
      <c r="I353" s="23" t="str">
        <f>IF(OR('Merged raw data'!H353=1,'Merged raw data'!H353=2,'Merged raw data'!H353=3,'Merged raw data'!H353=4,'Merged raw data'!H353=5),"weekday","weekend")</f>
        <v>weekend</v>
      </c>
      <c r="J353" s="23" t="s">
        <v>23</v>
      </c>
      <c r="K353" s="23" t="str">
        <f>IF('Merged raw data'!I353=1,"Clear",IF('Merged raw data'!I353=2,"Mist",IF('Merged raw data'!I353=3,"Rain",IF('Merged raw data'!I353=4,"Storm","NA"))))</f>
        <v>Clear</v>
      </c>
      <c r="L353" s="24">
        <v>0.69</v>
      </c>
      <c r="M353" s="24">
        <v>0.23</v>
      </c>
      <c r="N353" s="21">
        <f>'Merged raw data'!$J353*100</f>
        <v>22</v>
      </c>
      <c r="O353" s="21">
        <v>9</v>
      </c>
      <c r="P353" s="21">
        <v>6</v>
      </c>
      <c r="Q353" s="21">
        <v>15</v>
      </c>
      <c r="R353" s="21" t="str">
        <f>IF(Q353&gt;=outliers!I355,"High",IF(Q353&lt;=outliers!I354,"Low","Moderate"))</f>
        <v>High</v>
      </c>
      <c r="S353" s="8" t="str">
        <f>IF(OR(Q353&lt;outliers!$I$6,Q353&gt;outliers!$I$7),"Outlier","Normal")</f>
        <v>Normal</v>
      </c>
      <c r="T353" s="8" t="str">
        <f>IF(OR(L353&lt;outliers!$J$6,L353&gt;outliers!$J$7),"Outlier","Normal")</f>
        <v>Normal</v>
      </c>
      <c r="U353" s="8" t="str">
        <f>IF(OR(M353&lt;outliers!$K$6,M353&gt;outliers!$K$7),"Outlier","Normal")</f>
        <v>Normal</v>
      </c>
    </row>
    <row r="354" spans="1:21">
      <c r="A354" s="21">
        <v>353</v>
      </c>
      <c r="B354" s="68">
        <v>40559</v>
      </c>
      <c r="C354" s="22" t="b">
        <v>0</v>
      </c>
      <c r="D354" s="21" t="str">
        <f t="shared" si="5"/>
        <v>Sunday</v>
      </c>
      <c r="E354" s="23">
        <v>0.2576</v>
      </c>
      <c r="F354" s="23">
        <f>YEAR('Merged raw data'!$B354)</f>
        <v>2011</v>
      </c>
      <c r="G354" s="23" t="str">
        <f>TEXT('Merged raw data'!$B354,"mmmm")</f>
        <v>January</v>
      </c>
      <c r="H354" s="37" t="str">
        <f>TEXT(TIME('Merged raw data'!F354,0,0),"h AM/PM")</f>
        <v>4 AM</v>
      </c>
      <c r="I354" s="23" t="str">
        <f>IF(OR('Merged raw data'!H354=1,'Merged raw data'!H354=2,'Merged raw data'!H354=3,'Merged raw data'!H354=4,'Merged raw data'!H354=5),"weekday","weekend")</f>
        <v>weekend</v>
      </c>
      <c r="J354" s="23" t="s">
        <v>23</v>
      </c>
      <c r="K354" s="23" t="str">
        <f>IF('Merged raw data'!I354=1,"Clear",IF('Merged raw data'!I354=2,"Mist",IF('Merged raw data'!I354=3,"Rain",IF('Merged raw data'!I354=4,"Storm","NA"))))</f>
        <v>Clear</v>
      </c>
      <c r="L354" s="24">
        <v>0.56000000000000005</v>
      </c>
      <c r="M354" s="24">
        <v>0.16420000000000001</v>
      </c>
      <c r="N354" s="21">
        <f>'Merged raw data'!$J354*100</f>
        <v>26</v>
      </c>
      <c r="O354" s="21">
        <v>0</v>
      </c>
      <c r="P354" s="21">
        <v>1</v>
      </c>
      <c r="Q354" s="21">
        <v>1</v>
      </c>
      <c r="R354" s="21" t="str">
        <f>IF(Q354&gt;=outliers!I356,"High",IF(Q354&lt;=outliers!I355,"Low","Moderate"))</f>
        <v>High</v>
      </c>
      <c r="S354" s="8" t="str">
        <f>IF(OR(Q354&lt;outliers!$I$6,Q354&gt;outliers!$I$7),"Outlier","Normal")</f>
        <v>Normal</v>
      </c>
      <c r="T354" s="8" t="str">
        <f>IF(OR(L354&lt;outliers!$J$6,L354&gt;outliers!$J$7),"Outlier","Normal")</f>
        <v>Normal</v>
      </c>
      <c r="U354" s="8" t="str">
        <f>IF(OR(M354&lt;outliers!$K$6,M354&gt;outliers!$K$7),"Outlier","Normal")</f>
        <v>Normal</v>
      </c>
    </row>
    <row r="355" spans="1:21">
      <c r="A355" s="21">
        <v>354</v>
      </c>
      <c r="B355" s="68">
        <v>40559</v>
      </c>
      <c r="C355" s="22" t="b">
        <v>0</v>
      </c>
      <c r="D355" s="21" t="str">
        <f t="shared" si="5"/>
        <v>Sunday</v>
      </c>
      <c r="E355" s="23">
        <v>0.2576</v>
      </c>
      <c r="F355" s="23">
        <f>YEAR('Merged raw data'!$B355)</f>
        <v>2011</v>
      </c>
      <c r="G355" s="23" t="str">
        <f>TEXT('Merged raw data'!$B355,"mmmm")</f>
        <v>January</v>
      </c>
      <c r="H355" s="37" t="str">
        <f>TEXT(TIME('Merged raw data'!F355,0,0),"h AM/PM")</f>
        <v>5 AM</v>
      </c>
      <c r="I355" s="23" t="str">
        <f>IF(OR('Merged raw data'!H355=1,'Merged raw data'!H355=2,'Merged raw data'!H355=3,'Merged raw data'!H355=4,'Merged raw data'!H355=5),"weekday","weekend")</f>
        <v>weekend</v>
      </c>
      <c r="J355" s="23" t="s">
        <v>23</v>
      </c>
      <c r="K355" s="23" t="str">
        <f>IF('Merged raw data'!I355=1,"Clear",IF('Merged raw data'!I355=2,"Mist",IF('Merged raw data'!I355=3,"Rain",IF('Merged raw data'!I355=4,"Storm","NA"))))</f>
        <v>Mist</v>
      </c>
      <c r="L355" s="24">
        <v>0.56000000000000005</v>
      </c>
      <c r="M355" s="24">
        <v>0.16420000000000001</v>
      </c>
      <c r="N355" s="21">
        <f>'Merged raw data'!$J355*100</f>
        <v>26</v>
      </c>
      <c r="O355" s="21">
        <v>1</v>
      </c>
      <c r="P355" s="21">
        <v>1</v>
      </c>
      <c r="Q355" s="21">
        <v>2</v>
      </c>
      <c r="R355" s="21" t="str">
        <f>IF(Q355&gt;=outliers!I357,"High",IF(Q355&lt;=outliers!I356,"Low","Moderate"))</f>
        <v>High</v>
      </c>
      <c r="S355" s="8" t="str">
        <f>IF(OR(Q355&lt;outliers!$I$6,Q355&gt;outliers!$I$7),"Outlier","Normal")</f>
        <v>Normal</v>
      </c>
      <c r="T355" s="8" t="str">
        <f>IF(OR(L355&lt;outliers!$J$6,L355&gt;outliers!$J$7),"Outlier","Normal")</f>
        <v>Normal</v>
      </c>
      <c r="U355" s="8" t="str">
        <f>IF(OR(M355&lt;outliers!$K$6,M355&gt;outliers!$K$7),"Outlier","Normal")</f>
        <v>Normal</v>
      </c>
    </row>
    <row r="356" spans="1:21">
      <c r="A356" s="21">
        <v>355</v>
      </c>
      <c r="B356" s="68">
        <v>40559</v>
      </c>
      <c r="C356" s="22" t="b">
        <v>0</v>
      </c>
      <c r="D356" s="21" t="str">
        <f t="shared" si="5"/>
        <v>Sunday</v>
      </c>
      <c r="E356" s="23">
        <v>0.2576</v>
      </c>
      <c r="F356" s="23">
        <f>YEAR('Merged raw data'!$B356)</f>
        <v>2011</v>
      </c>
      <c r="G356" s="23" t="str">
        <f>TEXT('Merged raw data'!$B356,"mmmm")</f>
        <v>January</v>
      </c>
      <c r="H356" s="37" t="str">
        <f>TEXT(TIME('Merged raw data'!F356,0,0),"h AM/PM")</f>
        <v>6 AM</v>
      </c>
      <c r="I356" s="23" t="str">
        <f>IF(OR('Merged raw data'!H356=1,'Merged raw data'!H356=2,'Merged raw data'!H356=3,'Merged raw data'!H356=4,'Merged raw data'!H356=5),"weekday","weekend")</f>
        <v>weekend</v>
      </c>
      <c r="J356" s="23" t="s">
        <v>23</v>
      </c>
      <c r="K356" s="23" t="str">
        <f>IF('Merged raw data'!I356=1,"Clear",IF('Merged raw data'!I356=2,"Mist",IF('Merged raw data'!I356=3,"Rain",IF('Merged raw data'!I356=4,"Storm","NA"))))</f>
        <v>Mist</v>
      </c>
      <c r="L356" s="24">
        <v>0.56000000000000005</v>
      </c>
      <c r="M356" s="24">
        <v>0.16420000000000001</v>
      </c>
      <c r="N356" s="21">
        <f>'Merged raw data'!$J356*100</f>
        <v>26</v>
      </c>
      <c r="O356" s="21">
        <v>0</v>
      </c>
      <c r="P356" s="21">
        <v>1</v>
      </c>
      <c r="Q356" s="21">
        <v>1</v>
      </c>
      <c r="R356" s="21" t="str">
        <f>IF(Q356&gt;=outliers!I358,"High",IF(Q356&lt;=outliers!I357,"Low","Moderate"))</f>
        <v>High</v>
      </c>
      <c r="S356" s="8" t="str">
        <f>IF(OR(Q356&lt;outliers!$I$6,Q356&gt;outliers!$I$7),"Outlier","Normal")</f>
        <v>Normal</v>
      </c>
      <c r="T356" s="8" t="str">
        <f>IF(OR(L356&lt;outliers!$J$6,L356&gt;outliers!$J$7),"Outlier","Normal")</f>
        <v>Normal</v>
      </c>
      <c r="U356" s="8" t="str">
        <f>IF(OR(M356&lt;outliers!$K$6,M356&gt;outliers!$K$7),"Outlier","Normal")</f>
        <v>Normal</v>
      </c>
    </row>
    <row r="357" spans="1:21">
      <c r="A357" s="21">
        <v>356</v>
      </c>
      <c r="B357" s="68">
        <v>40559</v>
      </c>
      <c r="C357" s="22" t="b">
        <v>0</v>
      </c>
      <c r="D357" s="21" t="str">
        <f t="shared" si="5"/>
        <v>Sunday</v>
      </c>
      <c r="E357" s="23">
        <v>0.21210000000000001</v>
      </c>
      <c r="F357" s="23">
        <f>YEAR('Merged raw data'!$B357)</f>
        <v>2011</v>
      </c>
      <c r="G357" s="23" t="str">
        <f>TEXT('Merged raw data'!$B357,"mmmm")</f>
        <v>January</v>
      </c>
      <c r="H357" s="37" t="str">
        <f>TEXT(TIME('Merged raw data'!F357,0,0),"h AM/PM")</f>
        <v>7 AM</v>
      </c>
      <c r="I357" s="23" t="str">
        <f>IF(OR('Merged raw data'!H357=1,'Merged raw data'!H357=2,'Merged raw data'!H357=3,'Merged raw data'!H357=4,'Merged raw data'!H357=5),"weekday","weekend")</f>
        <v>weekend</v>
      </c>
      <c r="J357" s="23" t="s">
        <v>23</v>
      </c>
      <c r="K357" s="23" t="str">
        <f>IF('Merged raw data'!I357=1,"Clear",IF('Merged raw data'!I357=2,"Mist",IF('Merged raw data'!I357=3,"Rain",IF('Merged raw data'!I357=4,"Storm","NA"))))</f>
        <v>Mist</v>
      </c>
      <c r="L357" s="24">
        <v>0.56000000000000005</v>
      </c>
      <c r="M357" s="24">
        <v>0.29849999999999999</v>
      </c>
      <c r="N357" s="21">
        <f>'Merged raw data'!$J357*100</f>
        <v>24</v>
      </c>
      <c r="O357" s="21">
        <v>0</v>
      </c>
      <c r="P357" s="21">
        <v>3</v>
      </c>
      <c r="Q357" s="21">
        <v>3</v>
      </c>
      <c r="R357" s="21" t="str">
        <f>IF(Q357&gt;=outliers!I359,"High",IF(Q357&lt;=outliers!I358,"Low","Moderate"))</f>
        <v>High</v>
      </c>
      <c r="S357" s="8" t="str">
        <f>IF(OR(Q357&lt;outliers!$I$6,Q357&gt;outliers!$I$7),"Outlier","Normal")</f>
        <v>Normal</v>
      </c>
      <c r="T357" s="8" t="str">
        <f>IF(OR(L357&lt;outliers!$J$6,L357&gt;outliers!$J$7),"Outlier","Normal")</f>
        <v>Normal</v>
      </c>
      <c r="U357" s="8" t="str">
        <f>IF(OR(M357&lt;outliers!$K$6,M357&gt;outliers!$K$7),"Outlier","Normal")</f>
        <v>Normal</v>
      </c>
    </row>
    <row r="358" spans="1:21">
      <c r="A358" s="21">
        <v>357</v>
      </c>
      <c r="B358" s="68">
        <v>40559</v>
      </c>
      <c r="C358" s="22" t="b">
        <v>0</v>
      </c>
      <c r="D358" s="21" t="str">
        <f t="shared" si="5"/>
        <v>Sunday</v>
      </c>
      <c r="E358" s="23">
        <v>0.21210000000000001</v>
      </c>
      <c r="F358" s="23">
        <f>YEAR('Merged raw data'!$B358)</f>
        <v>2011</v>
      </c>
      <c r="G358" s="23" t="str">
        <f>TEXT('Merged raw data'!$B358,"mmmm")</f>
        <v>January</v>
      </c>
      <c r="H358" s="37" t="str">
        <f>TEXT(TIME('Merged raw data'!F358,0,0),"h AM/PM")</f>
        <v>8 AM</v>
      </c>
      <c r="I358" s="23" t="str">
        <f>IF(OR('Merged raw data'!H358=1,'Merged raw data'!H358=2,'Merged raw data'!H358=3,'Merged raw data'!H358=4,'Merged raw data'!H358=5),"weekday","weekend")</f>
        <v>weekend</v>
      </c>
      <c r="J358" s="23" t="s">
        <v>23</v>
      </c>
      <c r="K358" s="23" t="str">
        <f>IF('Merged raw data'!I358=1,"Clear",IF('Merged raw data'!I358=2,"Mist",IF('Merged raw data'!I358=3,"Rain",IF('Merged raw data'!I358=4,"Storm","NA"))))</f>
        <v>Clear</v>
      </c>
      <c r="L358" s="24">
        <v>0.55000000000000004</v>
      </c>
      <c r="M358" s="24">
        <v>0.28360000000000002</v>
      </c>
      <c r="N358" s="21">
        <f>'Merged raw data'!$J358*100</f>
        <v>22</v>
      </c>
      <c r="O358" s="21">
        <v>0</v>
      </c>
      <c r="P358" s="21">
        <v>18</v>
      </c>
      <c r="Q358" s="21">
        <v>18</v>
      </c>
      <c r="R358" s="21" t="str">
        <f>IF(Q358&gt;=outliers!I360,"High",IF(Q358&lt;=outliers!I359,"Low","Moderate"))</f>
        <v>High</v>
      </c>
      <c r="S358" s="8" t="str">
        <f>IF(OR(Q358&lt;outliers!$I$6,Q358&gt;outliers!$I$7),"Outlier","Normal")</f>
        <v>Normal</v>
      </c>
      <c r="T358" s="8" t="str">
        <f>IF(OR(L358&lt;outliers!$J$6,L358&gt;outliers!$J$7),"Outlier","Normal")</f>
        <v>Normal</v>
      </c>
      <c r="U358" s="8" t="str">
        <f>IF(OR(M358&lt;outliers!$K$6,M358&gt;outliers!$K$7),"Outlier","Normal")</f>
        <v>Normal</v>
      </c>
    </row>
    <row r="359" spans="1:21">
      <c r="A359" s="21">
        <v>358</v>
      </c>
      <c r="B359" s="68">
        <v>40559</v>
      </c>
      <c r="C359" s="22" t="b">
        <v>0</v>
      </c>
      <c r="D359" s="21" t="str">
        <f t="shared" si="5"/>
        <v>Sunday</v>
      </c>
      <c r="E359" s="23">
        <v>0.21210000000000001</v>
      </c>
      <c r="F359" s="23">
        <f>YEAR('Merged raw data'!$B359)</f>
        <v>2011</v>
      </c>
      <c r="G359" s="23" t="str">
        <f>TEXT('Merged raw data'!$B359,"mmmm")</f>
        <v>January</v>
      </c>
      <c r="H359" s="37" t="str">
        <f>TEXT(TIME('Merged raw data'!F359,0,0),"h AM/PM")</f>
        <v>9 AM</v>
      </c>
      <c r="I359" s="23" t="str">
        <f>IF(OR('Merged raw data'!H359=1,'Merged raw data'!H359=2,'Merged raw data'!H359=3,'Merged raw data'!H359=4,'Merged raw data'!H359=5),"weekday","weekend")</f>
        <v>weekend</v>
      </c>
      <c r="J359" s="23" t="s">
        <v>23</v>
      </c>
      <c r="K359" s="23" t="str">
        <f>IF('Merged raw data'!I359=1,"Clear",IF('Merged raw data'!I359=2,"Mist",IF('Merged raw data'!I359=3,"Rain",IF('Merged raw data'!I359=4,"Storm","NA"))))</f>
        <v>Clear</v>
      </c>
      <c r="L359" s="24">
        <v>0.51</v>
      </c>
      <c r="M359" s="24">
        <v>0.25369999999999998</v>
      </c>
      <c r="N359" s="21">
        <f>'Merged raw data'!$J359*100</f>
        <v>22</v>
      </c>
      <c r="O359" s="21">
        <v>3</v>
      </c>
      <c r="P359" s="21">
        <v>29</v>
      </c>
      <c r="Q359" s="21">
        <v>32</v>
      </c>
      <c r="R359" s="21" t="str">
        <f>IF(Q359&gt;=outliers!I361,"High",IF(Q359&lt;=outliers!I360,"Low","Moderate"))</f>
        <v>High</v>
      </c>
      <c r="S359" s="8" t="str">
        <f>IF(OR(Q359&lt;outliers!$I$6,Q359&gt;outliers!$I$7),"Outlier","Normal")</f>
        <v>Normal</v>
      </c>
      <c r="T359" s="8" t="str">
        <f>IF(OR(L359&lt;outliers!$J$6,L359&gt;outliers!$J$7),"Outlier","Normal")</f>
        <v>Normal</v>
      </c>
      <c r="U359" s="8" t="str">
        <f>IF(OR(M359&lt;outliers!$K$6,M359&gt;outliers!$K$7),"Outlier","Normal")</f>
        <v>Normal</v>
      </c>
    </row>
    <row r="360" spans="1:21">
      <c r="A360" s="21">
        <v>359</v>
      </c>
      <c r="B360" s="68">
        <v>40559</v>
      </c>
      <c r="C360" s="22" t="b">
        <v>0</v>
      </c>
      <c r="D360" s="21" t="str">
        <f t="shared" si="5"/>
        <v>Sunday</v>
      </c>
      <c r="E360" s="23">
        <v>0.21210000000000001</v>
      </c>
      <c r="F360" s="23">
        <f>YEAR('Merged raw data'!$B360)</f>
        <v>2011</v>
      </c>
      <c r="G360" s="23" t="str">
        <f>TEXT('Merged raw data'!$B360,"mmmm")</f>
        <v>January</v>
      </c>
      <c r="H360" s="37" t="str">
        <f>TEXT(TIME('Merged raw data'!F360,0,0),"h AM/PM")</f>
        <v>10 AM</v>
      </c>
      <c r="I360" s="23" t="str">
        <f>IF(OR('Merged raw data'!H360=1,'Merged raw data'!H360=2,'Merged raw data'!H360=3,'Merged raw data'!H360=4,'Merged raw data'!H360=5),"weekday","weekend")</f>
        <v>weekend</v>
      </c>
      <c r="J360" s="23" t="s">
        <v>23</v>
      </c>
      <c r="K360" s="23" t="str">
        <f>IF('Merged raw data'!I360=1,"Clear",IF('Merged raw data'!I360=2,"Mist",IF('Merged raw data'!I360=3,"Rain",IF('Merged raw data'!I360=4,"Storm","NA"))))</f>
        <v>Clear</v>
      </c>
      <c r="L360" s="24">
        <v>0.51</v>
      </c>
      <c r="M360" s="24">
        <v>0.28360000000000002</v>
      </c>
      <c r="N360" s="21">
        <f>'Merged raw data'!$J360*100</f>
        <v>22</v>
      </c>
      <c r="O360" s="21">
        <v>8</v>
      </c>
      <c r="P360" s="21">
        <v>71</v>
      </c>
      <c r="Q360" s="21">
        <v>79</v>
      </c>
      <c r="R360" s="21" t="str">
        <f>IF(Q360&gt;=outliers!I362,"High",IF(Q360&lt;=outliers!I361,"Low","Moderate"))</f>
        <v>High</v>
      </c>
      <c r="S360" s="8" t="str">
        <f>IF(OR(Q360&lt;outliers!$I$6,Q360&gt;outliers!$I$7),"Outlier","Normal")</f>
        <v>Normal</v>
      </c>
      <c r="T360" s="8" t="str">
        <f>IF(OR(L360&lt;outliers!$J$6,L360&gt;outliers!$J$7),"Outlier","Normal")</f>
        <v>Normal</v>
      </c>
      <c r="U360" s="8" t="str">
        <f>IF(OR(M360&lt;outliers!$K$6,M360&gt;outliers!$K$7),"Outlier","Normal")</f>
        <v>Normal</v>
      </c>
    </row>
    <row r="361" spans="1:21">
      <c r="A361" s="21">
        <v>360</v>
      </c>
      <c r="B361" s="68">
        <v>40559</v>
      </c>
      <c r="C361" s="22" t="b">
        <v>0</v>
      </c>
      <c r="D361" s="21" t="str">
        <f t="shared" si="5"/>
        <v>Sunday</v>
      </c>
      <c r="E361" s="23">
        <v>0.2273</v>
      </c>
      <c r="F361" s="23">
        <f>YEAR('Merged raw data'!$B361)</f>
        <v>2011</v>
      </c>
      <c r="G361" s="23" t="str">
        <f>TEXT('Merged raw data'!$B361,"mmmm")</f>
        <v>January</v>
      </c>
      <c r="H361" s="37" t="str">
        <f>TEXT(TIME('Merged raw data'!F361,0,0),"h AM/PM")</f>
        <v>11 AM</v>
      </c>
      <c r="I361" s="23" t="str">
        <f>IF(OR('Merged raw data'!H361=1,'Merged raw data'!H361=2,'Merged raw data'!H361=3,'Merged raw data'!H361=4,'Merged raw data'!H361=5),"weekday","weekend")</f>
        <v>weekend</v>
      </c>
      <c r="J361" s="23" t="s">
        <v>23</v>
      </c>
      <c r="K361" s="23" t="str">
        <f>IF('Merged raw data'!I361=1,"Clear",IF('Merged raw data'!I361=2,"Mist",IF('Merged raw data'!I361=3,"Rain",IF('Merged raw data'!I361=4,"Storm","NA"))))</f>
        <v>Clear</v>
      </c>
      <c r="L361" s="24">
        <v>0.44</v>
      </c>
      <c r="M361" s="24">
        <v>0.25369999999999998</v>
      </c>
      <c r="N361" s="21">
        <f>'Merged raw data'!$J361*100</f>
        <v>24</v>
      </c>
      <c r="O361" s="21">
        <v>23</v>
      </c>
      <c r="P361" s="21">
        <v>70</v>
      </c>
      <c r="Q361" s="21">
        <v>93</v>
      </c>
      <c r="R361" s="21" t="str">
        <f>IF(Q361&gt;=outliers!I363,"High",IF(Q361&lt;=outliers!I362,"Low","Moderate"))</f>
        <v>High</v>
      </c>
      <c r="S361" s="8" t="str">
        <f>IF(OR(Q361&lt;outliers!$I$6,Q361&gt;outliers!$I$7),"Outlier","Normal")</f>
        <v>Normal</v>
      </c>
      <c r="T361" s="8" t="str">
        <f>IF(OR(L361&lt;outliers!$J$6,L361&gt;outliers!$J$7),"Outlier","Normal")</f>
        <v>Normal</v>
      </c>
      <c r="U361" s="8" t="str">
        <f>IF(OR(M361&lt;outliers!$K$6,M361&gt;outliers!$K$7),"Outlier","Normal")</f>
        <v>Normal</v>
      </c>
    </row>
    <row r="362" spans="1:21">
      <c r="A362" s="21">
        <v>361</v>
      </c>
      <c r="B362" s="68">
        <v>40559</v>
      </c>
      <c r="C362" s="22" t="b">
        <v>0</v>
      </c>
      <c r="D362" s="21" t="str">
        <f t="shared" si="5"/>
        <v>Sunday</v>
      </c>
      <c r="E362" s="23">
        <v>0.21210000000000001</v>
      </c>
      <c r="F362" s="23">
        <f>YEAR('Merged raw data'!$B362)</f>
        <v>2011</v>
      </c>
      <c r="G362" s="23" t="str">
        <f>TEXT('Merged raw data'!$B362,"mmmm")</f>
        <v>January</v>
      </c>
      <c r="H362" s="37" t="str">
        <f>TEXT(TIME('Merged raw data'!F362,0,0),"h AM/PM")</f>
        <v>12 PM</v>
      </c>
      <c r="I362" s="23" t="str">
        <f>IF(OR('Merged raw data'!H362=1,'Merged raw data'!H362=2,'Merged raw data'!H362=3,'Merged raw data'!H362=4,'Merged raw data'!H362=5),"weekday","weekend")</f>
        <v>weekend</v>
      </c>
      <c r="J362" s="23" t="s">
        <v>23</v>
      </c>
      <c r="K362" s="23" t="str">
        <f>IF('Merged raw data'!I362=1,"Clear",IF('Merged raw data'!I362=2,"Mist",IF('Merged raw data'!I362=3,"Rain",IF('Merged raw data'!I362=4,"Storm","NA"))))</f>
        <v>Clear</v>
      </c>
      <c r="L362" s="24">
        <v>0.41</v>
      </c>
      <c r="M362" s="24">
        <v>0.28360000000000002</v>
      </c>
      <c r="N362" s="21">
        <f>'Merged raw data'!$J362*100</f>
        <v>24</v>
      </c>
      <c r="O362" s="21">
        <v>29</v>
      </c>
      <c r="P362" s="21">
        <v>75</v>
      </c>
      <c r="Q362" s="21">
        <v>104</v>
      </c>
      <c r="R362" s="21" t="str">
        <f>IF(Q362&gt;=outliers!I364,"High",IF(Q362&lt;=outliers!I363,"Low","Moderate"))</f>
        <v>High</v>
      </c>
      <c r="S362" s="8" t="str">
        <f>IF(OR(Q362&lt;outliers!$I$6,Q362&gt;outliers!$I$7),"Outlier","Normal")</f>
        <v>Normal</v>
      </c>
      <c r="T362" s="8" t="str">
        <f>IF(OR(L362&lt;outliers!$J$6,L362&gt;outliers!$J$7),"Outlier","Normal")</f>
        <v>Normal</v>
      </c>
      <c r="U362" s="8" t="str">
        <f>IF(OR(M362&lt;outliers!$K$6,M362&gt;outliers!$K$7),"Outlier","Normal")</f>
        <v>Normal</v>
      </c>
    </row>
    <row r="363" spans="1:21">
      <c r="A363" s="21">
        <v>362</v>
      </c>
      <c r="B363" s="68">
        <v>40559</v>
      </c>
      <c r="C363" s="22" t="b">
        <v>0</v>
      </c>
      <c r="D363" s="21" t="str">
        <f t="shared" si="5"/>
        <v>Sunday</v>
      </c>
      <c r="E363" s="23">
        <v>0.2273</v>
      </c>
      <c r="F363" s="23">
        <f>YEAR('Merged raw data'!$B363)</f>
        <v>2011</v>
      </c>
      <c r="G363" s="23" t="str">
        <f>TEXT('Merged raw data'!$B363,"mmmm")</f>
        <v>January</v>
      </c>
      <c r="H363" s="37" t="str">
        <f>TEXT(TIME('Merged raw data'!F363,0,0),"h AM/PM")</f>
        <v>1 PM</v>
      </c>
      <c r="I363" s="23" t="str">
        <f>IF(OR('Merged raw data'!H363=1,'Merged raw data'!H363=2,'Merged raw data'!H363=3,'Merged raw data'!H363=4,'Merged raw data'!H363=5),"weekday","weekend")</f>
        <v>weekend</v>
      </c>
      <c r="J363" s="23" t="s">
        <v>23</v>
      </c>
      <c r="K363" s="23" t="str">
        <f>IF('Merged raw data'!I363=1,"Clear",IF('Merged raw data'!I363=2,"Mist",IF('Merged raw data'!I363=3,"Rain",IF('Merged raw data'!I363=4,"Storm","NA"))))</f>
        <v>Clear</v>
      </c>
      <c r="L363" s="24">
        <v>0.35</v>
      </c>
      <c r="M363" s="24">
        <v>0.29849999999999999</v>
      </c>
      <c r="N363" s="21">
        <f>'Merged raw data'!$J363*100</f>
        <v>26</v>
      </c>
      <c r="O363" s="21">
        <v>23</v>
      </c>
      <c r="P363" s="21">
        <v>95</v>
      </c>
      <c r="Q363" s="21">
        <v>118</v>
      </c>
      <c r="R363" s="21" t="str">
        <f>IF(Q363&gt;=outliers!I365,"High",IF(Q363&lt;=outliers!I364,"Low","Moderate"))</f>
        <v>High</v>
      </c>
      <c r="S363" s="8" t="str">
        <f>IF(OR(Q363&lt;outliers!$I$6,Q363&gt;outliers!$I$7),"Outlier","Normal")</f>
        <v>Normal</v>
      </c>
      <c r="T363" s="8" t="str">
        <f>IF(OR(L363&lt;outliers!$J$6,L363&gt;outliers!$J$7),"Outlier","Normal")</f>
        <v>Normal</v>
      </c>
      <c r="U363" s="8" t="str">
        <f>IF(OR(M363&lt;outliers!$K$6,M363&gt;outliers!$K$7),"Outlier","Normal")</f>
        <v>Normal</v>
      </c>
    </row>
    <row r="364" spans="1:21">
      <c r="A364" s="21">
        <v>363</v>
      </c>
      <c r="B364" s="68">
        <v>40559</v>
      </c>
      <c r="C364" s="22" t="b">
        <v>0</v>
      </c>
      <c r="D364" s="21" t="str">
        <f t="shared" si="5"/>
        <v>Sunday</v>
      </c>
      <c r="E364" s="23">
        <v>0.2727</v>
      </c>
      <c r="F364" s="23">
        <f>YEAR('Merged raw data'!$B364)</f>
        <v>2011</v>
      </c>
      <c r="G364" s="23" t="str">
        <f>TEXT('Merged raw data'!$B364,"mmmm")</f>
        <v>January</v>
      </c>
      <c r="H364" s="37" t="str">
        <f>TEXT(TIME('Merged raw data'!F364,0,0),"h AM/PM")</f>
        <v>2 PM</v>
      </c>
      <c r="I364" s="23" t="str">
        <f>IF(OR('Merged raw data'!H364=1,'Merged raw data'!H364=2,'Merged raw data'!H364=3,'Merged raw data'!H364=4,'Merged raw data'!H364=5),"weekday","weekend")</f>
        <v>weekend</v>
      </c>
      <c r="J364" s="23" t="s">
        <v>23</v>
      </c>
      <c r="K364" s="23" t="str">
        <f>IF('Merged raw data'!I364=1,"Clear",IF('Merged raw data'!I364=2,"Mist",IF('Merged raw data'!I364=3,"Rain",IF('Merged raw data'!I364=4,"Storm","NA"))))</f>
        <v>Clear</v>
      </c>
      <c r="L364" s="24">
        <v>0.36</v>
      </c>
      <c r="M364" s="24">
        <v>0.25369999999999998</v>
      </c>
      <c r="N364" s="21">
        <f>'Merged raw data'!$J364*100</f>
        <v>28.000000000000004</v>
      </c>
      <c r="O364" s="21">
        <v>22</v>
      </c>
      <c r="P364" s="21">
        <v>69</v>
      </c>
      <c r="Q364" s="21">
        <v>91</v>
      </c>
      <c r="R364" s="21" t="str">
        <f>IF(Q364&gt;=outliers!I366,"High",IF(Q364&lt;=outliers!I365,"Low","Moderate"))</f>
        <v>High</v>
      </c>
      <c r="S364" s="8" t="str">
        <f>IF(OR(Q364&lt;outliers!$I$6,Q364&gt;outliers!$I$7),"Outlier","Normal")</f>
        <v>Normal</v>
      </c>
      <c r="T364" s="8" t="str">
        <f>IF(OR(L364&lt;outliers!$J$6,L364&gt;outliers!$J$7),"Outlier","Normal")</f>
        <v>Normal</v>
      </c>
      <c r="U364" s="8" t="str">
        <f>IF(OR(M364&lt;outliers!$K$6,M364&gt;outliers!$K$7),"Outlier","Normal")</f>
        <v>Normal</v>
      </c>
    </row>
    <row r="365" spans="1:21">
      <c r="A365" s="21">
        <v>364</v>
      </c>
      <c r="B365" s="68">
        <v>40559</v>
      </c>
      <c r="C365" s="22" t="b">
        <v>0</v>
      </c>
      <c r="D365" s="21" t="str">
        <f t="shared" si="5"/>
        <v>Sunday</v>
      </c>
      <c r="E365" s="23">
        <v>0.2424</v>
      </c>
      <c r="F365" s="23">
        <f>YEAR('Merged raw data'!$B365)</f>
        <v>2011</v>
      </c>
      <c r="G365" s="23" t="str">
        <f>TEXT('Merged raw data'!$B365,"mmmm")</f>
        <v>January</v>
      </c>
      <c r="H365" s="37" t="str">
        <f>TEXT(TIME('Merged raw data'!F365,0,0),"h AM/PM")</f>
        <v>3 PM</v>
      </c>
      <c r="I365" s="23" t="str">
        <f>IF(OR('Merged raw data'!H365=1,'Merged raw data'!H365=2,'Merged raw data'!H365=3,'Merged raw data'!H365=4,'Merged raw data'!H365=5),"weekday","weekend")</f>
        <v>weekend</v>
      </c>
      <c r="J365" s="23" t="s">
        <v>23</v>
      </c>
      <c r="K365" s="23" t="str">
        <f>IF('Merged raw data'!I365=1,"Clear",IF('Merged raw data'!I365=2,"Mist",IF('Merged raw data'!I365=3,"Rain",IF('Merged raw data'!I365=4,"Storm","NA"))))</f>
        <v>Clear</v>
      </c>
      <c r="L365" s="24">
        <v>0.38</v>
      </c>
      <c r="M365" s="24">
        <v>0.25369999999999998</v>
      </c>
      <c r="N365" s="21">
        <f>'Merged raw data'!$J365*100</f>
        <v>26</v>
      </c>
      <c r="O365" s="21">
        <v>35</v>
      </c>
      <c r="P365" s="21">
        <v>78</v>
      </c>
      <c r="Q365" s="21">
        <v>113</v>
      </c>
      <c r="R365" s="21" t="str">
        <f>IF(Q365&gt;=outliers!I367,"High",IF(Q365&lt;=outliers!I366,"Low","Moderate"))</f>
        <v>High</v>
      </c>
      <c r="S365" s="8" t="str">
        <f>IF(OR(Q365&lt;outliers!$I$6,Q365&gt;outliers!$I$7),"Outlier","Normal")</f>
        <v>Normal</v>
      </c>
      <c r="T365" s="8" t="str">
        <f>IF(OR(L365&lt;outliers!$J$6,L365&gt;outliers!$J$7),"Outlier","Normal")</f>
        <v>Normal</v>
      </c>
      <c r="U365" s="8" t="str">
        <f>IF(OR(M365&lt;outliers!$K$6,M365&gt;outliers!$K$7),"Outlier","Normal")</f>
        <v>Normal</v>
      </c>
    </row>
    <row r="366" spans="1:21">
      <c r="A366" s="21">
        <v>365</v>
      </c>
      <c r="B366" s="68">
        <v>40559</v>
      </c>
      <c r="C366" s="22" t="b">
        <v>0</v>
      </c>
      <c r="D366" s="21" t="str">
        <f t="shared" si="5"/>
        <v>Sunday</v>
      </c>
      <c r="E366" s="23">
        <v>0.2273</v>
      </c>
      <c r="F366" s="23">
        <f>YEAR('Merged raw data'!$B366)</f>
        <v>2011</v>
      </c>
      <c r="G366" s="23" t="str">
        <f>TEXT('Merged raw data'!$B366,"mmmm")</f>
        <v>January</v>
      </c>
      <c r="H366" s="37" t="str">
        <f>TEXT(TIME('Merged raw data'!F366,0,0),"h AM/PM")</f>
        <v>4 PM</v>
      </c>
      <c r="I366" s="23" t="str">
        <f>IF(OR('Merged raw data'!H366=1,'Merged raw data'!H366=2,'Merged raw data'!H366=3,'Merged raw data'!H366=4,'Merged raw data'!H366=5),"weekday","weekend")</f>
        <v>weekend</v>
      </c>
      <c r="J366" s="23" t="s">
        <v>23</v>
      </c>
      <c r="K366" s="23" t="str">
        <f>IF('Merged raw data'!I366=1,"Clear",IF('Merged raw data'!I366=2,"Mist",IF('Merged raw data'!I366=3,"Rain",IF('Merged raw data'!I366=4,"Storm","NA"))))</f>
        <v>Clear</v>
      </c>
      <c r="L366" s="24">
        <v>0.38</v>
      </c>
      <c r="M366" s="24">
        <v>0.22389999999999999</v>
      </c>
      <c r="N366" s="21">
        <f>'Merged raw data'!$J366*100</f>
        <v>24</v>
      </c>
      <c r="O366" s="21">
        <v>22</v>
      </c>
      <c r="P366" s="21">
        <v>77</v>
      </c>
      <c r="Q366" s="21">
        <v>99</v>
      </c>
      <c r="R366" s="21" t="str">
        <f>IF(Q366&gt;=outliers!I368,"High",IF(Q366&lt;=outliers!I367,"Low","Moderate"))</f>
        <v>High</v>
      </c>
      <c r="S366" s="8" t="str">
        <f>IF(OR(Q366&lt;outliers!$I$6,Q366&gt;outliers!$I$7),"Outlier","Normal")</f>
        <v>Normal</v>
      </c>
      <c r="T366" s="8" t="str">
        <f>IF(OR(L366&lt;outliers!$J$6,L366&gt;outliers!$J$7),"Outlier","Normal")</f>
        <v>Normal</v>
      </c>
      <c r="U366" s="8" t="str">
        <f>IF(OR(M366&lt;outliers!$K$6,M366&gt;outliers!$K$7),"Outlier","Normal")</f>
        <v>Normal</v>
      </c>
    </row>
    <row r="367" spans="1:21">
      <c r="A367" s="21">
        <v>366</v>
      </c>
      <c r="B367" s="68">
        <v>40559</v>
      </c>
      <c r="C367" s="22" t="b">
        <v>0</v>
      </c>
      <c r="D367" s="21" t="str">
        <f t="shared" si="5"/>
        <v>Sunday</v>
      </c>
      <c r="E367" s="23">
        <v>0.21210000000000001</v>
      </c>
      <c r="F367" s="23">
        <f>YEAR('Merged raw data'!$B367)</f>
        <v>2011</v>
      </c>
      <c r="G367" s="23" t="str">
        <f>TEXT('Merged raw data'!$B367,"mmmm")</f>
        <v>January</v>
      </c>
      <c r="H367" s="37" t="str">
        <f>TEXT(TIME('Merged raw data'!F367,0,0),"h AM/PM")</f>
        <v>5 PM</v>
      </c>
      <c r="I367" s="23" t="str">
        <f>IF(OR('Merged raw data'!H367=1,'Merged raw data'!H367=2,'Merged raw data'!H367=3,'Merged raw data'!H367=4,'Merged raw data'!H367=5),"weekday","weekend")</f>
        <v>weekend</v>
      </c>
      <c r="J367" s="23" t="s">
        <v>23</v>
      </c>
      <c r="K367" s="23" t="str">
        <f>IF('Merged raw data'!I367=1,"Clear",IF('Merged raw data'!I367=2,"Mist",IF('Merged raw data'!I367=3,"Rain",IF('Merged raw data'!I367=4,"Storm","NA"))))</f>
        <v>Clear</v>
      </c>
      <c r="L367" s="24">
        <v>0.37</v>
      </c>
      <c r="M367" s="24">
        <v>0.25369999999999998</v>
      </c>
      <c r="N367" s="21">
        <f>'Merged raw data'!$J367*100</f>
        <v>22</v>
      </c>
      <c r="O367" s="21">
        <v>23</v>
      </c>
      <c r="P367" s="21">
        <v>82</v>
      </c>
      <c r="Q367" s="21">
        <v>105</v>
      </c>
      <c r="R367" s="21" t="str">
        <f>IF(Q367&gt;=outliers!I369,"High",IF(Q367&lt;=outliers!I368,"Low","Moderate"))</f>
        <v>High</v>
      </c>
      <c r="S367" s="8" t="str">
        <f>IF(OR(Q367&lt;outliers!$I$6,Q367&gt;outliers!$I$7),"Outlier","Normal")</f>
        <v>Normal</v>
      </c>
      <c r="T367" s="8" t="str">
        <f>IF(OR(L367&lt;outliers!$J$6,L367&gt;outliers!$J$7),"Outlier","Normal")</f>
        <v>Normal</v>
      </c>
      <c r="U367" s="8" t="str">
        <f>IF(OR(M367&lt;outliers!$K$6,M367&gt;outliers!$K$7),"Outlier","Normal")</f>
        <v>Normal</v>
      </c>
    </row>
    <row r="368" spans="1:21">
      <c r="A368" s="21">
        <v>367</v>
      </c>
      <c r="B368" s="68">
        <v>40559</v>
      </c>
      <c r="C368" s="22" t="b">
        <v>0</v>
      </c>
      <c r="D368" s="21" t="str">
        <f t="shared" si="5"/>
        <v>Sunday</v>
      </c>
      <c r="E368" s="23">
        <v>0.21210000000000001</v>
      </c>
      <c r="F368" s="23">
        <f>YEAR('Merged raw data'!$B368)</f>
        <v>2011</v>
      </c>
      <c r="G368" s="23" t="str">
        <f>TEXT('Merged raw data'!$B368,"mmmm")</f>
        <v>January</v>
      </c>
      <c r="H368" s="37" t="str">
        <f>TEXT(TIME('Merged raw data'!F368,0,0),"h AM/PM")</f>
        <v>6 PM</v>
      </c>
      <c r="I368" s="23" t="str">
        <f>IF(OR('Merged raw data'!H368=1,'Merged raw data'!H368=2,'Merged raw data'!H368=3,'Merged raw data'!H368=4,'Merged raw data'!H368=5),"weekday","weekend")</f>
        <v>weekend</v>
      </c>
      <c r="J368" s="23" t="s">
        <v>23</v>
      </c>
      <c r="K368" s="23" t="str">
        <f>IF('Merged raw data'!I368=1,"Clear",IF('Merged raw data'!I368=2,"Mist",IF('Merged raw data'!I368=3,"Rain",IF('Merged raw data'!I368=4,"Storm","NA"))))</f>
        <v>Clear</v>
      </c>
      <c r="L368" s="24">
        <v>0.4</v>
      </c>
      <c r="M368" s="24">
        <v>0.16420000000000001</v>
      </c>
      <c r="N368" s="21">
        <f>'Merged raw data'!$J368*100</f>
        <v>20</v>
      </c>
      <c r="O368" s="21">
        <v>11</v>
      </c>
      <c r="P368" s="21">
        <v>56</v>
      </c>
      <c r="Q368" s="21">
        <v>67</v>
      </c>
      <c r="R368" s="21" t="str">
        <f>IF(Q368&gt;=outliers!I370,"High",IF(Q368&lt;=outliers!I369,"Low","Moderate"))</f>
        <v>High</v>
      </c>
      <c r="S368" s="8" t="str">
        <f>IF(OR(Q368&lt;outliers!$I$6,Q368&gt;outliers!$I$7),"Outlier","Normal")</f>
        <v>Normal</v>
      </c>
      <c r="T368" s="8" t="str">
        <f>IF(OR(L368&lt;outliers!$J$6,L368&gt;outliers!$J$7),"Outlier","Normal")</f>
        <v>Normal</v>
      </c>
      <c r="U368" s="8" t="str">
        <f>IF(OR(M368&lt;outliers!$K$6,M368&gt;outliers!$K$7),"Outlier","Normal")</f>
        <v>Normal</v>
      </c>
    </row>
    <row r="369" spans="1:21">
      <c r="A369" s="21">
        <v>368</v>
      </c>
      <c r="B369" s="68">
        <v>40559</v>
      </c>
      <c r="C369" s="22" t="b">
        <v>0</v>
      </c>
      <c r="D369" s="21" t="str">
        <f t="shared" si="5"/>
        <v>Sunday</v>
      </c>
      <c r="E369" s="23">
        <v>0.19700000000000001</v>
      </c>
      <c r="F369" s="23">
        <f>YEAR('Merged raw data'!$B369)</f>
        <v>2011</v>
      </c>
      <c r="G369" s="23" t="str">
        <f>TEXT('Merged raw data'!$B369,"mmmm")</f>
        <v>January</v>
      </c>
      <c r="H369" s="37" t="str">
        <f>TEXT(TIME('Merged raw data'!F369,0,0),"h AM/PM")</f>
        <v>7 PM</v>
      </c>
      <c r="I369" s="23" t="str">
        <f>IF(OR('Merged raw data'!H369=1,'Merged raw data'!H369=2,'Merged raw data'!H369=3,'Merged raw data'!H369=4,'Merged raw data'!H369=5),"weekday","weekend")</f>
        <v>weekend</v>
      </c>
      <c r="J369" s="23" t="s">
        <v>23</v>
      </c>
      <c r="K369" s="23" t="str">
        <f>IF('Merged raw data'!I369=1,"Clear",IF('Merged raw data'!I369=2,"Mist",IF('Merged raw data'!I369=3,"Rain",IF('Merged raw data'!I369=4,"Storm","NA"))))</f>
        <v>Clear</v>
      </c>
      <c r="L369" s="24">
        <v>0.47</v>
      </c>
      <c r="M369" s="24">
        <v>0.1343</v>
      </c>
      <c r="N369" s="21">
        <f>'Merged raw data'!$J369*100</f>
        <v>18</v>
      </c>
      <c r="O369" s="21">
        <v>14</v>
      </c>
      <c r="P369" s="21">
        <v>47</v>
      </c>
      <c r="Q369" s="21">
        <v>61</v>
      </c>
      <c r="R369" s="21" t="str">
        <f>IF(Q369&gt;=outliers!I371,"High",IF(Q369&lt;=outliers!I370,"Low","Moderate"))</f>
        <v>High</v>
      </c>
      <c r="S369" s="8" t="str">
        <f>IF(OR(Q369&lt;outliers!$I$6,Q369&gt;outliers!$I$7),"Outlier","Normal")</f>
        <v>Normal</v>
      </c>
      <c r="T369" s="8" t="str">
        <f>IF(OR(L369&lt;outliers!$J$6,L369&gt;outliers!$J$7),"Outlier","Normal")</f>
        <v>Normal</v>
      </c>
      <c r="U369" s="8" t="str">
        <f>IF(OR(M369&lt;outliers!$K$6,M369&gt;outliers!$K$7),"Outlier","Normal")</f>
        <v>Normal</v>
      </c>
    </row>
    <row r="370" spans="1:21">
      <c r="A370" s="21">
        <v>369</v>
      </c>
      <c r="B370" s="68">
        <v>40559</v>
      </c>
      <c r="C370" s="22" t="b">
        <v>0</v>
      </c>
      <c r="D370" s="21" t="str">
        <f t="shared" si="5"/>
        <v>Sunday</v>
      </c>
      <c r="E370" s="23">
        <v>0.19700000000000001</v>
      </c>
      <c r="F370" s="23">
        <f>YEAR('Merged raw data'!$B370)</f>
        <v>2011</v>
      </c>
      <c r="G370" s="23" t="str">
        <f>TEXT('Merged raw data'!$B370,"mmmm")</f>
        <v>January</v>
      </c>
      <c r="H370" s="37" t="str">
        <f>TEXT(TIME('Merged raw data'!F370,0,0),"h AM/PM")</f>
        <v>8 PM</v>
      </c>
      <c r="I370" s="23" t="str">
        <f>IF(OR('Merged raw data'!H370=1,'Merged raw data'!H370=2,'Merged raw data'!H370=3,'Merged raw data'!H370=4,'Merged raw data'!H370=5),"weekday","weekend")</f>
        <v>weekend</v>
      </c>
      <c r="J370" s="23" t="s">
        <v>23</v>
      </c>
      <c r="K370" s="23" t="str">
        <f>IF('Merged raw data'!I370=1,"Clear",IF('Merged raw data'!I370=2,"Mist",IF('Merged raw data'!I370=3,"Rain",IF('Merged raw data'!I370=4,"Storm","NA"))))</f>
        <v>Clear</v>
      </c>
      <c r="L370" s="24">
        <v>0.47</v>
      </c>
      <c r="M370" s="24">
        <v>0.16420000000000001</v>
      </c>
      <c r="N370" s="21">
        <f>'Merged raw data'!$J370*100</f>
        <v>18</v>
      </c>
      <c r="O370" s="21">
        <v>7</v>
      </c>
      <c r="P370" s="21">
        <v>50</v>
      </c>
      <c r="Q370" s="21">
        <v>57</v>
      </c>
      <c r="R370" s="21" t="str">
        <f>IF(Q370&gt;=outliers!I372,"High",IF(Q370&lt;=outliers!I371,"Low","Moderate"))</f>
        <v>High</v>
      </c>
      <c r="S370" s="8" t="str">
        <f>IF(OR(Q370&lt;outliers!$I$6,Q370&gt;outliers!$I$7),"Outlier","Normal")</f>
        <v>Normal</v>
      </c>
      <c r="T370" s="8" t="str">
        <f>IF(OR(L370&lt;outliers!$J$6,L370&gt;outliers!$J$7),"Outlier","Normal")</f>
        <v>Normal</v>
      </c>
      <c r="U370" s="8" t="str">
        <f>IF(OR(M370&lt;outliers!$K$6,M370&gt;outliers!$K$7),"Outlier","Normal")</f>
        <v>Normal</v>
      </c>
    </row>
    <row r="371" spans="1:21">
      <c r="A371" s="21">
        <v>370</v>
      </c>
      <c r="B371" s="68">
        <v>40559</v>
      </c>
      <c r="C371" s="22" t="b">
        <v>0</v>
      </c>
      <c r="D371" s="21" t="str">
        <f t="shared" si="5"/>
        <v>Sunday</v>
      </c>
      <c r="E371" s="23">
        <v>0.19700000000000001</v>
      </c>
      <c r="F371" s="23">
        <f>YEAR('Merged raw data'!$B371)</f>
        <v>2011</v>
      </c>
      <c r="G371" s="23" t="str">
        <f>TEXT('Merged raw data'!$B371,"mmmm")</f>
        <v>January</v>
      </c>
      <c r="H371" s="37" t="str">
        <f>TEXT(TIME('Merged raw data'!F371,0,0),"h AM/PM")</f>
        <v>9 PM</v>
      </c>
      <c r="I371" s="23" t="str">
        <f>IF(OR('Merged raw data'!H371=1,'Merged raw data'!H371=2,'Merged raw data'!H371=3,'Merged raw data'!H371=4,'Merged raw data'!H371=5),"weekday","weekend")</f>
        <v>weekend</v>
      </c>
      <c r="J371" s="23" t="s">
        <v>23</v>
      </c>
      <c r="K371" s="23" t="str">
        <f>IF('Merged raw data'!I371=1,"Clear",IF('Merged raw data'!I371=2,"Mist",IF('Merged raw data'!I371=3,"Rain",IF('Merged raw data'!I371=4,"Storm","NA"))))</f>
        <v>Clear</v>
      </c>
      <c r="L371" s="24">
        <v>0.51</v>
      </c>
      <c r="M371" s="24">
        <v>0.16420000000000001</v>
      </c>
      <c r="N371" s="21">
        <f>'Merged raw data'!$J371*100</f>
        <v>18</v>
      </c>
      <c r="O371" s="21">
        <v>6</v>
      </c>
      <c r="P371" s="21">
        <v>22</v>
      </c>
      <c r="Q371" s="21">
        <v>28</v>
      </c>
      <c r="R371" s="21" t="str">
        <f>IF(Q371&gt;=outliers!I373,"High",IF(Q371&lt;=outliers!I372,"Low","Moderate"))</f>
        <v>High</v>
      </c>
      <c r="S371" s="8" t="str">
        <f>IF(OR(Q371&lt;outliers!$I$6,Q371&gt;outliers!$I$7),"Outlier","Normal")</f>
        <v>Normal</v>
      </c>
      <c r="T371" s="8" t="str">
        <f>IF(OR(L371&lt;outliers!$J$6,L371&gt;outliers!$J$7),"Outlier","Normal")</f>
        <v>Normal</v>
      </c>
      <c r="U371" s="8" t="str">
        <f>IF(OR(M371&lt;outliers!$K$6,M371&gt;outliers!$K$7),"Outlier","Normal")</f>
        <v>Normal</v>
      </c>
    </row>
    <row r="372" spans="1:21">
      <c r="A372" s="21">
        <v>371</v>
      </c>
      <c r="B372" s="68">
        <v>40559</v>
      </c>
      <c r="C372" s="22" t="b">
        <v>0</v>
      </c>
      <c r="D372" s="21" t="str">
        <f t="shared" si="5"/>
        <v>Sunday</v>
      </c>
      <c r="E372" s="23">
        <v>0.21210000000000001</v>
      </c>
      <c r="F372" s="23">
        <f>YEAR('Merged raw data'!$B372)</f>
        <v>2011</v>
      </c>
      <c r="G372" s="23" t="str">
        <f>TEXT('Merged raw data'!$B372,"mmmm")</f>
        <v>January</v>
      </c>
      <c r="H372" s="37" t="str">
        <f>TEXT(TIME('Merged raw data'!F372,0,0),"h AM/PM")</f>
        <v>10 PM</v>
      </c>
      <c r="I372" s="23" t="str">
        <f>IF(OR('Merged raw data'!H372=1,'Merged raw data'!H372=2,'Merged raw data'!H372=3,'Merged raw data'!H372=4,'Merged raw data'!H372=5),"weekday","weekend")</f>
        <v>weekend</v>
      </c>
      <c r="J372" s="23" t="s">
        <v>23</v>
      </c>
      <c r="K372" s="23" t="str">
        <f>IF('Merged raw data'!I372=1,"Clear",IF('Merged raw data'!I372=2,"Mist",IF('Merged raw data'!I372=3,"Rain",IF('Merged raw data'!I372=4,"Storm","NA"))))</f>
        <v>Mist</v>
      </c>
      <c r="L372" s="24">
        <v>0.49</v>
      </c>
      <c r="M372" s="24">
        <v>0.1343</v>
      </c>
      <c r="N372" s="21">
        <f>'Merged raw data'!$J372*100</f>
        <v>20</v>
      </c>
      <c r="O372" s="21">
        <v>2</v>
      </c>
      <c r="P372" s="21">
        <v>19</v>
      </c>
      <c r="Q372" s="21">
        <v>21</v>
      </c>
      <c r="R372" s="21" t="str">
        <f>IF(Q372&gt;=outliers!I374,"High",IF(Q372&lt;=outliers!I373,"Low","Moderate"))</f>
        <v>High</v>
      </c>
      <c r="S372" s="8" t="str">
        <f>IF(OR(Q372&lt;outliers!$I$6,Q372&gt;outliers!$I$7),"Outlier","Normal")</f>
        <v>Normal</v>
      </c>
      <c r="T372" s="8" t="str">
        <f>IF(OR(L372&lt;outliers!$J$6,L372&gt;outliers!$J$7),"Outlier","Normal")</f>
        <v>Normal</v>
      </c>
      <c r="U372" s="8" t="str">
        <f>IF(OR(M372&lt;outliers!$K$6,M372&gt;outliers!$K$7),"Outlier","Normal")</f>
        <v>Normal</v>
      </c>
    </row>
    <row r="373" spans="1:21">
      <c r="A373" s="21">
        <v>372</v>
      </c>
      <c r="B373" s="68">
        <v>40559</v>
      </c>
      <c r="C373" s="22" t="b">
        <v>0</v>
      </c>
      <c r="D373" s="21" t="str">
        <f t="shared" si="5"/>
        <v>Sunday</v>
      </c>
      <c r="E373" s="23">
        <v>0.2273</v>
      </c>
      <c r="F373" s="23">
        <f>YEAR('Merged raw data'!$B373)</f>
        <v>2011</v>
      </c>
      <c r="G373" s="23" t="str">
        <f>TEXT('Merged raw data'!$B373,"mmmm")</f>
        <v>January</v>
      </c>
      <c r="H373" s="37" t="str">
        <f>TEXT(TIME('Merged raw data'!F373,0,0),"h AM/PM")</f>
        <v>11 PM</v>
      </c>
      <c r="I373" s="23" t="str">
        <f>IF(OR('Merged raw data'!H373=1,'Merged raw data'!H373=2,'Merged raw data'!H373=3,'Merged raw data'!H373=4,'Merged raw data'!H373=5),"weekday","weekend")</f>
        <v>weekend</v>
      </c>
      <c r="J373" s="23" t="s">
        <v>23</v>
      </c>
      <c r="K373" s="23" t="str">
        <f>IF('Merged raw data'!I373=1,"Clear",IF('Merged raw data'!I373=2,"Mist",IF('Merged raw data'!I373=3,"Rain",IF('Merged raw data'!I373=4,"Storm","NA"))))</f>
        <v>Mist</v>
      </c>
      <c r="L373" s="24">
        <v>0.4</v>
      </c>
      <c r="M373" s="24">
        <v>0.1045</v>
      </c>
      <c r="N373" s="21">
        <f>'Merged raw data'!$J373*100</f>
        <v>20</v>
      </c>
      <c r="O373" s="21">
        <v>0</v>
      </c>
      <c r="P373" s="21">
        <v>18</v>
      </c>
      <c r="Q373" s="21">
        <v>18</v>
      </c>
      <c r="R373" s="21" t="str">
        <f>IF(Q373&gt;=outliers!I375,"High",IF(Q373&lt;=outliers!I374,"Low","Moderate"))</f>
        <v>High</v>
      </c>
      <c r="S373" s="8" t="str">
        <f>IF(OR(Q373&lt;outliers!$I$6,Q373&gt;outliers!$I$7),"Outlier","Normal")</f>
        <v>Normal</v>
      </c>
      <c r="T373" s="8" t="str">
        <f>IF(OR(L373&lt;outliers!$J$6,L373&gt;outliers!$J$7),"Outlier","Normal")</f>
        <v>Normal</v>
      </c>
      <c r="U373" s="8" t="str">
        <f>IF(OR(M373&lt;outliers!$K$6,M373&gt;outliers!$K$7),"Outlier","Normal")</f>
        <v>Normal</v>
      </c>
    </row>
    <row r="374" spans="1:21">
      <c r="A374" s="21">
        <v>373</v>
      </c>
      <c r="B374" s="68">
        <v>40560</v>
      </c>
      <c r="C374" s="22" t="b">
        <v>1</v>
      </c>
      <c r="D374" s="21" t="str">
        <f t="shared" si="5"/>
        <v>Monday</v>
      </c>
      <c r="E374" s="23">
        <v>0.19700000000000001</v>
      </c>
      <c r="F374" s="23">
        <f>YEAR('Merged raw data'!$B374)</f>
        <v>2011</v>
      </c>
      <c r="G374" s="23" t="str">
        <f>TEXT('Merged raw data'!$B374,"mmmm")</f>
        <v>January</v>
      </c>
      <c r="H374" s="37" t="str">
        <f>TEXT(TIME('Merged raw data'!F374,0,0),"h AM/PM")</f>
        <v>12 AM</v>
      </c>
      <c r="I374" s="23" t="str">
        <f>IF(OR('Merged raw data'!H374=1,'Merged raw data'!H374=2,'Merged raw data'!H374=3,'Merged raw data'!H374=4,'Merged raw data'!H374=5),"weekday","weekend")</f>
        <v>weekday</v>
      </c>
      <c r="J374" s="23" t="s">
        <v>23</v>
      </c>
      <c r="K374" s="23" t="str">
        <f>IF('Merged raw data'!I374=1,"Clear",IF('Merged raw data'!I374=2,"Mist",IF('Merged raw data'!I374=3,"Rain",IF('Merged raw data'!I374=4,"Storm","NA"))))</f>
        <v>Mist</v>
      </c>
      <c r="L374" s="24">
        <v>0.47</v>
      </c>
      <c r="M374" s="24">
        <v>0.22389999999999999</v>
      </c>
      <c r="N374" s="21">
        <f>'Merged raw data'!$J374*100</f>
        <v>20</v>
      </c>
      <c r="O374" s="21">
        <v>1</v>
      </c>
      <c r="P374" s="21">
        <v>16</v>
      </c>
      <c r="Q374" s="21">
        <v>17</v>
      </c>
      <c r="R374" s="21" t="str">
        <f>IF(Q374&gt;=outliers!I376,"High",IF(Q374&lt;=outliers!I375,"Low","Moderate"))</f>
        <v>High</v>
      </c>
      <c r="S374" s="8" t="str">
        <f>IF(OR(Q374&lt;outliers!$I$6,Q374&gt;outliers!$I$7),"Outlier","Normal")</f>
        <v>Normal</v>
      </c>
      <c r="T374" s="8" t="str">
        <f>IF(OR(L374&lt;outliers!$J$6,L374&gt;outliers!$J$7),"Outlier","Normal")</f>
        <v>Normal</v>
      </c>
      <c r="U374" s="8" t="str">
        <f>IF(OR(M374&lt;outliers!$K$6,M374&gt;outliers!$K$7),"Outlier","Normal")</f>
        <v>Normal</v>
      </c>
    </row>
    <row r="375" spans="1:21">
      <c r="A375" s="21">
        <v>374</v>
      </c>
      <c r="B375" s="68">
        <v>40560</v>
      </c>
      <c r="C375" s="22" t="b">
        <v>1</v>
      </c>
      <c r="D375" s="21" t="str">
        <f t="shared" si="5"/>
        <v>Monday</v>
      </c>
      <c r="E375" s="23">
        <v>0.19700000000000001</v>
      </c>
      <c r="F375" s="23">
        <f>YEAR('Merged raw data'!$B375)</f>
        <v>2011</v>
      </c>
      <c r="G375" s="23" t="str">
        <f>TEXT('Merged raw data'!$B375,"mmmm")</f>
        <v>January</v>
      </c>
      <c r="H375" s="37" t="str">
        <f>TEXT(TIME('Merged raw data'!F375,0,0),"h AM/PM")</f>
        <v>1 AM</v>
      </c>
      <c r="I375" s="23" t="str">
        <f>IF(OR('Merged raw data'!H375=1,'Merged raw data'!H375=2,'Merged raw data'!H375=3,'Merged raw data'!H375=4,'Merged raw data'!H375=5),"weekday","weekend")</f>
        <v>weekday</v>
      </c>
      <c r="J375" s="23" t="s">
        <v>23</v>
      </c>
      <c r="K375" s="23" t="str">
        <f>IF('Merged raw data'!I375=1,"Clear",IF('Merged raw data'!I375=2,"Mist",IF('Merged raw data'!I375=3,"Rain",IF('Merged raw data'!I375=4,"Storm","NA"))))</f>
        <v>Mist</v>
      </c>
      <c r="L375" s="24">
        <v>0.44</v>
      </c>
      <c r="M375" s="24">
        <v>0.19400000000000001</v>
      </c>
      <c r="N375" s="21">
        <f>'Merged raw data'!$J375*100</f>
        <v>20</v>
      </c>
      <c r="O375" s="21">
        <v>1</v>
      </c>
      <c r="P375" s="21">
        <v>15</v>
      </c>
      <c r="Q375" s="21">
        <v>16</v>
      </c>
      <c r="R375" s="21" t="str">
        <f>IF(Q375&gt;=outliers!I377,"High",IF(Q375&lt;=outliers!I376,"Low","Moderate"))</f>
        <v>High</v>
      </c>
      <c r="S375" s="8" t="str">
        <f>IF(OR(Q375&lt;outliers!$I$6,Q375&gt;outliers!$I$7),"Outlier","Normal")</f>
        <v>Normal</v>
      </c>
      <c r="T375" s="8" t="str">
        <f>IF(OR(L375&lt;outliers!$J$6,L375&gt;outliers!$J$7),"Outlier","Normal")</f>
        <v>Normal</v>
      </c>
      <c r="U375" s="8" t="str">
        <f>IF(OR(M375&lt;outliers!$K$6,M375&gt;outliers!$K$7),"Outlier","Normal")</f>
        <v>Normal</v>
      </c>
    </row>
    <row r="376" spans="1:21">
      <c r="A376" s="21">
        <v>375</v>
      </c>
      <c r="B376" s="68">
        <v>40560</v>
      </c>
      <c r="C376" s="22" t="b">
        <v>1</v>
      </c>
      <c r="D376" s="21" t="str">
        <f t="shared" si="5"/>
        <v>Monday</v>
      </c>
      <c r="E376" s="23">
        <v>0.16669999999999999</v>
      </c>
      <c r="F376" s="23">
        <f>YEAR('Merged raw data'!$B376)</f>
        <v>2011</v>
      </c>
      <c r="G376" s="23" t="str">
        <f>TEXT('Merged raw data'!$B376,"mmmm")</f>
        <v>January</v>
      </c>
      <c r="H376" s="37" t="str">
        <f>TEXT(TIME('Merged raw data'!F376,0,0),"h AM/PM")</f>
        <v>2 AM</v>
      </c>
      <c r="I376" s="23" t="str">
        <f>IF(OR('Merged raw data'!H376=1,'Merged raw data'!H376=2,'Merged raw data'!H376=3,'Merged raw data'!H376=4,'Merged raw data'!H376=5),"weekday","weekend")</f>
        <v>weekday</v>
      </c>
      <c r="J376" s="23" t="s">
        <v>23</v>
      </c>
      <c r="K376" s="23" t="str">
        <f>IF('Merged raw data'!I376=1,"Clear",IF('Merged raw data'!I376=2,"Mist",IF('Merged raw data'!I376=3,"Rain",IF('Merged raw data'!I376=4,"Storm","NA"))))</f>
        <v>Mist</v>
      </c>
      <c r="L376" s="24">
        <v>0.43</v>
      </c>
      <c r="M376" s="24">
        <v>0.25369999999999998</v>
      </c>
      <c r="N376" s="21">
        <f>'Merged raw data'!$J376*100</f>
        <v>18</v>
      </c>
      <c r="O376" s="21">
        <v>0</v>
      </c>
      <c r="P376" s="21">
        <v>8</v>
      </c>
      <c r="Q376" s="21">
        <v>8</v>
      </c>
      <c r="R376" s="21" t="str">
        <f>IF(Q376&gt;=outliers!I378,"High",IF(Q376&lt;=outliers!I377,"Low","Moderate"))</f>
        <v>High</v>
      </c>
      <c r="S376" s="8" t="str">
        <f>IF(OR(Q376&lt;outliers!$I$6,Q376&gt;outliers!$I$7),"Outlier","Normal")</f>
        <v>Normal</v>
      </c>
      <c r="T376" s="8" t="str">
        <f>IF(OR(L376&lt;outliers!$J$6,L376&gt;outliers!$J$7),"Outlier","Normal")</f>
        <v>Normal</v>
      </c>
      <c r="U376" s="8" t="str">
        <f>IF(OR(M376&lt;outliers!$K$6,M376&gt;outliers!$K$7),"Outlier","Normal")</f>
        <v>Normal</v>
      </c>
    </row>
    <row r="377" spans="1:21">
      <c r="A377" s="21">
        <v>376</v>
      </c>
      <c r="B377" s="68">
        <v>40560</v>
      </c>
      <c r="C377" s="22" t="b">
        <v>1</v>
      </c>
      <c r="D377" s="21" t="str">
        <f t="shared" si="5"/>
        <v>Monday</v>
      </c>
      <c r="E377" s="23">
        <v>0.18179999999999999</v>
      </c>
      <c r="F377" s="23">
        <f>YEAR('Merged raw data'!$B377)</f>
        <v>2011</v>
      </c>
      <c r="G377" s="23" t="str">
        <f>TEXT('Merged raw data'!$B377,"mmmm")</f>
        <v>January</v>
      </c>
      <c r="H377" s="37" t="str">
        <f>TEXT(TIME('Merged raw data'!F377,0,0),"h AM/PM")</f>
        <v>3 AM</v>
      </c>
      <c r="I377" s="23" t="str">
        <f>IF(OR('Merged raw data'!H377=1,'Merged raw data'!H377=2,'Merged raw data'!H377=3,'Merged raw data'!H377=4,'Merged raw data'!H377=5),"weekday","weekend")</f>
        <v>weekday</v>
      </c>
      <c r="J377" s="23" t="s">
        <v>23</v>
      </c>
      <c r="K377" s="23" t="str">
        <f>IF('Merged raw data'!I377=1,"Clear",IF('Merged raw data'!I377=2,"Mist",IF('Merged raw data'!I377=3,"Rain",IF('Merged raw data'!I377=4,"Storm","NA"))))</f>
        <v>Mist</v>
      </c>
      <c r="L377" s="24">
        <v>0.43</v>
      </c>
      <c r="M377" s="24">
        <v>0.19400000000000001</v>
      </c>
      <c r="N377" s="21">
        <f>'Merged raw data'!$J377*100</f>
        <v>18</v>
      </c>
      <c r="O377" s="21">
        <v>0</v>
      </c>
      <c r="P377" s="21">
        <v>2</v>
      </c>
      <c r="Q377" s="21">
        <v>2</v>
      </c>
      <c r="R377" s="21" t="str">
        <f>IF(Q377&gt;=outliers!I379,"High",IF(Q377&lt;=outliers!I378,"Low","Moderate"))</f>
        <v>High</v>
      </c>
      <c r="S377" s="8" t="str">
        <f>IF(OR(Q377&lt;outliers!$I$6,Q377&gt;outliers!$I$7),"Outlier","Normal")</f>
        <v>Normal</v>
      </c>
      <c r="T377" s="8" t="str">
        <f>IF(OR(L377&lt;outliers!$J$6,L377&gt;outliers!$J$7),"Outlier","Normal")</f>
        <v>Normal</v>
      </c>
      <c r="U377" s="8" t="str">
        <f>IF(OR(M377&lt;outliers!$K$6,M377&gt;outliers!$K$7),"Outlier","Normal")</f>
        <v>Normal</v>
      </c>
    </row>
    <row r="378" spans="1:21">
      <c r="A378" s="21">
        <v>377</v>
      </c>
      <c r="B378" s="68">
        <v>40560</v>
      </c>
      <c r="C378" s="22" t="b">
        <v>1</v>
      </c>
      <c r="D378" s="21" t="str">
        <f t="shared" si="5"/>
        <v>Monday</v>
      </c>
      <c r="E378" s="23">
        <v>0.19700000000000001</v>
      </c>
      <c r="F378" s="23">
        <f>YEAR('Merged raw data'!$B378)</f>
        <v>2011</v>
      </c>
      <c r="G378" s="23" t="str">
        <f>TEXT('Merged raw data'!$B378,"mmmm")</f>
        <v>January</v>
      </c>
      <c r="H378" s="37" t="str">
        <f>TEXT(TIME('Merged raw data'!F378,0,0),"h AM/PM")</f>
        <v>4 AM</v>
      </c>
      <c r="I378" s="23" t="str">
        <f>IF(OR('Merged raw data'!H378=1,'Merged raw data'!H378=2,'Merged raw data'!H378=3,'Merged raw data'!H378=4,'Merged raw data'!H378=5),"weekday","weekend")</f>
        <v>weekday</v>
      </c>
      <c r="J378" s="23" t="s">
        <v>23</v>
      </c>
      <c r="K378" s="23" t="str">
        <f>IF('Merged raw data'!I378=1,"Clear",IF('Merged raw data'!I378=2,"Mist",IF('Merged raw data'!I378=3,"Rain",IF('Merged raw data'!I378=4,"Storm","NA"))))</f>
        <v>Mist</v>
      </c>
      <c r="L378" s="24">
        <v>0.43</v>
      </c>
      <c r="M378" s="24">
        <v>0.1343</v>
      </c>
      <c r="N378" s="21">
        <f>'Merged raw data'!$J378*100</f>
        <v>18</v>
      </c>
      <c r="O378" s="21">
        <v>1</v>
      </c>
      <c r="P378" s="21">
        <v>2</v>
      </c>
      <c r="Q378" s="21">
        <v>3</v>
      </c>
      <c r="R378" s="21" t="str">
        <f>IF(Q378&gt;=outliers!I380,"High",IF(Q378&lt;=outliers!I379,"Low","Moderate"))</f>
        <v>High</v>
      </c>
      <c r="S378" s="8" t="str">
        <f>IF(OR(Q378&lt;outliers!$I$6,Q378&gt;outliers!$I$7),"Outlier","Normal")</f>
        <v>Normal</v>
      </c>
      <c r="T378" s="8" t="str">
        <f>IF(OR(L378&lt;outliers!$J$6,L378&gt;outliers!$J$7),"Outlier","Normal")</f>
        <v>Normal</v>
      </c>
      <c r="U378" s="8" t="str">
        <f>IF(OR(M378&lt;outliers!$K$6,M378&gt;outliers!$K$7),"Outlier","Normal")</f>
        <v>Normal</v>
      </c>
    </row>
    <row r="379" spans="1:21">
      <c r="A379" s="21">
        <v>378</v>
      </c>
      <c r="B379" s="68">
        <v>40560</v>
      </c>
      <c r="C379" s="22" t="b">
        <v>1</v>
      </c>
      <c r="D379" s="21" t="str">
        <f t="shared" si="5"/>
        <v>Monday</v>
      </c>
      <c r="E379" s="23">
        <v>0.19700000000000001</v>
      </c>
      <c r="F379" s="23">
        <f>YEAR('Merged raw data'!$B379)</f>
        <v>2011</v>
      </c>
      <c r="G379" s="23" t="str">
        <f>TEXT('Merged raw data'!$B379,"mmmm")</f>
        <v>January</v>
      </c>
      <c r="H379" s="37" t="str">
        <f>TEXT(TIME('Merged raw data'!F379,0,0),"h AM/PM")</f>
        <v>5 AM</v>
      </c>
      <c r="I379" s="23" t="str">
        <f>IF(OR('Merged raw data'!H379=1,'Merged raw data'!H379=2,'Merged raw data'!H379=3,'Merged raw data'!H379=4,'Merged raw data'!H379=5),"weekday","weekend")</f>
        <v>weekday</v>
      </c>
      <c r="J379" s="23" t="s">
        <v>23</v>
      </c>
      <c r="K379" s="23" t="str">
        <f>IF('Merged raw data'!I379=1,"Clear",IF('Merged raw data'!I379=2,"Mist",IF('Merged raw data'!I379=3,"Rain",IF('Merged raw data'!I379=4,"Storm","NA"))))</f>
        <v>Mist</v>
      </c>
      <c r="L379" s="24">
        <v>0.43</v>
      </c>
      <c r="M379" s="24">
        <v>0.16420000000000001</v>
      </c>
      <c r="N379" s="21">
        <f>'Merged raw data'!$J379*100</f>
        <v>18</v>
      </c>
      <c r="O379" s="21">
        <v>0</v>
      </c>
      <c r="P379" s="21">
        <v>1</v>
      </c>
      <c r="Q379" s="21">
        <v>1</v>
      </c>
      <c r="R379" s="21" t="str">
        <f>IF(Q379&gt;=outliers!I381,"High",IF(Q379&lt;=outliers!I380,"Low","Moderate"))</f>
        <v>High</v>
      </c>
      <c r="S379" s="8" t="str">
        <f>IF(OR(Q379&lt;outliers!$I$6,Q379&gt;outliers!$I$7),"Outlier","Normal")</f>
        <v>Normal</v>
      </c>
      <c r="T379" s="8" t="str">
        <f>IF(OR(L379&lt;outliers!$J$6,L379&gt;outliers!$J$7),"Outlier","Normal")</f>
        <v>Normal</v>
      </c>
      <c r="U379" s="8" t="str">
        <f>IF(OR(M379&lt;outliers!$K$6,M379&gt;outliers!$K$7),"Outlier","Normal")</f>
        <v>Normal</v>
      </c>
    </row>
    <row r="380" spans="1:21">
      <c r="A380" s="21">
        <v>379</v>
      </c>
      <c r="B380" s="68">
        <v>40560</v>
      </c>
      <c r="C380" s="22" t="b">
        <v>1</v>
      </c>
      <c r="D380" s="21" t="str">
        <f t="shared" si="5"/>
        <v>Monday</v>
      </c>
      <c r="E380" s="23">
        <v>0.18179999999999999</v>
      </c>
      <c r="F380" s="23">
        <f>YEAR('Merged raw data'!$B380)</f>
        <v>2011</v>
      </c>
      <c r="G380" s="23" t="str">
        <f>TEXT('Merged raw data'!$B380,"mmmm")</f>
        <v>January</v>
      </c>
      <c r="H380" s="37" t="str">
        <f>TEXT(TIME('Merged raw data'!F380,0,0),"h AM/PM")</f>
        <v>6 AM</v>
      </c>
      <c r="I380" s="23" t="str">
        <f>IF(OR('Merged raw data'!H380=1,'Merged raw data'!H380=2,'Merged raw data'!H380=3,'Merged raw data'!H380=4,'Merged raw data'!H380=5),"weekday","weekend")</f>
        <v>weekday</v>
      </c>
      <c r="J380" s="23" t="s">
        <v>23</v>
      </c>
      <c r="K380" s="23" t="str">
        <f>IF('Merged raw data'!I380=1,"Clear",IF('Merged raw data'!I380=2,"Mist",IF('Merged raw data'!I380=3,"Rain",IF('Merged raw data'!I380=4,"Storm","NA"))))</f>
        <v>Mist</v>
      </c>
      <c r="L380" s="24">
        <v>0.43</v>
      </c>
      <c r="M380" s="24">
        <v>0.19400000000000001</v>
      </c>
      <c r="N380" s="21">
        <f>'Merged raw data'!$J380*100</f>
        <v>18</v>
      </c>
      <c r="O380" s="21">
        <v>0</v>
      </c>
      <c r="P380" s="21">
        <v>5</v>
      </c>
      <c r="Q380" s="21">
        <v>5</v>
      </c>
      <c r="R380" s="21" t="str">
        <f>IF(Q380&gt;=outliers!I382,"High",IF(Q380&lt;=outliers!I381,"Low","Moderate"))</f>
        <v>High</v>
      </c>
      <c r="S380" s="8" t="str">
        <f>IF(OR(Q380&lt;outliers!$I$6,Q380&gt;outliers!$I$7),"Outlier","Normal")</f>
        <v>Normal</v>
      </c>
      <c r="T380" s="8" t="str">
        <f>IF(OR(L380&lt;outliers!$J$6,L380&gt;outliers!$J$7),"Outlier","Normal")</f>
        <v>Normal</v>
      </c>
      <c r="U380" s="8" t="str">
        <f>IF(OR(M380&lt;outliers!$K$6,M380&gt;outliers!$K$7),"Outlier","Normal")</f>
        <v>Normal</v>
      </c>
    </row>
    <row r="381" spans="1:21">
      <c r="A381" s="21">
        <v>380</v>
      </c>
      <c r="B381" s="68">
        <v>40560</v>
      </c>
      <c r="C381" s="22" t="b">
        <v>1</v>
      </c>
      <c r="D381" s="21" t="str">
        <f t="shared" si="5"/>
        <v>Monday</v>
      </c>
      <c r="E381" s="23">
        <v>0.18179999999999999</v>
      </c>
      <c r="F381" s="23">
        <f>YEAR('Merged raw data'!$B381)</f>
        <v>2011</v>
      </c>
      <c r="G381" s="23" t="str">
        <f>TEXT('Merged raw data'!$B381,"mmmm")</f>
        <v>January</v>
      </c>
      <c r="H381" s="37" t="str">
        <f>TEXT(TIME('Merged raw data'!F381,0,0),"h AM/PM")</f>
        <v>7 AM</v>
      </c>
      <c r="I381" s="23" t="str">
        <f>IF(OR('Merged raw data'!H381=1,'Merged raw data'!H381=2,'Merged raw data'!H381=3,'Merged raw data'!H381=4,'Merged raw data'!H381=5),"weekday","weekend")</f>
        <v>weekday</v>
      </c>
      <c r="J381" s="23" t="s">
        <v>23</v>
      </c>
      <c r="K381" s="23" t="str">
        <f>IF('Merged raw data'!I381=1,"Clear",IF('Merged raw data'!I381=2,"Mist",IF('Merged raw data'!I381=3,"Rain",IF('Merged raw data'!I381=4,"Storm","NA"))))</f>
        <v>Mist</v>
      </c>
      <c r="L381" s="24">
        <v>0.5</v>
      </c>
      <c r="M381" s="24">
        <v>0.1343</v>
      </c>
      <c r="N381" s="21">
        <f>'Merged raw data'!$J381*100</f>
        <v>16</v>
      </c>
      <c r="O381" s="21">
        <v>4</v>
      </c>
      <c r="P381" s="21">
        <v>9</v>
      </c>
      <c r="Q381" s="21">
        <v>13</v>
      </c>
      <c r="R381" s="21" t="str">
        <f>IF(Q381&gt;=outliers!I383,"High",IF(Q381&lt;=outliers!I382,"Low","Moderate"))</f>
        <v>High</v>
      </c>
      <c r="S381" s="8" t="str">
        <f>IF(OR(Q381&lt;outliers!$I$6,Q381&gt;outliers!$I$7),"Outlier","Normal")</f>
        <v>Normal</v>
      </c>
      <c r="T381" s="8" t="str">
        <f>IF(OR(L381&lt;outliers!$J$6,L381&gt;outliers!$J$7),"Outlier","Normal")</f>
        <v>Normal</v>
      </c>
      <c r="U381" s="8" t="str">
        <f>IF(OR(M381&lt;outliers!$K$6,M381&gt;outliers!$K$7),"Outlier","Normal")</f>
        <v>Normal</v>
      </c>
    </row>
    <row r="382" spans="1:21">
      <c r="A382" s="21">
        <v>381</v>
      </c>
      <c r="B382" s="68">
        <v>40560</v>
      </c>
      <c r="C382" s="22" t="b">
        <v>1</v>
      </c>
      <c r="D382" s="21" t="str">
        <f t="shared" si="5"/>
        <v>Monday</v>
      </c>
      <c r="E382" s="23">
        <v>0.1515</v>
      </c>
      <c r="F382" s="23">
        <f>YEAR('Merged raw data'!$B382)</f>
        <v>2011</v>
      </c>
      <c r="G382" s="23" t="str">
        <f>TEXT('Merged raw data'!$B382,"mmmm")</f>
        <v>January</v>
      </c>
      <c r="H382" s="37" t="str">
        <f>TEXT(TIME('Merged raw data'!F382,0,0),"h AM/PM")</f>
        <v>8 AM</v>
      </c>
      <c r="I382" s="23" t="str">
        <f>IF(OR('Merged raw data'!H382=1,'Merged raw data'!H382=2,'Merged raw data'!H382=3,'Merged raw data'!H382=4,'Merged raw data'!H382=5),"weekday","weekend")</f>
        <v>weekday</v>
      </c>
      <c r="J382" s="23" t="s">
        <v>23</v>
      </c>
      <c r="K382" s="23" t="str">
        <f>IF('Merged raw data'!I382=1,"Clear",IF('Merged raw data'!I382=2,"Mist",IF('Merged raw data'!I382=3,"Rain",IF('Merged raw data'!I382=4,"Storm","NA"))))</f>
        <v>Mist</v>
      </c>
      <c r="L382" s="24">
        <v>0.47</v>
      </c>
      <c r="M382" s="24">
        <v>0.22389999999999999</v>
      </c>
      <c r="N382" s="21">
        <f>'Merged raw data'!$J382*100</f>
        <v>16</v>
      </c>
      <c r="O382" s="21">
        <v>3</v>
      </c>
      <c r="P382" s="21">
        <v>30</v>
      </c>
      <c r="Q382" s="21">
        <v>33</v>
      </c>
      <c r="R382" s="21" t="str">
        <f>IF(Q382&gt;=outliers!I384,"High",IF(Q382&lt;=outliers!I383,"Low","Moderate"))</f>
        <v>High</v>
      </c>
      <c r="S382" s="8" t="str">
        <f>IF(OR(Q382&lt;outliers!$I$6,Q382&gt;outliers!$I$7),"Outlier","Normal")</f>
        <v>Normal</v>
      </c>
      <c r="T382" s="8" t="str">
        <f>IF(OR(L382&lt;outliers!$J$6,L382&gt;outliers!$J$7),"Outlier","Normal")</f>
        <v>Normal</v>
      </c>
      <c r="U382" s="8" t="str">
        <f>IF(OR(M382&lt;outliers!$K$6,M382&gt;outliers!$K$7),"Outlier","Normal")</f>
        <v>Normal</v>
      </c>
    </row>
    <row r="383" spans="1:21">
      <c r="A383" s="21">
        <v>382</v>
      </c>
      <c r="B383" s="68">
        <v>40560</v>
      </c>
      <c r="C383" s="22" t="b">
        <v>1</v>
      </c>
      <c r="D383" s="21" t="str">
        <f t="shared" si="5"/>
        <v>Monday</v>
      </c>
      <c r="E383" s="23">
        <v>0.1515</v>
      </c>
      <c r="F383" s="23">
        <f>YEAR('Merged raw data'!$B383)</f>
        <v>2011</v>
      </c>
      <c r="G383" s="23" t="str">
        <f>TEXT('Merged raw data'!$B383,"mmmm")</f>
        <v>January</v>
      </c>
      <c r="H383" s="37" t="str">
        <f>TEXT(TIME('Merged raw data'!F383,0,0),"h AM/PM")</f>
        <v>9 AM</v>
      </c>
      <c r="I383" s="23" t="str">
        <f>IF(OR('Merged raw data'!H383=1,'Merged raw data'!H383=2,'Merged raw data'!H383=3,'Merged raw data'!H383=4,'Merged raw data'!H383=5),"weekday","weekend")</f>
        <v>weekday</v>
      </c>
      <c r="J383" s="23" t="s">
        <v>23</v>
      </c>
      <c r="K383" s="23" t="str">
        <f>IF('Merged raw data'!I383=1,"Clear",IF('Merged raw data'!I383=2,"Mist",IF('Merged raw data'!I383=3,"Rain",IF('Merged raw data'!I383=4,"Storm","NA"))))</f>
        <v>Mist</v>
      </c>
      <c r="L383" s="24">
        <v>0.47</v>
      </c>
      <c r="M383" s="24">
        <v>0.22389999999999999</v>
      </c>
      <c r="N383" s="21">
        <f>'Merged raw data'!$J383*100</f>
        <v>16</v>
      </c>
      <c r="O383" s="21">
        <v>8</v>
      </c>
      <c r="P383" s="21">
        <v>39</v>
      </c>
      <c r="Q383" s="21">
        <v>47</v>
      </c>
      <c r="R383" s="21" t="str">
        <f>IF(Q383&gt;=outliers!I385,"High",IF(Q383&lt;=outliers!I384,"Low","Moderate"))</f>
        <v>High</v>
      </c>
      <c r="S383" s="8" t="str">
        <f>IF(OR(Q383&lt;outliers!$I$6,Q383&gt;outliers!$I$7),"Outlier","Normal")</f>
        <v>Normal</v>
      </c>
      <c r="T383" s="8" t="str">
        <f>IF(OR(L383&lt;outliers!$J$6,L383&gt;outliers!$J$7),"Outlier","Normal")</f>
        <v>Normal</v>
      </c>
      <c r="U383" s="8" t="str">
        <f>IF(OR(M383&lt;outliers!$K$6,M383&gt;outliers!$K$7),"Outlier","Normal")</f>
        <v>Normal</v>
      </c>
    </row>
    <row r="384" spans="1:21">
      <c r="A384" s="21">
        <v>383</v>
      </c>
      <c r="B384" s="68">
        <v>40560</v>
      </c>
      <c r="C384" s="22" t="b">
        <v>1</v>
      </c>
      <c r="D384" s="21" t="str">
        <f t="shared" si="5"/>
        <v>Monday</v>
      </c>
      <c r="E384" s="23">
        <v>0.1515</v>
      </c>
      <c r="F384" s="23">
        <f>YEAR('Merged raw data'!$B384)</f>
        <v>2011</v>
      </c>
      <c r="G384" s="23" t="str">
        <f>TEXT('Merged raw data'!$B384,"mmmm")</f>
        <v>January</v>
      </c>
      <c r="H384" s="37" t="str">
        <f>TEXT(TIME('Merged raw data'!F384,0,0),"h AM/PM")</f>
        <v>10 AM</v>
      </c>
      <c r="I384" s="23" t="str">
        <f>IF(OR('Merged raw data'!H384=1,'Merged raw data'!H384=2,'Merged raw data'!H384=3,'Merged raw data'!H384=4,'Merged raw data'!H384=5),"weekday","weekend")</f>
        <v>weekday</v>
      </c>
      <c r="J384" s="23" t="s">
        <v>23</v>
      </c>
      <c r="K384" s="23" t="str">
        <f>IF('Merged raw data'!I384=1,"Clear",IF('Merged raw data'!I384=2,"Mist",IF('Merged raw data'!I384=3,"Rain",IF('Merged raw data'!I384=4,"Storm","NA"))))</f>
        <v>Mist</v>
      </c>
      <c r="L384" s="24">
        <v>0.5</v>
      </c>
      <c r="M384" s="24">
        <v>0.25369999999999998</v>
      </c>
      <c r="N384" s="21">
        <f>'Merged raw data'!$J384*100</f>
        <v>16</v>
      </c>
      <c r="O384" s="21">
        <v>7</v>
      </c>
      <c r="P384" s="21">
        <v>50</v>
      </c>
      <c r="Q384" s="21">
        <v>57</v>
      </c>
      <c r="R384" s="21" t="str">
        <f>IF(Q384&gt;=outliers!I386,"High",IF(Q384&lt;=outliers!I385,"Low","Moderate"))</f>
        <v>High</v>
      </c>
      <c r="S384" s="8" t="str">
        <f>IF(OR(Q384&lt;outliers!$I$6,Q384&gt;outliers!$I$7),"Outlier","Normal")</f>
        <v>Normal</v>
      </c>
      <c r="T384" s="8" t="str">
        <f>IF(OR(L384&lt;outliers!$J$6,L384&gt;outliers!$J$7),"Outlier","Normal")</f>
        <v>Normal</v>
      </c>
      <c r="U384" s="8" t="str">
        <f>IF(OR(M384&lt;outliers!$K$6,M384&gt;outliers!$K$7),"Outlier","Normal")</f>
        <v>Normal</v>
      </c>
    </row>
    <row r="385" spans="1:21">
      <c r="A385" s="21">
        <v>384</v>
      </c>
      <c r="B385" s="68">
        <v>40560</v>
      </c>
      <c r="C385" s="22" t="b">
        <v>1</v>
      </c>
      <c r="D385" s="21" t="str">
        <f t="shared" si="5"/>
        <v>Monday</v>
      </c>
      <c r="E385" s="23">
        <v>0.1515</v>
      </c>
      <c r="F385" s="23">
        <f>YEAR('Merged raw data'!$B385)</f>
        <v>2011</v>
      </c>
      <c r="G385" s="23" t="str">
        <f>TEXT('Merged raw data'!$B385,"mmmm")</f>
        <v>January</v>
      </c>
      <c r="H385" s="37" t="str">
        <f>TEXT(TIME('Merged raw data'!F385,0,0),"h AM/PM")</f>
        <v>11 AM</v>
      </c>
      <c r="I385" s="23" t="str">
        <f>IF(OR('Merged raw data'!H385=1,'Merged raw data'!H385=2,'Merged raw data'!H385=3,'Merged raw data'!H385=4,'Merged raw data'!H385=5),"weekday","weekend")</f>
        <v>weekday</v>
      </c>
      <c r="J385" s="23" t="s">
        <v>23</v>
      </c>
      <c r="K385" s="23" t="str">
        <f>IF('Merged raw data'!I385=1,"Clear",IF('Merged raw data'!I385=2,"Mist",IF('Merged raw data'!I385=3,"Rain",IF('Merged raw data'!I385=4,"Storm","NA"))))</f>
        <v>Mist</v>
      </c>
      <c r="L385" s="24">
        <v>0.55000000000000004</v>
      </c>
      <c r="M385" s="24">
        <v>0.19400000000000001</v>
      </c>
      <c r="N385" s="21">
        <f>'Merged raw data'!$J385*100</f>
        <v>16</v>
      </c>
      <c r="O385" s="21">
        <v>9</v>
      </c>
      <c r="P385" s="21">
        <v>55</v>
      </c>
      <c r="Q385" s="21">
        <v>64</v>
      </c>
      <c r="R385" s="21" t="str">
        <f>IF(Q385&gt;=outliers!I387,"High",IF(Q385&lt;=outliers!I386,"Low","Moderate"))</f>
        <v>High</v>
      </c>
      <c r="S385" s="8" t="str">
        <f>IF(OR(Q385&lt;outliers!$I$6,Q385&gt;outliers!$I$7),"Outlier","Normal")</f>
        <v>Normal</v>
      </c>
      <c r="T385" s="8" t="str">
        <f>IF(OR(L385&lt;outliers!$J$6,L385&gt;outliers!$J$7),"Outlier","Normal")</f>
        <v>Normal</v>
      </c>
      <c r="U385" s="8" t="str">
        <f>IF(OR(M385&lt;outliers!$K$6,M385&gt;outliers!$K$7),"Outlier","Normal")</f>
        <v>Normal</v>
      </c>
    </row>
    <row r="386" spans="1:21">
      <c r="A386" s="21">
        <v>385</v>
      </c>
      <c r="B386" s="68">
        <v>40560</v>
      </c>
      <c r="C386" s="22" t="b">
        <v>1</v>
      </c>
      <c r="D386" s="21" t="str">
        <f t="shared" si="5"/>
        <v>Monday</v>
      </c>
      <c r="E386" s="23">
        <v>0.19700000000000001</v>
      </c>
      <c r="F386" s="23">
        <f>YEAR('Merged raw data'!$B386)</f>
        <v>2011</v>
      </c>
      <c r="G386" s="23" t="str">
        <f>TEXT('Merged raw data'!$B386,"mmmm")</f>
        <v>January</v>
      </c>
      <c r="H386" s="37" t="str">
        <f>TEXT(TIME('Merged raw data'!F386,0,0),"h AM/PM")</f>
        <v>12 PM</v>
      </c>
      <c r="I386" s="23" t="str">
        <f>IF(OR('Merged raw data'!H386=1,'Merged raw data'!H386=2,'Merged raw data'!H386=3,'Merged raw data'!H386=4,'Merged raw data'!H386=5),"weekday","weekend")</f>
        <v>weekday</v>
      </c>
      <c r="J386" s="23" t="s">
        <v>23</v>
      </c>
      <c r="K386" s="23" t="str">
        <f>IF('Merged raw data'!I386=1,"Clear",IF('Merged raw data'!I386=2,"Mist",IF('Merged raw data'!I386=3,"Rain",IF('Merged raw data'!I386=4,"Storm","NA"))))</f>
        <v>Mist</v>
      </c>
      <c r="L386" s="24">
        <v>0.47</v>
      </c>
      <c r="M386" s="24">
        <v>0.1343</v>
      </c>
      <c r="N386" s="21">
        <f>'Merged raw data'!$J386*100</f>
        <v>18</v>
      </c>
      <c r="O386" s="21">
        <v>10</v>
      </c>
      <c r="P386" s="21">
        <v>70</v>
      </c>
      <c r="Q386" s="21">
        <v>80</v>
      </c>
      <c r="R386" s="21" t="str">
        <f>IF(Q386&gt;=outliers!I388,"High",IF(Q386&lt;=outliers!I387,"Low","Moderate"))</f>
        <v>High</v>
      </c>
      <c r="S386" s="8" t="str">
        <f>IF(OR(Q386&lt;outliers!$I$6,Q386&gt;outliers!$I$7),"Outlier","Normal")</f>
        <v>Normal</v>
      </c>
      <c r="T386" s="8" t="str">
        <f>IF(OR(L386&lt;outliers!$J$6,L386&gt;outliers!$J$7),"Outlier","Normal")</f>
        <v>Normal</v>
      </c>
      <c r="U386" s="8" t="str">
        <f>IF(OR(M386&lt;outliers!$K$6,M386&gt;outliers!$K$7),"Outlier","Normal")</f>
        <v>Normal</v>
      </c>
    </row>
    <row r="387" spans="1:21">
      <c r="A387" s="21">
        <v>386</v>
      </c>
      <c r="B387" s="68">
        <v>40560</v>
      </c>
      <c r="C387" s="22" t="b">
        <v>1</v>
      </c>
      <c r="D387" s="21" t="str">
        <f t="shared" ref="D387:D450" si="6">TEXT(B387,"dddd")</f>
        <v>Monday</v>
      </c>
      <c r="E387" s="23">
        <v>0.19700000000000001</v>
      </c>
      <c r="F387" s="23">
        <f>YEAR('Merged raw data'!$B387)</f>
        <v>2011</v>
      </c>
      <c r="G387" s="23" t="str">
        <f>TEXT('Merged raw data'!$B387,"mmmm")</f>
        <v>January</v>
      </c>
      <c r="H387" s="37" t="str">
        <f>TEXT(TIME('Merged raw data'!F387,0,0),"h AM/PM")</f>
        <v>1 PM</v>
      </c>
      <c r="I387" s="23" t="str">
        <f>IF(OR('Merged raw data'!H387=1,'Merged raw data'!H387=2,'Merged raw data'!H387=3,'Merged raw data'!H387=4,'Merged raw data'!H387=5),"weekday","weekend")</f>
        <v>weekday</v>
      </c>
      <c r="J387" s="23" t="s">
        <v>23</v>
      </c>
      <c r="K387" s="23" t="str">
        <f>IF('Merged raw data'!I387=1,"Clear",IF('Merged raw data'!I387=2,"Mist",IF('Merged raw data'!I387=3,"Rain",IF('Merged raw data'!I387=4,"Storm","NA"))))</f>
        <v>Mist</v>
      </c>
      <c r="L387" s="24">
        <v>0.47</v>
      </c>
      <c r="M387" s="24">
        <v>0.1343</v>
      </c>
      <c r="N387" s="21">
        <f>'Merged raw data'!$J387*100</f>
        <v>18</v>
      </c>
      <c r="O387" s="21">
        <v>13</v>
      </c>
      <c r="P387" s="21">
        <v>80</v>
      </c>
      <c r="Q387" s="21">
        <v>93</v>
      </c>
      <c r="R387" s="21" t="str">
        <f>IF(Q387&gt;=outliers!I389,"High",IF(Q387&lt;=outliers!I388,"Low","Moderate"))</f>
        <v>High</v>
      </c>
      <c r="S387" s="8" t="str">
        <f>IF(OR(Q387&lt;outliers!$I$6,Q387&gt;outliers!$I$7),"Outlier","Normal")</f>
        <v>Normal</v>
      </c>
      <c r="T387" s="8" t="str">
        <f>IF(OR(L387&lt;outliers!$J$6,L387&gt;outliers!$J$7),"Outlier","Normal")</f>
        <v>Normal</v>
      </c>
      <c r="U387" s="8" t="str">
        <f>IF(OR(M387&lt;outliers!$K$6,M387&gt;outliers!$K$7),"Outlier","Normal")</f>
        <v>Normal</v>
      </c>
    </row>
    <row r="388" spans="1:21">
      <c r="A388" s="21">
        <v>387</v>
      </c>
      <c r="B388" s="68">
        <v>40560</v>
      </c>
      <c r="C388" s="22" t="b">
        <v>1</v>
      </c>
      <c r="D388" s="21" t="str">
        <f t="shared" si="6"/>
        <v>Monday</v>
      </c>
      <c r="E388" s="23">
        <v>0.21210000000000001</v>
      </c>
      <c r="F388" s="23">
        <f>YEAR('Merged raw data'!$B388)</f>
        <v>2011</v>
      </c>
      <c r="G388" s="23" t="str">
        <f>TEXT('Merged raw data'!$B388,"mmmm")</f>
        <v>January</v>
      </c>
      <c r="H388" s="37" t="str">
        <f>TEXT(TIME('Merged raw data'!F388,0,0),"h AM/PM")</f>
        <v>2 PM</v>
      </c>
      <c r="I388" s="23" t="str">
        <f>IF(OR('Merged raw data'!H388=1,'Merged raw data'!H388=2,'Merged raw data'!H388=3,'Merged raw data'!H388=4,'Merged raw data'!H388=5),"weekday","weekend")</f>
        <v>weekday</v>
      </c>
      <c r="J388" s="23" t="s">
        <v>23</v>
      </c>
      <c r="K388" s="23" t="str">
        <f>IF('Merged raw data'!I388=1,"Clear",IF('Merged raw data'!I388=2,"Mist",IF('Merged raw data'!I388=3,"Rain",IF('Merged raw data'!I388=4,"Storm","NA"))))</f>
        <v>Mist</v>
      </c>
      <c r="L388" s="24">
        <v>0.43</v>
      </c>
      <c r="M388" s="24">
        <v>0.1045</v>
      </c>
      <c r="N388" s="21">
        <f>'Merged raw data'!$J388*100</f>
        <v>18</v>
      </c>
      <c r="O388" s="21">
        <v>12</v>
      </c>
      <c r="P388" s="21">
        <v>74</v>
      </c>
      <c r="Q388" s="21">
        <v>86</v>
      </c>
      <c r="R388" s="21" t="str">
        <f>IF(Q388&gt;=outliers!I390,"High",IF(Q388&lt;=outliers!I389,"Low","Moderate"))</f>
        <v>High</v>
      </c>
      <c r="S388" s="8" t="str">
        <f>IF(OR(Q388&lt;outliers!$I$6,Q388&gt;outliers!$I$7),"Outlier","Normal")</f>
        <v>Normal</v>
      </c>
      <c r="T388" s="8" t="str">
        <f>IF(OR(L388&lt;outliers!$J$6,L388&gt;outliers!$J$7),"Outlier","Normal")</f>
        <v>Normal</v>
      </c>
      <c r="U388" s="8" t="str">
        <f>IF(OR(M388&lt;outliers!$K$6,M388&gt;outliers!$K$7),"Outlier","Normal")</f>
        <v>Normal</v>
      </c>
    </row>
    <row r="389" spans="1:21">
      <c r="A389" s="21">
        <v>388</v>
      </c>
      <c r="B389" s="68">
        <v>40560</v>
      </c>
      <c r="C389" s="22" t="b">
        <v>1</v>
      </c>
      <c r="D389" s="21" t="str">
        <f t="shared" si="6"/>
        <v>Monday</v>
      </c>
      <c r="E389" s="23">
        <v>0.21210000000000001</v>
      </c>
      <c r="F389" s="23">
        <f>YEAR('Merged raw data'!$B389)</f>
        <v>2011</v>
      </c>
      <c r="G389" s="23" t="str">
        <f>TEXT('Merged raw data'!$B389,"mmmm")</f>
        <v>January</v>
      </c>
      <c r="H389" s="37" t="str">
        <f>TEXT(TIME('Merged raw data'!F389,0,0),"h AM/PM")</f>
        <v>3 PM</v>
      </c>
      <c r="I389" s="23" t="str">
        <f>IF(OR('Merged raw data'!H389=1,'Merged raw data'!H389=2,'Merged raw data'!H389=3,'Merged raw data'!H389=4,'Merged raw data'!H389=5),"weekday","weekend")</f>
        <v>weekday</v>
      </c>
      <c r="J389" s="23" t="s">
        <v>23</v>
      </c>
      <c r="K389" s="23" t="str">
        <f>IF('Merged raw data'!I389=1,"Clear",IF('Merged raw data'!I389=2,"Mist",IF('Merged raw data'!I389=3,"Rain",IF('Merged raw data'!I389=4,"Storm","NA"))))</f>
        <v>Mist</v>
      </c>
      <c r="L389" s="24">
        <v>0.47</v>
      </c>
      <c r="M389" s="24">
        <v>0.16420000000000001</v>
      </c>
      <c r="N389" s="21">
        <f>'Merged raw data'!$J389*100</f>
        <v>20</v>
      </c>
      <c r="O389" s="21">
        <v>21</v>
      </c>
      <c r="P389" s="21">
        <v>72</v>
      </c>
      <c r="Q389" s="21">
        <v>93</v>
      </c>
      <c r="R389" s="21" t="str">
        <f>IF(Q389&gt;=outliers!I391,"High",IF(Q389&lt;=outliers!I390,"Low","Moderate"))</f>
        <v>High</v>
      </c>
      <c r="S389" s="8" t="str">
        <f>IF(OR(Q389&lt;outliers!$I$6,Q389&gt;outliers!$I$7),"Outlier","Normal")</f>
        <v>Normal</v>
      </c>
      <c r="T389" s="8" t="str">
        <f>IF(OR(L389&lt;outliers!$J$6,L389&gt;outliers!$J$7),"Outlier","Normal")</f>
        <v>Normal</v>
      </c>
      <c r="U389" s="8" t="str">
        <f>IF(OR(M389&lt;outliers!$K$6,M389&gt;outliers!$K$7),"Outlier","Normal")</f>
        <v>Normal</v>
      </c>
    </row>
    <row r="390" spans="1:21">
      <c r="A390" s="21">
        <v>389</v>
      </c>
      <c r="B390" s="68">
        <v>40560</v>
      </c>
      <c r="C390" s="22" t="b">
        <v>1</v>
      </c>
      <c r="D390" s="21" t="str">
        <f t="shared" si="6"/>
        <v>Monday</v>
      </c>
      <c r="E390" s="23">
        <v>0.21210000000000001</v>
      </c>
      <c r="F390" s="23">
        <f>YEAR('Merged raw data'!$B390)</f>
        <v>2011</v>
      </c>
      <c r="G390" s="23" t="str">
        <f>TEXT('Merged raw data'!$B390,"mmmm")</f>
        <v>January</v>
      </c>
      <c r="H390" s="37" t="str">
        <f>TEXT(TIME('Merged raw data'!F390,0,0),"h AM/PM")</f>
        <v>4 PM</v>
      </c>
      <c r="I390" s="23" t="str">
        <f>IF(OR('Merged raw data'!H390=1,'Merged raw data'!H390=2,'Merged raw data'!H390=3,'Merged raw data'!H390=4,'Merged raw data'!H390=5),"weekday","weekend")</f>
        <v>weekday</v>
      </c>
      <c r="J390" s="23" t="s">
        <v>23</v>
      </c>
      <c r="K390" s="23" t="str">
        <f>IF('Merged raw data'!I390=1,"Clear",IF('Merged raw data'!I390=2,"Mist",IF('Merged raw data'!I390=3,"Rain",IF('Merged raw data'!I390=4,"Storm","NA"))))</f>
        <v>Mist</v>
      </c>
      <c r="L390" s="24">
        <v>0.47</v>
      </c>
      <c r="M390" s="24">
        <v>0.16420000000000001</v>
      </c>
      <c r="N390" s="21">
        <f>'Merged raw data'!$J390*100</f>
        <v>20</v>
      </c>
      <c r="O390" s="21">
        <v>6</v>
      </c>
      <c r="P390" s="21">
        <v>76</v>
      </c>
      <c r="Q390" s="21">
        <v>82</v>
      </c>
      <c r="R390" s="21" t="str">
        <f>IF(Q390&gt;=outliers!I392,"High",IF(Q390&lt;=outliers!I391,"Low","Moderate"))</f>
        <v>High</v>
      </c>
      <c r="S390" s="8" t="str">
        <f>IF(OR(Q390&lt;outliers!$I$6,Q390&gt;outliers!$I$7),"Outlier","Normal")</f>
        <v>Normal</v>
      </c>
      <c r="T390" s="8" t="str">
        <f>IF(OR(L390&lt;outliers!$J$6,L390&gt;outliers!$J$7),"Outlier","Normal")</f>
        <v>Normal</v>
      </c>
      <c r="U390" s="8" t="str">
        <f>IF(OR(M390&lt;outliers!$K$6,M390&gt;outliers!$K$7),"Outlier","Normal")</f>
        <v>Normal</v>
      </c>
    </row>
    <row r="391" spans="1:21">
      <c r="A391" s="21">
        <v>390</v>
      </c>
      <c r="B391" s="68">
        <v>40560</v>
      </c>
      <c r="C391" s="22" t="b">
        <v>1</v>
      </c>
      <c r="D391" s="21" t="str">
        <f t="shared" si="6"/>
        <v>Monday</v>
      </c>
      <c r="E391" s="23">
        <v>0.19700000000000001</v>
      </c>
      <c r="F391" s="23">
        <f>YEAR('Merged raw data'!$B391)</f>
        <v>2011</v>
      </c>
      <c r="G391" s="23" t="str">
        <f>TEXT('Merged raw data'!$B391,"mmmm")</f>
        <v>January</v>
      </c>
      <c r="H391" s="37" t="str">
        <f>TEXT(TIME('Merged raw data'!F391,0,0),"h AM/PM")</f>
        <v>5 PM</v>
      </c>
      <c r="I391" s="23" t="str">
        <f>IF(OR('Merged raw data'!H391=1,'Merged raw data'!H391=2,'Merged raw data'!H391=3,'Merged raw data'!H391=4,'Merged raw data'!H391=5),"weekday","weekend")</f>
        <v>weekday</v>
      </c>
      <c r="J391" s="23" t="s">
        <v>23</v>
      </c>
      <c r="K391" s="23" t="str">
        <f>IF('Merged raw data'!I391=1,"Clear",IF('Merged raw data'!I391=2,"Mist",IF('Merged raw data'!I391=3,"Rain",IF('Merged raw data'!I391=4,"Storm","NA"))))</f>
        <v>Clear</v>
      </c>
      <c r="L391" s="24">
        <v>0.51</v>
      </c>
      <c r="M391" s="24">
        <v>0.19400000000000001</v>
      </c>
      <c r="N391" s="21">
        <f>'Merged raw data'!$J391*100</f>
        <v>20</v>
      </c>
      <c r="O391" s="21">
        <v>4</v>
      </c>
      <c r="P391" s="21">
        <v>67</v>
      </c>
      <c r="Q391" s="21">
        <v>71</v>
      </c>
      <c r="R391" s="21" t="str">
        <f>IF(Q391&gt;=outliers!I393,"High",IF(Q391&lt;=outliers!I392,"Low","Moderate"))</f>
        <v>High</v>
      </c>
      <c r="S391" s="8" t="str">
        <f>IF(OR(Q391&lt;outliers!$I$6,Q391&gt;outliers!$I$7),"Outlier","Normal")</f>
        <v>Normal</v>
      </c>
      <c r="T391" s="8" t="str">
        <f>IF(OR(L391&lt;outliers!$J$6,L391&gt;outliers!$J$7),"Outlier","Normal")</f>
        <v>Normal</v>
      </c>
      <c r="U391" s="8" t="str">
        <f>IF(OR(M391&lt;outliers!$K$6,M391&gt;outliers!$K$7),"Outlier","Normal")</f>
        <v>Normal</v>
      </c>
    </row>
    <row r="392" spans="1:21">
      <c r="A392" s="21">
        <v>391</v>
      </c>
      <c r="B392" s="68">
        <v>40560</v>
      </c>
      <c r="C392" s="22" t="b">
        <v>1</v>
      </c>
      <c r="D392" s="21" t="str">
        <f t="shared" si="6"/>
        <v>Monday</v>
      </c>
      <c r="E392" s="23">
        <v>0.16669999999999999</v>
      </c>
      <c r="F392" s="23">
        <f>YEAR('Merged raw data'!$B392)</f>
        <v>2011</v>
      </c>
      <c r="G392" s="23" t="str">
        <f>TEXT('Merged raw data'!$B392,"mmmm")</f>
        <v>January</v>
      </c>
      <c r="H392" s="37" t="str">
        <f>TEXT(TIME('Merged raw data'!F392,0,0),"h AM/PM")</f>
        <v>6 PM</v>
      </c>
      <c r="I392" s="23" t="str">
        <f>IF(OR('Merged raw data'!H392=1,'Merged raw data'!H392=2,'Merged raw data'!H392=3,'Merged raw data'!H392=4,'Merged raw data'!H392=5),"weekday","weekend")</f>
        <v>weekday</v>
      </c>
      <c r="J392" s="23" t="s">
        <v>23</v>
      </c>
      <c r="K392" s="23" t="str">
        <f>IF('Merged raw data'!I392=1,"Clear",IF('Merged raw data'!I392=2,"Mist",IF('Merged raw data'!I392=3,"Rain",IF('Merged raw data'!I392=4,"Storm","NA"))))</f>
        <v>Mist</v>
      </c>
      <c r="L392" s="24">
        <v>0.55000000000000004</v>
      </c>
      <c r="M392" s="24">
        <v>0.25369999999999998</v>
      </c>
      <c r="N392" s="21">
        <f>'Merged raw data'!$J392*100</f>
        <v>18</v>
      </c>
      <c r="O392" s="21">
        <v>7</v>
      </c>
      <c r="P392" s="21">
        <v>85</v>
      </c>
      <c r="Q392" s="21">
        <v>92</v>
      </c>
      <c r="R392" s="21" t="str">
        <f>IF(Q392&gt;=outliers!I394,"High",IF(Q392&lt;=outliers!I393,"Low","Moderate"))</f>
        <v>High</v>
      </c>
      <c r="S392" s="8" t="str">
        <f>IF(OR(Q392&lt;outliers!$I$6,Q392&gt;outliers!$I$7),"Outlier","Normal")</f>
        <v>Normal</v>
      </c>
      <c r="T392" s="8" t="str">
        <f>IF(OR(L392&lt;outliers!$J$6,L392&gt;outliers!$J$7),"Outlier","Normal")</f>
        <v>Normal</v>
      </c>
      <c r="U392" s="8" t="str">
        <f>IF(OR(M392&lt;outliers!$K$6,M392&gt;outliers!$K$7),"Outlier","Normal")</f>
        <v>Normal</v>
      </c>
    </row>
    <row r="393" spans="1:21">
      <c r="A393" s="21">
        <v>392</v>
      </c>
      <c r="B393" s="68">
        <v>40560</v>
      </c>
      <c r="C393" s="22" t="b">
        <v>1</v>
      </c>
      <c r="D393" s="21" t="str">
        <f t="shared" si="6"/>
        <v>Monday</v>
      </c>
      <c r="E393" s="23">
        <v>0.18179999999999999</v>
      </c>
      <c r="F393" s="23">
        <f>YEAR('Merged raw data'!$B393)</f>
        <v>2011</v>
      </c>
      <c r="G393" s="23" t="str">
        <f>TEXT('Merged raw data'!$B393,"mmmm")</f>
        <v>January</v>
      </c>
      <c r="H393" s="37" t="str">
        <f>TEXT(TIME('Merged raw data'!F393,0,0),"h AM/PM")</f>
        <v>7 PM</v>
      </c>
      <c r="I393" s="23" t="str">
        <f>IF(OR('Merged raw data'!H393=1,'Merged raw data'!H393=2,'Merged raw data'!H393=3,'Merged raw data'!H393=4,'Merged raw data'!H393=5),"weekday","weekend")</f>
        <v>weekday</v>
      </c>
      <c r="J393" s="23" t="s">
        <v>23</v>
      </c>
      <c r="K393" s="23" t="str">
        <f>IF('Merged raw data'!I393=1,"Clear",IF('Merged raw data'!I393=2,"Mist",IF('Merged raw data'!I393=3,"Rain",IF('Merged raw data'!I393=4,"Storm","NA"))))</f>
        <v>Rain</v>
      </c>
      <c r="L393" s="24">
        <v>0.59</v>
      </c>
      <c r="M393" s="24">
        <v>0.19400000000000001</v>
      </c>
      <c r="N393" s="21">
        <f>'Merged raw data'!$J393*100</f>
        <v>18</v>
      </c>
      <c r="O393" s="21">
        <v>2</v>
      </c>
      <c r="P393" s="21">
        <v>58</v>
      </c>
      <c r="Q393" s="21">
        <v>60</v>
      </c>
      <c r="R393" s="21" t="str">
        <f>IF(Q393&gt;=outliers!I395,"High",IF(Q393&lt;=outliers!I394,"Low","Moderate"))</f>
        <v>High</v>
      </c>
      <c r="S393" s="8" t="str">
        <f>IF(OR(Q393&lt;outliers!$I$6,Q393&gt;outliers!$I$7),"Outlier","Normal")</f>
        <v>Normal</v>
      </c>
      <c r="T393" s="8" t="str">
        <f>IF(OR(L393&lt;outliers!$J$6,L393&gt;outliers!$J$7),"Outlier","Normal")</f>
        <v>Normal</v>
      </c>
      <c r="U393" s="8" t="str">
        <f>IF(OR(M393&lt;outliers!$K$6,M393&gt;outliers!$K$7),"Outlier","Normal")</f>
        <v>Normal</v>
      </c>
    </row>
    <row r="394" spans="1:21">
      <c r="A394" s="21">
        <v>393</v>
      </c>
      <c r="B394" s="68">
        <v>40560</v>
      </c>
      <c r="C394" s="22" t="b">
        <v>1</v>
      </c>
      <c r="D394" s="21" t="str">
        <f t="shared" si="6"/>
        <v>Monday</v>
      </c>
      <c r="E394" s="23">
        <v>0.1515</v>
      </c>
      <c r="F394" s="23">
        <f>YEAR('Merged raw data'!$B394)</f>
        <v>2011</v>
      </c>
      <c r="G394" s="23" t="str">
        <f>TEXT('Merged raw data'!$B394,"mmmm")</f>
        <v>January</v>
      </c>
      <c r="H394" s="37" t="str">
        <f>TEXT(TIME('Merged raw data'!F394,0,0),"h AM/PM")</f>
        <v>8 PM</v>
      </c>
      <c r="I394" s="23" t="str">
        <f>IF(OR('Merged raw data'!H394=1,'Merged raw data'!H394=2,'Merged raw data'!H394=3,'Merged raw data'!H394=4,'Merged raw data'!H394=5),"weekday","weekend")</f>
        <v>weekday</v>
      </c>
      <c r="J394" s="23" t="s">
        <v>23</v>
      </c>
      <c r="K394" s="23" t="str">
        <f>IF('Merged raw data'!I394=1,"Clear",IF('Merged raw data'!I394=2,"Mist",IF('Merged raw data'!I394=3,"Rain",IF('Merged raw data'!I394=4,"Storm","NA"))))</f>
        <v>Rain</v>
      </c>
      <c r="L394" s="24">
        <v>0.8</v>
      </c>
      <c r="M394" s="24">
        <v>0.19400000000000001</v>
      </c>
      <c r="N394" s="21">
        <f>'Merged raw data'!$J394*100</f>
        <v>16</v>
      </c>
      <c r="O394" s="21">
        <v>4</v>
      </c>
      <c r="P394" s="21">
        <v>29</v>
      </c>
      <c r="Q394" s="21">
        <v>33</v>
      </c>
      <c r="R394" s="21" t="str">
        <f>IF(Q394&gt;=outliers!I396,"High",IF(Q394&lt;=outliers!I395,"Low","Moderate"))</f>
        <v>High</v>
      </c>
      <c r="S394" s="8" t="str">
        <f>IF(OR(Q394&lt;outliers!$I$6,Q394&gt;outliers!$I$7),"Outlier","Normal")</f>
        <v>Normal</v>
      </c>
      <c r="T394" s="8" t="str">
        <f>IF(OR(L394&lt;outliers!$J$6,L394&gt;outliers!$J$7),"Outlier","Normal")</f>
        <v>Normal</v>
      </c>
      <c r="U394" s="8" t="str">
        <f>IF(OR(M394&lt;outliers!$K$6,M394&gt;outliers!$K$7),"Outlier","Normal")</f>
        <v>Normal</v>
      </c>
    </row>
    <row r="395" spans="1:21">
      <c r="A395" s="21">
        <v>394</v>
      </c>
      <c r="B395" s="68">
        <v>40560</v>
      </c>
      <c r="C395" s="22" t="b">
        <v>1</v>
      </c>
      <c r="D395" s="21" t="str">
        <f t="shared" si="6"/>
        <v>Monday</v>
      </c>
      <c r="E395" s="23">
        <v>0.1515</v>
      </c>
      <c r="F395" s="23">
        <f>YEAR('Merged raw data'!$B395)</f>
        <v>2011</v>
      </c>
      <c r="G395" s="23" t="str">
        <f>TEXT('Merged raw data'!$B395,"mmmm")</f>
        <v>January</v>
      </c>
      <c r="H395" s="37" t="str">
        <f>TEXT(TIME('Merged raw data'!F395,0,0),"h AM/PM")</f>
        <v>9 PM</v>
      </c>
      <c r="I395" s="23" t="str">
        <f>IF(OR('Merged raw data'!H395=1,'Merged raw data'!H395=2,'Merged raw data'!H395=3,'Merged raw data'!H395=4,'Merged raw data'!H395=5),"weekday","weekend")</f>
        <v>weekday</v>
      </c>
      <c r="J395" s="23" t="s">
        <v>23</v>
      </c>
      <c r="K395" s="23" t="str">
        <f>IF('Merged raw data'!I395=1,"Clear",IF('Merged raw data'!I395=2,"Mist",IF('Merged raw data'!I395=3,"Rain",IF('Merged raw data'!I395=4,"Storm","NA"))))</f>
        <v>Rain</v>
      </c>
      <c r="L395" s="24">
        <v>0.8</v>
      </c>
      <c r="M395" s="24">
        <v>0.19400000000000001</v>
      </c>
      <c r="N395" s="21">
        <f>'Merged raw data'!$J395*100</f>
        <v>16</v>
      </c>
      <c r="O395" s="21">
        <v>3</v>
      </c>
      <c r="P395" s="21">
        <v>24</v>
      </c>
      <c r="Q395" s="21">
        <v>27</v>
      </c>
      <c r="R395" s="21" t="str">
        <f>IF(Q395&gt;=outliers!I397,"High",IF(Q395&lt;=outliers!I396,"Low","Moderate"))</f>
        <v>High</v>
      </c>
      <c r="S395" s="8" t="str">
        <f>IF(OR(Q395&lt;outliers!$I$6,Q395&gt;outliers!$I$7),"Outlier","Normal")</f>
        <v>Normal</v>
      </c>
      <c r="T395" s="8" t="str">
        <f>IF(OR(L395&lt;outliers!$J$6,L395&gt;outliers!$J$7),"Outlier","Normal")</f>
        <v>Normal</v>
      </c>
      <c r="U395" s="8" t="str">
        <f>IF(OR(M395&lt;outliers!$K$6,M395&gt;outliers!$K$7),"Outlier","Normal")</f>
        <v>Normal</v>
      </c>
    </row>
    <row r="396" spans="1:21">
      <c r="A396" s="21">
        <v>395</v>
      </c>
      <c r="B396" s="68">
        <v>40560</v>
      </c>
      <c r="C396" s="22" t="b">
        <v>1</v>
      </c>
      <c r="D396" s="21" t="str">
        <f t="shared" si="6"/>
        <v>Monday</v>
      </c>
      <c r="E396" s="23">
        <v>0.1212</v>
      </c>
      <c r="F396" s="23">
        <f>YEAR('Merged raw data'!$B396)</f>
        <v>2011</v>
      </c>
      <c r="G396" s="23" t="str">
        <f>TEXT('Merged raw data'!$B396,"mmmm")</f>
        <v>January</v>
      </c>
      <c r="H396" s="37" t="str">
        <f>TEXT(TIME('Merged raw data'!F396,0,0),"h AM/PM")</f>
        <v>10 PM</v>
      </c>
      <c r="I396" s="23" t="str">
        <f>IF(OR('Merged raw data'!H396=1,'Merged raw data'!H396=2,'Merged raw data'!H396=3,'Merged raw data'!H396=4,'Merged raw data'!H396=5),"weekday","weekend")</f>
        <v>weekday</v>
      </c>
      <c r="J396" s="23" t="s">
        <v>23</v>
      </c>
      <c r="K396" s="23" t="str">
        <f>IF('Merged raw data'!I396=1,"Clear",IF('Merged raw data'!I396=2,"Mist",IF('Merged raw data'!I396=3,"Rain",IF('Merged raw data'!I396=4,"Storm","NA"))))</f>
        <v>Rain</v>
      </c>
      <c r="L396" s="24">
        <v>0.93</v>
      </c>
      <c r="M396" s="24">
        <v>0.25369999999999998</v>
      </c>
      <c r="N396" s="21">
        <f>'Merged raw data'!$J396*100</f>
        <v>14.000000000000002</v>
      </c>
      <c r="O396" s="21">
        <v>0</v>
      </c>
      <c r="P396" s="21">
        <v>13</v>
      </c>
      <c r="Q396" s="21">
        <v>13</v>
      </c>
      <c r="R396" s="21" t="str">
        <f>IF(Q396&gt;=outliers!I398,"High",IF(Q396&lt;=outliers!I397,"Low","Moderate"))</f>
        <v>High</v>
      </c>
      <c r="S396" s="8" t="str">
        <f>IF(OR(Q396&lt;outliers!$I$6,Q396&gt;outliers!$I$7),"Outlier","Normal")</f>
        <v>Normal</v>
      </c>
      <c r="T396" s="8" t="str">
        <f>IF(OR(L396&lt;outliers!$J$6,L396&gt;outliers!$J$7),"Outlier","Normal")</f>
        <v>Normal</v>
      </c>
      <c r="U396" s="8" t="str">
        <f>IF(OR(M396&lt;outliers!$K$6,M396&gt;outliers!$K$7),"Outlier","Normal")</f>
        <v>Normal</v>
      </c>
    </row>
    <row r="397" spans="1:21">
      <c r="A397" s="21">
        <v>396</v>
      </c>
      <c r="B397" s="68">
        <v>40560</v>
      </c>
      <c r="C397" s="22" t="b">
        <v>1</v>
      </c>
      <c r="D397" s="21" t="str">
        <f t="shared" si="6"/>
        <v>Monday</v>
      </c>
      <c r="E397" s="23">
        <v>0.13639999999999999</v>
      </c>
      <c r="F397" s="23">
        <f>YEAR('Merged raw data'!$B397)</f>
        <v>2011</v>
      </c>
      <c r="G397" s="23" t="str">
        <f>TEXT('Merged raw data'!$B397,"mmmm")</f>
        <v>January</v>
      </c>
      <c r="H397" s="37" t="str">
        <f>TEXT(TIME('Merged raw data'!F397,0,0),"h AM/PM")</f>
        <v>11 PM</v>
      </c>
      <c r="I397" s="23" t="str">
        <f>IF(OR('Merged raw data'!H397=1,'Merged raw data'!H397=2,'Merged raw data'!H397=3,'Merged raw data'!H397=4,'Merged raw data'!H397=5),"weekday","weekend")</f>
        <v>weekday</v>
      </c>
      <c r="J397" s="23" t="s">
        <v>23</v>
      </c>
      <c r="K397" s="23" t="str">
        <f>IF('Merged raw data'!I397=1,"Clear",IF('Merged raw data'!I397=2,"Mist",IF('Merged raw data'!I397=3,"Rain",IF('Merged raw data'!I397=4,"Storm","NA"))))</f>
        <v>Rain</v>
      </c>
      <c r="L397" s="24">
        <v>0.86</v>
      </c>
      <c r="M397" s="24">
        <v>0.28360000000000002</v>
      </c>
      <c r="N397" s="21">
        <f>'Merged raw data'!$J397*100</f>
        <v>16</v>
      </c>
      <c r="O397" s="21">
        <v>1</v>
      </c>
      <c r="P397" s="21">
        <v>3</v>
      </c>
      <c r="Q397" s="21">
        <v>4</v>
      </c>
      <c r="R397" s="21" t="str">
        <f>IF(Q397&gt;=outliers!I399,"High",IF(Q397&lt;=outliers!I398,"Low","Moderate"))</f>
        <v>High</v>
      </c>
      <c r="S397" s="8" t="str">
        <f>IF(OR(Q397&lt;outliers!$I$6,Q397&gt;outliers!$I$7),"Outlier","Normal")</f>
        <v>Normal</v>
      </c>
      <c r="T397" s="8" t="str">
        <f>IF(OR(L397&lt;outliers!$J$6,L397&gt;outliers!$J$7),"Outlier","Normal")</f>
        <v>Normal</v>
      </c>
      <c r="U397" s="8" t="str">
        <f>IF(OR(M397&lt;outliers!$K$6,M397&gt;outliers!$K$7),"Outlier","Normal")</f>
        <v>Normal</v>
      </c>
    </row>
    <row r="398" spans="1:21">
      <c r="A398" s="21">
        <v>397</v>
      </c>
      <c r="B398" s="68">
        <v>40561</v>
      </c>
      <c r="C398" s="22" t="b">
        <v>0</v>
      </c>
      <c r="D398" s="21" t="str">
        <f t="shared" si="6"/>
        <v>Tuesday</v>
      </c>
      <c r="E398" s="23">
        <v>0.18179999999999999</v>
      </c>
      <c r="F398" s="23">
        <f>YEAR('Merged raw data'!$B398)</f>
        <v>2011</v>
      </c>
      <c r="G398" s="23" t="str">
        <f>TEXT('Merged raw data'!$B398,"mmmm")</f>
        <v>January</v>
      </c>
      <c r="H398" s="37" t="str">
        <f>TEXT(TIME('Merged raw data'!F398,0,0),"h AM/PM")</f>
        <v>12 PM</v>
      </c>
      <c r="I398" s="23" t="str">
        <f>IF(OR('Merged raw data'!H398=1,'Merged raw data'!H398=2,'Merged raw data'!H398=3,'Merged raw data'!H398=4,'Merged raw data'!H398=5),"weekday","weekend")</f>
        <v>weekday</v>
      </c>
      <c r="J398" s="23" t="s">
        <v>23</v>
      </c>
      <c r="K398" s="23" t="str">
        <f>IF('Merged raw data'!I398=1,"Clear",IF('Merged raw data'!I398=2,"Mist",IF('Merged raw data'!I398=3,"Rain",IF('Merged raw data'!I398=4,"Storm","NA"))))</f>
        <v>Mist</v>
      </c>
      <c r="L398" s="24">
        <v>0.86</v>
      </c>
      <c r="M398" s="24">
        <v>0.32840000000000003</v>
      </c>
      <c r="N398" s="21">
        <f>'Merged raw data'!$J398*100</f>
        <v>20</v>
      </c>
      <c r="O398" s="21">
        <v>0</v>
      </c>
      <c r="P398" s="21">
        <v>3</v>
      </c>
      <c r="Q398" s="21">
        <v>3</v>
      </c>
      <c r="R398" s="21" t="str">
        <f>IF(Q398&gt;=outliers!I400,"High",IF(Q398&lt;=outliers!I399,"Low","Moderate"))</f>
        <v>High</v>
      </c>
      <c r="S398" s="8" t="str">
        <f>IF(OR(Q398&lt;outliers!$I$6,Q398&gt;outliers!$I$7),"Outlier","Normal")</f>
        <v>Normal</v>
      </c>
      <c r="T398" s="8" t="str">
        <f>IF(OR(L398&lt;outliers!$J$6,L398&gt;outliers!$J$7),"Outlier","Normal")</f>
        <v>Normal</v>
      </c>
      <c r="U398" s="8" t="str">
        <f>IF(OR(M398&lt;outliers!$K$6,M398&gt;outliers!$K$7),"Outlier","Normal")</f>
        <v>Normal</v>
      </c>
    </row>
    <row r="399" spans="1:21">
      <c r="A399" s="21">
        <v>398</v>
      </c>
      <c r="B399" s="68">
        <v>40561</v>
      </c>
      <c r="C399" s="22" t="b">
        <v>0</v>
      </c>
      <c r="D399" s="21" t="str">
        <f t="shared" si="6"/>
        <v>Tuesday</v>
      </c>
      <c r="E399" s="23">
        <v>0.19700000000000001</v>
      </c>
      <c r="F399" s="23">
        <f>YEAR('Merged raw data'!$B399)</f>
        <v>2011</v>
      </c>
      <c r="G399" s="23" t="str">
        <f>TEXT('Merged raw data'!$B399,"mmmm")</f>
        <v>January</v>
      </c>
      <c r="H399" s="37" t="str">
        <f>TEXT(TIME('Merged raw data'!F399,0,0),"h AM/PM")</f>
        <v>1 PM</v>
      </c>
      <c r="I399" s="23" t="str">
        <f>IF(OR('Merged raw data'!H399=1,'Merged raw data'!H399=2,'Merged raw data'!H399=3,'Merged raw data'!H399=4,'Merged raw data'!H399=5),"weekday","weekend")</f>
        <v>weekday</v>
      </c>
      <c r="J399" s="23" t="s">
        <v>23</v>
      </c>
      <c r="K399" s="23" t="str">
        <f>IF('Merged raw data'!I399=1,"Clear",IF('Merged raw data'!I399=2,"Mist",IF('Merged raw data'!I399=3,"Rain",IF('Merged raw data'!I399=4,"Storm","NA"))))</f>
        <v>Mist</v>
      </c>
      <c r="L399" s="24">
        <v>0.86</v>
      </c>
      <c r="M399" s="24">
        <v>0.22389999999999999</v>
      </c>
      <c r="N399" s="21">
        <f>'Merged raw data'!$J399*100</f>
        <v>20</v>
      </c>
      <c r="O399" s="21">
        <v>0</v>
      </c>
      <c r="P399" s="21">
        <v>22</v>
      </c>
      <c r="Q399" s="21">
        <v>22</v>
      </c>
      <c r="R399" s="21" t="str">
        <f>IF(Q399&gt;=outliers!I401,"High",IF(Q399&lt;=outliers!I400,"Low","Moderate"))</f>
        <v>High</v>
      </c>
      <c r="S399" s="8" t="str">
        <f>IF(OR(Q399&lt;outliers!$I$6,Q399&gt;outliers!$I$7),"Outlier","Normal")</f>
        <v>Normal</v>
      </c>
      <c r="T399" s="8" t="str">
        <f>IF(OR(L399&lt;outliers!$J$6,L399&gt;outliers!$J$7),"Outlier","Normal")</f>
        <v>Normal</v>
      </c>
      <c r="U399" s="8" t="str">
        <f>IF(OR(M399&lt;outliers!$K$6,M399&gt;outliers!$K$7),"Outlier","Normal")</f>
        <v>Normal</v>
      </c>
    </row>
    <row r="400" spans="1:21">
      <c r="A400" s="21">
        <v>399</v>
      </c>
      <c r="B400" s="68">
        <v>40561</v>
      </c>
      <c r="C400" s="22" t="b">
        <v>0</v>
      </c>
      <c r="D400" s="21" t="str">
        <f t="shared" si="6"/>
        <v>Tuesday</v>
      </c>
      <c r="E400" s="23">
        <v>0.2273</v>
      </c>
      <c r="F400" s="23">
        <f>YEAR('Merged raw data'!$B400)</f>
        <v>2011</v>
      </c>
      <c r="G400" s="23" t="str">
        <f>TEXT('Merged raw data'!$B400,"mmmm")</f>
        <v>January</v>
      </c>
      <c r="H400" s="37" t="str">
        <f>TEXT(TIME('Merged raw data'!F400,0,0),"h AM/PM")</f>
        <v>2 PM</v>
      </c>
      <c r="I400" s="23" t="str">
        <f>IF(OR('Merged raw data'!H400=1,'Merged raw data'!H400=2,'Merged raw data'!H400=3,'Merged raw data'!H400=4,'Merged raw data'!H400=5),"weekday","weekend")</f>
        <v>weekday</v>
      </c>
      <c r="J400" s="23" t="s">
        <v>23</v>
      </c>
      <c r="K400" s="23" t="str">
        <f>IF('Merged raw data'!I400=1,"Clear",IF('Merged raw data'!I400=2,"Mist",IF('Merged raw data'!I400=3,"Rain",IF('Merged raw data'!I400=4,"Storm","NA"))))</f>
        <v>Mist</v>
      </c>
      <c r="L400" s="24">
        <v>0.8</v>
      </c>
      <c r="M400" s="24">
        <v>0.16420000000000001</v>
      </c>
      <c r="N400" s="21">
        <f>'Merged raw data'!$J400*100</f>
        <v>22</v>
      </c>
      <c r="O400" s="21">
        <v>2</v>
      </c>
      <c r="P400" s="21">
        <v>26</v>
      </c>
      <c r="Q400" s="21">
        <v>28</v>
      </c>
      <c r="R400" s="21" t="str">
        <f>IF(Q400&gt;=outliers!I402,"High",IF(Q400&lt;=outliers!I401,"Low","Moderate"))</f>
        <v>High</v>
      </c>
      <c r="S400" s="8" t="str">
        <f>IF(OR(Q400&lt;outliers!$I$6,Q400&gt;outliers!$I$7),"Outlier","Normal")</f>
        <v>Normal</v>
      </c>
      <c r="T400" s="8" t="str">
        <f>IF(OR(L400&lt;outliers!$J$6,L400&gt;outliers!$J$7),"Outlier","Normal")</f>
        <v>Normal</v>
      </c>
      <c r="U400" s="8" t="str">
        <f>IF(OR(M400&lt;outliers!$K$6,M400&gt;outliers!$K$7),"Outlier","Normal")</f>
        <v>Normal</v>
      </c>
    </row>
    <row r="401" spans="1:21">
      <c r="A401" s="21">
        <v>400</v>
      </c>
      <c r="B401" s="68">
        <v>40561</v>
      </c>
      <c r="C401" s="22" t="b">
        <v>0</v>
      </c>
      <c r="D401" s="21" t="str">
        <f t="shared" si="6"/>
        <v>Tuesday</v>
      </c>
      <c r="E401" s="23">
        <v>0.2273</v>
      </c>
      <c r="F401" s="23">
        <f>YEAR('Merged raw data'!$B401)</f>
        <v>2011</v>
      </c>
      <c r="G401" s="23" t="str">
        <f>TEXT('Merged raw data'!$B401,"mmmm")</f>
        <v>January</v>
      </c>
      <c r="H401" s="37" t="str">
        <f>TEXT(TIME('Merged raw data'!F401,0,0),"h AM/PM")</f>
        <v>3 PM</v>
      </c>
      <c r="I401" s="23" t="str">
        <f>IF(OR('Merged raw data'!H401=1,'Merged raw data'!H401=2,'Merged raw data'!H401=3,'Merged raw data'!H401=4,'Merged raw data'!H401=5),"weekday","weekend")</f>
        <v>weekday</v>
      </c>
      <c r="J401" s="23" t="s">
        <v>23</v>
      </c>
      <c r="K401" s="23" t="str">
        <f>IF('Merged raw data'!I401=1,"Clear",IF('Merged raw data'!I401=2,"Mist",IF('Merged raw data'!I401=3,"Rain",IF('Merged raw data'!I401=4,"Storm","NA"))))</f>
        <v>Mist</v>
      </c>
      <c r="L401" s="24">
        <v>0.87</v>
      </c>
      <c r="M401" s="24">
        <v>0.16420000000000001</v>
      </c>
      <c r="N401" s="21">
        <f>'Merged raw data'!$J401*100</f>
        <v>22</v>
      </c>
      <c r="O401" s="21">
        <v>3</v>
      </c>
      <c r="P401" s="21">
        <v>32</v>
      </c>
      <c r="Q401" s="21">
        <v>35</v>
      </c>
      <c r="R401" s="21" t="str">
        <f>IF(Q401&gt;=outliers!I403,"High",IF(Q401&lt;=outliers!I402,"Low","Moderate"))</f>
        <v>High</v>
      </c>
      <c r="S401" s="8" t="str">
        <f>IF(OR(Q401&lt;outliers!$I$6,Q401&gt;outliers!$I$7),"Outlier","Normal")</f>
        <v>Normal</v>
      </c>
      <c r="T401" s="8" t="str">
        <f>IF(OR(L401&lt;outliers!$J$6,L401&gt;outliers!$J$7),"Outlier","Normal")</f>
        <v>Normal</v>
      </c>
      <c r="U401" s="8" t="str">
        <f>IF(OR(M401&lt;outliers!$K$6,M401&gt;outliers!$K$7),"Outlier","Normal")</f>
        <v>Normal</v>
      </c>
    </row>
    <row r="402" spans="1:21">
      <c r="A402" s="21">
        <v>401</v>
      </c>
      <c r="B402" s="68">
        <v>40561</v>
      </c>
      <c r="C402" s="22" t="b">
        <v>0</v>
      </c>
      <c r="D402" s="21" t="str">
        <f t="shared" si="6"/>
        <v>Tuesday</v>
      </c>
      <c r="E402" s="23">
        <v>0.2273</v>
      </c>
      <c r="F402" s="23">
        <f>YEAR('Merged raw data'!$B402)</f>
        <v>2011</v>
      </c>
      <c r="G402" s="23" t="str">
        <f>TEXT('Merged raw data'!$B402,"mmmm")</f>
        <v>January</v>
      </c>
      <c r="H402" s="37" t="str">
        <f>TEXT(TIME('Merged raw data'!F402,0,0),"h AM/PM")</f>
        <v>4 PM</v>
      </c>
      <c r="I402" s="23" t="str">
        <f>IF(OR('Merged raw data'!H402=1,'Merged raw data'!H402=2,'Merged raw data'!H402=3,'Merged raw data'!H402=4,'Merged raw data'!H402=5),"weekday","weekend")</f>
        <v>weekday</v>
      </c>
      <c r="J402" s="23" t="s">
        <v>23</v>
      </c>
      <c r="K402" s="23" t="str">
        <f>IF('Merged raw data'!I402=1,"Clear",IF('Merged raw data'!I402=2,"Mist",IF('Merged raw data'!I402=3,"Rain",IF('Merged raw data'!I402=4,"Storm","NA"))))</f>
        <v>Mist</v>
      </c>
      <c r="L402" s="24">
        <v>0.87</v>
      </c>
      <c r="M402" s="24">
        <v>0.19400000000000001</v>
      </c>
      <c r="N402" s="21">
        <f>'Merged raw data'!$J402*100</f>
        <v>22</v>
      </c>
      <c r="O402" s="21">
        <v>0</v>
      </c>
      <c r="P402" s="21">
        <v>61</v>
      </c>
      <c r="Q402" s="21">
        <v>61</v>
      </c>
      <c r="R402" s="21" t="str">
        <f>IF(Q402&gt;=outliers!I404,"High",IF(Q402&lt;=outliers!I403,"Low","Moderate"))</f>
        <v>High</v>
      </c>
      <c r="S402" s="8" t="str">
        <f>IF(OR(Q402&lt;outliers!$I$6,Q402&gt;outliers!$I$7),"Outlier","Normal")</f>
        <v>Normal</v>
      </c>
      <c r="T402" s="8" t="str">
        <f>IF(OR(L402&lt;outliers!$J$6,L402&gt;outliers!$J$7),"Outlier","Normal")</f>
        <v>Normal</v>
      </c>
      <c r="U402" s="8" t="str">
        <f>IF(OR(M402&lt;outliers!$K$6,M402&gt;outliers!$K$7),"Outlier","Normal")</f>
        <v>Normal</v>
      </c>
    </row>
    <row r="403" spans="1:21">
      <c r="A403" s="21">
        <v>402</v>
      </c>
      <c r="B403" s="68">
        <v>40561</v>
      </c>
      <c r="C403" s="22" t="b">
        <v>0</v>
      </c>
      <c r="D403" s="21" t="str">
        <f t="shared" si="6"/>
        <v>Tuesday</v>
      </c>
      <c r="E403" s="23">
        <v>0.2273</v>
      </c>
      <c r="F403" s="23">
        <f>YEAR('Merged raw data'!$B403)</f>
        <v>2011</v>
      </c>
      <c r="G403" s="23" t="str">
        <f>TEXT('Merged raw data'!$B403,"mmmm")</f>
        <v>January</v>
      </c>
      <c r="H403" s="37" t="str">
        <f>TEXT(TIME('Merged raw data'!F403,0,0),"h AM/PM")</f>
        <v>5 PM</v>
      </c>
      <c r="I403" s="23" t="str">
        <f>IF(OR('Merged raw data'!H403=1,'Merged raw data'!H403=2,'Merged raw data'!H403=3,'Merged raw data'!H403=4,'Merged raw data'!H403=5),"weekday","weekend")</f>
        <v>weekday</v>
      </c>
      <c r="J403" s="23" t="s">
        <v>23</v>
      </c>
      <c r="K403" s="23" t="str">
        <f>IF('Merged raw data'!I403=1,"Clear",IF('Merged raw data'!I403=2,"Mist",IF('Merged raw data'!I403=3,"Rain",IF('Merged raw data'!I403=4,"Storm","NA"))))</f>
        <v>Mist</v>
      </c>
      <c r="L403" s="24">
        <v>0.82</v>
      </c>
      <c r="M403" s="24">
        <v>0.19400000000000001</v>
      </c>
      <c r="N403" s="21">
        <f>'Merged raw data'!$J403*100</f>
        <v>22</v>
      </c>
      <c r="O403" s="21">
        <v>1</v>
      </c>
      <c r="P403" s="21">
        <v>124</v>
      </c>
      <c r="Q403" s="21">
        <v>125</v>
      </c>
      <c r="R403" s="21" t="str">
        <f>IF(Q403&gt;=outliers!I405,"High",IF(Q403&lt;=outliers!I404,"Low","Moderate"))</f>
        <v>High</v>
      </c>
      <c r="S403" s="8" t="str">
        <f>IF(OR(Q403&lt;outliers!$I$6,Q403&gt;outliers!$I$7),"Outlier","Normal")</f>
        <v>Normal</v>
      </c>
      <c r="T403" s="8" t="str">
        <f>IF(OR(L403&lt;outliers!$J$6,L403&gt;outliers!$J$7),"Outlier","Normal")</f>
        <v>Normal</v>
      </c>
      <c r="U403" s="8" t="str">
        <f>IF(OR(M403&lt;outliers!$K$6,M403&gt;outliers!$K$7),"Outlier","Normal")</f>
        <v>Normal</v>
      </c>
    </row>
    <row r="404" spans="1:21">
      <c r="A404" s="21">
        <v>403</v>
      </c>
      <c r="B404" s="68">
        <v>40561</v>
      </c>
      <c r="C404" s="22" t="b">
        <v>0</v>
      </c>
      <c r="D404" s="21" t="str">
        <f t="shared" si="6"/>
        <v>Tuesday</v>
      </c>
      <c r="E404" s="23">
        <v>0.2273</v>
      </c>
      <c r="F404" s="23">
        <f>YEAR('Merged raw data'!$B404)</f>
        <v>2011</v>
      </c>
      <c r="G404" s="23" t="str">
        <f>TEXT('Merged raw data'!$B404,"mmmm")</f>
        <v>January</v>
      </c>
      <c r="H404" s="37" t="str">
        <f>TEXT(TIME('Merged raw data'!F404,0,0),"h AM/PM")</f>
        <v>6 PM</v>
      </c>
      <c r="I404" s="23" t="str">
        <f>IF(OR('Merged raw data'!H404=1,'Merged raw data'!H404=2,'Merged raw data'!H404=3,'Merged raw data'!H404=4,'Merged raw data'!H404=5),"weekday","weekend")</f>
        <v>weekday</v>
      </c>
      <c r="J404" s="23" t="s">
        <v>23</v>
      </c>
      <c r="K404" s="23" t="str">
        <f>IF('Merged raw data'!I404=1,"Clear",IF('Merged raw data'!I404=2,"Mist",IF('Merged raw data'!I404=3,"Rain",IF('Merged raw data'!I404=4,"Storm","NA"))))</f>
        <v>Mist</v>
      </c>
      <c r="L404" s="24">
        <v>0.8</v>
      </c>
      <c r="M404" s="24">
        <v>0.16420000000000001</v>
      </c>
      <c r="N404" s="21">
        <f>'Merged raw data'!$J404*100</f>
        <v>22</v>
      </c>
      <c r="O404" s="21">
        <v>1</v>
      </c>
      <c r="P404" s="21">
        <v>132</v>
      </c>
      <c r="Q404" s="21">
        <v>133</v>
      </c>
      <c r="R404" s="21" t="str">
        <f>IF(Q404&gt;=outliers!I406,"High",IF(Q404&lt;=outliers!I405,"Low","Moderate"))</f>
        <v>High</v>
      </c>
      <c r="S404" s="8" t="str">
        <f>IF(OR(Q404&lt;outliers!$I$6,Q404&gt;outliers!$I$7),"Outlier","Normal")</f>
        <v>Normal</v>
      </c>
      <c r="T404" s="8" t="str">
        <f>IF(OR(L404&lt;outliers!$J$6,L404&gt;outliers!$J$7),"Outlier","Normal")</f>
        <v>Normal</v>
      </c>
      <c r="U404" s="8" t="str">
        <f>IF(OR(M404&lt;outliers!$K$6,M404&gt;outliers!$K$7),"Outlier","Normal")</f>
        <v>Normal</v>
      </c>
    </row>
    <row r="405" spans="1:21">
      <c r="A405" s="21">
        <v>404</v>
      </c>
      <c r="B405" s="68">
        <v>40561</v>
      </c>
      <c r="C405" s="22" t="b">
        <v>0</v>
      </c>
      <c r="D405" s="21" t="str">
        <f t="shared" si="6"/>
        <v>Tuesday</v>
      </c>
      <c r="E405" s="23">
        <v>0.2273</v>
      </c>
      <c r="F405" s="23">
        <f>YEAR('Merged raw data'!$B405)</f>
        <v>2011</v>
      </c>
      <c r="G405" s="23" t="str">
        <f>TEXT('Merged raw data'!$B405,"mmmm")</f>
        <v>January</v>
      </c>
      <c r="H405" s="37" t="str">
        <f>TEXT(TIME('Merged raw data'!F405,0,0),"h AM/PM")</f>
        <v>7 PM</v>
      </c>
      <c r="I405" s="23" t="str">
        <f>IF(OR('Merged raw data'!H405=1,'Merged raw data'!H405=2,'Merged raw data'!H405=3,'Merged raw data'!H405=4,'Merged raw data'!H405=5),"weekday","weekend")</f>
        <v>weekday</v>
      </c>
      <c r="J405" s="23" t="s">
        <v>23</v>
      </c>
      <c r="K405" s="23" t="str">
        <f>IF('Merged raw data'!I405=1,"Clear",IF('Merged raw data'!I405=2,"Mist",IF('Merged raw data'!I405=3,"Rain",IF('Merged raw data'!I405=4,"Storm","NA"))))</f>
        <v>Mist</v>
      </c>
      <c r="L405" s="24">
        <v>0.8</v>
      </c>
      <c r="M405" s="24">
        <v>0.1343</v>
      </c>
      <c r="N405" s="21">
        <f>'Merged raw data'!$J405*100</f>
        <v>22</v>
      </c>
      <c r="O405" s="21">
        <v>1</v>
      </c>
      <c r="P405" s="21">
        <v>98</v>
      </c>
      <c r="Q405" s="21">
        <v>99</v>
      </c>
      <c r="R405" s="21" t="str">
        <f>IF(Q405&gt;=outliers!I407,"High",IF(Q405&lt;=outliers!I406,"Low","Moderate"))</f>
        <v>High</v>
      </c>
      <c r="S405" s="8" t="str">
        <f>IF(OR(Q405&lt;outliers!$I$6,Q405&gt;outliers!$I$7),"Outlier","Normal")</f>
        <v>Normal</v>
      </c>
      <c r="T405" s="8" t="str">
        <f>IF(OR(L405&lt;outliers!$J$6,L405&gt;outliers!$J$7),"Outlier","Normal")</f>
        <v>Normal</v>
      </c>
      <c r="U405" s="8" t="str">
        <f>IF(OR(M405&lt;outliers!$K$6,M405&gt;outliers!$K$7),"Outlier","Normal")</f>
        <v>Normal</v>
      </c>
    </row>
    <row r="406" spans="1:21">
      <c r="A406" s="21">
        <v>405</v>
      </c>
      <c r="B406" s="68">
        <v>40561</v>
      </c>
      <c r="C406" s="22" t="b">
        <v>0</v>
      </c>
      <c r="D406" s="21" t="str">
        <f t="shared" si="6"/>
        <v>Tuesday</v>
      </c>
      <c r="E406" s="23">
        <v>0.2727</v>
      </c>
      <c r="F406" s="23">
        <f>YEAR('Merged raw data'!$B406)</f>
        <v>2011</v>
      </c>
      <c r="G406" s="23" t="str">
        <f>TEXT('Merged raw data'!$B406,"mmmm")</f>
        <v>January</v>
      </c>
      <c r="H406" s="37" t="str">
        <f>TEXT(TIME('Merged raw data'!F406,0,0),"h AM/PM")</f>
        <v>8 PM</v>
      </c>
      <c r="I406" s="23" t="str">
        <f>IF(OR('Merged raw data'!H406=1,'Merged raw data'!H406=2,'Merged raw data'!H406=3,'Merged raw data'!H406=4,'Merged raw data'!H406=5),"weekday","weekend")</f>
        <v>weekday</v>
      </c>
      <c r="J406" s="23" t="s">
        <v>23</v>
      </c>
      <c r="K406" s="23" t="str">
        <f>IF('Merged raw data'!I406=1,"Clear",IF('Merged raw data'!I406=2,"Mist",IF('Merged raw data'!I406=3,"Rain",IF('Merged raw data'!I406=4,"Storm","NA"))))</f>
        <v>Mist</v>
      </c>
      <c r="L406" s="24">
        <v>0.87</v>
      </c>
      <c r="M406" s="24">
        <v>0.23</v>
      </c>
      <c r="N406" s="21">
        <f>'Merged raw data'!$J406*100</f>
        <v>22</v>
      </c>
      <c r="O406" s="21">
        <v>0</v>
      </c>
      <c r="P406" s="21">
        <v>83</v>
      </c>
      <c r="Q406" s="21">
        <v>83</v>
      </c>
      <c r="R406" s="21" t="str">
        <f>IF(Q406&gt;=outliers!I408,"High",IF(Q406&lt;=outliers!I407,"Low","Moderate"))</f>
        <v>High</v>
      </c>
      <c r="S406" s="8" t="str">
        <f>IF(OR(Q406&lt;outliers!$I$6,Q406&gt;outliers!$I$7),"Outlier","Normal")</f>
        <v>Normal</v>
      </c>
      <c r="T406" s="8" t="str">
        <f>IF(OR(L406&lt;outliers!$J$6,L406&gt;outliers!$J$7),"Outlier","Normal")</f>
        <v>Normal</v>
      </c>
      <c r="U406" s="8" t="str">
        <f>IF(OR(M406&lt;outliers!$K$6,M406&gt;outliers!$K$7),"Outlier","Normal")</f>
        <v>Normal</v>
      </c>
    </row>
    <row r="407" spans="1:21">
      <c r="A407" s="21">
        <v>406</v>
      </c>
      <c r="B407" s="68">
        <v>40561</v>
      </c>
      <c r="C407" s="22" t="b">
        <v>0</v>
      </c>
      <c r="D407" s="21" t="str">
        <f t="shared" si="6"/>
        <v>Tuesday</v>
      </c>
      <c r="E407" s="23">
        <v>0.2424</v>
      </c>
      <c r="F407" s="23">
        <f>YEAR('Merged raw data'!$B407)</f>
        <v>2011</v>
      </c>
      <c r="G407" s="23" t="str">
        <f>TEXT('Merged raw data'!$B407,"mmmm")</f>
        <v>January</v>
      </c>
      <c r="H407" s="37" t="str">
        <f>TEXT(TIME('Merged raw data'!F407,0,0),"h AM/PM")</f>
        <v>9 PM</v>
      </c>
      <c r="I407" s="23" t="str">
        <f>IF(OR('Merged raw data'!H407=1,'Merged raw data'!H407=2,'Merged raw data'!H407=3,'Merged raw data'!H407=4,'Merged raw data'!H407=5),"weekday","weekend")</f>
        <v>weekday</v>
      </c>
      <c r="J407" s="23" t="s">
        <v>23</v>
      </c>
      <c r="K407" s="23" t="str">
        <f>IF('Merged raw data'!I407=1,"Clear",IF('Merged raw data'!I407=2,"Mist",IF('Merged raw data'!I407=3,"Rain",IF('Merged raw data'!I407=4,"Storm","NA"))))</f>
        <v>Mist</v>
      </c>
      <c r="L407" s="24">
        <v>0.93</v>
      </c>
      <c r="M407" s="24">
        <v>0.1045</v>
      </c>
      <c r="N407" s="21">
        <f>'Merged raw data'!$J407*100</f>
        <v>22</v>
      </c>
      <c r="O407" s="21">
        <v>0</v>
      </c>
      <c r="P407" s="21">
        <v>41</v>
      </c>
      <c r="Q407" s="21">
        <v>41</v>
      </c>
      <c r="R407" s="21" t="str">
        <f>IF(Q407&gt;=outliers!I409,"High",IF(Q407&lt;=outliers!I408,"Low","Moderate"))</f>
        <v>High</v>
      </c>
      <c r="S407" s="8" t="str">
        <f>IF(OR(Q407&lt;outliers!$I$6,Q407&gt;outliers!$I$7),"Outlier","Normal")</f>
        <v>Normal</v>
      </c>
      <c r="T407" s="8" t="str">
        <f>IF(OR(L407&lt;outliers!$J$6,L407&gt;outliers!$J$7),"Outlier","Normal")</f>
        <v>Normal</v>
      </c>
      <c r="U407" s="8" t="str">
        <f>IF(OR(M407&lt;outliers!$K$6,M407&gt;outliers!$K$7),"Outlier","Normal")</f>
        <v>Normal</v>
      </c>
    </row>
    <row r="408" spans="1:21">
      <c r="A408" s="21">
        <v>407</v>
      </c>
      <c r="B408" s="68">
        <v>40561</v>
      </c>
      <c r="C408" s="22" t="b">
        <v>0</v>
      </c>
      <c r="D408" s="21" t="str">
        <f t="shared" si="6"/>
        <v>Tuesday</v>
      </c>
      <c r="E408" s="23">
        <v>0.2576</v>
      </c>
      <c r="F408" s="23">
        <f>YEAR('Merged raw data'!$B408)</f>
        <v>2011</v>
      </c>
      <c r="G408" s="23" t="str">
        <f>TEXT('Merged raw data'!$B408,"mmmm")</f>
        <v>January</v>
      </c>
      <c r="H408" s="37" t="str">
        <f>TEXT(TIME('Merged raw data'!F408,0,0),"h AM/PM")</f>
        <v>10 PM</v>
      </c>
      <c r="I408" s="23" t="str">
        <f>IF(OR('Merged raw data'!H408=1,'Merged raw data'!H408=2,'Merged raw data'!H408=3,'Merged raw data'!H408=4,'Merged raw data'!H408=5),"weekday","weekend")</f>
        <v>weekday</v>
      </c>
      <c r="J408" s="23" t="s">
        <v>23</v>
      </c>
      <c r="K408" s="23" t="str">
        <f>IF('Merged raw data'!I408=1,"Clear",IF('Merged raw data'!I408=2,"Mist",IF('Merged raw data'!I408=3,"Rain",IF('Merged raw data'!I408=4,"Storm","NA"))))</f>
        <v>Mist</v>
      </c>
      <c r="L408" s="24">
        <v>0.93</v>
      </c>
      <c r="M408" s="24">
        <v>8.9599999999999999E-2</v>
      </c>
      <c r="N408" s="21">
        <f>'Merged raw data'!$J408*100</f>
        <v>22</v>
      </c>
      <c r="O408" s="21">
        <v>0</v>
      </c>
      <c r="P408" s="21">
        <v>33</v>
      </c>
      <c r="Q408" s="21">
        <v>33</v>
      </c>
      <c r="R408" s="21" t="str">
        <f>IF(Q408&gt;=outliers!I410,"High",IF(Q408&lt;=outliers!I409,"Low","Moderate"))</f>
        <v>High</v>
      </c>
      <c r="S408" s="8" t="str">
        <f>IF(OR(Q408&lt;outliers!$I$6,Q408&gt;outliers!$I$7),"Outlier","Normal")</f>
        <v>Normal</v>
      </c>
      <c r="T408" s="8" t="str">
        <f>IF(OR(L408&lt;outliers!$J$6,L408&gt;outliers!$J$7),"Outlier","Normal")</f>
        <v>Normal</v>
      </c>
      <c r="U408" s="8" t="str">
        <f>IF(OR(M408&lt;outliers!$K$6,M408&gt;outliers!$K$7),"Outlier","Normal")</f>
        <v>Normal</v>
      </c>
    </row>
    <row r="409" spans="1:21">
      <c r="A409" s="21">
        <v>408</v>
      </c>
      <c r="B409" s="68">
        <v>40561</v>
      </c>
      <c r="C409" s="22" t="b">
        <v>0</v>
      </c>
      <c r="D409" s="21" t="str">
        <f t="shared" si="6"/>
        <v>Tuesday</v>
      </c>
      <c r="E409" s="23">
        <v>0.2727</v>
      </c>
      <c r="F409" s="23">
        <f>YEAR('Merged raw data'!$B409)</f>
        <v>2011</v>
      </c>
      <c r="G409" s="23" t="str">
        <f>TEXT('Merged raw data'!$B409,"mmmm")</f>
        <v>January</v>
      </c>
      <c r="H409" s="37" t="str">
        <f>TEXT(TIME('Merged raw data'!F409,0,0),"h AM/PM")</f>
        <v>11 PM</v>
      </c>
      <c r="I409" s="23" t="str">
        <f>IF(OR('Merged raw data'!H409=1,'Merged raw data'!H409=2,'Merged raw data'!H409=3,'Merged raw data'!H409=4,'Merged raw data'!H409=5),"weekday","weekend")</f>
        <v>weekday</v>
      </c>
      <c r="J409" s="23" t="s">
        <v>23</v>
      </c>
      <c r="K409" s="23" t="str">
        <f>IF('Merged raw data'!I409=1,"Clear",IF('Merged raw data'!I409=2,"Mist",IF('Merged raw data'!I409=3,"Rain",IF('Merged raw data'!I409=4,"Storm","NA"))))</f>
        <v>Mist</v>
      </c>
      <c r="L409" s="24">
        <v>0.93</v>
      </c>
      <c r="M409" s="24">
        <v>0.23</v>
      </c>
      <c r="N409" s="21">
        <f>'Merged raw data'!$J409*100</f>
        <v>22</v>
      </c>
      <c r="O409" s="21">
        <v>1</v>
      </c>
      <c r="P409" s="21">
        <v>19</v>
      </c>
      <c r="Q409" s="21">
        <v>20</v>
      </c>
      <c r="R409" s="21" t="str">
        <f>IF(Q409&gt;=outliers!I411,"High",IF(Q409&lt;=outliers!I410,"Low","Moderate"))</f>
        <v>High</v>
      </c>
      <c r="S409" s="8" t="str">
        <f>IF(OR(Q409&lt;outliers!$I$6,Q409&gt;outliers!$I$7),"Outlier","Normal")</f>
        <v>Normal</v>
      </c>
      <c r="T409" s="8" t="str">
        <f>IF(OR(L409&lt;outliers!$J$6,L409&gt;outliers!$J$7),"Outlier","Normal")</f>
        <v>Normal</v>
      </c>
      <c r="U409" s="8" t="str">
        <f>IF(OR(M409&lt;outliers!$K$6,M409&gt;outliers!$K$7),"Outlier","Normal")</f>
        <v>Normal</v>
      </c>
    </row>
    <row r="410" spans="1:21">
      <c r="A410" s="21">
        <v>409</v>
      </c>
      <c r="B410" s="68">
        <v>40562</v>
      </c>
      <c r="C410" s="22" t="b">
        <v>0</v>
      </c>
      <c r="D410" s="21" t="str">
        <f t="shared" si="6"/>
        <v>Wednesday</v>
      </c>
      <c r="E410" s="23">
        <v>0.2727</v>
      </c>
      <c r="F410" s="23">
        <f>YEAR('Merged raw data'!$B410)</f>
        <v>2011</v>
      </c>
      <c r="G410" s="23" t="str">
        <f>TEXT('Merged raw data'!$B410,"mmmm")</f>
        <v>January</v>
      </c>
      <c r="H410" s="37" t="str">
        <f>TEXT(TIME('Merged raw data'!F410,0,0),"h AM/PM")</f>
        <v>12 AM</v>
      </c>
      <c r="I410" s="23" t="str">
        <f>IF(OR('Merged raw data'!H410=1,'Merged raw data'!H410=2,'Merged raw data'!H410=3,'Merged raw data'!H410=4,'Merged raw data'!H410=5),"weekday","weekend")</f>
        <v>weekday</v>
      </c>
      <c r="J410" s="23" t="s">
        <v>23</v>
      </c>
      <c r="K410" s="23" t="str">
        <f>IF('Merged raw data'!I410=1,"Clear",IF('Merged raw data'!I410=2,"Mist",IF('Merged raw data'!I410=3,"Rain",IF('Merged raw data'!I410=4,"Storm","NA"))))</f>
        <v>Mist</v>
      </c>
      <c r="L410" s="24">
        <v>0.93</v>
      </c>
      <c r="M410" s="24">
        <v>0.23</v>
      </c>
      <c r="N410" s="21">
        <f>'Merged raw data'!$J410*100</f>
        <v>22</v>
      </c>
      <c r="O410" s="21">
        <v>0</v>
      </c>
      <c r="P410" s="21">
        <v>3</v>
      </c>
      <c r="Q410" s="21">
        <v>3</v>
      </c>
      <c r="R410" s="21" t="str">
        <f>IF(Q410&gt;=outliers!I412,"High",IF(Q410&lt;=outliers!I411,"Low","Moderate"))</f>
        <v>High</v>
      </c>
      <c r="S410" s="8" t="str">
        <f>IF(OR(Q410&lt;outliers!$I$6,Q410&gt;outliers!$I$7),"Outlier","Normal")</f>
        <v>Normal</v>
      </c>
      <c r="T410" s="8" t="str">
        <f>IF(OR(L410&lt;outliers!$J$6,L410&gt;outliers!$J$7),"Outlier","Normal")</f>
        <v>Normal</v>
      </c>
      <c r="U410" s="8" t="str">
        <f>IF(OR(M410&lt;outliers!$K$6,M410&gt;outliers!$K$7),"Outlier","Normal")</f>
        <v>Normal</v>
      </c>
    </row>
    <row r="411" spans="1:21">
      <c r="A411" s="21">
        <v>410</v>
      </c>
      <c r="B411" s="68">
        <v>40562</v>
      </c>
      <c r="C411" s="22" t="b">
        <v>0</v>
      </c>
      <c r="D411" s="21" t="str">
        <f t="shared" si="6"/>
        <v>Wednesday</v>
      </c>
      <c r="E411" s="23">
        <v>0.2273</v>
      </c>
      <c r="F411" s="23">
        <f>YEAR('Merged raw data'!$B411)</f>
        <v>2011</v>
      </c>
      <c r="G411" s="23" t="str">
        <f>TEXT('Merged raw data'!$B411,"mmmm")</f>
        <v>January</v>
      </c>
      <c r="H411" s="37" t="str">
        <f>TEXT(TIME('Merged raw data'!F411,0,0),"h AM/PM")</f>
        <v>1 AM</v>
      </c>
      <c r="I411" s="23" t="str">
        <f>IF(OR('Merged raw data'!H411=1,'Merged raw data'!H411=2,'Merged raw data'!H411=3,'Merged raw data'!H411=4,'Merged raw data'!H411=5),"weekday","weekend")</f>
        <v>weekday</v>
      </c>
      <c r="J411" s="23" t="s">
        <v>23</v>
      </c>
      <c r="K411" s="23" t="str">
        <f>IF('Merged raw data'!I411=1,"Clear",IF('Merged raw data'!I411=2,"Mist",IF('Merged raw data'!I411=3,"Rain",IF('Merged raw data'!I411=4,"Storm","NA"))))</f>
        <v>Rain</v>
      </c>
      <c r="L411" s="24">
        <v>0.93</v>
      </c>
      <c r="M411" s="24">
        <v>0.1343</v>
      </c>
      <c r="N411" s="21">
        <f>'Merged raw data'!$J411*100</f>
        <v>22</v>
      </c>
      <c r="O411" s="21">
        <v>1</v>
      </c>
      <c r="P411" s="21">
        <v>6</v>
      </c>
      <c r="Q411" s="21">
        <v>7</v>
      </c>
      <c r="R411" s="21" t="str">
        <f>IF(Q411&gt;=outliers!I413,"High",IF(Q411&lt;=outliers!I412,"Low","Moderate"))</f>
        <v>High</v>
      </c>
      <c r="S411" s="8" t="str">
        <f>IF(OR(Q411&lt;outliers!$I$6,Q411&gt;outliers!$I$7),"Outlier","Normal")</f>
        <v>Normal</v>
      </c>
      <c r="T411" s="8" t="str">
        <f>IF(OR(L411&lt;outliers!$J$6,L411&gt;outliers!$J$7),"Outlier","Normal")</f>
        <v>Normal</v>
      </c>
      <c r="U411" s="8" t="str">
        <f>IF(OR(M411&lt;outliers!$K$6,M411&gt;outliers!$K$7),"Outlier","Normal")</f>
        <v>Normal</v>
      </c>
    </row>
    <row r="412" spans="1:21">
      <c r="A412" s="21">
        <v>411</v>
      </c>
      <c r="B412" s="68">
        <v>40562</v>
      </c>
      <c r="C412" s="22" t="b">
        <v>0</v>
      </c>
      <c r="D412" s="21" t="str">
        <f t="shared" si="6"/>
        <v>Wednesday</v>
      </c>
      <c r="E412" s="23">
        <v>0.2273</v>
      </c>
      <c r="F412" s="23">
        <f>YEAR('Merged raw data'!$B412)</f>
        <v>2011</v>
      </c>
      <c r="G412" s="23" t="str">
        <f>TEXT('Merged raw data'!$B412,"mmmm")</f>
        <v>January</v>
      </c>
      <c r="H412" s="37" t="str">
        <f>TEXT(TIME('Merged raw data'!F412,0,0),"h AM/PM")</f>
        <v>2 AM</v>
      </c>
      <c r="I412" s="23" t="str">
        <f>IF(OR('Merged raw data'!H412=1,'Merged raw data'!H412=2,'Merged raw data'!H412=3,'Merged raw data'!H412=4,'Merged raw data'!H412=5),"weekday","weekend")</f>
        <v>weekday</v>
      </c>
      <c r="J412" s="23" t="s">
        <v>23</v>
      </c>
      <c r="K412" s="23" t="str">
        <f>IF('Merged raw data'!I412=1,"Clear",IF('Merged raw data'!I412=2,"Mist",IF('Merged raw data'!I412=3,"Rain",IF('Merged raw data'!I412=4,"Storm","NA"))))</f>
        <v>Rain</v>
      </c>
      <c r="L412" s="24">
        <v>0.93</v>
      </c>
      <c r="M412" s="24">
        <v>0.1343</v>
      </c>
      <c r="N412" s="21">
        <f>'Merged raw data'!$J412*100</f>
        <v>22</v>
      </c>
      <c r="O412" s="21">
        <v>0</v>
      </c>
      <c r="P412" s="21">
        <v>3</v>
      </c>
      <c r="Q412" s="21">
        <v>3</v>
      </c>
      <c r="R412" s="21" t="str">
        <f>IF(Q412&gt;=outliers!I414,"High",IF(Q412&lt;=outliers!I413,"Low","Moderate"))</f>
        <v>High</v>
      </c>
      <c r="S412" s="8" t="str">
        <f>IF(OR(Q412&lt;outliers!$I$6,Q412&gt;outliers!$I$7),"Outlier","Normal")</f>
        <v>Normal</v>
      </c>
      <c r="T412" s="8" t="str">
        <f>IF(OR(L412&lt;outliers!$J$6,L412&gt;outliers!$J$7),"Outlier","Normal")</f>
        <v>Normal</v>
      </c>
      <c r="U412" s="8" t="str">
        <f>IF(OR(M412&lt;outliers!$K$6,M412&gt;outliers!$K$7),"Outlier","Normal")</f>
        <v>Normal</v>
      </c>
    </row>
    <row r="413" spans="1:21">
      <c r="A413" s="21">
        <v>412</v>
      </c>
      <c r="B413" s="68">
        <v>40562</v>
      </c>
      <c r="C413" s="22" t="b">
        <v>0</v>
      </c>
      <c r="D413" s="21" t="str">
        <f t="shared" si="6"/>
        <v>Wednesday</v>
      </c>
      <c r="E413" s="23">
        <v>0.2273</v>
      </c>
      <c r="F413" s="23">
        <f>YEAR('Merged raw data'!$B413)</f>
        <v>2011</v>
      </c>
      <c r="G413" s="23" t="str">
        <f>TEXT('Merged raw data'!$B413,"mmmm")</f>
        <v>January</v>
      </c>
      <c r="H413" s="37" t="str">
        <f>TEXT(TIME('Merged raw data'!F413,0,0),"h AM/PM")</f>
        <v>4 AM</v>
      </c>
      <c r="I413" s="23" t="str">
        <f>IF(OR('Merged raw data'!H413=1,'Merged raw data'!H413=2,'Merged raw data'!H413=3,'Merged raw data'!H413=4,'Merged raw data'!H413=5),"weekday","weekend")</f>
        <v>weekday</v>
      </c>
      <c r="J413" s="23" t="s">
        <v>23</v>
      </c>
      <c r="K413" s="23" t="str">
        <f>IF('Merged raw data'!I413=1,"Clear",IF('Merged raw data'!I413=2,"Mist",IF('Merged raw data'!I413=3,"Rain",IF('Merged raw data'!I413=4,"Storm","NA"))))</f>
        <v>Rain</v>
      </c>
      <c r="L413" s="24">
        <v>0.93</v>
      </c>
      <c r="M413" s="24">
        <v>0.1343</v>
      </c>
      <c r="N413" s="21">
        <f>'Merged raw data'!$J413*100</f>
        <v>22</v>
      </c>
      <c r="O413" s="21">
        <v>1</v>
      </c>
      <c r="P413" s="21">
        <v>1</v>
      </c>
      <c r="Q413" s="21">
        <v>2</v>
      </c>
      <c r="R413" s="21" t="str">
        <f>IF(Q413&gt;=outliers!I415,"High",IF(Q413&lt;=outliers!I414,"Low","Moderate"))</f>
        <v>High</v>
      </c>
      <c r="S413" s="8" t="str">
        <f>IF(OR(Q413&lt;outliers!$I$6,Q413&gt;outliers!$I$7),"Outlier","Normal")</f>
        <v>Normal</v>
      </c>
      <c r="T413" s="8" t="str">
        <f>IF(OR(L413&lt;outliers!$J$6,L413&gt;outliers!$J$7),"Outlier","Normal")</f>
        <v>Normal</v>
      </c>
      <c r="U413" s="8" t="str">
        <f>IF(OR(M413&lt;outliers!$K$6,M413&gt;outliers!$K$7),"Outlier","Normal")</f>
        <v>Normal</v>
      </c>
    </row>
    <row r="414" spans="1:21">
      <c r="A414" s="21">
        <v>413</v>
      </c>
      <c r="B414" s="68">
        <v>40562</v>
      </c>
      <c r="C414" s="22" t="b">
        <v>0</v>
      </c>
      <c r="D414" s="21" t="str">
        <f t="shared" si="6"/>
        <v>Wednesday</v>
      </c>
      <c r="E414" s="23">
        <v>0.2576</v>
      </c>
      <c r="F414" s="23">
        <f>YEAR('Merged raw data'!$B414)</f>
        <v>2011</v>
      </c>
      <c r="G414" s="23" t="str">
        <f>TEXT('Merged raw data'!$B414,"mmmm")</f>
        <v>January</v>
      </c>
      <c r="H414" s="37" t="str">
        <f>TEXT(TIME('Merged raw data'!F414,0,0),"h AM/PM")</f>
        <v>5 AM</v>
      </c>
      <c r="I414" s="23" t="str">
        <f>IF(OR('Merged raw data'!H414=1,'Merged raw data'!H414=2,'Merged raw data'!H414=3,'Merged raw data'!H414=4,'Merged raw data'!H414=5),"weekday","weekend")</f>
        <v>weekday</v>
      </c>
      <c r="J414" s="23" t="s">
        <v>23</v>
      </c>
      <c r="K414" s="23" t="str">
        <f>IF('Merged raw data'!I414=1,"Clear",IF('Merged raw data'!I414=2,"Mist",IF('Merged raw data'!I414=3,"Rain",IF('Merged raw data'!I414=4,"Storm","NA"))))</f>
        <v>Mist</v>
      </c>
      <c r="L414" s="24">
        <v>0.93</v>
      </c>
      <c r="M414" s="24">
        <v>8.9599999999999999E-2</v>
      </c>
      <c r="N414" s="21">
        <f>'Merged raw data'!$J414*100</f>
        <v>22</v>
      </c>
      <c r="O414" s="21">
        <v>0</v>
      </c>
      <c r="P414" s="21">
        <v>7</v>
      </c>
      <c r="Q414" s="21">
        <v>7</v>
      </c>
      <c r="R414" s="21" t="str">
        <f>IF(Q414&gt;=outliers!I416,"High",IF(Q414&lt;=outliers!I415,"Low","Moderate"))</f>
        <v>High</v>
      </c>
      <c r="S414" s="8" t="str">
        <f>IF(OR(Q414&lt;outliers!$I$6,Q414&gt;outliers!$I$7),"Outlier","Normal")</f>
        <v>Normal</v>
      </c>
      <c r="T414" s="8" t="str">
        <f>IF(OR(L414&lt;outliers!$J$6,L414&gt;outliers!$J$7),"Outlier","Normal")</f>
        <v>Normal</v>
      </c>
      <c r="U414" s="8" t="str">
        <f>IF(OR(M414&lt;outliers!$K$6,M414&gt;outliers!$K$7),"Outlier","Normal")</f>
        <v>Normal</v>
      </c>
    </row>
    <row r="415" spans="1:21">
      <c r="A415" s="21">
        <v>414</v>
      </c>
      <c r="B415" s="68">
        <v>40562</v>
      </c>
      <c r="C415" s="22" t="b">
        <v>0</v>
      </c>
      <c r="D415" s="21" t="str">
        <f t="shared" si="6"/>
        <v>Wednesday</v>
      </c>
      <c r="E415" s="23">
        <v>0.2576</v>
      </c>
      <c r="F415" s="23">
        <f>YEAR('Merged raw data'!$B415)</f>
        <v>2011</v>
      </c>
      <c r="G415" s="23" t="str">
        <f>TEXT('Merged raw data'!$B415,"mmmm")</f>
        <v>January</v>
      </c>
      <c r="H415" s="37" t="str">
        <f>TEXT(TIME('Merged raw data'!F415,0,0),"h AM/PM")</f>
        <v>6 AM</v>
      </c>
      <c r="I415" s="23" t="str">
        <f>IF(OR('Merged raw data'!H415=1,'Merged raw data'!H415=2,'Merged raw data'!H415=3,'Merged raw data'!H415=4,'Merged raw data'!H415=5),"weekday","weekend")</f>
        <v>weekday</v>
      </c>
      <c r="J415" s="23" t="s">
        <v>23</v>
      </c>
      <c r="K415" s="23" t="str">
        <f>IF('Merged raw data'!I415=1,"Clear",IF('Merged raw data'!I415=2,"Mist",IF('Merged raw data'!I415=3,"Rain",IF('Merged raw data'!I415=4,"Storm","NA"))))</f>
        <v>Mist</v>
      </c>
      <c r="L415" s="24">
        <v>0.93</v>
      </c>
      <c r="M415" s="24">
        <v>8.9599999999999999E-2</v>
      </c>
      <c r="N415" s="21">
        <f>'Merged raw data'!$J415*100</f>
        <v>22</v>
      </c>
      <c r="O415" s="21">
        <v>0</v>
      </c>
      <c r="P415" s="21">
        <v>32</v>
      </c>
      <c r="Q415" s="21">
        <v>32</v>
      </c>
      <c r="R415" s="21" t="str">
        <f>IF(Q415&gt;=outliers!I417,"High",IF(Q415&lt;=outliers!I416,"Low","Moderate"))</f>
        <v>High</v>
      </c>
      <c r="S415" s="8" t="str">
        <f>IF(OR(Q415&lt;outliers!$I$6,Q415&gt;outliers!$I$7),"Outlier","Normal")</f>
        <v>Normal</v>
      </c>
      <c r="T415" s="8" t="str">
        <f>IF(OR(L415&lt;outliers!$J$6,L415&gt;outliers!$J$7),"Outlier","Normal")</f>
        <v>Normal</v>
      </c>
      <c r="U415" s="8" t="str">
        <f>IF(OR(M415&lt;outliers!$K$6,M415&gt;outliers!$K$7),"Outlier","Normal")</f>
        <v>Normal</v>
      </c>
    </row>
    <row r="416" spans="1:21">
      <c r="A416" s="21">
        <v>415</v>
      </c>
      <c r="B416" s="68">
        <v>40562</v>
      </c>
      <c r="C416" s="22" t="b">
        <v>0</v>
      </c>
      <c r="D416" s="21" t="str">
        <f t="shared" si="6"/>
        <v>Wednesday</v>
      </c>
      <c r="E416" s="23">
        <v>0.2576</v>
      </c>
      <c r="F416" s="23">
        <f>YEAR('Merged raw data'!$B416)</f>
        <v>2011</v>
      </c>
      <c r="G416" s="23" t="str">
        <f>TEXT('Merged raw data'!$B416,"mmmm")</f>
        <v>January</v>
      </c>
      <c r="H416" s="37" t="str">
        <f>TEXT(TIME('Merged raw data'!F416,0,0),"h AM/PM")</f>
        <v>7 AM</v>
      </c>
      <c r="I416" s="23" t="str">
        <f>IF(OR('Merged raw data'!H416=1,'Merged raw data'!H416=2,'Merged raw data'!H416=3,'Merged raw data'!H416=4,'Merged raw data'!H416=5),"weekday","weekend")</f>
        <v>weekday</v>
      </c>
      <c r="J416" s="23" t="s">
        <v>23</v>
      </c>
      <c r="K416" s="23" t="str">
        <f>IF('Merged raw data'!I416=1,"Clear",IF('Merged raw data'!I416=2,"Mist",IF('Merged raw data'!I416=3,"Rain",IF('Merged raw data'!I416=4,"Storm","NA"))))</f>
        <v>Mist</v>
      </c>
      <c r="L416" s="24">
        <v>0.92</v>
      </c>
      <c r="M416" s="24">
        <v>0.1045</v>
      </c>
      <c r="N416" s="21">
        <f>'Merged raw data'!$J416*100</f>
        <v>24</v>
      </c>
      <c r="O416" s="21">
        <v>1</v>
      </c>
      <c r="P416" s="21">
        <v>89</v>
      </c>
      <c r="Q416" s="21">
        <v>90</v>
      </c>
      <c r="R416" s="21" t="str">
        <f>IF(Q416&gt;=outliers!I418,"High",IF(Q416&lt;=outliers!I417,"Low","Moderate"))</f>
        <v>High</v>
      </c>
      <c r="S416" s="8" t="str">
        <f>IF(OR(Q416&lt;outliers!$I$6,Q416&gt;outliers!$I$7),"Outlier","Normal")</f>
        <v>Normal</v>
      </c>
      <c r="T416" s="8" t="str">
        <f>IF(OR(L416&lt;outliers!$J$6,L416&gt;outliers!$J$7),"Outlier","Normal")</f>
        <v>Normal</v>
      </c>
      <c r="U416" s="8" t="str">
        <f>IF(OR(M416&lt;outliers!$K$6,M416&gt;outliers!$K$7),"Outlier","Normal")</f>
        <v>Normal</v>
      </c>
    </row>
    <row r="417" spans="1:21">
      <c r="A417" s="21">
        <v>416</v>
      </c>
      <c r="B417" s="68">
        <v>40562</v>
      </c>
      <c r="C417" s="22" t="b">
        <v>0</v>
      </c>
      <c r="D417" s="21" t="str">
        <f t="shared" si="6"/>
        <v>Wednesday</v>
      </c>
      <c r="E417" s="23">
        <v>0.2576</v>
      </c>
      <c r="F417" s="23">
        <f>YEAR('Merged raw data'!$B417)</f>
        <v>2011</v>
      </c>
      <c r="G417" s="23" t="str">
        <f>TEXT('Merged raw data'!$B417,"mmmm")</f>
        <v>January</v>
      </c>
      <c r="H417" s="37" t="str">
        <f>TEXT(TIME('Merged raw data'!F417,0,0),"h AM/PM")</f>
        <v>8 AM</v>
      </c>
      <c r="I417" s="23" t="str">
        <f>IF(OR('Merged raw data'!H417=1,'Merged raw data'!H417=2,'Merged raw data'!H417=3,'Merged raw data'!H417=4,'Merged raw data'!H417=5),"weekday","weekend")</f>
        <v>weekday</v>
      </c>
      <c r="J417" s="23" t="s">
        <v>23</v>
      </c>
      <c r="K417" s="23" t="str">
        <f>IF('Merged raw data'!I417=1,"Clear",IF('Merged raw data'!I417=2,"Mist",IF('Merged raw data'!I417=3,"Rain",IF('Merged raw data'!I417=4,"Storm","NA"))))</f>
        <v>Mist</v>
      </c>
      <c r="L417" s="24">
        <v>0.93</v>
      </c>
      <c r="M417" s="24">
        <v>0.1045</v>
      </c>
      <c r="N417" s="21">
        <f>'Merged raw data'!$J417*100</f>
        <v>24</v>
      </c>
      <c r="O417" s="21">
        <v>1</v>
      </c>
      <c r="P417" s="21">
        <v>196</v>
      </c>
      <c r="Q417" s="21">
        <v>197</v>
      </c>
      <c r="R417" s="21" t="str">
        <f>IF(Q417&gt;=outliers!I419,"High",IF(Q417&lt;=outliers!I418,"Low","Moderate"))</f>
        <v>High</v>
      </c>
      <c r="S417" s="8" t="str">
        <f>IF(OR(Q417&lt;outliers!$I$6,Q417&gt;outliers!$I$7),"Outlier","Normal")</f>
        <v>Outlier</v>
      </c>
      <c r="T417" s="8" t="str">
        <f>IF(OR(L417&lt;outliers!$J$6,L417&gt;outliers!$J$7),"Outlier","Normal")</f>
        <v>Normal</v>
      </c>
      <c r="U417" s="8" t="str">
        <f>IF(OR(M417&lt;outliers!$K$6,M417&gt;outliers!$K$7),"Outlier","Normal")</f>
        <v>Normal</v>
      </c>
    </row>
    <row r="418" spans="1:21">
      <c r="A418" s="21">
        <v>417</v>
      </c>
      <c r="B418" s="68">
        <v>40562</v>
      </c>
      <c r="C418" s="22" t="b">
        <v>0</v>
      </c>
      <c r="D418" s="21" t="str">
        <f t="shared" si="6"/>
        <v>Wednesday</v>
      </c>
      <c r="E418" s="23">
        <v>0.2576</v>
      </c>
      <c r="F418" s="23">
        <f>YEAR('Merged raw data'!$B418)</f>
        <v>2011</v>
      </c>
      <c r="G418" s="23" t="str">
        <f>TEXT('Merged raw data'!$B418,"mmmm")</f>
        <v>January</v>
      </c>
      <c r="H418" s="37" t="str">
        <f>TEXT(TIME('Merged raw data'!F418,0,0),"h AM/PM")</f>
        <v>9 AM</v>
      </c>
      <c r="I418" s="23" t="str">
        <f>IF(OR('Merged raw data'!H418=1,'Merged raw data'!H418=2,'Merged raw data'!H418=3,'Merged raw data'!H418=4,'Merged raw data'!H418=5),"weekday","weekend")</f>
        <v>weekday</v>
      </c>
      <c r="J418" s="23" t="s">
        <v>23</v>
      </c>
      <c r="K418" s="23" t="str">
        <f>IF('Merged raw data'!I418=1,"Clear",IF('Merged raw data'!I418=2,"Mist",IF('Merged raw data'!I418=3,"Rain",IF('Merged raw data'!I418=4,"Storm","NA"))))</f>
        <v>Mist</v>
      </c>
      <c r="L418" s="24">
        <v>0.93</v>
      </c>
      <c r="M418" s="24">
        <v>0.1045</v>
      </c>
      <c r="N418" s="21">
        <f>'Merged raw data'!$J418*100</f>
        <v>24</v>
      </c>
      <c r="O418" s="21">
        <v>2</v>
      </c>
      <c r="P418" s="21">
        <v>107</v>
      </c>
      <c r="Q418" s="21">
        <v>109</v>
      </c>
      <c r="R418" s="21" t="str">
        <f>IF(Q418&gt;=outliers!I420,"High",IF(Q418&lt;=outliers!I419,"Low","Moderate"))</f>
        <v>High</v>
      </c>
      <c r="S418" s="8" t="str">
        <f>IF(OR(Q418&lt;outliers!$I$6,Q418&gt;outliers!$I$7),"Outlier","Normal")</f>
        <v>Normal</v>
      </c>
      <c r="T418" s="8" t="str">
        <f>IF(OR(L418&lt;outliers!$J$6,L418&gt;outliers!$J$7),"Outlier","Normal")</f>
        <v>Normal</v>
      </c>
      <c r="U418" s="8" t="str">
        <f>IF(OR(M418&lt;outliers!$K$6,M418&gt;outliers!$K$7),"Outlier","Normal")</f>
        <v>Normal</v>
      </c>
    </row>
    <row r="419" spans="1:21">
      <c r="A419" s="21">
        <v>418</v>
      </c>
      <c r="B419" s="68">
        <v>40562</v>
      </c>
      <c r="C419" s="22" t="b">
        <v>0</v>
      </c>
      <c r="D419" s="21" t="str">
        <f t="shared" si="6"/>
        <v>Wednesday</v>
      </c>
      <c r="E419" s="23">
        <v>0.2727</v>
      </c>
      <c r="F419" s="23">
        <f>YEAR('Merged raw data'!$B419)</f>
        <v>2011</v>
      </c>
      <c r="G419" s="23" t="str">
        <f>TEXT('Merged raw data'!$B419,"mmmm")</f>
        <v>January</v>
      </c>
      <c r="H419" s="37" t="str">
        <f>TEXT(TIME('Merged raw data'!F419,0,0),"h AM/PM")</f>
        <v>10 AM</v>
      </c>
      <c r="I419" s="23" t="str">
        <f>IF(OR('Merged raw data'!H419=1,'Merged raw data'!H419=2,'Merged raw data'!H419=3,'Merged raw data'!H419=4,'Merged raw data'!H419=5),"weekday","weekend")</f>
        <v>weekday</v>
      </c>
      <c r="J419" s="23" t="s">
        <v>23</v>
      </c>
      <c r="K419" s="23" t="str">
        <f>IF('Merged raw data'!I419=1,"Clear",IF('Merged raw data'!I419=2,"Mist",IF('Merged raw data'!I419=3,"Rain",IF('Merged raw data'!I419=4,"Storm","NA"))))</f>
        <v>Mist</v>
      </c>
      <c r="L419" s="24">
        <v>0.93</v>
      </c>
      <c r="M419" s="24">
        <v>0.1343</v>
      </c>
      <c r="N419" s="21">
        <f>'Merged raw data'!$J419*100</f>
        <v>26</v>
      </c>
      <c r="O419" s="21">
        <v>1</v>
      </c>
      <c r="P419" s="21">
        <v>46</v>
      </c>
      <c r="Q419" s="21">
        <v>47</v>
      </c>
      <c r="R419" s="21" t="str">
        <f>IF(Q419&gt;=outliers!I421,"High",IF(Q419&lt;=outliers!I420,"Low","Moderate"))</f>
        <v>High</v>
      </c>
      <c r="S419" s="8" t="str">
        <f>IF(OR(Q419&lt;outliers!$I$6,Q419&gt;outliers!$I$7),"Outlier","Normal")</f>
        <v>Normal</v>
      </c>
      <c r="T419" s="8" t="str">
        <f>IF(OR(L419&lt;outliers!$J$6,L419&gt;outliers!$J$7),"Outlier","Normal")</f>
        <v>Normal</v>
      </c>
      <c r="U419" s="8" t="str">
        <f>IF(OR(M419&lt;outliers!$K$6,M419&gt;outliers!$K$7),"Outlier","Normal")</f>
        <v>Normal</v>
      </c>
    </row>
    <row r="420" spans="1:21">
      <c r="A420" s="21">
        <v>419</v>
      </c>
      <c r="B420" s="68">
        <v>40562</v>
      </c>
      <c r="C420" s="22" t="b">
        <v>0</v>
      </c>
      <c r="D420" s="21" t="str">
        <f t="shared" si="6"/>
        <v>Wednesday</v>
      </c>
      <c r="E420" s="23">
        <v>0.30299999999999999</v>
      </c>
      <c r="F420" s="23">
        <f>YEAR('Merged raw data'!$B420)</f>
        <v>2011</v>
      </c>
      <c r="G420" s="23" t="str">
        <f>TEXT('Merged raw data'!$B420,"mmmm")</f>
        <v>January</v>
      </c>
      <c r="H420" s="37" t="str">
        <f>TEXT(TIME('Merged raw data'!F420,0,0),"h AM/PM")</f>
        <v>11 AM</v>
      </c>
      <c r="I420" s="23" t="str">
        <f>IF(OR('Merged raw data'!H420=1,'Merged raw data'!H420=2,'Merged raw data'!H420=3,'Merged raw data'!H420=4,'Merged raw data'!H420=5),"weekday","weekend")</f>
        <v>weekday</v>
      </c>
      <c r="J420" s="23" t="s">
        <v>23</v>
      </c>
      <c r="K420" s="23" t="str">
        <f>IF('Merged raw data'!I420=1,"Clear",IF('Merged raw data'!I420=2,"Mist",IF('Merged raw data'!I420=3,"Rain",IF('Merged raw data'!I420=4,"Storm","NA"))))</f>
        <v>Mist</v>
      </c>
      <c r="L420" s="24">
        <v>0.87</v>
      </c>
      <c r="M420" s="24">
        <v>8.9599999999999999E-2</v>
      </c>
      <c r="N420" s="21">
        <f>'Merged raw data'!$J420*100</f>
        <v>28.000000000000004</v>
      </c>
      <c r="O420" s="21">
        <v>5</v>
      </c>
      <c r="P420" s="21">
        <v>47</v>
      </c>
      <c r="Q420" s="21">
        <v>52</v>
      </c>
      <c r="R420" s="21" t="str">
        <f>IF(Q420&gt;=outliers!I422,"High",IF(Q420&lt;=outliers!I421,"Low","Moderate"))</f>
        <v>High</v>
      </c>
      <c r="S420" s="8" t="str">
        <f>IF(OR(Q420&lt;outliers!$I$6,Q420&gt;outliers!$I$7),"Outlier","Normal")</f>
        <v>Normal</v>
      </c>
      <c r="T420" s="8" t="str">
        <f>IF(OR(L420&lt;outliers!$J$6,L420&gt;outliers!$J$7),"Outlier","Normal")</f>
        <v>Normal</v>
      </c>
      <c r="U420" s="8" t="str">
        <f>IF(OR(M420&lt;outliers!$K$6,M420&gt;outliers!$K$7),"Outlier","Normal")</f>
        <v>Normal</v>
      </c>
    </row>
    <row r="421" spans="1:21">
      <c r="A421" s="21">
        <v>420</v>
      </c>
      <c r="B421" s="68">
        <v>40562</v>
      </c>
      <c r="C421" s="22" t="b">
        <v>0</v>
      </c>
      <c r="D421" s="21" t="str">
        <f t="shared" si="6"/>
        <v>Wednesday</v>
      </c>
      <c r="E421" s="23">
        <v>0.31819999999999998</v>
      </c>
      <c r="F421" s="23">
        <f>YEAR('Merged raw data'!$B421)</f>
        <v>2011</v>
      </c>
      <c r="G421" s="23" t="str">
        <f>TEXT('Merged raw data'!$B421,"mmmm")</f>
        <v>January</v>
      </c>
      <c r="H421" s="37" t="str">
        <f>TEXT(TIME('Merged raw data'!F421,0,0),"h AM/PM")</f>
        <v>12 PM</v>
      </c>
      <c r="I421" s="23" t="str">
        <f>IF(OR('Merged raw data'!H421=1,'Merged raw data'!H421=2,'Merged raw data'!H421=3,'Merged raw data'!H421=4,'Merged raw data'!H421=5),"weekday","weekend")</f>
        <v>weekday</v>
      </c>
      <c r="J421" s="23" t="s">
        <v>23</v>
      </c>
      <c r="K421" s="23" t="str">
        <f>IF('Merged raw data'!I421=1,"Clear",IF('Merged raw data'!I421=2,"Mist",IF('Merged raw data'!I421=3,"Rain",IF('Merged raw data'!I421=4,"Storm","NA"))))</f>
        <v>Mist</v>
      </c>
      <c r="L421" s="24">
        <v>0.81</v>
      </c>
      <c r="M421" s="24">
        <v>8.9599999999999999E-2</v>
      </c>
      <c r="N421" s="21">
        <f>'Merged raw data'!$J421*100</f>
        <v>30</v>
      </c>
      <c r="O421" s="21">
        <v>5</v>
      </c>
      <c r="P421" s="21">
        <v>65</v>
      </c>
      <c r="Q421" s="21">
        <v>70</v>
      </c>
      <c r="R421" s="21" t="str">
        <f>IF(Q421&gt;=outliers!I423,"High",IF(Q421&lt;=outliers!I422,"Low","Moderate"))</f>
        <v>High</v>
      </c>
      <c r="S421" s="8" t="str">
        <f>IF(OR(Q421&lt;outliers!$I$6,Q421&gt;outliers!$I$7),"Outlier","Normal")</f>
        <v>Normal</v>
      </c>
      <c r="T421" s="8" t="str">
        <f>IF(OR(L421&lt;outliers!$J$6,L421&gt;outliers!$J$7),"Outlier","Normal")</f>
        <v>Normal</v>
      </c>
      <c r="U421" s="8" t="str">
        <f>IF(OR(M421&lt;outliers!$K$6,M421&gt;outliers!$K$7),"Outlier","Normal")</f>
        <v>Normal</v>
      </c>
    </row>
    <row r="422" spans="1:21">
      <c r="A422" s="21">
        <v>421</v>
      </c>
      <c r="B422" s="68">
        <v>40562</v>
      </c>
      <c r="C422" s="22" t="b">
        <v>0</v>
      </c>
      <c r="D422" s="21" t="str">
        <f t="shared" si="6"/>
        <v>Wednesday</v>
      </c>
      <c r="E422" s="23">
        <v>0.40910000000000002</v>
      </c>
      <c r="F422" s="23">
        <f>YEAR('Merged raw data'!$B422)</f>
        <v>2011</v>
      </c>
      <c r="G422" s="23" t="str">
        <f>TEXT('Merged raw data'!$B422,"mmmm")</f>
        <v>January</v>
      </c>
      <c r="H422" s="37" t="str">
        <f>TEXT(TIME('Merged raw data'!F422,0,0),"h AM/PM")</f>
        <v>1 PM</v>
      </c>
      <c r="I422" s="23" t="str">
        <f>IF(OR('Merged raw data'!H422=1,'Merged raw data'!H422=2,'Merged raw data'!H422=3,'Merged raw data'!H422=4,'Merged raw data'!H422=5),"weekday","weekend")</f>
        <v>weekday</v>
      </c>
      <c r="J422" s="23" t="s">
        <v>23</v>
      </c>
      <c r="K422" s="23" t="str">
        <f>IF('Merged raw data'!I422=1,"Clear",IF('Merged raw data'!I422=2,"Mist",IF('Merged raw data'!I422=3,"Rain",IF('Merged raw data'!I422=4,"Storm","NA"))))</f>
        <v>Clear</v>
      </c>
      <c r="L422" s="24">
        <v>0.62</v>
      </c>
      <c r="M422" s="24">
        <v>0.28360000000000002</v>
      </c>
      <c r="N422" s="21">
        <f>'Merged raw data'!$J422*100</f>
        <v>40</v>
      </c>
      <c r="O422" s="21">
        <v>11</v>
      </c>
      <c r="P422" s="21">
        <v>67</v>
      </c>
      <c r="Q422" s="21">
        <v>78</v>
      </c>
      <c r="R422" s="21" t="str">
        <f>IF(Q422&gt;=outliers!I424,"High",IF(Q422&lt;=outliers!I423,"Low","Moderate"))</f>
        <v>High</v>
      </c>
      <c r="S422" s="8" t="str">
        <f>IF(OR(Q422&lt;outliers!$I$6,Q422&gt;outliers!$I$7),"Outlier","Normal")</f>
        <v>Normal</v>
      </c>
      <c r="T422" s="8" t="str">
        <f>IF(OR(L422&lt;outliers!$J$6,L422&gt;outliers!$J$7),"Outlier","Normal")</f>
        <v>Normal</v>
      </c>
      <c r="U422" s="8" t="str">
        <f>IF(OR(M422&lt;outliers!$K$6,M422&gt;outliers!$K$7),"Outlier","Normal")</f>
        <v>Normal</v>
      </c>
    </row>
    <row r="423" spans="1:21">
      <c r="A423" s="21">
        <v>422</v>
      </c>
      <c r="B423" s="68">
        <v>40562</v>
      </c>
      <c r="C423" s="22" t="b">
        <v>0</v>
      </c>
      <c r="D423" s="21" t="str">
        <f t="shared" si="6"/>
        <v>Wednesday</v>
      </c>
      <c r="E423" s="23">
        <v>0.40910000000000002</v>
      </c>
      <c r="F423" s="23">
        <f>YEAR('Merged raw data'!$B423)</f>
        <v>2011</v>
      </c>
      <c r="G423" s="23" t="str">
        <f>TEXT('Merged raw data'!$B423,"mmmm")</f>
        <v>January</v>
      </c>
      <c r="H423" s="37" t="str">
        <f>TEXT(TIME('Merged raw data'!F423,0,0),"h AM/PM")</f>
        <v>2 PM</v>
      </c>
      <c r="I423" s="23" t="str">
        <f>IF(OR('Merged raw data'!H423=1,'Merged raw data'!H423=2,'Merged raw data'!H423=3,'Merged raw data'!H423=4,'Merged raw data'!H423=5),"weekday","weekend")</f>
        <v>weekday</v>
      </c>
      <c r="J423" s="23" t="s">
        <v>23</v>
      </c>
      <c r="K423" s="23" t="str">
        <f>IF('Merged raw data'!I423=1,"Clear",IF('Merged raw data'!I423=2,"Mist",IF('Merged raw data'!I423=3,"Rain",IF('Merged raw data'!I423=4,"Storm","NA"))))</f>
        <v>Clear</v>
      </c>
      <c r="L423" s="24">
        <v>0.57999999999999996</v>
      </c>
      <c r="M423" s="24">
        <v>0.25369999999999998</v>
      </c>
      <c r="N423" s="21">
        <f>'Merged raw data'!$J423*100</f>
        <v>40</v>
      </c>
      <c r="O423" s="21">
        <v>7</v>
      </c>
      <c r="P423" s="21">
        <v>68</v>
      </c>
      <c r="Q423" s="21">
        <v>75</v>
      </c>
      <c r="R423" s="21" t="str">
        <f>IF(Q423&gt;=outliers!I425,"High",IF(Q423&lt;=outliers!I424,"Low","Moderate"))</f>
        <v>High</v>
      </c>
      <c r="S423" s="8" t="str">
        <f>IF(OR(Q423&lt;outliers!$I$6,Q423&gt;outliers!$I$7),"Outlier","Normal")</f>
        <v>Normal</v>
      </c>
      <c r="T423" s="8" t="str">
        <f>IF(OR(L423&lt;outliers!$J$6,L423&gt;outliers!$J$7),"Outlier","Normal")</f>
        <v>Normal</v>
      </c>
      <c r="U423" s="8" t="str">
        <f>IF(OR(M423&lt;outliers!$K$6,M423&gt;outliers!$K$7),"Outlier","Normal")</f>
        <v>Normal</v>
      </c>
    </row>
    <row r="424" spans="1:21">
      <c r="A424" s="21">
        <v>423</v>
      </c>
      <c r="B424" s="68">
        <v>40562</v>
      </c>
      <c r="C424" s="22" t="b">
        <v>0</v>
      </c>
      <c r="D424" s="21" t="str">
        <f t="shared" si="6"/>
        <v>Wednesday</v>
      </c>
      <c r="E424" s="23">
        <v>0.40910000000000002</v>
      </c>
      <c r="F424" s="23">
        <f>YEAR('Merged raw data'!$B424)</f>
        <v>2011</v>
      </c>
      <c r="G424" s="23" t="str">
        <f>TEXT('Merged raw data'!$B424,"mmmm")</f>
        <v>January</v>
      </c>
      <c r="H424" s="37" t="str">
        <f>TEXT(TIME('Merged raw data'!F424,0,0),"h AM/PM")</f>
        <v>3 PM</v>
      </c>
      <c r="I424" s="23" t="str">
        <f>IF(OR('Merged raw data'!H424=1,'Merged raw data'!H424=2,'Merged raw data'!H424=3,'Merged raw data'!H424=4,'Merged raw data'!H424=5),"weekday","weekend")</f>
        <v>weekday</v>
      </c>
      <c r="J424" s="23" t="s">
        <v>23</v>
      </c>
      <c r="K424" s="23" t="str">
        <f>IF('Merged raw data'!I424=1,"Clear",IF('Merged raw data'!I424=2,"Mist",IF('Merged raw data'!I424=3,"Rain",IF('Merged raw data'!I424=4,"Storm","NA"))))</f>
        <v>Clear</v>
      </c>
      <c r="L424" s="24">
        <v>0.54</v>
      </c>
      <c r="M424" s="24">
        <v>0.28360000000000002</v>
      </c>
      <c r="N424" s="21">
        <f>'Merged raw data'!$J424*100</f>
        <v>40</v>
      </c>
      <c r="O424" s="21">
        <v>4</v>
      </c>
      <c r="P424" s="21">
        <v>78</v>
      </c>
      <c r="Q424" s="21">
        <v>82</v>
      </c>
      <c r="R424" s="21" t="str">
        <f>IF(Q424&gt;=outliers!I426,"High",IF(Q424&lt;=outliers!I425,"Low","Moderate"))</f>
        <v>High</v>
      </c>
      <c r="S424" s="8" t="str">
        <f>IF(OR(Q424&lt;outliers!$I$6,Q424&gt;outliers!$I$7),"Outlier","Normal")</f>
        <v>Normal</v>
      </c>
      <c r="T424" s="8" t="str">
        <f>IF(OR(L424&lt;outliers!$J$6,L424&gt;outliers!$J$7),"Outlier","Normal")</f>
        <v>Normal</v>
      </c>
      <c r="U424" s="8" t="str">
        <f>IF(OR(M424&lt;outliers!$K$6,M424&gt;outliers!$K$7),"Outlier","Normal")</f>
        <v>Normal</v>
      </c>
    </row>
    <row r="425" spans="1:21">
      <c r="A425" s="21">
        <v>424</v>
      </c>
      <c r="B425" s="68">
        <v>40562</v>
      </c>
      <c r="C425" s="22" t="b">
        <v>0</v>
      </c>
      <c r="D425" s="21" t="str">
        <f t="shared" si="6"/>
        <v>Wednesday</v>
      </c>
      <c r="E425" s="23">
        <v>0.39389999999999997</v>
      </c>
      <c r="F425" s="23">
        <f>YEAR('Merged raw data'!$B425)</f>
        <v>2011</v>
      </c>
      <c r="G425" s="23" t="str">
        <f>TEXT('Merged raw data'!$B425,"mmmm")</f>
        <v>January</v>
      </c>
      <c r="H425" s="37" t="str">
        <f>TEXT(TIME('Merged raw data'!F425,0,0),"h AM/PM")</f>
        <v>4 PM</v>
      </c>
      <c r="I425" s="23" t="str">
        <f>IF(OR('Merged raw data'!H425=1,'Merged raw data'!H425=2,'Merged raw data'!H425=3,'Merged raw data'!H425=4,'Merged raw data'!H425=5),"weekday","weekend")</f>
        <v>weekday</v>
      </c>
      <c r="J425" s="23" t="s">
        <v>23</v>
      </c>
      <c r="K425" s="23" t="str">
        <f>IF('Merged raw data'!I425=1,"Clear",IF('Merged raw data'!I425=2,"Mist",IF('Merged raw data'!I425=3,"Rain",IF('Merged raw data'!I425=4,"Storm","NA"))))</f>
        <v>Clear</v>
      </c>
      <c r="L425" s="24">
        <v>0.57999999999999996</v>
      </c>
      <c r="M425" s="24">
        <v>0.3881</v>
      </c>
      <c r="N425" s="21">
        <f>'Merged raw data'!$J425*100</f>
        <v>38</v>
      </c>
      <c r="O425" s="21">
        <v>10</v>
      </c>
      <c r="P425" s="21">
        <v>94</v>
      </c>
      <c r="Q425" s="21">
        <v>104</v>
      </c>
      <c r="R425" s="21" t="str">
        <f>IF(Q425&gt;=outliers!I427,"High",IF(Q425&lt;=outliers!I426,"Low","Moderate"))</f>
        <v>High</v>
      </c>
      <c r="S425" s="8" t="str">
        <f>IF(OR(Q425&lt;outliers!$I$6,Q425&gt;outliers!$I$7),"Outlier","Normal")</f>
        <v>Normal</v>
      </c>
      <c r="T425" s="8" t="str">
        <f>IF(OR(L425&lt;outliers!$J$6,L425&gt;outliers!$J$7),"Outlier","Normal")</f>
        <v>Normal</v>
      </c>
      <c r="U425" s="8" t="str">
        <f>IF(OR(M425&lt;outliers!$K$6,M425&gt;outliers!$K$7),"Outlier","Normal")</f>
        <v>Normal</v>
      </c>
    </row>
    <row r="426" spans="1:21">
      <c r="A426" s="21">
        <v>425</v>
      </c>
      <c r="B426" s="68">
        <v>40562</v>
      </c>
      <c r="C426" s="22" t="b">
        <v>0</v>
      </c>
      <c r="D426" s="21" t="str">
        <f t="shared" si="6"/>
        <v>Wednesday</v>
      </c>
      <c r="E426" s="23">
        <v>0.33329999999999999</v>
      </c>
      <c r="F426" s="23">
        <f>YEAR('Merged raw data'!$B426)</f>
        <v>2011</v>
      </c>
      <c r="G426" s="23" t="str">
        <f>TEXT('Merged raw data'!$B426,"mmmm")</f>
        <v>January</v>
      </c>
      <c r="H426" s="37" t="str">
        <f>TEXT(TIME('Merged raw data'!F426,0,0),"h AM/PM")</f>
        <v>5 PM</v>
      </c>
      <c r="I426" s="23" t="str">
        <f>IF(OR('Merged raw data'!H426=1,'Merged raw data'!H426=2,'Merged raw data'!H426=3,'Merged raw data'!H426=4,'Merged raw data'!H426=5),"weekday","weekend")</f>
        <v>weekday</v>
      </c>
      <c r="J426" s="23" t="s">
        <v>23</v>
      </c>
      <c r="K426" s="23" t="str">
        <f>IF('Merged raw data'!I426=1,"Clear",IF('Merged raw data'!I426=2,"Mist",IF('Merged raw data'!I426=3,"Rain",IF('Merged raw data'!I426=4,"Storm","NA"))))</f>
        <v>Clear</v>
      </c>
      <c r="L426" s="24">
        <v>0.56999999999999995</v>
      </c>
      <c r="M426" s="24">
        <v>0.32840000000000003</v>
      </c>
      <c r="N426" s="21">
        <f>'Merged raw data'!$J426*100</f>
        <v>36</v>
      </c>
      <c r="O426" s="21">
        <v>7</v>
      </c>
      <c r="P426" s="21">
        <v>190</v>
      </c>
      <c r="Q426" s="21">
        <v>197</v>
      </c>
      <c r="R426" s="21" t="str">
        <f>IF(Q426&gt;=outliers!I428,"High",IF(Q426&lt;=outliers!I427,"Low","Moderate"))</f>
        <v>High</v>
      </c>
      <c r="S426" s="8" t="str">
        <f>IF(OR(Q426&lt;outliers!$I$6,Q426&gt;outliers!$I$7),"Outlier","Normal")</f>
        <v>Outlier</v>
      </c>
      <c r="T426" s="8" t="str">
        <f>IF(OR(L426&lt;outliers!$J$6,L426&gt;outliers!$J$7),"Outlier","Normal")</f>
        <v>Normal</v>
      </c>
      <c r="U426" s="8" t="str">
        <f>IF(OR(M426&lt;outliers!$K$6,M426&gt;outliers!$K$7),"Outlier","Normal")</f>
        <v>Normal</v>
      </c>
    </row>
    <row r="427" spans="1:21">
      <c r="A427" s="21">
        <v>426</v>
      </c>
      <c r="B427" s="68">
        <v>40562</v>
      </c>
      <c r="C427" s="22" t="b">
        <v>0</v>
      </c>
      <c r="D427" s="21" t="str">
        <f t="shared" si="6"/>
        <v>Wednesday</v>
      </c>
      <c r="E427" s="23">
        <v>0.31819999999999998</v>
      </c>
      <c r="F427" s="23">
        <f>YEAR('Merged raw data'!$B427)</f>
        <v>2011</v>
      </c>
      <c r="G427" s="23" t="str">
        <f>TEXT('Merged raw data'!$B427,"mmmm")</f>
        <v>January</v>
      </c>
      <c r="H427" s="37" t="str">
        <f>TEXT(TIME('Merged raw data'!F427,0,0),"h AM/PM")</f>
        <v>6 PM</v>
      </c>
      <c r="I427" s="23" t="str">
        <f>IF(OR('Merged raw data'!H427=1,'Merged raw data'!H427=2,'Merged raw data'!H427=3,'Merged raw data'!H427=4,'Merged raw data'!H427=5),"weekday","weekend")</f>
        <v>weekday</v>
      </c>
      <c r="J427" s="23" t="s">
        <v>23</v>
      </c>
      <c r="K427" s="23" t="str">
        <f>IF('Merged raw data'!I427=1,"Clear",IF('Merged raw data'!I427=2,"Mist",IF('Merged raw data'!I427=3,"Rain",IF('Merged raw data'!I427=4,"Storm","NA"))))</f>
        <v>Clear</v>
      </c>
      <c r="L427" s="24">
        <v>0.61</v>
      </c>
      <c r="M427" s="24">
        <v>0.28360000000000002</v>
      </c>
      <c r="N427" s="21">
        <f>'Merged raw data'!$J427*100</f>
        <v>34</v>
      </c>
      <c r="O427" s="21">
        <v>5</v>
      </c>
      <c r="P427" s="21">
        <v>156</v>
      </c>
      <c r="Q427" s="21">
        <v>161</v>
      </c>
      <c r="R427" s="21" t="str">
        <f>IF(Q427&gt;=outliers!I429,"High",IF(Q427&lt;=outliers!I428,"Low","Moderate"))</f>
        <v>High</v>
      </c>
      <c r="S427" s="8" t="str">
        <f>IF(OR(Q427&lt;outliers!$I$6,Q427&gt;outliers!$I$7),"Outlier","Normal")</f>
        <v>Normal</v>
      </c>
      <c r="T427" s="8" t="str">
        <f>IF(OR(L427&lt;outliers!$J$6,L427&gt;outliers!$J$7),"Outlier","Normal")</f>
        <v>Normal</v>
      </c>
      <c r="U427" s="8" t="str">
        <f>IF(OR(M427&lt;outliers!$K$6,M427&gt;outliers!$K$7),"Outlier","Normal")</f>
        <v>Normal</v>
      </c>
    </row>
    <row r="428" spans="1:21">
      <c r="A428" s="21">
        <v>427</v>
      </c>
      <c r="B428" s="68">
        <v>40562</v>
      </c>
      <c r="C428" s="22" t="b">
        <v>0</v>
      </c>
      <c r="D428" s="21" t="str">
        <f t="shared" si="6"/>
        <v>Wednesday</v>
      </c>
      <c r="E428" s="23">
        <v>0.28789999999999999</v>
      </c>
      <c r="F428" s="23">
        <f>YEAR('Merged raw data'!$B428)</f>
        <v>2011</v>
      </c>
      <c r="G428" s="23" t="str">
        <f>TEXT('Merged raw data'!$B428,"mmmm")</f>
        <v>January</v>
      </c>
      <c r="H428" s="37" t="str">
        <f>TEXT(TIME('Merged raw data'!F428,0,0),"h AM/PM")</f>
        <v>7 PM</v>
      </c>
      <c r="I428" s="23" t="str">
        <f>IF(OR('Merged raw data'!H428=1,'Merged raw data'!H428=2,'Merged raw data'!H428=3,'Merged raw data'!H428=4,'Merged raw data'!H428=5),"weekday","weekend")</f>
        <v>weekday</v>
      </c>
      <c r="J428" s="23" t="s">
        <v>23</v>
      </c>
      <c r="K428" s="23" t="str">
        <f>IF('Merged raw data'!I428=1,"Clear",IF('Merged raw data'!I428=2,"Mist",IF('Merged raw data'!I428=3,"Rain",IF('Merged raw data'!I428=4,"Storm","NA"))))</f>
        <v>Clear</v>
      </c>
      <c r="L428" s="24">
        <v>0.56999999999999995</v>
      </c>
      <c r="M428" s="24">
        <v>0.41789999999999999</v>
      </c>
      <c r="N428" s="21">
        <f>'Merged raw data'!$J428*100</f>
        <v>32</v>
      </c>
      <c r="O428" s="21">
        <v>4</v>
      </c>
      <c r="P428" s="21">
        <v>108</v>
      </c>
      <c r="Q428" s="21">
        <v>112</v>
      </c>
      <c r="R428" s="21" t="str">
        <f>IF(Q428&gt;=outliers!I430,"High",IF(Q428&lt;=outliers!I429,"Low","Moderate"))</f>
        <v>High</v>
      </c>
      <c r="S428" s="8" t="str">
        <f>IF(OR(Q428&lt;outliers!$I$6,Q428&gt;outliers!$I$7),"Outlier","Normal")</f>
        <v>Normal</v>
      </c>
      <c r="T428" s="8" t="str">
        <f>IF(OR(L428&lt;outliers!$J$6,L428&gt;outliers!$J$7),"Outlier","Normal")</f>
        <v>Normal</v>
      </c>
      <c r="U428" s="8" t="str">
        <f>IF(OR(M428&lt;outliers!$K$6,M428&gt;outliers!$K$7),"Outlier","Normal")</f>
        <v>Normal</v>
      </c>
    </row>
    <row r="429" spans="1:21">
      <c r="A429" s="21">
        <v>428</v>
      </c>
      <c r="B429" s="68">
        <v>40562</v>
      </c>
      <c r="C429" s="22" t="b">
        <v>0</v>
      </c>
      <c r="D429" s="21" t="str">
        <f t="shared" si="6"/>
        <v>Wednesday</v>
      </c>
      <c r="E429" s="23">
        <v>0.30299999999999999</v>
      </c>
      <c r="F429" s="23">
        <f>YEAR('Merged raw data'!$B429)</f>
        <v>2011</v>
      </c>
      <c r="G429" s="23" t="str">
        <f>TEXT('Merged raw data'!$B429,"mmmm")</f>
        <v>January</v>
      </c>
      <c r="H429" s="37" t="str">
        <f>TEXT(TIME('Merged raw data'!F429,0,0),"h AM/PM")</f>
        <v>8 PM</v>
      </c>
      <c r="I429" s="23" t="str">
        <f>IF(OR('Merged raw data'!H429=1,'Merged raw data'!H429=2,'Merged raw data'!H429=3,'Merged raw data'!H429=4,'Merged raw data'!H429=5),"weekday","weekend")</f>
        <v>weekday</v>
      </c>
      <c r="J429" s="23" t="s">
        <v>23</v>
      </c>
      <c r="K429" s="23" t="str">
        <f>IF('Merged raw data'!I429=1,"Clear",IF('Merged raw data'!I429=2,"Mist",IF('Merged raw data'!I429=3,"Rain",IF('Merged raw data'!I429=4,"Storm","NA"))))</f>
        <v>Clear</v>
      </c>
      <c r="L429" s="24">
        <v>0.49</v>
      </c>
      <c r="M429" s="24">
        <v>0.29849999999999999</v>
      </c>
      <c r="N429" s="21">
        <f>'Merged raw data'!$J429*100</f>
        <v>32</v>
      </c>
      <c r="O429" s="21">
        <v>2</v>
      </c>
      <c r="P429" s="21">
        <v>74</v>
      </c>
      <c r="Q429" s="21">
        <v>76</v>
      </c>
      <c r="R429" s="21" t="str">
        <f>IF(Q429&gt;=outliers!I431,"High",IF(Q429&lt;=outliers!I430,"Low","Moderate"))</f>
        <v>High</v>
      </c>
      <c r="S429" s="8" t="str">
        <f>IF(OR(Q429&lt;outliers!$I$6,Q429&gt;outliers!$I$7),"Outlier","Normal")</f>
        <v>Normal</v>
      </c>
      <c r="T429" s="8" t="str">
        <f>IF(OR(L429&lt;outliers!$J$6,L429&gt;outliers!$J$7),"Outlier","Normal")</f>
        <v>Normal</v>
      </c>
      <c r="U429" s="8" t="str">
        <f>IF(OR(M429&lt;outliers!$K$6,M429&gt;outliers!$K$7),"Outlier","Normal")</f>
        <v>Normal</v>
      </c>
    </row>
    <row r="430" spans="1:21">
      <c r="A430" s="21">
        <v>429</v>
      </c>
      <c r="B430" s="68">
        <v>40562</v>
      </c>
      <c r="C430" s="22" t="b">
        <v>0</v>
      </c>
      <c r="D430" s="21" t="str">
        <f t="shared" si="6"/>
        <v>Wednesday</v>
      </c>
      <c r="E430" s="23">
        <v>0.28789999999999999</v>
      </c>
      <c r="F430" s="23">
        <f>YEAR('Merged raw data'!$B430)</f>
        <v>2011</v>
      </c>
      <c r="G430" s="23" t="str">
        <f>TEXT('Merged raw data'!$B430,"mmmm")</f>
        <v>January</v>
      </c>
      <c r="H430" s="37" t="str">
        <f>TEXT(TIME('Merged raw data'!F430,0,0),"h AM/PM")</f>
        <v>9 PM</v>
      </c>
      <c r="I430" s="23" t="str">
        <f>IF(OR('Merged raw data'!H430=1,'Merged raw data'!H430=2,'Merged raw data'!H430=3,'Merged raw data'!H430=4,'Merged raw data'!H430=5),"weekday","weekend")</f>
        <v>weekday</v>
      </c>
      <c r="J430" s="23" t="s">
        <v>23</v>
      </c>
      <c r="K430" s="23" t="str">
        <f>IF('Merged raw data'!I430=1,"Clear",IF('Merged raw data'!I430=2,"Mist",IF('Merged raw data'!I430=3,"Rain",IF('Merged raw data'!I430=4,"Storm","NA"))))</f>
        <v>Clear</v>
      </c>
      <c r="L430" s="24">
        <v>0.49</v>
      </c>
      <c r="M430" s="24">
        <v>0.41789999999999999</v>
      </c>
      <c r="N430" s="21">
        <f>'Merged raw data'!$J430*100</f>
        <v>32</v>
      </c>
      <c r="O430" s="21">
        <v>4</v>
      </c>
      <c r="P430" s="21">
        <v>55</v>
      </c>
      <c r="Q430" s="21">
        <v>59</v>
      </c>
      <c r="R430" s="21" t="str">
        <f>IF(Q430&gt;=outliers!I432,"High",IF(Q430&lt;=outliers!I431,"Low","Moderate"))</f>
        <v>High</v>
      </c>
      <c r="S430" s="8" t="str">
        <f>IF(OR(Q430&lt;outliers!$I$6,Q430&gt;outliers!$I$7),"Outlier","Normal")</f>
        <v>Normal</v>
      </c>
      <c r="T430" s="8" t="str">
        <f>IF(OR(L430&lt;outliers!$J$6,L430&gt;outliers!$J$7),"Outlier","Normal")</f>
        <v>Normal</v>
      </c>
      <c r="U430" s="8" t="str">
        <f>IF(OR(M430&lt;outliers!$K$6,M430&gt;outliers!$K$7),"Outlier","Normal")</f>
        <v>Normal</v>
      </c>
    </row>
    <row r="431" spans="1:21">
      <c r="A431" s="21">
        <v>430</v>
      </c>
      <c r="B431" s="68">
        <v>40562</v>
      </c>
      <c r="C431" s="22" t="b">
        <v>0</v>
      </c>
      <c r="D431" s="21" t="str">
        <f t="shared" si="6"/>
        <v>Wednesday</v>
      </c>
      <c r="E431" s="23">
        <v>0.30299999999999999</v>
      </c>
      <c r="F431" s="23">
        <f>YEAR('Merged raw data'!$B431)</f>
        <v>2011</v>
      </c>
      <c r="G431" s="23" t="str">
        <f>TEXT('Merged raw data'!$B431,"mmmm")</f>
        <v>January</v>
      </c>
      <c r="H431" s="37" t="str">
        <f>TEXT(TIME('Merged raw data'!F431,0,0),"h AM/PM")</f>
        <v>10 PM</v>
      </c>
      <c r="I431" s="23" t="str">
        <f>IF(OR('Merged raw data'!H431=1,'Merged raw data'!H431=2,'Merged raw data'!H431=3,'Merged raw data'!H431=4,'Merged raw data'!H431=5),"weekday","weekend")</f>
        <v>weekday</v>
      </c>
      <c r="J431" s="23" t="s">
        <v>23</v>
      </c>
      <c r="K431" s="23" t="str">
        <f>IF('Merged raw data'!I431=1,"Clear",IF('Merged raw data'!I431=2,"Mist",IF('Merged raw data'!I431=3,"Rain",IF('Merged raw data'!I431=4,"Storm","NA"))))</f>
        <v>Clear</v>
      </c>
      <c r="L431" s="24">
        <v>0.52</v>
      </c>
      <c r="M431" s="24">
        <v>0.16420000000000001</v>
      </c>
      <c r="N431" s="21">
        <f>'Merged raw data'!$J431*100</f>
        <v>30</v>
      </c>
      <c r="O431" s="21">
        <v>6</v>
      </c>
      <c r="P431" s="21">
        <v>53</v>
      </c>
      <c r="Q431" s="21">
        <v>59</v>
      </c>
      <c r="R431" s="21" t="str">
        <f>IF(Q431&gt;=outliers!I433,"High",IF(Q431&lt;=outliers!I432,"Low","Moderate"))</f>
        <v>High</v>
      </c>
      <c r="S431" s="8" t="str">
        <f>IF(OR(Q431&lt;outliers!$I$6,Q431&gt;outliers!$I$7),"Outlier","Normal")</f>
        <v>Normal</v>
      </c>
      <c r="T431" s="8" t="str">
        <f>IF(OR(L431&lt;outliers!$J$6,L431&gt;outliers!$J$7),"Outlier","Normal")</f>
        <v>Normal</v>
      </c>
      <c r="U431" s="8" t="str">
        <f>IF(OR(M431&lt;outliers!$K$6,M431&gt;outliers!$K$7),"Outlier","Normal")</f>
        <v>Normal</v>
      </c>
    </row>
    <row r="432" spans="1:21">
      <c r="A432" s="21">
        <v>431</v>
      </c>
      <c r="B432" s="68">
        <v>40562</v>
      </c>
      <c r="C432" s="22" t="b">
        <v>0</v>
      </c>
      <c r="D432" s="21" t="str">
        <f t="shared" si="6"/>
        <v>Wednesday</v>
      </c>
      <c r="E432" s="23">
        <v>0.2727</v>
      </c>
      <c r="F432" s="23">
        <f>YEAR('Merged raw data'!$B432)</f>
        <v>2011</v>
      </c>
      <c r="G432" s="23" t="str">
        <f>TEXT('Merged raw data'!$B432,"mmmm")</f>
        <v>January</v>
      </c>
      <c r="H432" s="37" t="str">
        <f>TEXT(TIME('Merged raw data'!F432,0,0),"h AM/PM")</f>
        <v>11 PM</v>
      </c>
      <c r="I432" s="23" t="str">
        <f>IF(OR('Merged raw data'!H432=1,'Merged raw data'!H432=2,'Merged raw data'!H432=3,'Merged raw data'!H432=4,'Merged raw data'!H432=5),"weekday","weekend")</f>
        <v>weekday</v>
      </c>
      <c r="J432" s="23" t="s">
        <v>23</v>
      </c>
      <c r="K432" s="23" t="str">
        <f>IF('Merged raw data'!I432=1,"Clear",IF('Merged raw data'!I432=2,"Mist",IF('Merged raw data'!I432=3,"Rain",IF('Merged raw data'!I432=4,"Storm","NA"))))</f>
        <v>Clear</v>
      </c>
      <c r="L432" s="24">
        <v>0.52</v>
      </c>
      <c r="M432" s="24">
        <v>0.4627</v>
      </c>
      <c r="N432" s="21">
        <f>'Merged raw data'!$J432*100</f>
        <v>30</v>
      </c>
      <c r="O432" s="21">
        <v>1</v>
      </c>
      <c r="P432" s="21">
        <v>27</v>
      </c>
      <c r="Q432" s="21">
        <v>28</v>
      </c>
      <c r="R432" s="21" t="str">
        <f>IF(Q432&gt;=outliers!I434,"High",IF(Q432&lt;=outliers!I433,"Low","Moderate"))</f>
        <v>High</v>
      </c>
      <c r="S432" s="8" t="str">
        <f>IF(OR(Q432&lt;outliers!$I$6,Q432&gt;outliers!$I$7),"Outlier","Normal")</f>
        <v>Normal</v>
      </c>
      <c r="T432" s="8" t="str">
        <f>IF(OR(L432&lt;outliers!$J$6,L432&gt;outliers!$J$7),"Outlier","Normal")</f>
        <v>Normal</v>
      </c>
      <c r="U432" s="8" t="str">
        <f>IF(OR(M432&lt;outliers!$K$6,M432&gt;outliers!$K$7),"Outlier","Normal")</f>
        <v>Normal</v>
      </c>
    </row>
    <row r="433" spans="1:21">
      <c r="A433" s="21">
        <v>432</v>
      </c>
      <c r="B433" s="68">
        <v>40563</v>
      </c>
      <c r="C433" s="22" t="b">
        <v>0</v>
      </c>
      <c r="D433" s="21" t="str">
        <f t="shared" si="6"/>
        <v>Thursday</v>
      </c>
      <c r="E433" s="23">
        <v>0.2273</v>
      </c>
      <c r="F433" s="23">
        <f>YEAR('Merged raw data'!$B433)</f>
        <v>2011</v>
      </c>
      <c r="G433" s="23" t="str">
        <f>TEXT('Merged raw data'!$B433,"mmmm")</f>
        <v>January</v>
      </c>
      <c r="H433" s="37" t="str">
        <f>TEXT(TIME('Merged raw data'!F433,0,0),"h AM/PM")</f>
        <v>12 AM</v>
      </c>
      <c r="I433" s="23" t="str">
        <f>IF(OR('Merged raw data'!H433=1,'Merged raw data'!H433=2,'Merged raw data'!H433=3,'Merged raw data'!H433=4,'Merged raw data'!H433=5),"weekday","weekend")</f>
        <v>weekday</v>
      </c>
      <c r="J433" s="23" t="s">
        <v>23</v>
      </c>
      <c r="K433" s="23" t="str">
        <f>IF('Merged raw data'!I433=1,"Clear",IF('Merged raw data'!I433=2,"Mist",IF('Merged raw data'!I433=3,"Rain",IF('Merged raw data'!I433=4,"Storm","NA"))))</f>
        <v>Clear</v>
      </c>
      <c r="L433" s="24">
        <v>0.56000000000000005</v>
      </c>
      <c r="M433" s="24">
        <v>0.3881</v>
      </c>
      <c r="N433" s="21">
        <f>'Merged raw data'!$J433*100</f>
        <v>26</v>
      </c>
      <c r="O433" s="21">
        <v>5</v>
      </c>
      <c r="P433" s="21">
        <v>8</v>
      </c>
      <c r="Q433" s="21">
        <v>13</v>
      </c>
      <c r="R433" s="21" t="str">
        <f>IF(Q433&gt;=outliers!I435,"High",IF(Q433&lt;=outliers!I434,"Low","Moderate"))</f>
        <v>High</v>
      </c>
      <c r="S433" s="8" t="str">
        <f>IF(OR(Q433&lt;outliers!$I$6,Q433&gt;outliers!$I$7),"Outlier","Normal")</f>
        <v>Normal</v>
      </c>
      <c r="T433" s="8" t="str">
        <f>IF(OR(L433&lt;outliers!$J$6,L433&gt;outliers!$J$7),"Outlier","Normal")</f>
        <v>Normal</v>
      </c>
      <c r="U433" s="8" t="str">
        <f>IF(OR(M433&lt;outliers!$K$6,M433&gt;outliers!$K$7),"Outlier","Normal")</f>
        <v>Normal</v>
      </c>
    </row>
    <row r="434" spans="1:21">
      <c r="A434" s="21">
        <v>433</v>
      </c>
      <c r="B434" s="68">
        <v>40563</v>
      </c>
      <c r="C434" s="22" t="b">
        <v>0</v>
      </c>
      <c r="D434" s="21" t="str">
        <f t="shared" si="6"/>
        <v>Thursday</v>
      </c>
      <c r="E434" s="23">
        <v>0.2727</v>
      </c>
      <c r="F434" s="23">
        <f>YEAR('Merged raw data'!$B434)</f>
        <v>2011</v>
      </c>
      <c r="G434" s="23" t="str">
        <f>TEXT('Merged raw data'!$B434,"mmmm")</f>
        <v>January</v>
      </c>
      <c r="H434" s="37" t="str">
        <f>TEXT(TIME('Merged raw data'!F434,0,0),"h AM/PM")</f>
        <v>1 AM</v>
      </c>
      <c r="I434" s="23" t="str">
        <f>IF(OR('Merged raw data'!H434=1,'Merged raw data'!H434=2,'Merged raw data'!H434=3,'Merged raw data'!H434=4,'Merged raw data'!H434=5),"weekday","weekend")</f>
        <v>weekday</v>
      </c>
      <c r="J434" s="23" t="s">
        <v>23</v>
      </c>
      <c r="K434" s="23" t="str">
        <f>IF('Merged raw data'!I434=1,"Clear",IF('Merged raw data'!I434=2,"Mist",IF('Merged raw data'!I434=3,"Rain",IF('Merged raw data'!I434=4,"Storm","NA"))))</f>
        <v>Clear</v>
      </c>
      <c r="L434" s="24">
        <v>0.56000000000000005</v>
      </c>
      <c r="M434" s="24">
        <v>0.23</v>
      </c>
      <c r="N434" s="21">
        <f>'Merged raw data'!$J434*100</f>
        <v>26</v>
      </c>
      <c r="O434" s="21">
        <v>2</v>
      </c>
      <c r="P434" s="21">
        <v>3</v>
      </c>
      <c r="Q434" s="21">
        <v>5</v>
      </c>
      <c r="R434" s="21" t="str">
        <f>IF(Q434&gt;=outliers!I436,"High",IF(Q434&lt;=outliers!I435,"Low","Moderate"))</f>
        <v>High</v>
      </c>
      <c r="S434" s="8" t="str">
        <f>IF(OR(Q434&lt;outliers!$I$6,Q434&gt;outliers!$I$7),"Outlier","Normal")</f>
        <v>Normal</v>
      </c>
      <c r="T434" s="8" t="str">
        <f>IF(OR(L434&lt;outliers!$J$6,L434&gt;outliers!$J$7),"Outlier","Normal")</f>
        <v>Normal</v>
      </c>
      <c r="U434" s="8" t="str">
        <f>IF(OR(M434&lt;outliers!$K$6,M434&gt;outliers!$K$7),"Outlier","Normal")</f>
        <v>Normal</v>
      </c>
    </row>
    <row r="435" spans="1:21">
      <c r="A435" s="21">
        <v>434</v>
      </c>
      <c r="B435" s="68">
        <v>40563</v>
      </c>
      <c r="C435" s="22" t="b">
        <v>0</v>
      </c>
      <c r="D435" s="21" t="str">
        <f t="shared" si="6"/>
        <v>Thursday</v>
      </c>
      <c r="E435" s="23">
        <v>0.2727</v>
      </c>
      <c r="F435" s="23">
        <f>YEAR('Merged raw data'!$B435)</f>
        <v>2011</v>
      </c>
      <c r="G435" s="23" t="str">
        <f>TEXT('Merged raw data'!$B435,"mmmm")</f>
        <v>January</v>
      </c>
      <c r="H435" s="37" t="str">
        <f>TEXT(TIME('Merged raw data'!F435,0,0),"h AM/PM")</f>
        <v>2 AM</v>
      </c>
      <c r="I435" s="23" t="str">
        <f>IF(OR('Merged raw data'!H435=1,'Merged raw data'!H435=2,'Merged raw data'!H435=3,'Merged raw data'!H435=4,'Merged raw data'!H435=5),"weekday","weekend")</f>
        <v>weekday</v>
      </c>
      <c r="J435" s="23" t="s">
        <v>23</v>
      </c>
      <c r="K435" s="23" t="str">
        <f>IF('Merged raw data'!I435=1,"Clear",IF('Merged raw data'!I435=2,"Mist",IF('Merged raw data'!I435=3,"Rain",IF('Merged raw data'!I435=4,"Storm","NA"))))</f>
        <v>Clear</v>
      </c>
      <c r="L435" s="24">
        <v>0.56000000000000005</v>
      </c>
      <c r="M435" s="24">
        <v>0.23</v>
      </c>
      <c r="N435" s="21">
        <f>'Merged raw data'!$J435*100</f>
        <v>26</v>
      </c>
      <c r="O435" s="21">
        <v>0</v>
      </c>
      <c r="P435" s="21">
        <v>2</v>
      </c>
      <c r="Q435" s="21">
        <v>2</v>
      </c>
      <c r="R435" s="21" t="str">
        <f>IF(Q435&gt;=outliers!I437,"High",IF(Q435&lt;=outliers!I436,"Low","Moderate"))</f>
        <v>High</v>
      </c>
      <c r="S435" s="8" t="str">
        <f>IF(OR(Q435&lt;outliers!$I$6,Q435&gt;outliers!$I$7),"Outlier","Normal")</f>
        <v>Normal</v>
      </c>
      <c r="T435" s="8" t="str">
        <f>IF(OR(L435&lt;outliers!$J$6,L435&gt;outliers!$J$7),"Outlier","Normal")</f>
        <v>Normal</v>
      </c>
      <c r="U435" s="8" t="str">
        <f>IF(OR(M435&lt;outliers!$K$6,M435&gt;outliers!$K$7),"Outlier","Normal")</f>
        <v>Normal</v>
      </c>
    </row>
    <row r="436" spans="1:21">
      <c r="A436" s="21">
        <v>435</v>
      </c>
      <c r="B436" s="68">
        <v>40563</v>
      </c>
      <c r="C436" s="22" t="b">
        <v>0</v>
      </c>
      <c r="D436" s="21" t="str">
        <f t="shared" si="6"/>
        <v>Thursday</v>
      </c>
      <c r="E436" s="23">
        <v>0.2576</v>
      </c>
      <c r="F436" s="23">
        <f>YEAR('Merged raw data'!$B436)</f>
        <v>2011</v>
      </c>
      <c r="G436" s="23" t="str">
        <f>TEXT('Merged raw data'!$B436,"mmmm")</f>
        <v>January</v>
      </c>
      <c r="H436" s="37" t="str">
        <f>TEXT(TIME('Merged raw data'!F436,0,0),"h AM/PM")</f>
        <v>3 AM</v>
      </c>
      <c r="I436" s="23" t="str">
        <f>IF(OR('Merged raw data'!H436=1,'Merged raw data'!H436=2,'Merged raw data'!H436=3,'Merged raw data'!H436=4,'Merged raw data'!H436=5),"weekday","weekend")</f>
        <v>weekday</v>
      </c>
      <c r="J436" s="23" t="s">
        <v>23</v>
      </c>
      <c r="K436" s="23" t="str">
        <f>IF('Merged raw data'!I436=1,"Clear",IF('Merged raw data'!I436=2,"Mist",IF('Merged raw data'!I436=3,"Rain",IF('Merged raw data'!I436=4,"Storm","NA"))))</f>
        <v>Clear</v>
      </c>
      <c r="L436" s="24">
        <v>0.56000000000000005</v>
      </c>
      <c r="M436" s="24">
        <v>0.16420000000000001</v>
      </c>
      <c r="N436" s="21">
        <f>'Merged raw data'!$J436*100</f>
        <v>26</v>
      </c>
      <c r="O436" s="21">
        <v>0</v>
      </c>
      <c r="P436" s="21">
        <v>1</v>
      </c>
      <c r="Q436" s="21">
        <v>1</v>
      </c>
      <c r="R436" s="21" t="str">
        <f>IF(Q436&gt;=outliers!I438,"High",IF(Q436&lt;=outliers!I437,"Low","Moderate"))</f>
        <v>High</v>
      </c>
      <c r="S436" s="8" t="str">
        <f>IF(OR(Q436&lt;outliers!$I$6,Q436&gt;outliers!$I$7),"Outlier","Normal")</f>
        <v>Normal</v>
      </c>
      <c r="T436" s="8" t="str">
        <f>IF(OR(L436&lt;outliers!$J$6,L436&gt;outliers!$J$7),"Outlier","Normal")</f>
        <v>Normal</v>
      </c>
      <c r="U436" s="8" t="str">
        <f>IF(OR(M436&lt;outliers!$K$6,M436&gt;outliers!$K$7),"Outlier","Normal")</f>
        <v>Normal</v>
      </c>
    </row>
    <row r="437" spans="1:21">
      <c r="A437" s="21">
        <v>436</v>
      </c>
      <c r="B437" s="68">
        <v>40563</v>
      </c>
      <c r="C437" s="22" t="b">
        <v>0</v>
      </c>
      <c r="D437" s="21" t="str">
        <f t="shared" si="6"/>
        <v>Thursday</v>
      </c>
      <c r="E437" s="23">
        <v>0.2576</v>
      </c>
      <c r="F437" s="23">
        <f>YEAR('Merged raw data'!$B437)</f>
        <v>2011</v>
      </c>
      <c r="G437" s="23" t="str">
        <f>TEXT('Merged raw data'!$B437,"mmmm")</f>
        <v>January</v>
      </c>
      <c r="H437" s="37" t="str">
        <f>TEXT(TIME('Merged raw data'!F437,0,0),"h AM/PM")</f>
        <v>4 AM</v>
      </c>
      <c r="I437" s="23" t="str">
        <f>IF(OR('Merged raw data'!H437=1,'Merged raw data'!H437=2,'Merged raw data'!H437=3,'Merged raw data'!H437=4,'Merged raw data'!H437=5),"weekday","weekend")</f>
        <v>weekday</v>
      </c>
      <c r="J437" s="23" t="s">
        <v>23</v>
      </c>
      <c r="K437" s="23" t="str">
        <f>IF('Merged raw data'!I437=1,"Clear",IF('Merged raw data'!I437=2,"Mist",IF('Merged raw data'!I437=3,"Rain",IF('Merged raw data'!I437=4,"Storm","NA"))))</f>
        <v>Clear</v>
      </c>
      <c r="L437" s="24">
        <v>0.56000000000000005</v>
      </c>
      <c r="M437" s="24">
        <v>0.16420000000000001</v>
      </c>
      <c r="N437" s="21">
        <f>'Merged raw data'!$J437*100</f>
        <v>26</v>
      </c>
      <c r="O437" s="21">
        <v>0</v>
      </c>
      <c r="P437" s="21">
        <v>1</v>
      </c>
      <c r="Q437" s="21">
        <v>1</v>
      </c>
      <c r="R437" s="21" t="str">
        <f>IF(Q437&gt;=outliers!I439,"High",IF(Q437&lt;=outliers!I438,"Low","Moderate"))</f>
        <v>High</v>
      </c>
      <c r="S437" s="8" t="str">
        <f>IF(OR(Q437&lt;outliers!$I$6,Q437&gt;outliers!$I$7),"Outlier","Normal")</f>
        <v>Normal</v>
      </c>
      <c r="T437" s="8" t="str">
        <f>IF(OR(L437&lt;outliers!$J$6,L437&gt;outliers!$J$7),"Outlier","Normal")</f>
        <v>Normal</v>
      </c>
      <c r="U437" s="8" t="str">
        <f>IF(OR(M437&lt;outliers!$K$6,M437&gt;outliers!$K$7),"Outlier","Normal")</f>
        <v>Normal</v>
      </c>
    </row>
    <row r="438" spans="1:21">
      <c r="A438" s="21">
        <v>437</v>
      </c>
      <c r="B438" s="68">
        <v>40563</v>
      </c>
      <c r="C438" s="22" t="b">
        <v>0</v>
      </c>
      <c r="D438" s="21" t="str">
        <f t="shared" si="6"/>
        <v>Thursday</v>
      </c>
      <c r="E438" s="23">
        <v>0.2273</v>
      </c>
      <c r="F438" s="23">
        <f>YEAR('Merged raw data'!$B438)</f>
        <v>2011</v>
      </c>
      <c r="G438" s="23" t="str">
        <f>TEXT('Merged raw data'!$B438,"mmmm")</f>
        <v>January</v>
      </c>
      <c r="H438" s="37" t="str">
        <f>TEXT(TIME('Merged raw data'!F438,0,0),"h AM/PM")</f>
        <v>5 AM</v>
      </c>
      <c r="I438" s="23" t="str">
        <f>IF(OR('Merged raw data'!H438=1,'Merged raw data'!H438=2,'Merged raw data'!H438=3,'Merged raw data'!H438=4,'Merged raw data'!H438=5),"weekday","weekend")</f>
        <v>weekday</v>
      </c>
      <c r="J438" s="23" t="s">
        <v>23</v>
      </c>
      <c r="K438" s="23" t="str">
        <f>IF('Merged raw data'!I438=1,"Clear",IF('Merged raw data'!I438=2,"Mist",IF('Merged raw data'!I438=3,"Rain",IF('Merged raw data'!I438=4,"Storm","NA"))))</f>
        <v>Clear</v>
      </c>
      <c r="L438" s="24">
        <v>0.6</v>
      </c>
      <c r="M438" s="24">
        <v>0.22389999999999999</v>
      </c>
      <c r="N438" s="21">
        <f>'Merged raw data'!$J438*100</f>
        <v>24</v>
      </c>
      <c r="O438" s="21">
        <v>0</v>
      </c>
      <c r="P438" s="21">
        <v>6</v>
      </c>
      <c r="Q438" s="21">
        <v>6</v>
      </c>
      <c r="R438" s="21" t="str">
        <f>IF(Q438&gt;=outliers!I440,"High",IF(Q438&lt;=outliers!I439,"Low","Moderate"))</f>
        <v>High</v>
      </c>
      <c r="S438" s="8" t="str">
        <f>IF(OR(Q438&lt;outliers!$I$6,Q438&gt;outliers!$I$7),"Outlier","Normal")</f>
        <v>Normal</v>
      </c>
      <c r="T438" s="8" t="str">
        <f>IF(OR(L438&lt;outliers!$J$6,L438&gt;outliers!$J$7),"Outlier","Normal")</f>
        <v>Normal</v>
      </c>
      <c r="U438" s="8" t="str">
        <f>IF(OR(M438&lt;outliers!$K$6,M438&gt;outliers!$K$7),"Outlier","Normal")</f>
        <v>Normal</v>
      </c>
    </row>
    <row r="439" spans="1:21">
      <c r="A439" s="21">
        <v>438</v>
      </c>
      <c r="B439" s="68">
        <v>40563</v>
      </c>
      <c r="C439" s="22" t="b">
        <v>0</v>
      </c>
      <c r="D439" s="21" t="str">
        <f t="shared" si="6"/>
        <v>Thursday</v>
      </c>
      <c r="E439" s="23">
        <v>0.21210000000000001</v>
      </c>
      <c r="F439" s="23">
        <f>YEAR('Merged raw data'!$B439)</f>
        <v>2011</v>
      </c>
      <c r="G439" s="23" t="str">
        <f>TEXT('Merged raw data'!$B439,"mmmm")</f>
        <v>January</v>
      </c>
      <c r="H439" s="37" t="str">
        <f>TEXT(TIME('Merged raw data'!F439,0,0),"h AM/PM")</f>
        <v>6 AM</v>
      </c>
      <c r="I439" s="23" t="str">
        <f>IF(OR('Merged raw data'!H439=1,'Merged raw data'!H439=2,'Merged raw data'!H439=3,'Merged raw data'!H439=4,'Merged raw data'!H439=5),"weekday","weekend")</f>
        <v>weekday</v>
      </c>
      <c r="J439" s="23" t="s">
        <v>23</v>
      </c>
      <c r="K439" s="23" t="str">
        <f>IF('Merged raw data'!I439=1,"Clear",IF('Merged raw data'!I439=2,"Mist",IF('Merged raw data'!I439=3,"Rain",IF('Merged raw data'!I439=4,"Storm","NA"))))</f>
        <v>Clear</v>
      </c>
      <c r="L439" s="24">
        <v>0.6</v>
      </c>
      <c r="M439" s="24">
        <v>0.22389999999999999</v>
      </c>
      <c r="N439" s="21">
        <f>'Merged raw data'!$J439*100</f>
        <v>22</v>
      </c>
      <c r="O439" s="21">
        <v>0</v>
      </c>
      <c r="P439" s="21">
        <v>35</v>
      </c>
      <c r="Q439" s="21">
        <v>35</v>
      </c>
      <c r="R439" s="21" t="str">
        <f>IF(Q439&gt;=outliers!I441,"High",IF(Q439&lt;=outliers!I440,"Low","Moderate"))</f>
        <v>High</v>
      </c>
      <c r="S439" s="8" t="str">
        <f>IF(OR(Q439&lt;outliers!$I$6,Q439&gt;outliers!$I$7),"Outlier","Normal")</f>
        <v>Normal</v>
      </c>
      <c r="T439" s="8" t="str">
        <f>IF(OR(L439&lt;outliers!$J$6,L439&gt;outliers!$J$7),"Outlier","Normal")</f>
        <v>Normal</v>
      </c>
      <c r="U439" s="8" t="str">
        <f>IF(OR(M439&lt;outliers!$K$6,M439&gt;outliers!$K$7),"Outlier","Normal")</f>
        <v>Normal</v>
      </c>
    </row>
    <row r="440" spans="1:21">
      <c r="A440" s="21">
        <v>439</v>
      </c>
      <c r="B440" s="68">
        <v>40563</v>
      </c>
      <c r="C440" s="22" t="b">
        <v>0</v>
      </c>
      <c r="D440" s="21" t="str">
        <f t="shared" si="6"/>
        <v>Thursday</v>
      </c>
      <c r="E440" s="23">
        <v>0.21210000000000001</v>
      </c>
      <c r="F440" s="23">
        <f>YEAR('Merged raw data'!$B440)</f>
        <v>2011</v>
      </c>
      <c r="G440" s="23" t="str">
        <f>TEXT('Merged raw data'!$B440,"mmmm")</f>
        <v>January</v>
      </c>
      <c r="H440" s="37" t="str">
        <f>TEXT(TIME('Merged raw data'!F440,0,0),"h AM/PM")</f>
        <v>7 AM</v>
      </c>
      <c r="I440" s="23" t="str">
        <f>IF(OR('Merged raw data'!H440=1,'Merged raw data'!H440=2,'Merged raw data'!H440=3,'Merged raw data'!H440=4,'Merged raw data'!H440=5),"weekday","weekend")</f>
        <v>weekday</v>
      </c>
      <c r="J440" s="23" t="s">
        <v>23</v>
      </c>
      <c r="K440" s="23" t="str">
        <f>IF('Merged raw data'!I440=1,"Clear",IF('Merged raw data'!I440=2,"Mist",IF('Merged raw data'!I440=3,"Rain",IF('Merged raw data'!I440=4,"Storm","NA"))))</f>
        <v>Clear</v>
      </c>
      <c r="L440" s="24">
        <v>0.55000000000000004</v>
      </c>
      <c r="M440" s="24">
        <v>0.22389999999999999</v>
      </c>
      <c r="N440" s="21">
        <f>'Merged raw data'!$J440*100</f>
        <v>22</v>
      </c>
      <c r="O440" s="21">
        <v>1</v>
      </c>
      <c r="P440" s="21">
        <v>100</v>
      </c>
      <c r="Q440" s="21">
        <v>101</v>
      </c>
      <c r="R440" s="21" t="str">
        <f>IF(Q440&gt;=outliers!I442,"High",IF(Q440&lt;=outliers!I441,"Low","Moderate"))</f>
        <v>High</v>
      </c>
      <c r="S440" s="8" t="str">
        <f>IF(OR(Q440&lt;outliers!$I$6,Q440&gt;outliers!$I$7),"Outlier","Normal")</f>
        <v>Normal</v>
      </c>
      <c r="T440" s="8" t="str">
        <f>IF(OR(L440&lt;outliers!$J$6,L440&gt;outliers!$J$7),"Outlier","Normal")</f>
        <v>Normal</v>
      </c>
      <c r="U440" s="8" t="str">
        <f>IF(OR(M440&lt;outliers!$K$6,M440&gt;outliers!$K$7),"Outlier","Normal")</f>
        <v>Normal</v>
      </c>
    </row>
    <row r="441" spans="1:21">
      <c r="A441" s="21">
        <v>440</v>
      </c>
      <c r="B441" s="68">
        <v>40563</v>
      </c>
      <c r="C441" s="22" t="b">
        <v>0</v>
      </c>
      <c r="D441" s="21" t="str">
        <f t="shared" si="6"/>
        <v>Thursday</v>
      </c>
      <c r="E441" s="23">
        <v>0.21210000000000001</v>
      </c>
      <c r="F441" s="23">
        <f>YEAR('Merged raw data'!$B441)</f>
        <v>2011</v>
      </c>
      <c r="G441" s="23" t="str">
        <f>TEXT('Merged raw data'!$B441,"mmmm")</f>
        <v>January</v>
      </c>
      <c r="H441" s="37" t="str">
        <f>TEXT(TIME('Merged raw data'!F441,0,0),"h AM/PM")</f>
        <v>8 AM</v>
      </c>
      <c r="I441" s="23" t="str">
        <f>IF(OR('Merged raw data'!H441=1,'Merged raw data'!H441=2,'Merged raw data'!H441=3,'Merged raw data'!H441=4,'Merged raw data'!H441=5),"weekday","weekend")</f>
        <v>weekday</v>
      </c>
      <c r="J441" s="23" t="s">
        <v>23</v>
      </c>
      <c r="K441" s="23" t="str">
        <f>IF('Merged raw data'!I441=1,"Clear",IF('Merged raw data'!I441=2,"Mist",IF('Merged raw data'!I441=3,"Rain",IF('Merged raw data'!I441=4,"Storm","NA"))))</f>
        <v>Clear</v>
      </c>
      <c r="L441" s="24">
        <v>0.55000000000000004</v>
      </c>
      <c r="M441" s="24">
        <v>0.28360000000000002</v>
      </c>
      <c r="N441" s="21">
        <f>'Merged raw data'!$J441*100</f>
        <v>22</v>
      </c>
      <c r="O441" s="21">
        <v>2</v>
      </c>
      <c r="P441" s="21">
        <v>247</v>
      </c>
      <c r="Q441" s="21">
        <v>249</v>
      </c>
      <c r="R441" s="21" t="str">
        <f>IF(Q441&gt;=outliers!I443,"High",IF(Q441&lt;=outliers!I442,"Low","Moderate"))</f>
        <v>High</v>
      </c>
      <c r="S441" s="8" t="str">
        <f>IF(OR(Q441&lt;outliers!$I$6,Q441&gt;outliers!$I$7),"Outlier","Normal")</f>
        <v>Outlier</v>
      </c>
      <c r="T441" s="8" t="str">
        <f>IF(OR(L441&lt;outliers!$J$6,L441&gt;outliers!$J$7),"Outlier","Normal")</f>
        <v>Normal</v>
      </c>
      <c r="U441" s="8" t="str">
        <f>IF(OR(M441&lt;outliers!$K$6,M441&gt;outliers!$K$7),"Outlier","Normal")</f>
        <v>Normal</v>
      </c>
    </row>
    <row r="442" spans="1:21">
      <c r="A442" s="21">
        <v>441</v>
      </c>
      <c r="B442" s="68">
        <v>40563</v>
      </c>
      <c r="C442" s="22" t="b">
        <v>0</v>
      </c>
      <c r="D442" s="21" t="str">
        <f t="shared" si="6"/>
        <v>Thursday</v>
      </c>
      <c r="E442" s="23">
        <v>0.2273</v>
      </c>
      <c r="F442" s="23">
        <f>YEAR('Merged raw data'!$B442)</f>
        <v>2011</v>
      </c>
      <c r="G442" s="23" t="str">
        <f>TEXT('Merged raw data'!$B442,"mmmm")</f>
        <v>January</v>
      </c>
      <c r="H442" s="37" t="str">
        <f>TEXT(TIME('Merged raw data'!F442,0,0),"h AM/PM")</f>
        <v>9 AM</v>
      </c>
      <c r="I442" s="23" t="str">
        <f>IF(OR('Merged raw data'!H442=1,'Merged raw data'!H442=2,'Merged raw data'!H442=3,'Merged raw data'!H442=4,'Merged raw data'!H442=5),"weekday","weekend")</f>
        <v>weekday</v>
      </c>
      <c r="J442" s="23" t="s">
        <v>23</v>
      </c>
      <c r="K442" s="23" t="str">
        <f>IF('Merged raw data'!I442=1,"Clear",IF('Merged raw data'!I442=2,"Mist",IF('Merged raw data'!I442=3,"Rain",IF('Merged raw data'!I442=4,"Storm","NA"))))</f>
        <v>Mist</v>
      </c>
      <c r="L442" s="24">
        <v>0.52</v>
      </c>
      <c r="M442" s="24">
        <v>0.22389999999999999</v>
      </c>
      <c r="N442" s="21">
        <f>'Merged raw data'!$J442*100</f>
        <v>24</v>
      </c>
      <c r="O442" s="21">
        <v>3</v>
      </c>
      <c r="P442" s="21">
        <v>140</v>
      </c>
      <c r="Q442" s="21">
        <v>143</v>
      </c>
      <c r="R442" s="21" t="str">
        <f>IF(Q442&gt;=outliers!I444,"High",IF(Q442&lt;=outliers!I443,"Low","Moderate"))</f>
        <v>High</v>
      </c>
      <c r="S442" s="8" t="str">
        <f>IF(OR(Q442&lt;outliers!$I$6,Q442&gt;outliers!$I$7),"Outlier","Normal")</f>
        <v>Normal</v>
      </c>
      <c r="T442" s="8" t="str">
        <f>IF(OR(L442&lt;outliers!$J$6,L442&gt;outliers!$J$7),"Outlier","Normal")</f>
        <v>Normal</v>
      </c>
      <c r="U442" s="8" t="str">
        <f>IF(OR(M442&lt;outliers!$K$6,M442&gt;outliers!$K$7),"Outlier","Normal")</f>
        <v>Normal</v>
      </c>
    </row>
    <row r="443" spans="1:21">
      <c r="A443" s="21">
        <v>442</v>
      </c>
      <c r="B443" s="68">
        <v>40563</v>
      </c>
      <c r="C443" s="22" t="b">
        <v>0</v>
      </c>
      <c r="D443" s="21" t="str">
        <f t="shared" si="6"/>
        <v>Thursday</v>
      </c>
      <c r="E443" s="23">
        <v>0.2273</v>
      </c>
      <c r="F443" s="23">
        <f>YEAR('Merged raw data'!$B443)</f>
        <v>2011</v>
      </c>
      <c r="G443" s="23" t="str">
        <f>TEXT('Merged raw data'!$B443,"mmmm")</f>
        <v>January</v>
      </c>
      <c r="H443" s="37" t="str">
        <f>TEXT(TIME('Merged raw data'!F443,0,0),"h AM/PM")</f>
        <v>10 AM</v>
      </c>
      <c r="I443" s="23" t="str">
        <f>IF(OR('Merged raw data'!H443=1,'Merged raw data'!H443=2,'Merged raw data'!H443=3,'Merged raw data'!H443=4,'Merged raw data'!H443=5),"weekday","weekend")</f>
        <v>weekday</v>
      </c>
      <c r="J443" s="23" t="s">
        <v>23</v>
      </c>
      <c r="K443" s="23" t="str">
        <f>IF('Merged raw data'!I443=1,"Clear",IF('Merged raw data'!I443=2,"Mist",IF('Merged raw data'!I443=3,"Rain",IF('Merged raw data'!I443=4,"Storm","NA"))))</f>
        <v>Clear</v>
      </c>
      <c r="L443" s="24">
        <v>0.48</v>
      </c>
      <c r="M443" s="24">
        <v>0.29849999999999999</v>
      </c>
      <c r="N443" s="21">
        <f>'Merged raw data'!$J443*100</f>
        <v>26</v>
      </c>
      <c r="O443" s="21">
        <v>1</v>
      </c>
      <c r="P443" s="21">
        <v>56</v>
      </c>
      <c r="Q443" s="21">
        <v>57</v>
      </c>
      <c r="R443" s="21" t="str">
        <f>IF(Q443&gt;=outliers!I445,"High",IF(Q443&lt;=outliers!I444,"Low","Moderate"))</f>
        <v>High</v>
      </c>
      <c r="S443" s="8" t="str">
        <f>IF(OR(Q443&lt;outliers!$I$6,Q443&gt;outliers!$I$7),"Outlier","Normal")</f>
        <v>Normal</v>
      </c>
      <c r="T443" s="8" t="str">
        <f>IF(OR(L443&lt;outliers!$J$6,L443&gt;outliers!$J$7),"Outlier","Normal")</f>
        <v>Normal</v>
      </c>
      <c r="U443" s="8" t="str">
        <f>IF(OR(M443&lt;outliers!$K$6,M443&gt;outliers!$K$7),"Outlier","Normal")</f>
        <v>Normal</v>
      </c>
    </row>
    <row r="444" spans="1:21">
      <c r="A444" s="21">
        <v>443</v>
      </c>
      <c r="B444" s="68">
        <v>40563</v>
      </c>
      <c r="C444" s="22" t="b">
        <v>0</v>
      </c>
      <c r="D444" s="21" t="str">
        <f t="shared" si="6"/>
        <v>Thursday</v>
      </c>
      <c r="E444" s="23">
        <v>0.2727</v>
      </c>
      <c r="F444" s="23">
        <f>YEAR('Merged raw data'!$B444)</f>
        <v>2011</v>
      </c>
      <c r="G444" s="23" t="str">
        <f>TEXT('Merged raw data'!$B444,"mmmm")</f>
        <v>January</v>
      </c>
      <c r="H444" s="37" t="str">
        <f>TEXT(TIME('Merged raw data'!F444,0,0),"h AM/PM")</f>
        <v>11 AM</v>
      </c>
      <c r="I444" s="23" t="str">
        <f>IF(OR('Merged raw data'!H444=1,'Merged raw data'!H444=2,'Merged raw data'!H444=3,'Merged raw data'!H444=4,'Merged raw data'!H444=5),"weekday","weekend")</f>
        <v>weekday</v>
      </c>
      <c r="J444" s="23" t="s">
        <v>23</v>
      </c>
      <c r="K444" s="23" t="str">
        <f>IF('Merged raw data'!I444=1,"Clear",IF('Merged raw data'!I444=2,"Mist",IF('Merged raw data'!I444=3,"Rain",IF('Merged raw data'!I444=4,"Storm","NA"))))</f>
        <v>Mist</v>
      </c>
      <c r="L444" s="24">
        <v>0.45</v>
      </c>
      <c r="M444" s="24">
        <v>0.16420000000000001</v>
      </c>
      <c r="N444" s="21">
        <f>'Merged raw data'!$J444*100</f>
        <v>28.000000000000004</v>
      </c>
      <c r="O444" s="21">
        <v>5</v>
      </c>
      <c r="P444" s="21">
        <v>63</v>
      </c>
      <c r="Q444" s="21">
        <v>68</v>
      </c>
      <c r="R444" s="21" t="str">
        <f>IF(Q444&gt;=outliers!I446,"High",IF(Q444&lt;=outliers!I445,"Low","Moderate"))</f>
        <v>High</v>
      </c>
      <c r="S444" s="8" t="str">
        <f>IF(OR(Q444&lt;outliers!$I$6,Q444&gt;outliers!$I$7),"Outlier","Normal")</f>
        <v>Normal</v>
      </c>
      <c r="T444" s="8" t="str">
        <f>IF(OR(L444&lt;outliers!$J$6,L444&gt;outliers!$J$7),"Outlier","Normal")</f>
        <v>Normal</v>
      </c>
      <c r="U444" s="8" t="str">
        <f>IF(OR(M444&lt;outliers!$K$6,M444&gt;outliers!$K$7),"Outlier","Normal")</f>
        <v>Normal</v>
      </c>
    </row>
    <row r="445" spans="1:21">
      <c r="A445" s="21">
        <v>444</v>
      </c>
      <c r="B445" s="68">
        <v>40563</v>
      </c>
      <c r="C445" s="22" t="b">
        <v>0</v>
      </c>
      <c r="D445" s="21" t="str">
        <f t="shared" si="6"/>
        <v>Thursday</v>
      </c>
      <c r="E445" s="23">
        <v>0.33329999999999999</v>
      </c>
      <c r="F445" s="23">
        <f>YEAR('Merged raw data'!$B445)</f>
        <v>2011</v>
      </c>
      <c r="G445" s="23" t="str">
        <f>TEXT('Merged raw data'!$B445,"mmmm")</f>
        <v>January</v>
      </c>
      <c r="H445" s="37" t="str">
        <f>TEXT(TIME('Merged raw data'!F445,0,0),"h AM/PM")</f>
        <v>12 PM</v>
      </c>
      <c r="I445" s="23" t="str">
        <f>IF(OR('Merged raw data'!H445=1,'Merged raw data'!H445=2,'Merged raw data'!H445=3,'Merged raw data'!H445=4,'Merged raw data'!H445=5),"weekday","weekend")</f>
        <v>weekday</v>
      </c>
      <c r="J445" s="23" t="s">
        <v>23</v>
      </c>
      <c r="K445" s="23" t="str">
        <f>IF('Merged raw data'!I445=1,"Clear",IF('Merged raw data'!I445=2,"Mist",IF('Merged raw data'!I445=3,"Rain",IF('Merged raw data'!I445=4,"Storm","NA"))))</f>
        <v>Mist</v>
      </c>
      <c r="L445" s="24">
        <v>0.42</v>
      </c>
      <c r="M445" s="24">
        <v>0.23</v>
      </c>
      <c r="N445" s="21">
        <f>'Merged raw data'!$J445*100</f>
        <v>30</v>
      </c>
      <c r="O445" s="21">
        <v>7</v>
      </c>
      <c r="P445" s="21">
        <v>77</v>
      </c>
      <c r="Q445" s="21">
        <v>84</v>
      </c>
      <c r="R445" s="21" t="str">
        <f>IF(Q445&gt;=outliers!I447,"High",IF(Q445&lt;=outliers!I446,"Low","Moderate"))</f>
        <v>High</v>
      </c>
      <c r="S445" s="8" t="str">
        <f>IF(OR(Q445&lt;outliers!$I$6,Q445&gt;outliers!$I$7),"Outlier","Normal")</f>
        <v>Normal</v>
      </c>
      <c r="T445" s="8" t="str">
        <f>IF(OR(L445&lt;outliers!$J$6,L445&gt;outliers!$J$7),"Outlier","Normal")</f>
        <v>Normal</v>
      </c>
      <c r="U445" s="8" t="str">
        <f>IF(OR(M445&lt;outliers!$K$6,M445&gt;outliers!$K$7),"Outlier","Normal")</f>
        <v>Normal</v>
      </c>
    </row>
    <row r="446" spans="1:21">
      <c r="A446" s="21">
        <v>445</v>
      </c>
      <c r="B446" s="68">
        <v>40563</v>
      </c>
      <c r="C446" s="22" t="b">
        <v>0</v>
      </c>
      <c r="D446" s="21" t="str">
        <f t="shared" si="6"/>
        <v>Thursday</v>
      </c>
      <c r="E446" s="23">
        <v>0.28789999999999999</v>
      </c>
      <c r="F446" s="23">
        <f>YEAR('Merged raw data'!$B446)</f>
        <v>2011</v>
      </c>
      <c r="G446" s="23" t="str">
        <f>TEXT('Merged raw data'!$B446,"mmmm")</f>
        <v>January</v>
      </c>
      <c r="H446" s="37" t="str">
        <f>TEXT(TIME('Merged raw data'!F446,0,0),"h AM/PM")</f>
        <v>1 PM</v>
      </c>
      <c r="I446" s="23" t="str">
        <f>IF(OR('Merged raw data'!H446=1,'Merged raw data'!H446=2,'Merged raw data'!H446=3,'Merged raw data'!H446=4,'Merged raw data'!H446=5),"weekday","weekend")</f>
        <v>weekday</v>
      </c>
      <c r="J446" s="23" t="s">
        <v>23</v>
      </c>
      <c r="K446" s="23" t="str">
        <f>IF('Merged raw data'!I446=1,"Clear",IF('Merged raw data'!I446=2,"Mist",IF('Merged raw data'!I446=3,"Rain",IF('Merged raw data'!I446=4,"Storm","NA"))))</f>
        <v>Mist</v>
      </c>
      <c r="L446" s="24">
        <v>0.45</v>
      </c>
      <c r="M446" s="24">
        <v>0.1045</v>
      </c>
      <c r="N446" s="21">
        <f>'Merged raw data'!$J446*100</f>
        <v>28.000000000000004</v>
      </c>
      <c r="O446" s="21">
        <v>12</v>
      </c>
      <c r="P446" s="21">
        <v>86</v>
      </c>
      <c r="Q446" s="21">
        <v>98</v>
      </c>
      <c r="R446" s="21" t="str">
        <f>IF(Q446&gt;=outliers!I448,"High",IF(Q446&lt;=outliers!I447,"Low","Moderate"))</f>
        <v>High</v>
      </c>
      <c r="S446" s="8" t="str">
        <f>IF(OR(Q446&lt;outliers!$I$6,Q446&gt;outliers!$I$7),"Outlier","Normal")</f>
        <v>Normal</v>
      </c>
      <c r="T446" s="8" t="str">
        <f>IF(OR(L446&lt;outliers!$J$6,L446&gt;outliers!$J$7),"Outlier","Normal")</f>
        <v>Normal</v>
      </c>
      <c r="U446" s="8" t="str">
        <f>IF(OR(M446&lt;outliers!$K$6,M446&gt;outliers!$K$7),"Outlier","Normal")</f>
        <v>Normal</v>
      </c>
    </row>
    <row r="447" spans="1:21">
      <c r="A447" s="21">
        <v>446</v>
      </c>
      <c r="B447" s="68">
        <v>40563</v>
      </c>
      <c r="C447" s="22" t="b">
        <v>0</v>
      </c>
      <c r="D447" s="21" t="str">
        <f t="shared" si="6"/>
        <v>Thursday</v>
      </c>
      <c r="E447" s="23">
        <v>0.30299999999999999</v>
      </c>
      <c r="F447" s="23">
        <f>YEAR('Merged raw data'!$B447)</f>
        <v>2011</v>
      </c>
      <c r="G447" s="23" t="str">
        <f>TEXT('Merged raw data'!$B447,"mmmm")</f>
        <v>January</v>
      </c>
      <c r="H447" s="37" t="str">
        <f>TEXT(TIME('Merged raw data'!F447,0,0),"h AM/PM")</f>
        <v>2 PM</v>
      </c>
      <c r="I447" s="23" t="str">
        <f>IF(OR('Merged raw data'!H447=1,'Merged raw data'!H447=2,'Merged raw data'!H447=3,'Merged raw data'!H447=4,'Merged raw data'!H447=5),"weekday","weekend")</f>
        <v>weekday</v>
      </c>
      <c r="J447" s="23" t="s">
        <v>23</v>
      </c>
      <c r="K447" s="23" t="str">
        <f>IF('Merged raw data'!I447=1,"Clear",IF('Merged raw data'!I447=2,"Mist",IF('Merged raw data'!I447=3,"Rain",IF('Merged raw data'!I447=4,"Storm","NA"))))</f>
        <v>Mist</v>
      </c>
      <c r="L447" s="24">
        <v>0.45</v>
      </c>
      <c r="M447" s="24">
        <v>0.1343</v>
      </c>
      <c r="N447" s="21">
        <f>'Merged raw data'!$J447*100</f>
        <v>30</v>
      </c>
      <c r="O447" s="21">
        <v>6</v>
      </c>
      <c r="P447" s="21">
        <v>75</v>
      </c>
      <c r="Q447" s="21">
        <v>81</v>
      </c>
      <c r="R447" s="21" t="str">
        <f>IF(Q447&gt;=outliers!I449,"High",IF(Q447&lt;=outliers!I448,"Low","Moderate"))</f>
        <v>High</v>
      </c>
      <c r="S447" s="8" t="str">
        <f>IF(OR(Q447&lt;outliers!$I$6,Q447&gt;outliers!$I$7),"Outlier","Normal")</f>
        <v>Normal</v>
      </c>
      <c r="T447" s="8" t="str">
        <f>IF(OR(L447&lt;outliers!$J$6,L447&gt;outliers!$J$7),"Outlier","Normal")</f>
        <v>Normal</v>
      </c>
      <c r="U447" s="8" t="str">
        <f>IF(OR(M447&lt;outliers!$K$6,M447&gt;outliers!$K$7),"Outlier","Normal")</f>
        <v>Normal</v>
      </c>
    </row>
    <row r="448" spans="1:21">
      <c r="A448" s="21">
        <v>447</v>
      </c>
      <c r="B448" s="68">
        <v>40563</v>
      </c>
      <c r="C448" s="22" t="b">
        <v>0</v>
      </c>
      <c r="D448" s="21" t="str">
        <f t="shared" si="6"/>
        <v>Thursday</v>
      </c>
      <c r="E448" s="23">
        <v>0.31819999999999998</v>
      </c>
      <c r="F448" s="23">
        <f>YEAR('Merged raw data'!$B448)</f>
        <v>2011</v>
      </c>
      <c r="G448" s="23" t="str">
        <f>TEXT('Merged raw data'!$B448,"mmmm")</f>
        <v>January</v>
      </c>
      <c r="H448" s="37" t="str">
        <f>TEXT(TIME('Merged raw data'!F448,0,0),"h AM/PM")</f>
        <v>3 PM</v>
      </c>
      <c r="I448" s="23" t="str">
        <f>IF(OR('Merged raw data'!H448=1,'Merged raw data'!H448=2,'Merged raw data'!H448=3,'Merged raw data'!H448=4,'Merged raw data'!H448=5),"weekday","weekend")</f>
        <v>weekday</v>
      </c>
      <c r="J448" s="23" t="s">
        <v>23</v>
      </c>
      <c r="K448" s="23" t="str">
        <f>IF('Merged raw data'!I448=1,"Clear",IF('Merged raw data'!I448=2,"Mist",IF('Merged raw data'!I448=3,"Rain",IF('Merged raw data'!I448=4,"Storm","NA"))))</f>
        <v>Mist</v>
      </c>
      <c r="L448" s="24">
        <v>0.45</v>
      </c>
      <c r="M448" s="24">
        <v>0.19400000000000001</v>
      </c>
      <c r="N448" s="21">
        <f>'Merged raw data'!$J448*100</f>
        <v>32</v>
      </c>
      <c r="O448" s="21">
        <v>8</v>
      </c>
      <c r="P448" s="21">
        <v>62</v>
      </c>
      <c r="Q448" s="21">
        <v>70</v>
      </c>
      <c r="R448" s="21" t="str">
        <f>IF(Q448&gt;=outliers!I450,"High",IF(Q448&lt;=outliers!I449,"Low","Moderate"))</f>
        <v>High</v>
      </c>
      <c r="S448" s="8" t="str">
        <f>IF(OR(Q448&lt;outliers!$I$6,Q448&gt;outliers!$I$7),"Outlier","Normal")</f>
        <v>Normal</v>
      </c>
      <c r="T448" s="8" t="str">
        <f>IF(OR(L448&lt;outliers!$J$6,L448&gt;outliers!$J$7),"Outlier","Normal")</f>
        <v>Normal</v>
      </c>
      <c r="U448" s="8" t="str">
        <f>IF(OR(M448&lt;outliers!$K$6,M448&gt;outliers!$K$7),"Outlier","Normal")</f>
        <v>Normal</v>
      </c>
    </row>
    <row r="449" spans="1:21">
      <c r="A449" s="21">
        <v>448</v>
      </c>
      <c r="B449" s="68">
        <v>40563</v>
      </c>
      <c r="C449" s="22" t="b">
        <v>0</v>
      </c>
      <c r="D449" s="21" t="str">
        <f t="shared" si="6"/>
        <v>Thursday</v>
      </c>
      <c r="E449" s="23">
        <v>0.30299999999999999</v>
      </c>
      <c r="F449" s="23">
        <f>YEAR('Merged raw data'!$B449)</f>
        <v>2011</v>
      </c>
      <c r="G449" s="23" t="str">
        <f>TEXT('Merged raw data'!$B449,"mmmm")</f>
        <v>January</v>
      </c>
      <c r="H449" s="37" t="str">
        <f>TEXT(TIME('Merged raw data'!F449,0,0),"h AM/PM")</f>
        <v>4 PM</v>
      </c>
      <c r="I449" s="23" t="str">
        <f>IF(OR('Merged raw data'!H449=1,'Merged raw data'!H449=2,'Merged raw data'!H449=3,'Merged raw data'!H449=4,'Merged raw data'!H449=5),"weekday","weekend")</f>
        <v>weekday</v>
      </c>
      <c r="J449" s="23" t="s">
        <v>23</v>
      </c>
      <c r="K449" s="23" t="str">
        <f>IF('Merged raw data'!I449=1,"Clear",IF('Merged raw data'!I449=2,"Mist",IF('Merged raw data'!I449=3,"Rain",IF('Merged raw data'!I449=4,"Storm","NA"))))</f>
        <v>Mist</v>
      </c>
      <c r="L449" s="24">
        <v>0.49</v>
      </c>
      <c r="M449" s="24">
        <v>0.1343</v>
      </c>
      <c r="N449" s="21">
        <f>'Merged raw data'!$J449*100</f>
        <v>30</v>
      </c>
      <c r="O449" s="21">
        <v>8</v>
      </c>
      <c r="P449" s="21">
        <v>83</v>
      </c>
      <c r="Q449" s="21">
        <v>91</v>
      </c>
      <c r="R449" s="21" t="str">
        <f>IF(Q449&gt;=outliers!I451,"High",IF(Q449&lt;=outliers!I450,"Low","Moderate"))</f>
        <v>High</v>
      </c>
      <c r="S449" s="8" t="str">
        <f>IF(OR(Q449&lt;outliers!$I$6,Q449&gt;outliers!$I$7),"Outlier","Normal")</f>
        <v>Normal</v>
      </c>
      <c r="T449" s="8" t="str">
        <f>IF(OR(L449&lt;outliers!$J$6,L449&gt;outliers!$J$7),"Outlier","Normal")</f>
        <v>Normal</v>
      </c>
      <c r="U449" s="8" t="str">
        <f>IF(OR(M449&lt;outliers!$K$6,M449&gt;outliers!$K$7),"Outlier","Normal")</f>
        <v>Normal</v>
      </c>
    </row>
    <row r="450" spans="1:21">
      <c r="A450" s="21">
        <v>449</v>
      </c>
      <c r="B450" s="68">
        <v>40563</v>
      </c>
      <c r="C450" s="22" t="b">
        <v>0</v>
      </c>
      <c r="D450" s="21" t="str">
        <f t="shared" si="6"/>
        <v>Thursday</v>
      </c>
      <c r="E450" s="23">
        <v>0.31819999999999998</v>
      </c>
      <c r="F450" s="23">
        <f>YEAR('Merged raw data'!$B450)</f>
        <v>2011</v>
      </c>
      <c r="G450" s="23" t="str">
        <f>TEXT('Merged raw data'!$B450,"mmmm")</f>
        <v>January</v>
      </c>
      <c r="H450" s="37" t="str">
        <f>TEXT(TIME('Merged raw data'!F450,0,0),"h AM/PM")</f>
        <v>5 PM</v>
      </c>
      <c r="I450" s="23" t="str">
        <f>IF(OR('Merged raw data'!H450=1,'Merged raw data'!H450=2,'Merged raw data'!H450=3,'Merged raw data'!H450=4,'Merged raw data'!H450=5),"weekday","weekend")</f>
        <v>weekday</v>
      </c>
      <c r="J450" s="23" t="s">
        <v>23</v>
      </c>
      <c r="K450" s="23" t="str">
        <f>IF('Merged raw data'!I450=1,"Clear",IF('Merged raw data'!I450=2,"Mist",IF('Merged raw data'!I450=3,"Rain",IF('Merged raw data'!I450=4,"Storm","NA"))))</f>
        <v>Mist</v>
      </c>
      <c r="L450" s="24">
        <v>0.49</v>
      </c>
      <c r="M450" s="24">
        <v>0.1045</v>
      </c>
      <c r="N450" s="21">
        <f>'Merged raw data'!$J450*100</f>
        <v>30</v>
      </c>
      <c r="O450" s="21">
        <v>8</v>
      </c>
      <c r="P450" s="21">
        <v>207</v>
      </c>
      <c r="Q450" s="21">
        <v>215</v>
      </c>
      <c r="R450" s="21" t="str">
        <f>IF(Q450&gt;=outliers!I452,"High",IF(Q450&lt;=outliers!I451,"Low","Moderate"))</f>
        <v>High</v>
      </c>
      <c r="S450" s="8" t="str">
        <f>IF(OR(Q450&lt;outliers!$I$6,Q450&gt;outliers!$I$7),"Outlier","Normal")</f>
        <v>Outlier</v>
      </c>
      <c r="T450" s="8" t="str">
        <f>IF(OR(L450&lt;outliers!$J$6,L450&gt;outliers!$J$7),"Outlier","Normal")</f>
        <v>Normal</v>
      </c>
      <c r="U450" s="8" t="str">
        <f>IF(OR(M450&lt;outliers!$K$6,M450&gt;outliers!$K$7),"Outlier","Normal")</f>
        <v>Normal</v>
      </c>
    </row>
    <row r="451" spans="1:21">
      <c r="A451" s="21">
        <v>450</v>
      </c>
      <c r="B451" s="68">
        <v>40563</v>
      </c>
      <c r="C451" s="22" t="b">
        <v>0</v>
      </c>
      <c r="D451" s="21" t="str">
        <f t="shared" ref="D451:D514" si="7">TEXT(B451,"dddd")</f>
        <v>Thursday</v>
      </c>
      <c r="E451" s="23">
        <v>0.2576</v>
      </c>
      <c r="F451" s="23">
        <f>YEAR('Merged raw data'!$B451)</f>
        <v>2011</v>
      </c>
      <c r="G451" s="23" t="str">
        <f>TEXT('Merged raw data'!$B451,"mmmm")</f>
        <v>January</v>
      </c>
      <c r="H451" s="37" t="str">
        <f>TEXT(TIME('Merged raw data'!F451,0,0),"h AM/PM")</f>
        <v>6 PM</v>
      </c>
      <c r="I451" s="23" t="str">
        <f>IF(OR('Merged raw data'!H451=1,'Merged raw data'!H451=2,'Merged raw data'!H451=3,'Merged raw data'!H451=4,'Merged raw data'!H451=5),"weekday","weekend")</f>
        <v>weekday</v>
      </c>
      <c r="J451" s="23" t="s">
        <v>23</v>
      </c>
      <c r="K451" s="23" t="str">
        <f>IF('Merged raw data'!I451=1,"Clear",IF('Merged raw data'!I451=2,"Mist",IF('Merged raw data'!I451=3,"Rain",IF('Merged raw data'!I451=4,"Storm","NA"))))</f>
        <v>Mist</v>
      </c>
      <c r="L451" s="24">
        <v>0.56000000000000005</v>
      </c>
      <c r="M451" s="24">
        <v>0.19400000000000001</v>
      </c>
      <c r="N451" s="21">
        <f>'Merged raw data'!$J451*100</f>
        <v>26</v>
      </c>
      <c r="O451" s="21">
        <v>1</v>
      </c>
      <c r="P451" s="21">
        <v>184</v>
      </c>
      <c r="Q451" s="21">
        <v>185</v>
      </c>
      <c r="R451" s="21" t="str">
        <f>IF(Q451&gt;=outliers!I453,"High",IF(Q451&lt;=outliers!I452,"Low","Moderate"))</f>
        <v>High</v>
      </c>
      <c r="S451" s="8" t="str">
        <f>IF(OR(Q451&lt;outliers!$I$6,Q451&gt;outliers!$I$7),"Outlier","Normal")</f>
        <v>Outlier</v>
      </c>
      <c r="T451" s="8" t="str">
        <f>IF(OR(L451&lt;outliers!$J$6,L451&gt;outliers!$J$7),"Outlier","Normal")</f>
        <v>Normal</v>
      </c>
      <c r="U451" s="8" t="str">
        <f>IF(OR(M451&lt;outliers!$K$6,M451&gt;outliers!$K$7),"Outlier","Normal")</f>
        <v>Normal</v>
      </c>
    </row>
    <row r="452" spans="1:21">
      <c r="A452" s="21">
        <v>451</v>
      </c>
      <c r="B452" s="68">
        <v>40563</v>
      </c>
      <c r="C452" s="22" t="b">
        <v>0</v>
      </c>
      <c r="D452" s="21" t="str">
        <f t="shared" si="7"/>
        <v>Thursday</v>
      </c>
      <c r="E452" s="23">
        <v>0.2273</v>
      </c>
      <c r="F452" s="23">
        <f>YEAR('Merged raw data'!$B452)</f>
        <v>2011</v>
      </c>
      <c r="G452" s="23" t="str">
        <f>TEXT('Merged raw data'!$B452,"mmmm")</f>
        <v>January</v>
      </c>
      <c r="H452" s="37" t="str">
        <f>TEXT(TIME('Merged raw data'!F452,0,0),"h AM/PM")</f>
        <v>7 PM</v>
      </c>
      <c r="I452" s="23" t="str">
        <f>IF(OR('Merged raw data'!H452=1,'Merged raw data'!H452=2,'Merged raw data'!H452=3,'Merged raw data'!H452=4,'Merged raw data'!H452=5),"weekday","weekend")</f>
        <v>weekday</v>
      </c>
      <c r="J452" s="23" t="s">
        <v>23</v>
      </c>
      <c r="K452" s="23" t="str">
        <f>IF('Merged raw data'!I452=1,"Clear",IF('Merged raw data'!I452=2,"Mist",IF('Merged raw data'!I452=3,"Rain",IF('Merged raw data'!I452=4,"Storm","NA"))))</f>
        <v>Clear</v>
      </c>
      <c r="L452" s="24">
        <v>0.56000000000000005</v>
      </c>
      <c r="M452" s="24">
        <v>0.32840000000000003</v>
      </c>
      <c r="N452" s="21">
        <f>'Merged raw data'!$J452*100</f>
        <v>26</v>
      </c>
      <c r="O452" s="21">
        <v>6</v>
      </c>
      <c r="P452" s="21">
        <v>146</v>
      </c>
      <c r="Q452" s="21">
        <v>152</v>
      </c>
      <c r="R452" s="21" t="str">
        <f>IF(Q452&gt;=outliers!I454,"High",IF(Q452&lt;=outliers!I453,"Low","Moderate"))</f>
        <v>High</v>
      </c>
      <c r="S452" s="8" t="str">
        <f>IF(OR(Q452&lt;outliers!$I$6,Q452&gt;outliers!$I$7),"Outlier","Normal")</f>
        <v>Normal</v>
      </c>
      <c r="T452" s="8" t="str">
        <f>IF(OR(L452&lt;outliers!$J$6,L452&gt;outliers!$J$7),"Outlier","Normal")</f>
        <v>Normal</v>
      </c>
      <c r="U452" s="8" t="str">
        <f>IF(OR(M452&lt;outliers!$K$6,M452&gt;outliers!$K$7),"Outlier","Normal")</f>
        <v>Normal</v>
      </c>
    </row>
    <row r="453" spans="1:21">
      <c r="A453" s="21">
        <v>452</v>
      </c>
      <c r="B453" s="68">
        <v>40563</v>
      </c>
      <c r="C453" s="22" t="b">
        <v>0</v>
      </c>
      <c r="D453" s="21" t="str">
        <f t="shared" si="7"/>
        <v>Thursday</v>
      </c>
      <c r="E453" s="23">
        <v>0.2424</v>
      </c>
      <c r="F453" s="23">
        <f>YEAR('Merged raw data'!$B453)</f>
        <v>2011</v>
      </c>
      <c r="G453" s="23" t="str">
        <f>TEXT('Merged raw data'!$B453,"mmmm")</f>
        <v>January</v>
      </c>
      <c r="H453" s="37" t="str">
        <f>TEXT(TIME('Merged raw data'!F453,0,0),"h AM/PM")</f>
        <v>8 PM</v>
      </c>
      <c r="I453" s="23" t="str">
        <f>IF(OR('Merged raw data'!H453=1,'Merged raw data'!H453=2,'Merged raw data'!H453=3,'Merged raw data'!H453=4,'Merged raw data'!H453=5),"weekday","weekend")</f>
        <v>weekday</v>
      </c>
      <c r="J453" s="23" t="s">
        <v>23</v>
      </c>
      <c r="K453" s="23" t="str">
        <f>IF('Merged raw data'!I453=1,"Clear",IF('Merged raw data'!I453=2,"Mist",IF('Merged raw data'!I453=3,"Rain",IF('Merged raw data'!I453=4,"Storm","NA"))))</f>
        <v>Mist</v>
      </c>
      <c r="L453" s="24">
        <v>0.6</v>
      </c>
      <c r="M453" s="24">
        <v>0.28360000000000002</v>
      </c>
      <c r="N453" s="21">
        <f>'Merged raw data'!$J453*100</f>
        <v>26</v>
      </c>
      <c r="O453" s="21">
        <v>2</v>
      </c>
      <c r="P453" s="21">
        <v>124</v>
      </c>
      <c r="Q453" s="21">
        <v>126</v>
      </c>
      <c r="R453" s="21" t="str">
        <f>IF(Q453&gt;=outliers!I455,"High",IF(Q453&lt;=outliers!I454,"Low","Moderate"))</f>
        <v>High</v>
      </c>
      <c r="S453" s="8" t="str">
        <f>IF(OR(Q453&lt;outliers!$I$6,Q453&gt;outliers!$I$7),"Outlier","Normal")</f>
        <v>Normal</v>
      </c>
      <c r="T453" s="8" t="str">
        <f>IF(OR(L453&lt;outliers!$J$6,L453&gt;outliers!$J$7),"Outlier","Normal")</f>
        <v>Normal</v>
      </c>
      <c r="U453" s="8" t="str">
        <f>IF(OR(M453&lt;outliers!$K$6,M453&gt;outliers!$K$7),"Outlier","Normal")</f>
        <v>Normal</v>
      </c>
    </row>
    <row r="454" spans="1:21">
      <c r="A454" s="21">
        <v>453</v>
      </c>
      <c r="B454" s="68">
        <v>40563</v>
      </c>
      <c r="C454" s="22" t="b">
        <v>0</v>
      </c>
      <c r="D454" s="21" t="str">
        <f t="shared" si="7"/>
        <v>Thursday</v>
      </c>
      <c r="E454" s="23">
        <v>0.2273</v>
      </c>
      <c r="F454" s="23">
        <f>YEAR('Merged raw data'!$B454)</f>
        <v>2011</v>
      </c>
      <c r="G454" s="23" t="str">
        <f>TEXT('Merged raw data'!$B454,"mmmm")</f>
        <v>January</v>
      </c>
      <c r="H454" s="37" t="str">
        <f>TEXT(TIME('Merged raw data'!F454,0,0),"h AM/PM")</f>
        <v>9 PM</v>
      </c>
      <c r="I454" s="23" t="str">
        <f>IF(OR('Merged raw data'!H454=1,'Merged raw data'!H454=2,'Merged raw data'!H454=3,'Merged raw data'!H454=4,'Merged raw data'!H454=5),"weekday","weekend")</f>
        <v>weekday</v>
      </c>
      <c r="J454" s="23" t="s">
        <v>23</v>
      </c>
      <c r="K454" s="23" t="str">
        <f>IF('Merged raw data'!I454=1,"Clear",IF('Merged raw data'!I454=2,"Mist",IF('Merged raw data'!I454=3,"Rain",IF('Merged raw data'!I454=4,"Storm","NA"))))</f>
        <v>Mist</v>
      </c>
      <c r="L454" s="24">
        <v>0.6</v>
      </c>
      <c r="M454" s="24">
        <v>0.25369999999999998</v>
      </c>
      <c r="N454" s="21">
        <f>'Merged raw data'!$J454*100</f>
        <v>24</v>
      </c>
      <c r="O454" s="21">
        <v>3</v>
      </c>
      <c r="P454" s="21">
        <v>54</v>
      </c>
      <c r="Q454" s="21">
        <v>57</v>
      </c>
      <c r="R454" s="21" t="str">
        <f>IF(Q454&gt;=outliers!I456,"High",IF(Q454&lt;=outliers!I455,"Low","Moderate"))</f>
        <v>High</v>
      </c>
      <c r="S454" s="8" t="str">
        <f>IF(OR(Q454&lt;outliers!$I$6,Q454&gt;outliers!$I$7),"Outlier","Normal")</f>
        <v>Normal</v>
      </c>
      <c r="T454" s="8" t="str">
        <f>IF(OR(L454&lt;outliers!$J$6,L454&gt;outliers!$J$7),"Outlier","Normal")</f>
        <v>Normal</v>
      </c>
      <c r="U454" s="8" t="str">
        <f>IF(OR(M454&lt;outliers!$K$6,M454&gt;outliers!$K$7),"Outlier","Normal")</f>
        <v>Normal</v>
      </c>
    </row>
    <row r="455" spans="1:21">
      <c r="A455" s="21">
        <v>454</v>
      </c>
      <c r="B455" s="68">
        <v>40563</v>
      </c>
      <c r="C455" s="22" t="b">
        <v>0</v>
      </c>
      <c r="D455" s="21" t="str">
        <f t="shared" si="7"/>
        <v>Thursday</v>
      </c>
      <c r="E455" s="23">
        <v>0.21210000000000001</v>
      </c>
      <c r="F455" s="23">
        <f>YEAR('Merged raw data'!$B455)</f>
        <v>2011</v>
      </c>
      <c r="G455" s="23" t="str">
        <f>TEXT('Merged raw data'!$B455,"mmmm")</f>
        <v>January</v>
      </c>
      <c r="H455" s="37" t="str">
        <f>TEXT(TIME('Merged raw data'!F455,0,0),"h AM/PM")</f>
        <v>10 PM</v>
      </c>
      <c r="I455" s="23" t="str">
        <f>IF(OR('Merged raw data'!H455=1,'Merged raw data'!H455=2,'Merged raw data'!H455=3,'Merged raw data'!H455=4,'Merged raw data'!H455=5),"weekday","weekend")</f>
        <v>weekday</v>
      </c>
      <c r="J455" s="23" t="s">
        <v>23</v>
      </c>
      <c r="K455" s="23" t="str">
        <f>IF('Merged raw data'!I455=1,"Clear",IF('Merged raw data'!I455=2,"Mist",IF('Merged raw data'!I455=3,"Rain",IF('Merged raw data'!I455=4,"Storm","NA"))))</f>
        <v>Mist</v>
      </c>
      <c r="L455" s="24">
        <v>0.65</v>
      </c>
      <c r="M455" s="24">
        <v>0.28360000000000002</v>
      </c>
      <c r="N455" s="21">
        <f>'Merged raw data'!$J455*100</f>
        <v>24</v>
      </c>
      <c r="O455" s="21">
        <v>0</v>
      </c>
      <c r="P455" s="21">
        <v>56</v>
      </c>
      <c r="Q455" s="21">
        <v>56</v>
      </c>
      <c r="R455" s="21" t="str">
        <f>IF(Q455&gt;=outliers!I457,"High",IF(Q455&lt;=outliers!I456,"Low","Moderate"))</f>
        <v>High</v>
      </c>
      <c r="S455" s="8" t="str">
        <f>IF(OR(Q455&lt;outliers!$I$6,Q455&gt;outliers!$I$7),"Outlier","Normal")</f>
        <v>Normal</v>
      </c>
      <c r="T455" s="8" t="str">
        <f>IF(OR(L455&lt;outliers!$J$6,L455&gt;outliers!$J$7),"Outlier","Normal")</f>
        <v>Normal</v>
      </c>
      <c r="U455" s="8" t="str">
        <f>IF(OR(M455&lt;outliers!$K$6,M455&gt;outliers!$K$7),"Outlier","Normal")</f>
        <v>Normal</v>
      </c>
    </row>
    <row r="456" spans="1:21">
      <c r="A456" s="21">
        <v>455</v>
      </c>
      <c r="B456" s="68">
        <v>40563</v>
      </c>
      <c r="C456" s="22" t="b">
        <v>0</v>
      </c>
      <c r="D456" s="21" t="str">
        <f t="shared" si="7"/>
        <v>Thursday</v>
      </c>
      <c r="E456" s="23">
        <v>0.21210000000000001</v>
      </c>
      <c r="F456" s="23">
        <f>YEAR('Merged raw data'!$B456)</f>
        <v>2011</v>
      </c>
      <c r="G456" s="23" t="str">
        <f>TEXT('Merged raw data'!$B456,"mmmm")</f>
        <v>January</v>
      </c>
      <c r="H456" s="37" t="str">
        <f>TEXT(TIME('Merged raw data'!F456,0,0),"h AM/PM")</f>
        <v>11 PM</v>
      </c>
      <c r="I456" s="23" t="str">
        <f>IF(OR('Merged raw data'!H456=1,'Merged raw data'!H456=2,'Merged raw data'!H456=3,'Merged raw data'!H456=4,'Merged raw data'!H456=5),"weekday","weekend")</f>
        <v>weekday</v>
      </c>
      <c r="J456" s="23" t="s">
        <v>23</v>
      </c>
      <c r="K456" s="23" t="str">
        <f>IF('Merged raw data'!I456=1,"Clear",IF('Merged raw data'!I456=2,"Mist",IF('Merged raw data'!I456=3,"Rain",IF('Merged raw data'!I456=4,"Storm","NA"))))</f>
        <v>Mist</v>
      </c>
      <c r="L456" s="24">
        <v>0.65</v>
      </c>
      <c r="M456" s="24">
        <v>0.32840000000000003</v>
      </c>
      <c r="N456" s="21">
        <f>'Merged raw data'!$J456*100</f>
        <v>24</v>
      </c>
      <c r="O456" s="21">
        <v>3</v>
      </c>
      <c r="P456" s="21">
        <v>28</v>
      </c>
      <c r="Q456" s="21">
        <v>31</v>
      </c>
      <c r="R456" s="21" t="str">
        <f>IF(Q456&gt;=outliers!I458,"High",IF(Q456&lt;=outliers!I457,"Low","Moderate"))</f>
        <v>High</v>
      </c>
      <c r="S456" s="8" t="str">
        <f>IF(OR(Q456&lt;outliers!$I$6,Q456&gt;outliers!$I$7),"Outlier","Normal")</f>
        <v>Normal</v>
      </c>
      <c r="T456" s="8" t="str">
        <f>IF(OR(L456&lt;outliers!$J$6,L456&gt;outliers!$J$7),"Outlier","Normal")</f>
        <v>Normal</v>
      </c>
      <c r="U456" s="8" t="str">
        <f>IF(OR(M456&lt;outliers!$K$6,M456&gt;outliers!$K$7),"Outlier","Normal")</f>
        <v>Normal</v>
      </c>
    </row>
    <row r="457" spans="1:21">
      <c r="A457" s="21">
        <v>456</v>
      </c>
      <c r="B457" s="68">
        <v>40564</v>
      </c>
      <c r="C457" s="22" t="b">
        <v>0</v>
      </c>
      <c r="D457" s="21" t="str">
        <f t="shared" si="7"/>
        <v>Friday</v>
      </c>
      <c r="E457" s="23">
        <v>0.2273</v>
      </c>
      <c r="F457" s="23">
        <f>YEAR('Merged raw data'!$B457)</f>
        <v>2011</v>
      </c>
      <c r="G457" s="23" t="str">
        <f>TEXT('Merged raw data'!$B457,"mmmm")</f>
        <v>January</v>
      </c>
      <c r="H457" s="37" t="str">
        <f>TEXT(TIME('Merged raw data'!F457,0,0),"h AM/PM")</f>
        <v>12 AM</v>
      </c>
      <c r="I457" s="23" t="str">
        <f>IF(OR('Merged raw data'!H457=1,'Merged raw data'!H457=2,'Merged raw data'!H457=3,'Merged raw data'!H457=4,'Merged raw data'!H457=5),"weekday","weekend")</f>
        <v>weekday</v>
      </c>
      <c r="J457" s="23" t="s">
        <v>23</v>
      </c>
      <c r="K457" s="23" t="str">
        <f>IF('Merged raw data'!I457=1,"Clear",IF('Merged raw data'!I457=2,"Mist",IF('Merged raw data'!I457=3,"Rain",IF('Merged raw data'!I457=4,"Storm","NA"))))</f>
        <v>Mist</v>
      </c>
      <c r="L457" s="24">
        <v>0.7</v>
      </c>
      <c r="M457" s="24">
        <v>0.25369999999999998</v>
      </c>
      <c r="N457" s="21">
        <f>'Merged raw data'!$J457*100</f>
        <v>24</v>
      </c>
      <c r="O457" s="21">
        <v>1</v>
      </c>
      <c r="P457" s="21">
        <v>20</v>
      </c>
      <c r="Q457" s="21">
        <v>21</v>
      </c>
      <c r="R457" s="21" t="str">
        <f>IF(Q457&gt;=outliers!I459,"High",IF(Q457&lt;=outliers!I458,"Low","Moderate"))</f>
        <v>High</v>
      </c>
      <c r="S457" s="8" t="str">
        <f>IF(OR(Q457&lt;outliers!$I$6,Q457&gt;outliers!$I$7),"Outlier","Normal")</f>
        <v>Normal</v>
      </c>
      <c r="T457" s="8" t="str">
        <f>IF(OR(L457&lt;outliers!$J$6,L457&gt;outliers!$J$7),"Outlier","Normal")</f>
        <v>Normal</v>
      </c>
      <c r="U457" s="8" t="str">
        <f>IF(OR(M457&lt;outliers!$K$6,M457&gt;outliers!$K$7),"Outlier","Normal")</f>
        <v>Normal</v>
      </c>
    </row>
    <row r="458" spans="1:21">
      <c r="A458" s="21">
        <v>457</v>
      </c>
      <c r="B458" s="68">
        <v>40564</v>
      </c>
      <c r="C458" s="22" t="b">
        <v>0</v>
      </c>
      <c r="D458" s="21" t="str">
        <f t="shared" si="7"/>
        <v>Friday</v>
      </c>
      <c r="E458" s="23">
        <v>0.2273</v>
      </c>
      <c r="F458" s="23">
        <f>YEAR('Merged raw data'!$B458)</f>
        <v>2011</v>
      </c>
      <c r="G458" s="23" t="str">
        <f>TEXT('Merged raw data'!$B458,"mmmm")</f>
        <v>January</v>
      </c>
      <c r="H458" s="37" t="str">
        <f>TEXT(TIME('Merged raw data'!F458,0,0),"h AM/PM")</f>
        <v>1 AM</v>
      </c>
      <c r="I458" s="23" t="str">
        <f>IF(OR('Merged raw data'!H458=1,'Merged raw data'!H458=2,'Merged raw data'!H458=3,'Merged raw data'!H458=4,'Merged raw data'!H458=5),"weekday","weekend")</f>
        <v>weekday</v>
      </c>
      <c r="J458" s="23" t="s">
        <v>23</v>
      </c>
      <c r="K458" s="23" t="str">
        <f>IF('Merged raw data'!I458=1,"Clear",IF('Merged raw data'!I458=2,"Mist",IF('Merged raw data'!I458=3,"Rain",IF('Merged raw data'!I458=4,"Storm","NA"))))</f>
        <v>Mist</v>
      </c>
      <c r="L458" s="24">
        <v>0.7</v>
      </c>
      <c r="M458" s="24">
        <v>0.25369999999999998</v>
      </c>
      <c r="N458" s="21">
        <f>'Merged raw data'!$J458*100</f>
        <v>24</v>
      </c>
      <c r="O458" s="21">
        <v>0</v>
      </c>
      <c r="P458" s="21">
        <v>6</v>
      </c>
      <c r="Q458" s="21">
        <v>6</v>
      </c>
      <c r="R458" s="21" t="str">
        <f>IF(Q458&gt;=outliers!I460,"High",IF(Q458&lt;=outliers!I459,"Low","Moderate"))</f>
        <v>High</v>
      </c>
      <c r="S458" s="8" t="str">
        <f>IF(OR(Q458&lt;outliers!$I$6,Q458&gt;outliers!$I$7),"Outlier","Normal")</f>
        <v>Normal</v>
      </c>
      <c r="T458" s="8" t="str">
        <f>IF(OR(L458&lt;outliers!$J$6,L458&gt;outliers!$J$7),"Outlier","Normal")</f>
        <v>Normal</v>
      </c>
      <c r="U458" s="8" t="str">
        <f>IF(OR(M458&lt;outliers!$K$6,M458&gt;outliers!$K$7),"Outlier","Normal")</f>
        <v>Normal</v>
      </c>
    </row>
    <row r="459" spans="1:21">
      <c r="A459" s="21">
        <v>458</v>
      </c>
      <c r="B459" s="68">
        <v>40564</v>
      </c>
      <c r="C459" s="22" t="b">
        <v>0</v>
      </c>
      <c r="D459" s="21" t="str">
        <f t="shared" si="7"/>
        <v>Friday</v>
      </c>
      <c r="E459" s="23">
        <v>0.2424</v>
      </c>
      <c r="F459" s="23">
        <f>YEAR('Merged raw data'!$B459)</f>
        <v>2011</v>
      </c>
      <c r="G459" s="23" t="str">
        <f>TEXT('Merged raw data'!$B459,"mmmm")</f>
        <v>January</v>
      </c>
      <c r="H459" s="37" t="str">
        <f>TEXT(TIME('Merged raw data'!F459,0,0),"h AM/PM")</f>
        <v>2 AM</v>
      </c>
      <c r="I459" s="23" t="str">
        <f>IF(OR('Merged raw data'!H459=1,'Merged raw data'!H459=2,'Merged raw data'!H459=3,'Merged raw data'!H459=4,'Merged raw data'!H459=5),"weekday","weekend")</f>
        <v>weekday</v>
      </c>
      <c r="J459" s="23" t="s">
        <v>23</v>
      </c>
      <c r="K459" s="23" t="str">
        <f>IF('Merged raw data'!I459=1,"Clear",IF('Merged raw data'!I459=2,"Mist",IF('Merged raw data'!I459=3,"Rain",IF('Merged raw data'!I459=4,"Storm","NA"))))</f>
        <v>Rain</v>
      </c>
      <c r="L459" s="24">
        <v>0.75</v>
      </c>
      <c r="M459" s="24">
        <v>0.16420000000000001</v>
      </c>
      <c r="N459" s="21">
        <f>'Merged raw data'!$J459*100</f>
        <v>24</v>
      </c>
      <c r="O459" s="21">
        <v>0</v>
      </c>
      <c r="P459" s="21">
        <v>2</v>
      </c>
      <c r="Q459" s="21">
        <v>2</v>
      </c>
      <c r="R459" s="21" t="str">
        <f>IF(Q459&gt;=outliers!I461,"High",IF(Q459&lt;=outliers!I460,"Low","Moderate"))</f>
        <v>High</v>
      </c>
      <c r="S459" s="8" t="str">
        <f>IF(OR(Q459&lt;outliers!$I$6,Q459&gt;outliers!$I$7),"Outlier","Normal")</f>
        <v>Normal</v>
      </c>
      <c r="T459" s="8" t="str">
        <f>IF(OR(L459&lt;outliers!$J$6,L459&gt;outliers!$J$7),"Outlier","Normal")</f>
        <v>Normal</v>
      </c>
      <c r="U459" s="8" t="str">
        <f>IF(OR(M459&lt;outliers!$K$6,M459&gt;outliers!$K$7),"Outlier","Normal")</f>
        <v>Normal</v>
      </c>
    </row>
    <row r="460" spans="1:21">
      <c r="A460" s="21">
        <v>459</v>
      </c>
      <c r="B460" s="68">
        <v>40564</v>
      </c>
      <c r="C460" s="22" t="b">
        <v>0</v>
      </c>
      <c r="D460" s="21" t="str">
        <f t="shared" si="7"/>
        <v>Friday</v>
      </c>
      <c r="E460" s="23">
        <v>0.21210000000000001</v>
      </c>
      <c r="F460" s="23">
        <f>YEAR('Merged raw data'!$B460)</f>
        <v>2011</v>
      </c>
      <c r="G460" s="23" t="str">
        <f>TEXT('Merged raw data'!$B460,"mmmm")</f>
        <v>January</v>
      </c>
      <c r="H460" s="37" t="str">
        <f>TEXT(TIME('Merged raw data'!F460,0,0),"h AM/PM")</f>
        <v>3 AM</v>
      </c>
      <c r="I460" s="23" t="str">
        <f>IF(OR('Merged raw data'!H460=1,'Merged raw data'!H460=2,'Merged raw data'!H460=3,'Merged raw data'!H460=4,'Merged raw data'!H460=5),"weekday","weekend")</f>
        <v>weekday</v>
      </c>
      <c r="J460" s="23" t="s">
        <v>23</v>
      </c>
      <c r="K460" s="23" t="str">
        <f>IF('Merged raw data'!I460=1,"Clear",IF('Merged raw data'!I460=2,"Mist",IF('Merged raw data'!I460=3,"Rain",IF('Merged raw data'!I460=4,"Storm","NA"))))</f>
        <v>Rain</v>
      </c>
      <c r="L460" s="24">
        <v>0.8</v>
      </c>
      <c r="M460" s="24">
        <v>0.29849999999999999</v>
      </c>
      <c r="N460" s="21">
        <f>'Merged raw data'!$J460*100</f>
        <v>22</v>
      </c>
      <c r="O460" s="21">
        <v>0</v>
      </c>
      <c r="P460" s="21">
        <v>1</v>
      </c>
      <c r="Q460" s="21">
        <v>1</v>
      </c>
      <c r="R460" s="21" t="str">
        <f>IF(Q460&gt;=outliers!I462,"High",IF(Q460&lt;=outliers!I461,"Low","Moderate"))</f>
        <v>High</v>
      </c>
      <c r="S460" s="8" t="str">
        <f>IF(OR(Q460&lt;outliers!$I$6,Q460&gt;outliers!$I$7),"Outlier","Normal")</f>
        <v>Normal</v>
      </c>
      <c r="T460" s="8" t="str">
        <f>IF(OR(L460&lt;outliers!$J$6,L460&gt;outliers!$J$7),"Outlier","Normal")</f>
        <v>Normal</v>
      </c>
      <c r="U460" s="8" t="str">
        <f>IF(OR(M460&lt;outliers!$K$6,M460&gt;outliers!$K$7),"Outlier","Normal")</f>
        <v>Normal</v>
      </c>
    </row>
    <row r="461" spans="1:21">
      <c r="A461" s="21">
        <v>460</v>
      </c>
      <c r="B461" s="68">
        <v>40564</v>
      </c>
      <c r="C461" s="22" t="b">
        <v>0</v>
      </c>
      <c r="D461" s="21" t="str">
        <f t="shared" si="7"/>
        <v>Friday</v>
      </c>
      <c r="E461" s="23">
        <v>0.2576</v>
      </c>
      <c r="F461" s="23">
        <f>YEAR('Merged raw data'!$B461)</f>
        <v>2011</v>
      </c>
      <c r="G461" s="23" t="str">
        <f>TEXT('Merged raw data'!$B461,"mmmm")</f>
        <v>January</v>
      </c>
      <c r="H461" s="37" t="str">
        <f>TEXT(TIME('Merged raw data'!F461,0,0),"h AM/PM")</f>
        <v>4 AM</v>
      </c>
      <c r="I461" s="23" t="str">
        <f>IF(OR('Merged raw data'!H461=1,'Merged raw data'!H461=2,'Merged raw data'!H461=3,'Merged raw data'!H461=4,'Merged raw data'!H461=5),"weekday","weekend")</f>
        <v>weekday</v>
      </c>
      <c r="J461" s="23" t="s">
        <v>23</v>
      </c>
      <c r="K461" s="23" t="str">
        <f>IF('Merged raw data'!I461=1,"Clear",IF('Merged raw data'!I461=2,"Mist",IF('Merged raw data'!I461=3,"Rain",IF('Merged raw data'!I461=4,"Storm","NA"))))</f>
        <v>Mist</v>
      </c>
      <c r="L461" s="24">
        <v>0.87</v>
      </c>
      <c r="M461" s="24">
        <v>8.9599999999999999E-2</v>
      </c>
      <c r="N461" s="21">
        <f>'Merged raw data'!$J461*100</f>
        <v>22</v>
      </c>
      <c r="O461" s="21">
        <v>0</v>
      </c>
      <c r="P461" s="21">
        <v>1</v>
      </c>
      <c r="Q461" s="21">
        <v>1</v>
      </c>
      <c r="R461" s="21" t="str">
        <f>IF(Q461&gt;=outliers!I463,"High",IF(Q461&lt;=outliers!I462,"Low","Moderate"))</f>
        <v>High</v>
      </c>
      <c r="S461" s="8" t="str">
        <f>IF(OR(Q461&lt;outliers!$I$6,Q461&gt;outliers!$I$7),"Outlier","Normal")</f>
        <v>Normal</v>
      </c>
      <c r="T461" s="8" t="str">
        <f>IF(OR(L461&lt;outliers!$J$6,L461&gt;outliers!$J$7),"Outlier","Normal")</f>
        <v>Normal</v>
      </c>
      <c r="U461" s="8" t="str">
        <f>IF(OR(M461&lt;outliers!$K$6,M461&gt;outliers!$K$7),"Outlier","Normal")</f>
        <v>Normal</v>
      </c>
    </row>
    <row r="462" spans="1:21">
      <c r="A462" s="21">
        <v>461</v>
      </c>
      <c r="B462" s="68">
        <v>40564</v>
      </c>
      <c r="C462" s="22" t="b">
        <v>0</v>
      </c>
      <c r="D462" s="21" t="str">
        <f t="shared" si="7"/>
        <v>Friday</v>
      </c>
      <c r="E462" s="23">
        <v>0.19700000000000001</v>
      </c>
      <c r="F462" s="23">
        <f>YEAR('Merged raw data'!$B462)</f>
        <v>2011</v>
      </c>
      <c r="G462" s="23" t="str">
        <f>TEXT('Merged raw data'!$B462,"mmmm")</f>
        <v>January</v>
      </c>
      <c r="H462" s="37" t="str">
        <f>TEXT(TIME('Merged raw data'!F462,0,0),"h AM/PM")</f>
        <v>5 AM</v>
      </c>
      <c r="I462" s="23" t="str">
        <f>IF(OR('Merged raw data'!H462=1,'Merged raw data'!H462=2,'Merged raw data'!H462=3,'Merged raw data'!H462=4,'Merged raw data'!H462=5),"weekday","weekend")</f>
        <v>weekday</v>
      </c>
      <c r="J462" s="23" t="s">
        <v>23</v>
      </c>
      <c r="K462" s="23" t="str">
        <f>IF('Merged raw data'!I462=1,"Clear",IF('Merged raw data'!I462=2,"Mist",IF('Merged raw data'!I462=3,"Rain",IF('Merged raw data'!I462=4,"Storm","NA"))))</f>
        <v>Clear</v>
      </c>
      <c r="L462" s="24">
        <v>0.6</v>
      </c>
      <c r="M462" s="24">
        <v>0.41789999999999999</v>
      </c>
      <c r="N462" s="21">
        <f>'Merged raw data'!$J462*100</f>
        <v>24</v>
      </c>
      <c r="O462" s="21">
        <v>1</v>
      </c>
      <c r="P462" s="21">
        <v>4</v>
      </c>
      <c r="Q462" s="21">
        <v>5</v>
      </c>
      <c r="R462" s="21" t="str">
        <f>IF(Q462&gt;=outliers!I464,"High",IF(Q462&lt;=outliers!I463,"Low","Moderate"))</f>
        <v>High</v>
      </c>
      <c r="S462" s="8" t="str">
        <f>IF(OR(Q462&lt;outliers!$I$6,Q462&gt;outliers!$I$7),"Outlier","Normal")</f>
        <v>Normal</v>
      </c>
      <c r="T462" s="8" t="str">
        <f>IF(OR(L462&lt;outliers!$J$6,L462&gt;outliers!$J$7),"Outlier","Normal")</f>
        <v>Normal</v>
      </c>
      <c r="U462" s="8" t="str">
        <f>IF(OR(M462&lt;outliers!$K$6,M462&gt;outliers!$K$7),"Outlier","Normal")</f>
        <v>Normal</v>
      </c>
    </row>
    <row r="463" spans="1:21">
      <c r="A463" s="21">
        <v>462</v>
      </c>
      <c r="B463" s="68">
        <v>40564</v>
      </c>
      <c r="C463" s="22" t="b">
        <v>0</v>
      </c>
      <c r="D463" s="21" t="str">
        <f t="shared" si="7"/>
        <v>Friday</v>
      </c>
      <c r="E463" s="23">
        <v>0.21210000000000001</v>
      </c>
      <c r="F463" s="23">
        <f>YEAR('Merged raw data'!$B463)</f>
        <v>2011</v>
      </c>
      <c r="G463" s="23" t="str">
        <f>TEXT('Merged raw data'!$B463,"mmmm")</f>
        <v>January</v>
      </c>
      <c r="H463" s="37" t="str">
        <f>TEXT(TIME('Merged raw data'!F463,0,0),"h AM/PM")</f>
        <v>6 AM</v>
      </c>
      <c r="I463" s="23" t="str">
        <f>IF(OR('Merged raw data'!H463=1,'Merged raw data'!H463=2,'Merged raw data'!H463=3,'Merged raw data'!H463=4,'Merged raw data'!H463=5),"weekday","weekend")</f>
        <v>weekday</v>
      </c>
      <c r="J463" s="23" t="s">
        <v>23</v>
      </c>
      <c r="K463" s="23" t="str">
        <f>IF('Merged raw data'!I463=1,"Clear",IF('Merged raw data'!I463=2,"Mist",IF('Merged raw data'!I463=3,"Rain",IF('Merged raw data'!I463=4,"Storm","NA"))))</f>
        <v>Clear</v>
      </c>
      <c r="L463" s="24">
        <v>0.55000000000000004</v>
      </c>
      <c r="M463" s="24">
        <v>0.25369999999999998</v>
      </c>
      <c r="N463" s="21">
        <f>'Merged raw data'!$J463*100</f>
        <v>22</v>
      </c>
      <c r="O463" s="21">
        <v>0</v>
      </c>
      <c r="P463" s="21">
        <v>27</v>
      </c>
      <c r="Q463" s="21">
        <v>27</v>
      </c>
      <c r="R463" s="21" t="str">
        <f>IF(Q463&gt;=outliers!I465,"High",IF(Q463&lt;=outliers!I464,"Low","Moderate"))</f>
        <v>High</v>
      </c>
      <c r="S463" s="8" t="str">
        <f>IF(OR(Q463&lt;outliers!$I$6,Q463&gt;outliers!$I$7),"Outlier","Normal")</f>
        <v>Normal</v>
      </c>
      <c r="T463" s="8" t="str">
        <f>IF(OR(L463&lt;outliers!$J$6,L463&gt;outliers!$J$7),"Outlier","Normal")</f>
        <v>Normal</v>
      </c>
      <c r="U463" s="8" t="str">
        <f>IF(OR(M463&lt;outliers!$K$6,M463&gt;outliers!$K$7),"Outlier","Normal")</f>
        <v>Normal</v>
      </c>
    </row>
    <row r="464" spans="1:21">
      <c r="A464" s="21">
        <v>463</v>
      </c>
      <c r="B464" s="68">
        <v>40564</v>
      </c>
      <c r="C464" s="22" t="b">
        <v>0</v>
      </c>
      <c r="D464" s="21" t="str">
        <f t="shared" si="7"/>
        <v>Friday</v>
      </c>
      <c r="E464" s="23">
        <v>0.18179999999999999</v>
      </c>
      <c r="F464" s="23">
        <f>YEAR('Merged raw data'!$B464)</f>
        <v>2011</v>
      </c>
      <c r="G464" s="23" t="str">
        <f>TEXT('Merged raw data'!$B464,"mmmm")</f>
        <v>January</v>
      </c>
      <c r="H464" s="37" t="str">
        <f>TEXT(TIME('Merged raw data'!F464,0,0),"h AM/PM")</f>
        <v>7 AM</v>
      </c>
      <c r="I464" s="23" t="str">
        <f>IF(OR('Merged raw data'!H464=1,'Merged raw data'!H464=2,'Merged raw data'!H464=3,'Merged raw data'!H464=4,'Merged raw data'!H464=5),"weekday","weekend")</f>
        <v>weekday</v>
      </c>
      <c r="J464" s="23" t="s">
        <v>23</v>
      </c>
      <c r="K464" s="23" t="str">
        <f>IF('Merged raw data'!I464=1,"Clear",IF('Merged raw data'!I464=2,"Mist",IF('Merged raw data'!I464=3,"Rain",IF('Merged raw data'!I464=4,"Storm","NA"))))</f>
        <v>Clear</v>
      </c>
      <c r="L464" s="24">
        <v>0.51</v>
      </c>
      <c r="M464" s="24">
        <v>0.28360000000000002</v>
      </c>
      <c r="N464" s="21">
        <f>'Merged raw data'!$J464*100</f>
        <v>20</v>
      </c>
      <c r="O464" s="21">
        <v>2</v>
      </c>
      <c r="P464" s="21">
        <v>66</v>
      </c>
      <c r="Q464" s="21">
        <v>68</v>
      </c>
      <c r="R464" s="21" t="str">
        <f>IF(Q464&gt;=outliers!I466,"High",IF(Q464&lt;=outliers!I465,"Low","Moderate"))</f>
        <v>High</v>
      </c>
      <c r="S464" s="8" t="str">
        <f>IF(OR(Q464&lt;outliers!$I$6,Q464&gt;outliers!$I$7),"Outlier","Normal")</f>
        <v>Normal</v>
      </c>
      <c r="T464" s="8" t="str">
        <f>IF(OR(L464&lt;outliers!$J$6,L464&gt;outliers!$J$7),"Outlier","Normal")</f>
        <v>Normal</v>
      </c>
      <c r="U464" s="8" t="str">
        <f>IF(OR(M464&lt;outliers!$K$6,M464&gt;outliers!$K$7),"Outlier","Normal")</f>
        <v>Normal</v>
      </c>
    </row>
    <row r="465" spans="1:21">
      <c r="A465" s="21">
        <v>464</v>
      </c>
      <c r="B465" s="68">
        <v>40564</v>
      </c>
      <c r="C465" s="22" t="b">
        <v>0</v>
      </c>
      <c r="D465" s="21" t="str">
        <f t="shared" si="7"/>
        <v>Friday</v>
      </c>
      <c r="E465" s="23">
        <v>0.18179999999999999</v>
      </c>
      <c r="F465" s="23">
        <f>YEAR('Merged raw data'!$B465)</f>
        <v>2011</v>
      </c>
      <c r="G465" s="23" t="str">
        <f>TEXT('Merged raw data'!$B465,"mmmm")</f>
        <v>January</v>
      </c>
      <c r="H465" s="37" t="str">
        <f>TEXT(TIME('Merged raw data'!F465,0,0),"h AM/PM")</f>
        <v>8 AM</v>
      </c>
      <c r="I465" s="23" t="str">
        <f>IF(OR('Merged raw data'!H465=1,'Merged raw data'!H465=2,'Merged raw data'!H465=3,'Merged raw data'!H465=4,'Merged raw data'!H465=5),"weekday","weekend")</f>
        <v>weekday</v>
      </c>
      <c r="J465" s="23" t="s">
        <v>23</v>
      </c>
      <c r="K465" s="23" t="str">
        <f>IF('Merged raw data'!I465=1,"Clear",IF('Merged raw data'!I465=2,"Mist",IF('Merged raw data'!I465=3,"Rain",IF('Merged raw data'!I465=4,"Storm","NA"))))</f>
        <v>Clear</v>
      </c>
      <c r="L465" s="24">
        <v>0.47</v>
      </c>
      <c r="M465" s="24">
        <v>0.32840000000000003</v>
      </c>
      <c r="N465" s="21">
        <f>'Merged raw data'!$J465*100</f>
        <v>20</v>
      </c>
      <c r="O465" s="21">
        <v>7</v>
      </c>
      <c r="P465" s="21">
        <v>210</v>
      </c>
      <c r="Q465" s="21">
        <v>217</v>
      </c>
      <c r="R465" s="21" t="str">
        <f>IF(Q465&gt;=outliers!I467,"High",IF(Q465&lt;=outliers!I466,"Low","Moderate"))</f>
        <v>High</v>
      </c>
      <c r="S465" s="8" t="str">
        <f>IF(OR(Q465&lt;outliers!$I$6,Q465&gt;outliers!$I$7),"Outlier","Normal")</f>
        <v>Outlier</v>
      </c>
      <c r="T465" s="8" t="str">
        <f>IF(OR(L465&lt;outliers!$J$6,L465&gt;outliers!$J$7),"Outlier","Normal")</f>
        <v>Normal</v>
      </c>
      <c r="U465" s="8" t="str">
        <f>IF(OR(M465&lt;outliers!$K$6,M465&gt;outliers!$K$7),"Outlier","Normal")</f>
        <v>Normal</v>
      </c>
    </row>
    <row r="466" spans="1:21">
      <c r="A466" s="21">
        <v>465</v>
      </c>
      <c r="B466" s="68">
        <v>40564</v>
      </c>
      <c r="C466" s="22" t="b">
        <v>0</v>
      </c>
      <c r="D466" s="21" t="str">
        <f t="shared" si="7"/>
        <v>Friday</v>
      </c>
      <c r="E466" s="23">
        <v>0.18179999999999999</v>
      </c>
      <c r="F466" s="23">
        <f>YEAR('Merged raw data'!$B466)</f>
        <v>2011</v>
      </c>
      <c r="G466" s="23" t="str">
        <f>TEXT('Merged raw data'!$B466,"mmmm")</f>
        <v>January</v>
      </c>
      <c r="H466" s="37" t="str">
        <f>TEXT(TIME('Merged raw data'!F466,0,0),"h AM/PM")</f>
        <v>9 AM</v>
      </c>
      <c r="I466" s="23" t="str">
        <f>IF(OR('Merged raw data'!H466=1,'Merged raw data'!H466=2,'Merged raw data'!H466=3,'Merged raw data'!H466=4,'Merged raw data'!H466=5),"weekday","weekend")</f>
        <v>weekday</v>
      </c>
      <c r="J466" s="23" t="s">
        <v>23</v>
      </c>
      <c r="K466" s="23" t="str">
        <f>IF('Merged raw data'!I466=1,"Clear",IF('Merged raw data'!I466=2,"Mist",IF('Merged raw data'!I466=3,"Rain",IF('Merged raw data'!I466=4,"Storm","NA"))))</f>
        <v>Clear</v>
      </c>
      <c r="L466" s="24">
        <v>0.51</v>
      </c>
      <c r="M466" s="24">
        <v>0.35820000000000002</v>
      </c>
      <c r="N466" s="21">
        <f>'Merged raw data'!$J466*100</f>
        <v>20</v>
      </c>
      <c r="O466" s="21">
        <v>7</v>
      </c>
      <c r="P466" s="21">
        <v>159</v>
      </c>
      <c r="Q466" s="21">
        <v>166</v>
      </c>
      <c r="R466" s="21" t="str">
        <f>IF(Q466&gt;=outliers!I468,"High",IF(Q466&lt;=outliers!I467,"Low","Moderate"))</f>
        <v>High</v>
      </c>
      <c r="S466" s="8" t="str">
        <f>IF(OR(Q466&lt;outliers!$I$6,Q466&gt;outliers!$I$7),"Outlier","Normal")</f>
        <v>Normal</v>
      </c>
      <c r="T466" s="8" t="str">
        <f>IF(OR(L466&lt;outliers!$J$6,L466&gt;outliers!$J$7),"Outlier","Normal")</f>
        <v>Normal</v>
      </c>
      <c r="U466" s="8" t="str">
        <f>IF(OR(M466&lt;outliers!$K$6,M466&gt;outliers!$K$7),"Outlier","Normal")</f>
        <v>Normal</v>
      </c>
    </row>
    <row r="467" spans="1:21">
      <c r="A467" s="21">
        <v>466</v>
      </c>
      <c r="B467" s="68">
        <v>40564</v>
      </c>
      <c r="C467" s="22" t="b">
        <v>0</v>
      </c>
      <c r="D467" s="21" t="str">
        <f t="shared" si="7"/>
        <v>Friday</v>
      </c>
      <c r="E467" s="23">
        <v>0.16669999999999999</v>
      </c>
      <c r="F467" s="23">
        <f>YEAR('Merged raw data'!$B467)</f>
        <v>2011</v>
      </c>
      <c r="G467" s="23" t="str">
        <f>TEXT('Merged raw data'!$B467,"mmmm")</f>
        <v>January</v>
      </c>
      <c r="H467" s="37" t="str">
        <f>TEXT(TIME('Merged raw data'!F467,0,0),"h AM/PM")</f>
        <v>10 AM</v>
      </c>
      <c r="I467" s="23" t="str">
        <f>IF(OR('Merged raw data'!H467=1,'Merged raw data'!H467=2,'Merged raw data'!H467=3,'Merged raw data'!H467=4,'Merged raw data'!H467=5),"weekday","weekend")</f>
        <v>weekday</v>
      </c>
      <c r="J467" s="23" t="s">
        <v>23</v>
      </c>
      <c r="K467" s="23" t="str">
        <f>IF('Merged raw data'!I467=1,"Clear",IF('Merged raw data'!I467=2,"Mist",IF('Merged raw data'!I467=3,"Rain",IF('Merged raw data'!I467=4,"Storm","NA"))))</f>
        <v>Clear</v>
      </c>
      <c r="L467" s="24">
        <v>0.47</v>
      </c>
      <c r="M467" s="24">
        <v>0.4627</v>
      </c>
      <c r="N467" s="21">
        <f>'Merged raw data'!$J467*100</f>
        <v>20</v>
      </c>
      <c r="O467" s="21">
        <v>6</v>
      </c>
      <c r="P467" s="21">
        <v>57</v>
      </c>
      <c r="Q467" s="21">
        <v>63</v>
      </c>
      <c r="R467" s="21" t="str">
        <f>IF(Q467&gt;=outliers!I469,"High",IF(Q467&lt;=outliers!I468,"Low","Moderate"))</f>
        <v>High</v>
      </c>
      <c r="S467" s="8" t="str">
        <f>IF(OR(Q467&lt;outliers!$I$6,Q467&gt;outliers!$I$7),"Outlier","Normal")</f>
        <v>Normal</v>
      </c>
      <c r="T467" s="8" t="str">
        <f>IF(OR(L467&lt;outliers!$J$6,L467&gt;outliers!$J$7),"Outlier","Normal")</f>
        <v>Normal</v>
      </c>
      <c r="U467" s="8" t="str">
        <f>IF(OR(M467&lt;outliers!$K$6,M467&gt;outliers!$K$7),"Outlier","Normal")</f>
        <v>Normal</v>
      </c>
    </row>
    <row r="468" spans="1:21">
      <c r="A468" s="21">
        <v>467</v>
      </c>
      <c r="B468" s="68">
        <v>40564</v>
      </c>
      <c r="C468" s="22" t="b">
        <v>0</v>
      </c>
      <c r="D468" s="21" t="str">
        <f t="shared" si="7"/>
        <v>Friday</v>
      </c>
      <c r="E468" s="23">
        <v>0.18179999999999999</v>
      </c>
      <c r="F468" s="23">
        <f>YEAR('Merged raw data'!$B468)</f>
        <v>2011</v>
      </c>
      <c r="G468" s="23" t="str">
        <f>TEXT('Merged raw data'!$B468,"mmmm")</f>
        <v>January</v>
      </c>
      <c r="H468" s="37" t="str">
        <f>TEXT(TIME('Merged raw data'!F468,0,0),"h AM/PM")</f>
        <v>11 AM</v>
      </c>
      <c r="I468" s="23" t="str">
        <f>IF(OR('Merged raw data'!H468=1,'Merged raw data'!H468=2,'Merged raw data'!H468=3,'Merged raw data'!H468=4,'Merged raw data'!H468=5),"weekday","weekend")</f>
        <v>weekday</v>
      </c>
      <c r="J468" s="23" t="s">
        <v>23</v>
      </c>
      <c r="K468" s="23" t="str">
        <f>IF('Merged raw data'!I468=1,"Clear",IF('Merged raw data'!I468=2,"Mist",IF('Merged raw data'!I468=3,"Rain",IF('Merged raw data'!I468=4,"Storm","NA"))))</f>
        <v>Clear</v>
      </c>
      <c r="L468" s="24">
        <v>0.41</v>
      </c>
      <c r="M468" s="24">
        <v>0.4627</v>
      </c>
      <c r="N468" s="21">
        <f>'Merged raw data'!$J468*100</f>
        <v>22</v>
      </c>
      <c r="O468" s="21">
        <v>6</v>
      </c>
      <c r="P468" s="21">
        <v>53</v>
      </c>
      <c r="Q468" s="21">
        <v>59</v>
      </c>
      <c r="R468" s="21" t="str">
        <f>IF(Q468&gt;=outliers!I470,"High",IF(Q468&lt;=outliers!I469,"Low","Moderate"))</f>
        <v>High</v>
      </c>
      <c r="S468" s="8" t="str">
        <f>IF(OR(Q468&lt;outliers!$I$6,Q468&gt;outliers!$I$7),"Outlier","Normal")</f>
        <v>Normal</v>
      </c>
      <c r="T468" s="8" t="str">
        <f>IF(OR(L468&lt;outliers!$J$6,L468&gt;outliers!$J$7),"Outlier","Normal")</f>
        <v>Normal</v>
      </c>
      <c r="U468" s="8" t="str">
        <f>IF(OR(M468&lt;outliers!$K$6,M468&gt;outliers!$K$7),"Outlier","Normal")</f>
        <v>Normal</v>
      </c>
    </row>
    <row r="469" spans="1:21">
      <c r="A469" s="21">
        <v>468</v>
      </c>
      <c r="B469" s="68">
        <v>40564</v>
      </c>
      <c r="C469" s="22" t="b">
        <v>0</v>
      </c>
      <c r="D469" s="21" t="str">
        <f t="shared" si="7"/>
        <v>Friday</v>
      </c>
      <c r="E469" s="23">
        <v>0.18179999999999999</v>
      </c>
      <c r="F469" s="23">
        <f>YEAR('Merged raw data'!$B469)</f>
        <v>2011</v>
      </c>
      <c r="G469" s="23" t="str">
        <f>TEXT('Merged raw data'!$B469,"mmmm")</f>
        <v>January</v>
      </c>
      <c r="H469" s="37" t="str">
        <f>TEXT(TIME('Merged raw data'!F469,0,0),"h AM/PM")</f>
        <v>12 PM</v>
      </c>
      <c r="I469" s="23" t="str">
        <f>IF(OR('Merged raw data'!H469=1,'Merged raw data'!H469=2,'Merged raw data'!H469=3,'Merged raw data'!H469=4,'Merged raw data'!H469=5),"weekday","weekend")</f>
        <v>weekday</v>
      </c>
      <c r="J469" s="23" t="s">
        <v>23</v>
      </c>
      <c r="K469" s="23" t="str">
        <f>IF('Merged raw data'!I469=1,"Clear",IF('Merged raw data'!I469=2,"Mist",IF('Merged raw data'!I469=3,"Rain",IF('Merged raw data'!I469=4,"Storm","NA"))))</f>
        <v>Clear</v>
      </c>
      <c r="L469" s="24">
        <v>0.27</v>
      </c>
      <c r="M469" s="24">
        <v>0.58209999999999995</v>
      </c>
      <c r="N469" s="21">
        <f>'Merged raw data'!$J469*100</f>
        <v>22</v>
      </c>
      <c r="O469" s="21">
        <v>11</v>
      </c>
      <c r="P469" s="21">
        <v>67</v>
      </c>
      <c r="Q469" s="21">
        <v>78</v>
      </c>
      <c r="R469" s="21" t="str">
        <f>IF(Q469&gt;=outliers!I471,"High",IF(Q469&lt;=outliers!I470,"Low","Moderate"))</f>
        <v>High</v>
      </c>
      <c r="S469" s="8" t="str">
        <f>IF(OR(Q469&lt;outliers!$I$6,Q469&gt;outliers!$I$7),"Outlier","Normal")</f>
        <v>Normal</v>
      </c>
      <c r="T469" s="8" t="str">
        <f>IF(OR(L469&lt;outliers!$J$6,L469&gt;outliers!$J$7),"Outlier","Normal")</f>
        <v>Normal</v>
      </c>
      <c r="U469" s="8" t="str">
        <f>IF(OR(M469&lt;outliers!$K$6,M469&gt;outliers!$K$7),"Outlier","Normal")</f>
        <v>Outlier</v>
      </c>
    </row>
    <row r="470" spans="1:21">
      <c r="A470" s="21">
        <v>469</v>
      </c>
      <c r="B470" s="68">
        <v>40564</v>
      </c>
      <c r="C470" s="22" t="b">
        <v>0</v>
      </c>
      <c r="D470" s="21" t="str">
        <f t="shared" si="7"/>
        <v>Friday</v>
      </c>
      <c r="E470" s="23">
        <v>0.1515</v>
      </c>
      <c r="F470" s="23">
        <f>YEAR('Merged raw data'!$B470)</f>
        <v>2011</v>
      </c>
      <c r="G470" s="23" t="str">
        <f>TEXT('Merged raw data'!$B470,"mmmm")</f>
        <v>January</v>
      </c>
      <c r="H470" s="37" t="str">
        <f>TEXT(TIME('Merged raw data'!F470,0,0),"h AM/PM")</f>
        <v>1 PM</v>
      </c>
      <c r="I470" s="23" t="str">
        <f>IF(OR('Merged raw data'!H470=1,'Merged raw data'!H470=2,'Merged raw data'!H470=3,'Merged raw data'!H470=4,'Merged raw data'!H470=5),"weekday","weekend")</f>
        <v>weekday</v>
      </c>
      <c r="J470" s="23" t="s">
        <v>23</v>
      </c>
      <c r="K470" s="23" t="str">
        <f>IF('Merged raw data'!I470=1,"Clear",IF('Merged raw data'!I470=2,"Mist",IF('Merged raw data'!I470=3,"Rain",IF('Merged raw data'!I470=4,"Storm","NA"))))</f>
        <v>Clear</v>
      </c>
      <c r="L470" s="24">
        <v>0.21</v>
      </c>
      <c r="M470" s="24">
        <v>0.58209999999999995</v>
      </c>
      <c r="N470" s="21">
        <f>'Merged raw data'!$J470*100</f>
        <v>20</v>
      </c>
      <c r="O470" s="21">
        <v>8</v>
      </c>
      <c r="P470" s="21">
        <v>65</v>
      </c>
      <c r="Q470" s="21">
        <v>73</v>
      </c>
      <c r="R470" s="21" t="str">
        <f>IF(Q470&gt;=outliers!I472,"High",IF(Q470&lt;=outliers!I471,"Low","Moderate"))</f>
        <v>High</v>
      </c>
      <c r="S470" s="8" t="str">
        <f>IF(OR(Q470&lt;outliers!$I$6,Q470&gt;outliers!$I$7),"Outlier","Normal")</f>
        <v>Normal</v>
      </c>
      <c r="T470" s="8" t="str">
        <f>IF(OR(L470&lt;outliers!$J$6,L470&gt;outliers!$J$7),"Outlier","Normal")</f>
        <v>Normal</v>
      </c>
      <c r="U470" s="8" t="str">
        <f>IF(OR(M470&lt;outliers!$K$6,M470&gt;outliers!$K$7),"Outlier","Normal")</f>
        <v>Outlier</v>
      </c>
    </row>
    <row r="471" spans="1:21">
      <c r="A471" s="21">
        <v>470</v>
      </c>
      <c r="B471" s="68">
        <v>40564</v>
      </c>
      <c r="C471" s="22" t="b">
        <v>0</v>
      </c>
      <c r="D471" s="21" t="str">
        <f t="shared" si="7"/>
        <v>Friday</v>
      </c>
      <c r="E471" s="23">
        <v>0.1515</v>
      </c>
      <c r="F471" s="23">
        <f>YEAR('Merged raw data'!$B471)</f>
        <v>2011</v>
      </c>
      <c r="G471" s="23" t="str">
        <f>TEXT('Merged raw data'!$B471,"mmmm")</f>
        <v>January</v>
      </c>
      <c r="H471" s="37" t="str">
        <f>TEXT(TIME('Merged raw data'!F471,0,0),"h AM/PM")</f>
        <v>2 PM</v>
      </c>
      <c r="I471" s="23" t="str">
        <f>IF(OR('Merged raw data'!H471=1,'Merged raw data'!H471=2,'Merged raw data'!H471=3,'Merged raw data'!H471=4,'Merged raw data'!H471=5),"weekday","weekend")</f>
        <v>weekday</v>
      </c>
      <c r="J471" s="23" t="s">
        <v>23</v>
      </c>
      <c r="K471" s="23" t="str">
        <f>IF('Merged raw data'!I471=1,"Clear",IF('Merged raw data'!I471=2,"Mist",IF('Merged raw data'!I471=3,"Rain",IF('Merged raw data'!I471=4,"Storm","NA"))))</f>
        <v>Clear</v>
      </c>
      <c r="L471" s="24">
        <v>0.25</v>
      </c>
      <c r="M471" s="24">
        <v>0.52239999999999998</v>
      </c>
      <c r="N471" s="21">
        <f>'Merged raw data'!$J471*100</f>
        <v>20</v>
      </c>
      <c r="O471" s="21">
        <v>6</v>
      </c>
      <c r="P471" s="21">
        <v>56</v>
      </c>
      <c r="Q471" s="21">
        <v>62</v>
      </c>
      <c r="R471" s="21" t="str">
        <f>IF(Q471&gt;=outliers!I473,"High",IF(Q471&lt;=outliers!I472,"Low","Moderate"))</f>
        <v>High</v>
      </c>
      <c r="S471" s="8" t="str">
        <f>IF(OR(Q471&lt;outliers!$I$6,Q471&gt;outliers!$I$7),"Outlier","Normal")</f>
        <v>Normal</v>
      </c>
      <c r="T471" s="8" t="str">
        <f>IF(OR(L471&lt;outliers!$J$6,L471&gt;outliers!$J$7),"Outlier","Normal")</f>
        <v>Normal</v>
      </c>
      <c r="U471" s="8" t="str">
        <f>IF(OR(M471&lt;outliers!$K$6,M471&gt;outliers!$K$7),"Outlier","Normal")</f>
        <v>Outlier</v>
      </c>
    </row>
    <row r="472" spans="1:21">
      <c r="A472" s="21">
        <v>471</v>
      </c>
      <c r="B472" s="68">
        <v>40564</v>
      </c>
      <c r="C472" s="22" t="b">
        <v>0</v>
      </c>
      <c r="D472" s="21" t="str">
        <f t="shared" si="7"/>
        <v>Friday</v>
      </c>
      <c r="E472" s="23">
        <v>0.1212</v>
      </c>
      <c r="F472" s="23">
        <f>YEAR('Merged raw data'!$B472)</f>
        <v>2011</v>
      </c>
      <c r="G472" s="23" t="str">
        <f>TEXT('Merged raw data'!$B472,"mmmm")</f>
        <v>January</v>
      </c>
      <c r="H472" s="37" t="str">
        <f>TEXT(TIME('Merged raw data'!F472,0,0),"h AM/PM")</f>
        <v>3 PM</v>
      </c>
      <c r="I472" s="23" t="str">
        <f>IF(OR('Merged raw data'!H472=1,'Merged raw data'!H472=2,'Merged raw data'!H472=3,'Merged raw data'!H472=4,'Merged raw data'!H472=5),"weekday","weekend")</f>
        <v>weekday</v>
      </c>
      <c r="J472" s="23" t="s">
        <v>23</v>
      </c>
      <c r="K472" s="23" t="str">
        <f>IF('Merged raw data'!I472=1,"Clear",IF('Merged raw data'!I472=2,"Mist",IF('Merged raw data'!I472=3,"Rain",IF('Merged raw data'!I472=4,"Storm","NA"))))</f>
        <v>Clear</v>
      </c>
      <c r="L472" s="24">
        <v>0.26</v>
      </c>
      <c r="M472" s="24">
        <v>0.44779999999999998</v>
      </c>
      <c r="N472" s="21">
        <f>'Merged raw data'!$J472*100</f>
        <v>16</v>
      </c>
      <c r="O472" s="21">
        <v>4</v>
      </c>
      <c r="P472" s="21">
        <v>61</v>
      </c>
      <c r="Q472" s="21">
        <v>65</v>
      </c>
      <c r="R472" s="21" t="str">
        <f>IF(Q472&gt;=outliers!I474,"High",IF(Q472&lt;=outliers!I473,"Low","Moderate"))</f>
        <v>High</v>
      </c>
      <c r="S472" s="8" t="str">
        <f>IF(OR(Q472&lt;outliers!$I$6,Q472&gt;outliers!$I$7),"Outlier","Normal")</f>
        <v>Normal</v>
      </c>
      <c r="T472" s="8" t="str">
        <f>IF(OR(L472&lt;outliers!$J$6,L472&gt;outliers!$J$7),"Outlier","Normal")</f>
        <v>Normal</v>
      </c>
      <c r="U472" s="8" t="str">
        <f>IF(OR(M472&lt;outliers!$K$6,M472&gt;outliers!$K$7),"Outlier","Normal")</f>
        <v>Normal</v>
      </c>
    </row>
    <row r="473" spans="1:21">
      <c r="A473" s="21">
        <v>472</v>
      </c>
      <c r="B473" s="68">
        <v>40564</v>
      </c>
      <c r="C473" s="22" t="b">
        <v>0</v>
      </c>
      <c r="D473" s="21" t="str">
        <f t="shared" si="7"/>
        <v>Friday</v>
      </c>
      <c r="E473" s="23">
        <v>0.13639999999999999</v>
      </c>
      <c r="F473" s="23">
        <f>YEAR('Merged raw data'!$B473)</f>
        <v>2011</v>
      </c>
      <c r="G473" s="23" t="str">
        <f>TEXT('Merged raw data'!$B473,"mmmm")</f>
        <v>January</v>
      </c>
      <c r="H473" s="37" t="str">
        <f>TEXT(TIME('Merged raw data'!F473,0,0),"h AM/PM")</f>
        <v>4 PM</v>
      </c>
      <c r="I473" s="23" t="str">
        <f>IF(OR('Merged raw data'!H473=1,'Merged raw data'!H473=2,'Merged raw data'!H473=3,'Merged raw data'!H473=4,'Merged raw data'!H473=5),"weekday","weekend")</f>
        <v>weekday</v>
      </c>
      <c r="J473" s="23" t="s">
        <v>23</v>
      </c>
      <c r="K473" s="23" t="str">
        <f>IF('Merged raw data'!I473=1,"Clear",IF('Merged raw data'!I473=2,"Mist",IF('Merged raw data'!I473=3,"Rain",IF('Merged raw data'!I473=4,"Storm","NA"))))</f>
        <v>Clear</v>
      </c>
      <c r="L473" s="24">
        <v>0.26</v>
      </c>
      <c r="M473" s="24">
        <v>0.35820000000000002</v>
      </c>
      <c r="N473" s="21">
        <f>'Merged raw data'!$J473*100</f>
        <v>16</v>
      </c>
      <c r="O473" s="21">
        <v>0</v>
      </c>
      <c r="P473" s="21">
        <v>97</v>
      </c>
      <c r="Q473" s="21">
        <v>97</v>
      </c>
      <c r="R473" s="21" t="str">
        <f>IF(Q473&gt;=outliers!I475,"High",IF(Q473&lt;=outliers!I474,"Low","Moderate"))</f>
        <v>High</v>
      </c>
      <c r="S473" s="8" t="str">
        <f>IF(OR(Q473&lt;outliers!$I$6,Q473&gt;outliers!$I$7),"Outlier","Normal")</f>
        <v>Normal</v>
      </c>
      <c r="T473" s="8" t="str">
        <f>IF(OR(L473&lt;outliers!$J$6,L473&gt;outliers!$J$7),"Outlier","Normal")</f>
        <v>Normal</v>
      </c>
      <c r="U473" s="8" t="str">
        <f>IF(OR(M473&lt;outliers!$K$6,M473&gt;outliers!$K$7),"Outlier","Normal")</f>
        <v>Normal</v>
      </c>
    </row>
    <row r="474" spans="1:21">
      <c r="A474" s="21">
        <v>473</v>
      </c>
      <c r="B474" s="68">
        <v>40564</v>
      </c>
      <c r="C474" s="22" t="b">
        <v>0</v>
      </c>
      <c r="D474" s="21" t="str">
        <f t="shared" si="7"/>
        <v>Friday</v>
      </c>
      <c r="E474" s="23">
        <v>0.1212</v>
      </c>
      <c r="F474" s="23">
        <f>YEAR('Merged raw data'!$B474)</f>
        <v>2011</v>
      </c>
      <c r="G474" s="23" t="str">
        <f>TEXT('Merged raw data'!$B474,"mmmm")</f>
        <v>January</v>
      </c>
      <c r="H474" s="37" t="str">
        <f>TEXT(TIME('Merged raw data'!F474,0,0),"h AM/PM")</f>
        <v>5 PM</v>
      </c>
      <c r="I474" s="23" t="str">
        <f>IF(OR('Merged raw data'!H474=1,'Merged raw data'!H474=2,'Merged raw data'!H474=3,'Merged raw data'!H474=4,'Merged raw data'!H474=5),"weekday","weekend")</f>
        <v>weekday</v>
      </c>
      <c r="J474" s="23" t="s">
        <v>23</v>
      </c>
      <c r="K474" s="23" t="str">
        <f>IF('Merged raw data'!I474=1,"Clear",IF('Merged raw data'!I474=2,"Mist",IF('Merged raw data'!I474=3,"Rain",IF('Merged raw data'!I474=4,"Storm","NA"))))</f>
        <v>Clear</v>
      </c>
      <c r="L474" s="24">
        <v>0.28000000000000003</v>
      </c>
      <c r="M474" s="24">
        <v>0.35820000000000002</v>
      </c>
      <c r="N474" s="21">
        <f>'Merged raw data'!$J474*100</f>
        <v>14.000000000000002</v>
      </c>
      <c r="O474" s="21">
        <v>10</v>
      </c>
      <c r="P474" s="21">
        <v>151</v>
      </c>
      <c r="Q474" s="21">
        <v>161</v>
      </c>
      <c r="R474" s="21" t="str">
        <f>IF(Q474&gt;=outliers!I476,"High",IF(Q474&lt;=outliers!I475,"Low","Moderate"))</f>
        <v>High</v>
      </c>
      <c r="S474" s="8" t="str">
        <f>IF(OR(Q474&lt;outliers!$I$6,Q474&gt;outliers!$I$7),"Outlier","Normal")</f>
        <v>Normal</v>
      </c>
      <c r="T474" s="8" t="str">
        <f>IF(OR(L474&lt;outliers!$J$6,L474&gt;outliers!$J$7),"Outlier","Normal")</f>
        <v>Normal</v>
      </c>
      <c r="U474" s="8" t="str">
        <f>IF(OR(M474&lt;outliers!$K$6,M474&gt;outliers!$K$7),"Outlier","Normal")</f>
        <v>Normal</v>
      </c>
    </row>
    <row r="475" spans="1:21">
      <c r="A475" s="21">
        <v>474</v>
      </c>
      <c r="B475" s="68">
        <v>40564</v>
      </c>
      <c r="C475" s="22" t="b">
        <v>0</v>
      </c>
      <c r="D475" s="21" t="str">
        <f t="shared" si="7"/>
        <v>Friday</v>
      </c>
      <c r="E475" s="23">
        <v>0.1212</v>
      </c>
      <c r="F475" s="23">
        <f>YEAR('Merged raw data'!$B475)</f>
        <v>2011</v>
      </c>
      <c r="G475" s="23" t="str">
        <f>TEXT('Merged raw data'!$B475,"mmmm")</f>
        <v>January</v>
      </c>
      <c r="H475" s="37" t="str">
        <f>TEXT(TIME('Merged raw data'!F475,0,0),"h AM/PM")</f>
        <v>6 PM</v>
      </c>
      <c r="I475" s="23" t="str">
        <f>IF(OR('Merged raw data'!H475=1,'Merged raw data'!H475=2,'Merged raw data'!H475=3,'Merged raw data'!H475=4,'Merged raw data'!H475=5),"weekday","weekend")</f>
        <v>weekday</v>
      </c>
      <c r="J475" s="23" t="s">
        <v>23</v>
      </c>
      <c r="K475" s="23" t="str">
        <f>IF('Merged raw data'!I475=1,"Clear",IF('Merged raw data'!I475=2,"Mist",IF('Merged raw data'!I475=3,"Rain",IF('Merged raw data'!I475=4,"Storm","NA"))))</f>
        <v>Clear</v>
      </c>
      <c r="L475" s="24">
        <v>0.3</v>
      </c>
      <c r="M475" s="24">
        <v>0.25369999999999998</v>
      </c>
      <c r="N475" s="21">
        <f>'Merged raw data'!$J475*100</f>
        <v>12</v>
      </c>
      <c r="O475" s="21">
        <v>1</v>
      </c>
      <c r="P475" s="21">
        <v>119</v>
      </c>
      <c r="Q475" s="21">
        <v>120</v>
      </c>
      <c r="R475" s="21" t="str">
        <f>IF(Q475&gt;=outliers!I477,"High",IF(Q475&lt;=outliers!I476,"Low","Moderate"))</f>
        <v>High</v>
      </c>
      <c r="S475" s="8" t="str">
        <f>IF(OR(Q475&lt;outliers!$I$6,Q475&gt;outliers!$I$7),"Outlier","Normal")</f>
        <v>Normal</v>
      </c>
      <c r="T475" s="8" t="str">
        <f>IF(OR(L475&lt;outliers!$J$6,L475&gt;outliers!$J$7),"Outlier","Normal")</f>
        <v>Normal</v>
      </c>
      <c r="U475" s="8" t="str">
        <f>IF(OR(M475&lt;outliers!$K$6,M475&gt;outliers!$K$7),"Outlier","Normal")</f>
        <v>Normal</v>
      </c>
    </row>
    <row r="476" spans="1:21">
      <c r="A476" s="21">
        <v>475</v>
      </c>
      <c r="B476" s="68">
        <v>40564</v>
      </c>
      <c r="C476" s="22" t="b">
        <v>0</v>
      </c>
      <c r="D476" s="21" t="str">
        <f t="shared" si="7"/>
        <v>Friday</v>
      </c>
      <c r="E476" s="23">
        <v>0.1061</v>
      </c>
      <c r="F476" s="23">
        <f>YEAR('Merged raw data'!$B476)</f>
        <v>2011</v>
      </c>
      <c r="G476" s="23" t="str">
        <f>TEXT('Merged raw data'!$B476,"mmmm")</f>
        <v>January</v>
      </c>
      <c r="H476" s="37" t="str">
        <f>TEXT(TIME('Merged raw data'!F476,0,0),"h AM/PM")</f>
        <v>7 PM</v>
      </c>
      <c r="I476" s="23" t="str">
        <f>IF(OR('Merged raw data'!H476=1,'Merged raw data'!H476=2,'Merged raw data'!H476=3,'Merged raw data'!H476=4,'Merged raw data'!H476=5),"weekday","weekend")</f>
        <v>weekday</v>
      </c>
      <c r="J476" s="23" t="s">
        <v>23</v>
      </c>
      <c r="K476" s="23" t="str">
        <f>IF('Merged raw data'!I476=1,"Clear",IF('Merged raw data'!I476=2,"Mist",IF('Merged raw data'!I476=3,"Rain",IF('Merged raw data'!I476=4,"Storm","NA"))))</f>
        <v>Clear</v>
      </c>
      <c r="L476" s="24">
        <v>0.3</v>
      </c>
      <c r="M476" s="24">
        <v>0.32840000000000003</v>
      </c>
      <c r="N476" s="21">
        <f>'Merged raw data'!$J476*100</f>
        <v>12</v>
      </c>
      <c r="O476" s="21">
        <v>3</v>
      </c>
      <c r="P476" s="21">
        <v>93</v>
      </c>
      <c r="Q476" s="21">
        <v>96</v>
      </c>
      <c r="R476" s="21" t="str">
        <f>IF(Q476&gt;=outliers!I478,"High",IF(Q476&lt;=outliers!I477,"Low","Moderate"))</f>
        <v>High</v>
      </c>
      <c r="S476" s="8" t="str">
        <f>IF(OR(Q476&lt;outliers!$I$6,Q476&gt;outliers!$I$7),"Outlier","Normal")</f>
        <v>Normal</v>
      </c>
      <c r="T476" s="8" t="str">
        <f>IF(OR(L476&lt;outliers!$J$6,L476&gt;outliers!$J$7),"Outlier","Normal")</f>
        <v>Normal</v>
      </c>
      <c r="U476" s="8" t="str">
        <f>IF(OR(M476&lt;outliers!$K$6,M476&gt;outliers!$K$7),"Outlier","Normal")</f>
        <v>Normal</v>
      </c>
    </row>
    <row r="477" spans="1:21">
      <c r="A477" s="21">
        <v>476</v>
      </c>
      <c r="B477" s="68">
        <v>40564</v>
      </c>
      <c r="C477" s="22" t="b">
        <v>0</v>
      </c>
      <c r="D477" s="21" t="str">
        <f t="shared" si="7"/>
        <v>Friday</v>
      </c>
      <c r="E477" s="23">
        <v>7.5800000000000006E-2</v>
      </c>
      <c r="F477" s="23">
        <f>YEAR('Merged raw data'!$B477)</f>
        <v>2011</v>
      </c>
      <c r="G477" s="23" t="str">
        <f>TEXT('Merged raw data'!$B477,"mmmm")</f>
        <v>January</v>
      </c>
      <c r="H477" s="37" t="str">
        <f>TEXT(TIME('Merged raw data'!F477,0,0),"h AM/PM")</f>
        <v>8 PM</v>
      </c>
      <c r="I477" s="23" t="str">
        <f>IF(OR('Merged raw data'!H477=1,'Merged raw data'!H477=2,'Merged raw data'!H477=3,'Merged raw data'!H477=4,'Merged raw data'!H477=5),"weekday","weekend")</f>
        <v>weekday</v>
      </c>
      <c r="J477" s="23" t="s">
        <v>23</v>
      </c>
      <c r="K477" s="23" t="str">
        <f>IF('Merged raw data'!I477=1,"Clear",IF('Merged raw data'!I477=2,"Mist",IF('Merged raw data'!I477=3,"Rain",IF('Merged raw data'!I477=4,"Storm","NA"))))</f>
        <v>Clear</v>
      </c>
      <c r="L477" s="24">
        <v>0.33</v>
      </c>
      <c r="M477" s="24">
        <v>0.41789999999999999</v>
      </c>
      <c r="N477" s="21">
        <f>'Merged raw data'!$J477*100</f>
        <v>10</v>
      </c>
      <c r="O477" s="21">
        <v>1</v>
      </c>
      <c r="P477" s="21">
        <v>52</v>
      </c>
      <c r="Q477" s="21">
        <v>53</v>
      </c>
      <c r="R477" s="21" t="str">
        <f>IF(Q477&gt;=outliers!I479,"High",IF(Q477&lt;=outliers!I478,"Low","Moderate"))</f>
        <v>High</v>
      </c>
      <c r="S477" s="8" t="str">
        <f>IF(OR(Q477&lt;outliers!$I$6,Q477&gt;outliers!$I$7),"Outlier","Normal")</f>
        <v>Normal</v>
      </c>
      <c r="T477" s="8" t="str">
        <f>IF(OR(L477&lt;outliers!$J$6,L477&gt;outliers!$J$7),"Outlier","Normal")</f>
        <v>Normal</v>
      </c>
      <c r="U477" s="8" t="str">
        <f>IF(OR(M477&lt;outliers!$K$6,M477&gt;outliers!$K$7),"Outlier","Normal")</f>
        <v>Normal</v>
      </c>
    </row>
    <row r="478" spans="1:21">
      <c r="A478" s="21">
        <v>477</v>
      </c>
      <c r="B478" s="68">
        <v>40564</v>
      </c>
      <c r="C478" s="22" t="b">
        <v>0</v>
      </c>
      <c r="D478" s="21" t="str">
        <f t="shared" si="7"/>
        <v>Friday</v>
      </c>
      <c r="E478" s="23">
        <v>7.5800000000000006E-2</v>
      </c>
      <c r="F478" s="23">
        <f>YEAR('Merged raw data'!$B478)</f>
        <v>2011</v>
      </c>
      <c r="G478" s="23" t="str">
        <f>TEXT('Merged raw data'!$B478,"mmmm")</f>
        <v>January</v>
      </c>
      <c r="H478" s="37" t="str">
        <f>TEXT(TIME('Merged raw data'!F478,0,0),"h AM/PM")</f>
        <v>9 PM</v>
      </c>
      <c r="I478" s="23" t="str">
        <f>IF(OR('Merged raw data'!H478=1,'Merged raw data'!H478=2,'Merged raw data'!H478=3,'Merged raw data'!H478=4,'Merged raw data'!H478=5),"weekday","weekend")</f>
        <v>weekday</v>
      </c>
      <c r="J478" s="23" t="s">
        <v>23</v>
      </c>
      <c r="K478" s="23" t="str">
        <f>IF('Merged raw data'!I478=1,"Clear",IF('Merged raw data'!I478=2,"Mist",IF('Merged raw data'!I478=3,"Rain",IF('Merged raw data'!I478=4,"Storm","NA"))))</f>
        <v>Clear</v>
      </c>
      <c r="L478" s="24">
        <v>0.38</v>
      </c>
      <c r="M478" s="24">
        <v>0.28360000000000002</v>
      </c>
      <c r="N478" s="21">
        <f>'Merged raw data'!$J478*100</f>
        <v>8</v>
      </c>
      <c r="O478" s="21">
        <v>0</v>
      </c>
      <c r="P478" s="21">
        <v>41</v>
      </c>
      <c r="Q478" s="21">
        <v>41</v>
      </c>
      <c r="R478" s="21" t="str">
        <f>IF(Q478&gt;=outliers!I480,"High",IF(Q478&lt;=outliers!I479,"Low","Moderate"))</f>
        <v>High</v>
      </c>
      <c r="S478" s="8" t="str">
        <f>IF(OR(Q478&lt;outliers!$I$6,Q478&gt;outliers!$I$7),"Outlier","Normal")</f>
        <v>Normal</v>
      </c>
      <c r="T478" s="8" t="str">
        <f>IF(OR(L478&lt;outliers!$J$6,L478&gt;outliers!$J$7),"Outlier","Normal")</f>
        <v>Normal</v>
      </c>
      <c r="U478" s="8" t="str">
        <f>IF(OR(M478&lt;outliers!$K$6,M478&gt;outliers!$K$7),"Outlier","Normal")</f>
        <v>Normal</v>
      </c>
    </row>
    <row r="479" spans="1:21">
      <c r="A479" s="21">
        <v>478</v>
      </c>
      <c r="B479" s="68">
        <v>40564</v>
      </c>
      <c r="C479" s="22" t="b">
        <v>0</v>
      </c>
      <c r="D479" s="21" t="str">
        <f t="shared" si="7"/>
        <v>Friday</v>
      </c>
      <c r="E479" s="23">
        <v>3.0300000000000001E-2</v>
      </c>
      <c r="F479" s="23">
        <f>YEAR('Merged raw data'!$B479)</f>
        <v>2011</v>
      </c>
      <c r="G479" s="23" t="str">
        <f>TEXT('Merged raw data'!$B479,"mmmm")</f>
        <v>January</v>
      </c>
      <c r="H479" s="37" t="str">
        <f>TEXT(TIME('Merged raw data'!F479,0,0),"h AM/PM")</f>
        <v>10 PM</v>
      </c>
      <c r="I479" s="23" t="str">
        <f>IF(OR('Merged raw data'!H479=1,'Merged raw data'!H479=2,'Merged raw data'!H479=3,'Merged raw data'!H479=4,'Merged raw data'!H479=5),"weekday","weekend")</f>
        <v>weekday</v>
      </c>
      <c r="J479" s="23" t="s">
        <v>23</v>
      </c>
      <c r="K479" s="23" t="str">
        <f>IF('Merged raw data'!I479=1,"Clear",IF('Merged raw data'!I479=2,"Mist",IF('Merged raw data'!I479=3,"Rain",IF('Merged raw data'!I479=4,"Storm","NA"))))</f>
        <v>Clear</v>
      </c>
      <c r="L479" s="24">
        <v>0.41</v>
      </c>
      <c r="M479" s="24">
        <v>0.3881</v>
      </c>
      <c r="N479" s="21">
        <f>'Merged raw data'!$J479*100</f>
        <v>6</v>
      </c>
      <c r="O479" s="21">
        <v>1</v>
      </c>
      <c r="P479" s="21">
        <v>33</v>
      </c>
      <c r="Q479" s="21">
        <v>34</v>
      </c>
      <c r="R479" s="21" t="str">
        <f>IF(Q479&gt;=outliers!I481,"High",IF(Q479&lt;=outliers!I480,"Low","Moderate"))</f>
        <v>High</v>
      </c>
      <c r="S479" s="8" t="str">
        <f>IF(OR(Q479&lt;outliers!$I$6,Q479&gt;outliers!$I$7),"Outlier","Normal")</f>
        <v>Normal</v>
      </c>
      <c r="T479" s="8" t="str">
        <f>IF(OR(L479&lt;outliers!$J$6,L479&gt;outliers!$J$7),"Outlier","Normal")</f>
        <v>Normal</v>
      </c>
      <c r="U479" s="8" t="str">
        <f>IF(OR(M479&lt;outliers!$K$6,M479&gt;outliers!$K$7),"Outlier","Normal")</f>
        <v>Normal</v>
      </c>
    </row>
    <row r="480" spans="1:21">
      <c r="A480" s="21">
        <v>479</v>
      </c>
      <c r="B480" s="68">
        <v>40564</v>
      </c>
      <c r="C480" s="22" t="b">
        <v>0</v>
      </c>
      <c r="D480" s="21" t="str">
        <f t="shared" si="7"/>
        <v>Friday</v>
      </c>
      <c r="E480" s="23">
        <v>4.5499999999999999E-2</v>
      </c>
      <c r="F480" s="23">
        <f>YEAR('Merged raw data'!$B480)</f>
        <v>2011</v>
      </c>
      <c r="G480" s="23" t="str">
        <f>TEXT('Merged raw data'!$B480,"mmmm")</f>
        <v>January</v>
      </c>
      <c r="H480" s="37" t="str">
        <f>TEXT(TIME('Merged raw data'!F480,0,0),"h AM/PM")</f>
        <v>11 PM</v>
      </c>
      <c r="I480" s="23" t="str">
        <f>IF(OR('Merged raw data'!H480=1,'Merged raw data'!H480=2,'Merged raw data'!H480=3,'Merged raw data'!H480=4,'Merged raw data'!H480=5),"weekday","weekend")</f>
        <v>weekday</v>
      </c>
      <c r="J480" s="23" t="s">
        <v>23</v>
      </c>
      <c r="K480" s="23" t="str">
        <f>IF('Merged raw data'!I480=1,"Clear",IF('Merged raw data'!I480=2,"Mist",IF('Merged raw data'!I480=3,"Rain",IF('Merged raw data'!I480=4,"Storm","NA"))))</f>
        <v>Clear</v>
      </c>
      <c r="L480" s="24">
        <v>0.38</v>
      </c>
      <c r="M480" s="24">
        <v>0.32840000000000003</v>
      </c>
      <c r="N480" s="21">
        <f>'Merged raw data'!$J480*100</f>
        <v>6</v>
      </c>
      <c r="O480" s="21">
        <v>0</v>
      </c>
      <c r="P480" s="21">
        <v>27</v>
      </c>
      <c r="Q480" s="21">
        <v>27</v>
      </c>
      <c r="R480" s="21" t="str">
        <f>IF(Q480&gt;=outliers!I482,"High",IF(Q480&lt;=outliers!I481,"Low","Moderate"))</f>
        <v>High</v>
      </c>
      <c r="S480" s="8" t="str">
        <f>IF(OR(Q480&lt;outliers!$I$6,Q480&gt;outliers!$I$7),"Outlier","Normal")</f>
        <v>Normal</v>
      </c>
      <c r="T480" s="8" t="str">
        <f>IF(OR(L480&lt;outliers!$J$6,L480&gt;outliers!$J$7),"Outlier","Normal")</f>
        <v>Normal</v>
      </c>
      <c r="U480" s="8" t="str">
        <f>IF(OR(M480&lt;outliers!$K$6,M480&gt;outliers!$K$7),"Outlier","Normal")</f>
        <v>Normal</v>
      </c>
    </row>
    <row r="481" spans="1:21">
      <c r="A481" s="21">
        <v>480</v>
      </c>
      <c r="B481" s="68">
        <v>40565</v>
      </c>
      <c r="C481" s="22" t="b">
        <v>0</v>
      </c>
      <c r="D481" s="21" t="str">
        <f t="shared" si="7"/>
        <v>Saturday</v>
      </c>
      <c r="E481" s="23">
        <v>3.0300000000000001E-2</v>
      </c>
      <c r="F481" s="23">
        <f>YEAR('Merged raw data'!$B481)</f>
        <v>2011</v>
      </c>
      <c r="G481" s="23" t="str">
        <f>TEXT('Merged raw data'!$B481,"mmmm")</f>
        <v>January</v>
      </c>
      <c r="H481" s="37" t="str">
        <f>TEXT(TIME('Merged raw data'!F481,0,0),"h AM/PM")</f>
        <v>12 AM</v>
      </c>
      <c r="I481" s="23" t="str">
        <f>IF(OR('Merged raw data'!H481=1,'Merged raw data'!H481=2,'Merged raw data'!H481=3,'Merged raw data'!H481=4,'Merged raw data'!H481=5),"weekday","weekend")</f>
        <v>weekend</v>
      </c>
      <c r="J481" s="23" t="s">
        <v>23</v>
      </c>
      <c r="K481" s="23" t="str">
        <f>IF('Merged raw data'!I481=1,"Clear",IF('Merged raw data'!I481=2,"Mist",IF('Merged raw data'!I481=3,"Rain",IF('Merged raw data'!I481=4,"Storm","NA"))))</f>
        <v>Clear</v>
      </c>
      <c r="L481" s="24">
        <v>0.45</v>
      </c>
      <c r="M481" s="24">
        <v>0.25369999999999998</v>
      </c>
      <c r="N481" s="21">
        <f>'Merged raw data'!$J481*100</f>
        <v>4</v>
      </c>
      <c r="O481" s="21">
        <v>0</v>
      </c>
      <c r="P481" s="21">
        <v>13</v>
      </c>
      <c r="Q481" s="21">
        <v>13</v>
      </c>
      <c r="R481" s="21" t="str">
        <f>IF(Q481&gt;=outliers!I483,"High",IF(Q481&lt;=outliers!I482,"Low","Moderate"))</f>
        <v>High</v>
      </c>
      <c r="S481" s="8" t="str">
        <f>IF(OR(Q481&lt;outliers!$I$6,Q481&gt;outliers!$I$7),"Outlier","Normal")</f>
        <v>Normal</v>
      </c>
      <c r="T481" s="8" t="str">
        <f>IF(OR(L481&lt;outliers!$J$6,L481&gt;outliers!$J$7),"Outlier","Normal")</f>
        <v>Normal</v>
      </c>
      <c r="U481" s="8" t="str">
        <f>IF(OR(M481&lt;outliers!$K$6,M481&gt;outliers!$K$7),"Outlier","Normal")</f>
        <v>Normal</v>
      </c>
    </row>
    <row r="482" spans="1:21">
      <c r="A482" s="21">
        <v>481</v>
      </c>
      <c r="B482" s="68">
        <v>40565</v>
      </c>
      <c r="C482" s="22" t="b">
        <v>0</v>
      </c>
      <c r="D482" s="21" t="str">
        <f t="shared" si="7"/>
        <v>Saturday</v>
      </c>
      <c r="E482" s="23">
        <v>0.21</v>
      </c>
      <c r="F482" s="23">
        <f>YEAR('Merged raw data'!$B482)</f>
        <v>2011</v>
      </c>
      <c r="G482" s="23" t="str">
        <f>TEXT('Merged raw data'!$B482,"mmmm")</f>
        <v>January</v>
      </c>
      <c r="H482" s="37" t="str">
        <f>TEXT(TIME('Merged raw data'!F482,0,0),"h AM/PM")</f>
        <v>1 AM</v>
      </c>
      <c r="I482" s="23" t="str">
        <f>IF(OR('Merged raw data'!H482=1,'Merged raw data'!H482=2,'Merged raw data'!H482=3,'Merged raw data'!H482=4,'Merged raw data'!H482=5),"weekday","weekend")</f>
        <v>weekend</v>
      </c>
      <c r="J482" s="23" t="s">
        <v>23</v>
      </c>
      <c r="K482" s="23" t="str">
        <f>IF('Merged raw data'!I482=1,"Clear",IF('Merged raw data'!I482=2,"Mist",IF('Merged raw data'!I482=3,"Rain",IF('Merged raw data'!I482=4,"Storm","NA"))))</f>
        <v>Mist</v>
      </c>
      <c r="L482" s="24">
        <v>0.41</v>
      </c>
      <c r="M482" s="24">
        <v>0.3881</v>
      </c>
      <c r="N482" s="21">
        <f>'Merged raw data'!$J482*100</f>
        <v>4</v>
      </c>
      <c r="O482" s="21">
        <v>3</v>
      </c>
      <c r="P482" s="21">
        <v>9</v>
      </c>
      <c r="Q482" s="21">
        <v>12</v>
      </c>
      <c r="R482" s="21" t="str">
        <f>IF(Q482&gt;=outliers!I484,"High",IF(Q482&lt;=outliers!I483,"Low","Moderate"))</f>
        <v>High</v>
      </c>
      <c r="S482" s="8" t="str">
        <f>IF(OR(Q482&lt;outliers!$I$6,Q482&gt;outliers!$I$7),"Outlier","Normal")</f>
        <v>Normal</v>
      </c>
      <c r="T482" s="8" t="str">
        <f>IF(OR(L482&lt;outliers!$J$6,L482&gt;outliers!$J$7),"Outlier","Normal")</f>
        <v>Normal</v>
      </c>
      <c r="U482" s="8" t="str">
        <f>IF(OR(M482&lt;outliers!$K$6,M482&gt;outliers!$K$7),"Outlier","Normal")</f>
        <v>Normal</v>
      </c>
    </row>
    <row r="483" spans="1:21">
      <c r="A483" s="21">
        <v>482</v>
      </c>
      <c r="B483" s="68">
        <v>40565</v>
      </c>
      <c r="C483" s="22" t="b">
        <v>0</v>
      </c>
      <c r="D483" s="21" t="str">
        <f t="shared" si="7"/>
        <v>Saturday</v>
      </c>
      <c r="E483" s="23">
        <v>3.0300000000000001E-2</v>
      </c>
      <c r="F483" s="23">
        <f>YEAR('Merged raw data'!$B483)</f>
        <v>2011</v>
      </c>
      <c r="G483" s="23" t="str">
        <f>TEXT('Merged raw data'!$B483,"mmmm")</f>
        <v>January</v>
      </c>
      <c r="H483" s="37" t="str">
        <f>TEXT(TIME('Merged raw data'!F483,0,0),"h AM/PM")</f>
        <v>2 AM</v>
      </c>
      <c r="I483" s="23" t="str">
        <f>IF(OR('Merged raw data'!H483=1,'Merged raw data'!H483=2,'Merged raw data'!H483=3,'Merged raw data'!H483=4,'Merged raw data'!H483=5),"weekday","weekend")</f>
        <v>weekend</v>
      </c>
      <c r="J483" s="23" t="s">
        <v>23</v>
      </c>
      <c r="K483" s="23" t="str">
        <f>IF('Merged raw data'!I483=1,"Clear",IF('Merged raw data'!I483=2,"Mist",IF('Merged raw data'!I483=3,"Rain",IF('Merged raw data'!I483=4,"Storm","NA"))))</f>
        <v>Mist</v>
      </c>
      <c r="L483" s="24">
        <v>0.41</v>
      </c>
      <c r="M483" s="24">
        <v>0.25369999999999998</v>
      </c>
      <c r="N483" s="21">
        <f>'Merged raw data'!$J483*100</f>
        <v>4</v>
      </c>
      <c r="O483" s="21">
        <v>0</v>
      </c>
      <c r="P483" s="21">
        <v>11</v>
      </c>
      <c r="Q483" s="21">
        <v>11</v>
      </c>
      <c r="R483" s="21" t="str">
        <f>IF(Q483&gt;=outliers!I485,"High",IF(Q483&lt;=outliers!I484,"Low","Moderate"))</f>
        <v>High</v>
      </c>
      <c r="S483" s="8" t="str">
        <f>IF(OR(Q483&lt;outliers!$I$6,Q483&gt;outliers!$I$7),"Outlier","Normal")</f>
        <v>Normal</v>
      </c>
      <c r="T483" s="8" t="str">
        <f>IF(OR(L483&lt;outliers!$J$6,L483&gt;outliers!$J$7),"Outlier","Normal")</f>
        <v>Normal</v>
      </c>
      <c r="U483" s="8" t="str">
        <f>IF(OR(M483&lt;outliers!$K$6,M483&gt;outliers!$K$7),"Outlier","Normal")</f>
        <v>Normal</v>
      </c>
    </row>
    <row r="484" spans="1:21">
      <c r="A484" s="21">
        <v>483</v>
      </c>
      <c r="B484" s="68">
        <v>40565</v>
      </c>
      <c r="C484" s="22" t="b">
        <v>0</v>
      </c>
      <c r="D484" s="21" t="str">
        <f t="shared" si="7"/>
        <v>Saturday</v>
      </c>
      <c r="E484" s="23">
        <v>3.0300000000000001E-2</v>
      </c>
      <c r="F484" s="23">
        <f>YEAR('Merged raw data'!$B484)</f>
        <v>2011</v>
      </c>
      <c r="G484" s="23" t="str">
        <f>TEXT('Merged raw data'!$B484,"mmmm")</f>
        <v>January</v>
      </c>
      <c r="H484" s="37" t="str">
        <f>TEXT(TIME('Merged raw data'!F484,0,0),"h AM/PM")</f>
        <v>3 AM</v>
      </c>
      <c r="I484" s="23" t="str">
        <f>IF(OR('Merged raw data'!H484=1,'Merged raw data'!H484=2,'Merged raw data'!H484=3,'Merged raw data'!H484=4,'Merged raw data'!H484=5),"weekday","weekend")</f>
        <v>weekend</v>
      </c>
      <c r="J484" s="23" t="s">
        <v>23</v>
      </c>
      <c r="K484" s="23" t="str">
        <f>IF('Merged raw data'!I484=1,"Clear",IF('Merged raw data'!I484=2,"Mist",IF('Merged raw data'!I484=3,"Rain",IF('Merged raw data'!I484=4,"Storm","NA"))))</f>
        <v>Mist</v>
      </c>
      <c r="L484" s="24">
        <v>0.41</v>
      </c>
      <c r="M484" s="24">
        <v>0.28360000000000002</v>
      </c>
      <c r="N484" s="21">
        <f>'Merged raw data'!$J484*100</f>
        <v>4</v>
      </c>
      <c r="O484" s="21">
        <v>1</v>
      </c>
      <c r="P484" s="21">
        <v>6</v>
      </c>
      <c r="Q484" s="21">
        <v>7</v>
      </c>
      <c r="R484" s="21" t="str">
        <f>IF(Q484&gt;=outliers!I486,"High",IF(Q484&lt;=outliers!I485,"Low","Moderate"))</f>
        <v>High</v>
      </c>
      <c r="S484" s="8" t="str">
        <f>IF(OR(Q484&lt;outliers!$I$6,Q484&gt;outliers!$I$7),"Outlier","Normal")</f>
        <v>Normal</v>
      </c>
      <c r="T484" s="8" t="str">
        <f>IF(OR(L484&lt;outliers!$J$6,L484&gt;outliers!$J$7),"Outlier","Normal")</f>
        <v>Normal</v>
      </c>
      <c r="U484" s="8" t="str">
        <f>IF(OR(M484&lt;outliers!$K$6,M484&gt;outliers!$K$7),"Outlier","Normal")</f>
        <v>Normal</v>
      </c>
    </row>
    <row r="485" spans="1:21">
      <c r="A485" s="21">
        <v>484</v>
      </c>
      <c r="B485" s="68">
        <v>40565</v>
      </c>
      <c r="C485" s="22" t="b">
        <v>0</v>
      </c>
      <c r="D485" s="21" t="str">
        <f t="shared" si="7"/>
        <v>Saturday</v>
      </c>
      <c r="E485" s="23">
        <v>1.52E-2</v>
      </c>
      <c r="F485" s="23">
        <f>YEAR('Merged raw data'!$B485)</f>
        <v>2011</v>
      </c>
      <c r="G485" s="23" t="str">
        <f>TEXT('Merged raw data'!$B485,"mmmm")</f>
        <v>January</v>
      </c>
      <c r="H485" s="37" t="str">
        <f>TEXT(TIME('Merged raw data'!F485,0,0),"h AM/PM")</f>
        <v>4 AM</v>
      </c>
      <c r="I485" s="23" t="str">
        <f>IF(OR('Merged raw data'!H485=1,'Merged raw data'!H485=2,'Merged raw data'!H485=3,'Merged raw data'!H485=4,'Merged raw data'!H485=5),"weekday","weekend")</f>
        <v>weekend</v>
      </c>
      <c r="J485" s="23" t="s">
        <v>23</v>
      </c>
      <c r="K485" s="23" t="str">
        <f>IF('Merged raw data'!I485=1,"Clear",IF('Merged raw data'!I485=2,"Mist",IF('Merged raw data'!I485=3,"Rain",IF('Merged raw data'!I485=4,"Storm","NA"))))</f>
        <v>Mist</v>
      </c>
      <c r="L485" s="24">
        <v>0.48</v>
      </c>
      <c r="M485" s="24">
        <v>0.29849999999999999</v>
      </c>
      <c r="N485" s="21">
        <f>'Merged raw data'!$J485*100</f>
        <v>2</v>
      </c>
      <c r="O485" s="21">
        <v>0</v>
      </c>
      <c r="P485" s="21">
        <v>3</v>
      </c>
      <c r="Q485" s="21">
        <v>3</v>
      </c>
      <c r="R485" s="21" t="str">
        <f>IF(Q485&gt;=outliers!I487,"High",IF(Q485&lt;=outliers!I486,"Low","Moderate"))</f>
        <v>High</v>
      </c>
      <c r="S485" s="8" t="str">
        <f>IF(OR(Q485&lt;outliers!$I$6,Q485&gt;outliers!$I$7),"Outlier","Normal")</f>
        <v>Normal</v>
      </c>
      <c r="T485" s="8" t="str">
        <f>IF(OR(L485&lt;outliers!$J$6,L485&gt;outliers!$J$7),"Outlier","Normal")</f>
        <v>Normal</v>
      </c>
      <c r="U485" s="8" t="str">
        <f>IF(OR(M485&lt;outliers!$K$6,M485&gt;outliers!$K$7),"Outlier","Normal")</f>
        <v>Normal</v>
      </c>
    </row>
    <row r="486" spans="1:21">
      <c r="A486" s="21">
        <v>485</v>
      </c>
      <c r="B486" s="68">
        <v>40565</v>
      </c>
      <c r="C486" s="22" t="b">
        <v>0</v>
      </c>
      <c r="D486" s="21" t="str">
        <f t="shared" si="7"/>
        <v>Saturday</v>
      </c>
      <c r="E486" s="23">
        <v>3.0300000000000001E-2</v>
      </c>
      <c r="F486" s="23">
        <f>YEAR('Merged raw data'!$B486)</f>
        <v>2011</v>
      </c>
      <c r="G486" s="23" t="str">
        <f>TEXT('Merged raw data'!$B486,"mmmm")</f>
        <v>January</v>
      </c>
      <c r="H486" s="37" t="str">
        <f>TEXT(TIME('Merged raw data'!F486,0,0),"h AM/PM")</f>
        <v>6 AM</v>
      </c>
      <c r="I486" s="23" t="str">
        <f>IF(OR('Merged raw data'!H486=1,'Merged raw data'!H486=2,'Merged raw data'!H486=3,'Merged raw data'!H486=4,'Merged raw data'!H486=5),"weekday","weekend")</f>
        <v>weekend</v>
      </c>
      <c r="J486" s="23" t="s">
        <v>23</v>
      </c>
      <c r="K486" s="23" t="str">
        <f>IF('Merged raw data'!I486=1,"Clear",IF('Merged raw data'!I486=2,"Mist",IF('Merged raw data'!I486=3,"Rain",IF('Merged raw data'!I486=4,"Storm","NA"))))</f>
        <v>Mist</v>
      </c>
      <c r="L486" s="24">
        <v>0.44</v>
      </c>
      <c r="M486" s="24">
        <v>0.22389999999999999</v>
      </c>
      <c r="N486" s="21">
        <f>'Merged raw data'!$J486*100</f>
        <v>2</v>
      </c>
      <c r="O486" s="21">
        <v>0</v>
      </c>
      <c r="P486" s="21">
        <v>2</v>
      </c>
      <c r="Q486" s="21">
        <v>2</v>
      </c>
      <c r="R486" s="21" t="str">
        <f>IF(Q486&gt;=outliers!I488,"High",IF(Q486&lt;=outliers!I487,"Low","Moderate"))</f>
        <v>High</v>
      </c>
      <c r="S486" s="8" t="str">
        <f>IF(OR(Q486&lt;outliers!$I$6,Q486&gt;outliers!$I$7),"Outlier","Normal")</f>
        <v>Normal</v>
      </c>
      <c r="T486" s="8" t="str">
        <f>IF(OR(L486&lt;outliers!$J$6,L486&gt;outliers!$J$7),"Outlier","Normal")</f>
        <v>Normal</v>
      </c>
      <c r="U486" s="8" t="str">
        <f>IF(OR(M486&lt;outliers!$K$6,M486&gt;outliers!$K$7),"Outlier","Normal")</f>
        <v>Normal</v>
      </c>
    </row>
    <row r="487" spans="1:21">
      <c r="A487" s="21">
        <v>486</v>
      </c>
      <c r="B487" s="68">
        <v>40565</v>
      </c>
      <c r="C487" s="22" t="b">
        <v>0</v>
      </c>
      <c r="D487" s="21" t="str">
        <f t="shared" si="7"/>
        <v>Saturday</v>
      </c>
      <c r="E487" s="23">
        <v>1.52E-2</v>
      </c>
      <c r="F487" s="23">
        <f>YEAR('Merged raw data'!$B487)</f>
        <v>2011</v>
      </c>
      <c r="G487" s="23" t="str">
        <f>TEXT('Merged raw data'!$B487,"mmmm")</f>
        <v>January</v>
      </c>
      <c r="H487" s="37" t="str">
        <f>TEXT(TIME('Merged raw data'!F487,0,0),"h AM/PM")</f>
        <v>7 AM</v>
      </c>
      <c r="I487" s="23" t="str">
        <f>IF(OR('Merged raw data'!H487=1,'Merged raw data'!H487=2,'Merged raw data'!H487=3,'Merged raw data'!H487=4,'Merged raw data'!H487=5),"weekday","weekend")</f>
        <v>weekend</v>
      </c>
      <c r="J487" s="23" t="s">
        <v>23</v>
      </c>
      <c r="K487" s="23" t="str">
        <f>IF('Merged raw data'!I487=1,"Clear",IF('Merged raw data'!I487=2,"Mist",IF('Merged raw data'!I487=3,"Rain",IF('Merged raw data'!I487=4,"Storm","NA"))))</f>
        <v>Clear</v>
      </c>
      <c r="L487" s="24">
        <v>0.44</v>
      </c>
      <c r="M487" s="24">
        <v>0.28360000000000002</v>
      </c>
      <c r="N487" s="21">
        <f>'Merged raw data'!$J487*100</f>
        <v>2</v>
      </c>
      <c r="O487" s="21">
        <v>0</v>
      </c>
      <c r="P487" s="21">
        <v>8</v>
      </c>
      <c r="Q487" s="21">
        <v>8</v>
      </c>
      <c r="R487" s="21" t="str">
        <f>IF(Q487&gt;=outliers!I489,"High",IF(Q487&lt;=outliers!I488,"Low","Moderate"))</f>
        <v>High</v>
      </c>
      <c r="S487" s="8" t="str">
        <f>IF(OR(Q487&lt;outliers!$I$6,Q487&gt;outliers!$I$7),"Outlier","Normal")</f>
        <v>Normal</v>
      </c>
      <c r="T487" s="8" t="str">
        <f>IF(OR(L487&lt;outliers!$J$6,L487&gt;outliers!$J$7),"Outlier","Normal")</f>
        <v>Normal</v>
      </c>
      <c r="U487" s="8" t="str">
        <f>IF(OR(M487&lt;outliers!$K$6,M487&gt;outliers!$K$7),"Outlier","Normal")</f>
        <v>Normal</v>
      </c>
    </row>
    <row r="488" spans="1:21">
      <c r="A488" s="21">
        <v>487</v>
      </c>
      <c r="B488" s="68">
        <v>40565</v>
      </c>
      <c r="C488" s="22" t="b">
        <v>0</v>
      </c>
      <c r="D488" s="21" t="str">
        <f t="shared" si="7"/>
        <v>Saturday</v>
      </c>
      <c r="E488" s="23">
        <v>0.21</v>
      </c>
      <c r="F488" s="23">
        <f>YEAR('Merged raw data'!$B488)</f>
        <v>2011</v>
      </c>
      <c r="G488" s="23" t="str">
        <f>TEXT('Merged raw data'!$B488,"mmmm")</f>
        <v>January</v>
      </c>
      <c r="H488" s="37" t="str">
        <f>TEXT(TIME('Merged raw data'!F488,0,0),"h AM/PM")</f>
        <v>8 AM</v>
      </c>
      <c r="I488" s="23" t="str">
        <f>IF(OR('Merged raw data'!H488=1,'Merged raw data'!H488=2,'Merged raw data'!H488=3,'Merged raw data'!H488=4,'Merged raw data'!H488=5),"weekday","weekend")</f>
        <v>weekend</v>
      </c>
      <c r="J488" s="23" t="s">
        <v>23</v>
      </c>
      <c r="K488" s="23" t="str">
        <f>IF('Merged raw data'!I488=1,"Clear",IF('Merged raw data'!I488=2,"Mist",IF('Merged raw data'!I488=3,"Rain",IF('Merged raw data'!I488=4,"Storm","NA"))))</f>
        <v>Clear</v>
      </c>
      <c r="L488" s="24">
        <v>0.44</v>
      </c>
      <c r="M488" s="24">
        <v>0.32840000000000003</v>
      </c>
      <c r="N488" s="21">
        <f>'Merged raw data'!$J488*100</f>
        <v>2</v>
      </c>
      <c r="O488" s="21">
        <v>1</v>
      </c>
      <c r="P488" s="21">
        <v>26</v>
      </c>
      <c r="Q488" s="21">
        <v>27</v>
      </c>
      <c r="R488" s="21" t="str">
        <f>IF(Q488&gt;=outliers!I490,"High",IF(Q488&lt;=outliers!I489,"Low","Moderate"))</f>
        <v>High</v>
      </c>
      <c r="S488" s="8" t="str">
        <f>IF(OR(Q488&lt;outliers!$I$6,Q488&gt;outliers!$I$7),"Outlier","Normal")</f>
        <v>Normal</v>
      </c>
      <c r="T488" s="8" t="str">
        <f>IF(OR(L488&lt;outliers!$J$6,L488&gt;outliers!$J$7),"Outlier","Normal")</f>
        <v>Normal</v>
      </c>
      <c r="U488" s="8" t="str">
        <f>IF(OR(M488&lt;outliers!$K$6,M488&gt;outliers!$K$7),"Outlier","Normal")</f>
        <v>Normal</v>
      </c>
    </row>
    <row r="489" spans="1:21">
      <c r="A489" s="21">
        <v>488</v>
      </c>
      <c r="B489" s="68">
        <v>40565</v>
      </c>
      <c r="C489" s="22" t="b">
        <v>0</v>
      </c>
      <c r="D489" s="21" t="str">
        <f t="shared" si="7"/>
        <v>Saturday</v>
      </c>
      <c r="E489" s="23">
        <v>3.0300000000000001E-2</v>
      </c>
      <c r="F489" s="23">
        <f>YEAR('Merged raw data'!$B489)</f>
        <v>2011</v>
      </c>
      <c r="G489" s="23" t="str">
        <f>TEXT('Merged raw data'!$B489,"mmmm")</f>
        <v>January</v>
      </c>
      <c r="H489" s="37" t="str">
        <f>TEXT(TIME('Merged raw data'!F489,0,0),"h AM/PM")</f>
        <v>9 AM</v>
      </c>
      <c r="I489" s="23" t="str">
        <f>IF(OR('Merged raw data'!H489=1,'Merged raw data'!H489=2,'Merged raw data'!H489=3,'Merged raw data'!H489=4,'Merged raw data'!H489=5),"weekday","weekend")</f>
        <v>weekend</v>
      </c>
      <c r="J489" s="23" t="s">
        <v>23</v>
      </c>
      <c r="K489" s="23" t="str">
        <f>IF('Merged raw data'!I489=1,"Clear",IF('Merged raw data'!I489=2,"Mist",IF('Merged raw data'!I489=3,"Rain",IF('Merged raw data'!I489=4,"Storm","NA"))))</f>
        <v>Clear</v>
      </c>
      <c r="L489" s="24">
        <v>0.41</v>
      </c>
      <c r="M489" s="24">
        <v>0.25369999999999998</v>
      </c>
      <c r="N489" s="21">
        <f>'Merged raw data'!$J489*100</f>
        <v>4</v>
      </c>
      <c r="O489" s="21">
        <v>3</v>
      </c>
      <c r="P489" s="21">
        <v>37</v>
      </c>
      <c r="Q489" s="21">
        <v>40</v>
      </c>
      <c r="R489" s="21" t="str">
        <f>IF(Q489&gt;=outliers!I491,"High",IF(Q489&lt;=outliers!I490,"Low","Moderate"))</f>
        <v>High</v>
      </c>
      <c r="S489" s="8" t="str">
        <f>IF(OR(Q489&lt;outliers!$I$6,Q489&gt;outliers!$I$7),"Outlier","Normal")</f>
        <v>Normal</v>
      </c>
      <c r="T489" s="8" t="str">
        <f>IF(OR(L489&lt;outliers!$J$6,L489&gt;outliers!$J$7),"Outlier","Normal")</f>
        <v>Normal</v>
      </c>
      <c r="U489" s="8" t="str">
        <f>IF(OR(M489&lt;outliers!$K$6,M489&gt;outliers!$K$7),"Outlier","Normal")</f>
        <v>Normal</v>
      </c>
    </row>
    <row r="490" spans="1:21">
      <c r="A490" s="21">
        <v>489</v>
      </c>
      <c r="B490" s="68">
        <v>40565</v>
      </c>
      <c r="C490" s="22" t="b">
        <v>0</v>
      </c>
      <c r="D490" s="21" t="str">
        <f t="shared" si="7"/>
        <v>Saturday</v>
      </c>
      <c r="E490" s="23">
        <v>6.0600000000000001E-2</v>
      </c>
      <c r="F490" s="23">
        <f>YEAR('Merged raw data'!$B490)</f>
        <v>2011</v>
      </c>
      <c r="G490" s="23" t="str">
        <f>TEXT('Merged raw data'!$B490,"mmmm")</f>
        <v>January</v>
      </c>
      <c r="H490" s="37" t="str">
        <f>TEXT(TIME('Merged raw data'!F490,0,0),"h AM/PM")</f>
        <v>10 AM</v>
      </c>
      <c r="I490" s="23" t="str">
        <f>IF(OR('Merged raw data'!H490=1,'Merged raw data'!H490=2,'Merged raw data'!H490=3,'Merged raw data'!H490=4,'Merged raw data'!H490=5),"weekday","weekend")</f>
        <v>weekend</v>
      </c>
      <c r="J490" s="23" t="s">
        <v>23</v>
      </c>
      <c r="K490" s="23" t="str">
        <f>IF('Merged raw data'!I490=1,"Clear",IF('Merged raw data'!I490=2,"Mist",IF('Merged raw data'!I490=3,"Rain",IF('Merged raw data'!I490=4,"Storm","NA"))))</f>
        <v>Mist</v>
      </c>
      <c r="L490" s="24">
        <v>0.41</v>
      </c>
      <c r="M490" s="24">
        <v>0.16420000000000001</v>
      </c>
      <c r="N490" s="21">
        <f>'Merged raw data'!$J490*100</f>
        <v>4</v>
      </c>
      <c r="O490" s="21">
        <v>3</v>
      </c>
      <c r="P490" s="21">
        <v>50</v>
      </c>
      <c r="Q490" s="21">
        <v>53</v>
      </c>
      <c r="R490" s="21" t="str">
        <f>IF(Q490&gt;=outliers!I492,"High",IF(Q490&lt;=outliers!I491,"Low","Moderate"))</f>
        <v>High</v>
      </c>
      <c r="S490" s="8" t="str">
        <f>IF(OR(Q490&lt;outliers!$I$6,Q490&gt;outliers!$I$7),"Outlier","Normal")</f>
        <v>Normal</v>
      </c>
      <c r="T490" s="8" t="str">
        <f>IF(OR(L490&lt;outliers!$J$6,L490&gt;outliers!$J$7),"Outlier","Normal")</f>
        <v>Normal</v>
      </c>
      <c r="U490" s="8" t="str">
        <f>IF(OR(M490&lt;outliers!$K$6,M490&gt;outliers!$K$7),"Outlier","Normal")</f>
        <v>Normal</v>
      </c>
    </row>
    <row r="491" spans="1:21">
      <c r="A491" s="21">
        <v>490</v>
      </c>
      <c r="B491" s="68">
        <v>40565</v>
      </c>
      <c r="C491" s="22" t="b">
        <v>0</v>
      </c>
      <c r="D491" s="21" t="str">
        <f t="shared" si="7"/>
        <v>Saturday</v>
      </c>
      <c r="E491" s="23">
        <v>7.5800000000000006E-2</v>
      </c>
      <c r="F491" s="23">
        <f>YEAR('Merged raw data'!$B491)</f>
        <v>2011</v>
      </c>
      <c r="G491" s="23" t="str">
        <f>TEXT('Merged raw data'!$B491,"mmmm")</f>
        <v>January</v>
      </c>
      <c r="H491" s="37" t="str">
        <f>TEXT(TIME('Merged raw data'!F491,0,0),"h AM/PM")</f>
        <v>11 AM</v>
      </c>
      <c r="I491" s="23" t="str">
        <f>IF(OR('Merged raw data'!H491=1,'Merged raw data'!H491=2,'Merged raw data'!H491=3,'Merged raw data'!H491=4,'Merged raw data'!H491=5),"weekday","weekend")</f>
        <v>weekend</v>
      </c>
      <c r="J491" s="23" t="s">
        <v>23</v>
      </c>
      <c r="K491" s="23" t="str">
        <f>IF('Merged raw data'!I491=1,"Clear",IF('Merged raw data'!I491=2,"Mist",IF('Merged raw data'!I491=3,"Rain",IF('Merged raw data'!I491=4,"Storm","NA"))))</f>
        <v>Mist</v>
      </c>
      <c r="L491" s="24">
        <v>0.38</v>
      </c>
      <c r="M491" s="24">
        <v>0.1343</v>
      </c>
      <c r="N491" s="21">
        <f>'Merged raw data'!$J491*100</f>
        <v>6</v>
      </c>
      <c r="O491" s="21">
        <v>4</v>
      </c>
      <c r="P491" s="21">
        <v>59</v>
      </c>
      <c r="Q491" s="21">
        <v>63</v>
      </c>
      <c r="R491" s="21" t="str">
        <f>IF(Q491&gt;=outliers!I493,"High",IF(Q491&lt;=outliers!I492,"Low","Moderate"))</f>
        <v>High</v>
      </c>
      <c r="S491" s="8" t="str">
        <f>IF(OR(Q491&lt;outliers!$I$6,Q491&gt;outliers!$I$7),"Outlier","Normal")</f>
        <v>Normal</v>
      </c>
      <c r="T491" s="8" t="str">
        <f>IF(OR(L491&lt;outliers!$J$6,L491&gt;outliers!$J$7),"Outlier","Normal")</f>
        <v>Normal</v>
      </c>
      <c r="U491" s="8" t="str">
        <f>IF(OR(M491&lt;outliers!$K$6,M491&gt;outliers!$K$7),"Outlier","Normal")</f>
        <v>Normal</v>
      </c>
    </row>
    <row r="492" spans="1:21">
      <c r="A492" s="21">
        <v>491</v>
      </c>
      <c r="B492" s="68">
        <v>40565</v>
      </c>
      <c r="C492" s="22" t="b">
        <v>0</v>
      </c>
      <c r="D492" s="21" t="str">
        <f t="shared" si="7"/>
        <v>Saturday</v>
      </c>
      <c r="E492" s="23">
        <v>0.1061</v>
      </c>
      <c r="F492" s="23">
        <f>YEAR('Merged raw data'!$B492)</f>
        <v>2011</v>
      </c>
      <c r="G492" s="23" t="str">
        <f>TEXT('Merged raw data'!$B492,"mmmm")</f>
        <v>January</v>
      </c>
      <c r="H492" s="37" t="str">
        <f>TEXT(TIME('Merged raw data'!F492,0,0),"h AM/PM")</f>
        <v>12 PM</v>
      </c>
      <c r="I492" s="23" t="str">
        <f>IF(OR('Merged raw data'!H492=1,'Merged raw data'!H492=2,'Merged raw data'!H492=3,'Merged raw data'!H492=4,'Merged raw data'!H492=5),"weekday","weekend")</f>
        <v>weekend</v>
      </c>
      <c r="J492" s="23" t="s">
        <v>23</v>
      </c>
      <c r="K492" s="23" t="str">
        <f>IF('Merged raw data'!I492=1,"Clear",IF('Merged raw data'!I492=2,"Mist",IF('Merged raw data'!I492=3,"Rain",IF('Merged raw data'!I492=4,"Storm","NA"))))</f>
        <v>Mist</v>
      </c>
      <c r="L492" s="24">
        <v>0.38</v>
      </c>
      <c r="M492" s="24">
        <v>0.1045</v>
      </c>
      <c r="N492" s="21">
        <f>'Merged raw data'!$J492*100</f>
        <v>6</v>
      </c>
      <c r="O492" s="21">
        <v>10</v>
      </c>
      <c r="P492" s="21">
        <v>60</v>
      </c>
      <c r="Q492" s="21">
        <v>70</v>
      </c>
      <c r="R492" s="21" t="str">
        <f>IF(Q492&gt;=outliers!I494,"High",IF(Q492&lt;=outliers!I493,"Low","Moderate"))</f>
        <v>High</v>
      </c>
      <c r="S492" s="8" t="str">
        <f>IF(OR(Q492&lt;outliers!$I$6,Q492&gt;outliers!$I$7),"Outlier","Normal")</f>
        <v>Normal</v>
      </c>
      <c r="T492" s="8" t="str">
        <f>IF(OR(L492&lt;outliers!$J$6,L492&gt;outliers!$J$7),"Outlier","Normal")</f>
        <v>Normal</v>
      </c>
      <c r="U492" s="8" t="str">
        <f>IF(OR(M492&lt;outliers!$K$6,M492&gt;outliers!$K$7),"Outlier","Normal")</f>
        <v>Normal</v>
      </c>
    </row>
    <row r="493" spans="1:21">
      <c r="A493" s="21">
        <v>492</v>
      </c>
      <c r="B493" s="68">
        <v>40565</v>
      </c>
      <c r="C493" s="22" t="b">
        <v>0</v>
      </c>
      <c r="D493" s="21" t="str">
        <f t="shared" si="7"/>
        <v>Saturday</v>
      </c>
      <c r="E493" s="23">
        <v>0.16669999999999999</v>
      </c>
      <c r="F493" s="23">
        <f>YEAR('Merged raw data'!$B493)</f>
        <v>2011</v>
      </c>
      <c r="G493" s="23" t="str">
        <f>TEXT('Merged raw data'!$B493,"mmmm")</f>
        <v>January</v>
      </c>
      <c r="H493" s="37" t="str">
        <f>TEXT(TIME('Merged raw data'!F493,0,0),"h AM/PM")</f>
        <v>1 PM</v>
      </c>
      <c r="I493" s="23" t="str">
        <f>IF(OR('Merged raw data'!H493=1,'Merged raw data'!H493=2,'Merged raw data'!H493=3,'Merged raw data'!H493=4,'Merged raw data'!H493=5),"weekday","weekend")</f>
        <v>weekend</v>
      </c>
      <c r="J493" s="23" t="s">
        <v>23</v>
      </c>
      <c r="K493" s="23" t="str">
        <f>IF('Merged raw data'!I493=1,"Clear",IF('Merged raw data'!I493=2,"Mist",IF('Merged raw data'!I493=3,"Rain",IF('Merged raw data'!I493=4,"Storm","NA"))))</f>
        <v>Clear</v>
      </c>
      <c r="L493" s="24">
        <v>0.35</v>
      </c>
      <c r="M493" s="24">
        <v>0.23</v>
      </c>
      <c r="N493" s="21">
        <f>'Merged raw data'!$J493*100</f>
        <v>8</v>
      </c>
      <c r="O493" s="21">
        <v>12</v>
      </c>
      <c r="P493" s="21">
        <v>72</v>
      </c>
      <c r="Q493" s="21">
        <v>84</v>
      </c>
      <c r="R493" s="21" t="str">
        <f>IF(Q493&gt;=outliers!I495,"High",IF(Q493&lt;=outliers!I494,"Low","Moderate"))</f>
        <v>High</v>
      </c>
      <c r="S493" s="8" t="str">
        <f>IF(OR(Q493&lt;outliers!$I$6,Q493&gt;outliers!$I$7),"Outlier","Normal")</f>
        <v>Normal</v>
      </c>
      <c r="T493" s="8" t="str">
        <f>IF(OR(L493&lt;outliers!$J$6,L493&gt;outliers!$J$7),"Outlier","Normal")</f>
        <v>Normal</v>
      </c>
      <c r="U493" s="8" t="str">
        <f>IF(OR(M493&lt;outliers!$K$6,M493&gt;outliers!$K$7),"Outlier","Normal")</f>
        <v>Normal</v>
      </c>
    </row>
    <row r="494" spans="1:21">
      <c r="A494" s="21">
        <v>493</v>
      </c>
      <c r="B494" s="68">
        <v>40565</v>
      </c>
      <c r="C494" s="22" t="b">
        <v>0</v>
      </c>
      <c r="D494" s="21" t="str">
        <f t="shared" si="7"/>
        <v>Saturday</v>
      </c>
      <c r="E494" s="23">
        <v>0.13639999999999999</v>
      </c>
      <c r="F494" s="23">
        <f>YEAR('Merged raw data'!$B494)</f>
        <v>2011</v>
      </c>
      <c r="G494" s="23" t="str">
        <f>TEXT('Merged raw data'!$B494,"mmmm")</f>
        <v>January</v>
      </c>
      <c r="H494" s="37" t="str">
        <f>TEXT(TIME('Merged raw data'!F494,0,0),"h AM/PM")</f>
        <v>2 PM</v>
      </c>
      <c r="I494" s="23" t="str">
        <f>IF(OR('Merged raw data'!H494=1,'Merged raw data'!H494=2,'Merged raw data'!H494=3,'Merged raw data'!H494=4,'Merged raw data'!H494=5),"weekday","weekend")</f>
        <v>weekend</v>
      </c>
      <c r="J494" s="23" t="s">
        <v>23</v>
      </c>
      <c r="K494" s="23" t="str">
        <f>IF('Merged raw data'!I494=1,"Clear",IF('Merged raw data'!I494=2,"Mist",IF('Merged raw data'!I494=3,"Rain",IF('Merged raw data'!I494=4,"Storm","NA"))))</f>
        <v>Clear</v>
      </c>
      <c r="L494" s="24">
        <v>0.33</v>
      </c>
      <c r="M494" s="24">
        <v>0.1045</v>
      </c>
      <c r="N494" s="21">
        <f>'Merged raw data'!$J494*100</f>
        <v>10</v>
      </c>
      <c r="O494" s="21">
        <v>11</v>
      </c>
      <c r="P494" s="21">
        <v>64</v>
      </c>
      <c r="Q494" s="21">
        <v>75</v>
      </c>
      <c r="R494" s="21" t="str">
        <f>IF(Q494&gt;=outliers!I496,"High",IF(Q494&lt;=outliers!I495,"Low","Moderate"))</f>
        <v>High</v>
      </c>
      <c r="S494" s="8" t="str">
        <f>IF(OR(Q494&lt;outliers!$I$6,Q494&gt;outliers!$I$7),"Outlier","Normal")</f>
        <v>Normal</v>
      </c>
      <c r="T494" s="8" t="str">
        <f>IF(OR(L494&lt;outliers!$J$6,L494&gt;outliers!$J$7),"Outlier","Normal")</f>
        <v>Normal</v>
      </c>
      <c r="U494" s="8" t="str">
        <f>IF(OR(M494&lt;outliers!$K$6,M494&gt;outliers!$K$7),"Outlier","Normal")</f>
        <v>Normal</v>
      </c>
    </row>
    <row r="495" spans="1:21">
      <c r="A495" s="21">
        <v>494</v>
      </c>
      <c r="B495" s="68">
        <v>40565</v>
      </c>
      <c r="C495" s="22" t="b">
        <v>0</v>
      </c>
      <c r="D495" s="21" t="str">
        <f t="shared" si="7"/>
        <v>Saturday</v>
      </c>
      <c r="E495" s="23">
        <v>0.1515</v>
      </c>
      <c r="F495" s="23">
        <f>YEAR('Merged raw data'!$B495)</f>
        <v>2011</v>
      </c>
      <c r="G495" s="23" t="str">
        <f>TEXT('Merged raw data'!$B495,"mmmm")</f>
        <v>January</v>
      </c>
      <c r="H495" s="37" t="str">
        <f>TEXT(TIME('Merged raw data'!F495,0,0),"h AM/PM")</f>
        <v>3 PM</v>
      </c>
      <c r="I495" s="23" t="str">
        <f>IF(OR('Merged raw data'!H495=1,'Merged raw data'!H495=2,'Merged raw data'!H495=3,'Merged raw data'!H495=4,'Merged raw data'!H495=5),"weekday","weekend")</f>
        <v>weekend</v>
      </c>
      <c r="J495" s="23" t="s">
        <v>23</v>
      </c>
      <c r="K495" s="23" t="str">
        <f>IF('Merged raw data'!I495=1,"Clear",IF('Merged raw data'!I495=2,"Mist",IF('Merged raw data'!I495=3,"Rain",IF('Merged raw data'!I495=4,"Storm","NA"))))</f>
        <v>Clear</v>
      </c>
      <c r="L495" s="24">
        <v>0.28000000000000003</v>
      </c>
      <c r="M495" s="24">
        <v>0.23</v>
      </c>
      <c r="N495" s="21">
        <f>'Merged raw data'!$J495*100</f>
        <v>12</v>
      </c>
      <c r="O495" s="21">
        <v>10</v>
      </c>
      <c r="P495" s="21">
        <v>93</v>
      </c>
      <c r="Q495" s="21">
        <v>103</v>
      </c>
      <c r="R495" s="21" t="str">
        <f>IF(Q495&gt;=outliers!I497,"High",IF(Q495&lt;=outliers!I496,"Low","Moderate"))</f>
        <v>High</v>
      </c>
      <c r="S495" s="8" t="str">
        <f>IF(OR(Q495&lt;outliers!$I$6,Q495&gt;outliers!$I$7),"Outlier","Normal")</f>
        <v>Normal</v>
      </c>
      <c r="T495" s="8" t="str">
        <f>IF(OR(L495&lt;outliers!$J$6,L495&gt;outliers!$J$7),"Outlier","Normal")</f>
        <v>Normal</v>
      </c>
      <c r="U495" s="8" t="str">
        <f>IF(OR(M495&lt;outliers!$K$6,M495&gt;outliers!$K$7),"Outlier","Normal")</f>
        <v>Normal</v>
      </c>
    </row>
    <row r="496" spans="1:21">
      <c r="A496" s="21">
        <v>495</v>
      </c>
      <c r="B496" s="68">
        <v>40565</v>
      </c>
      <c r="C496" s="22" t="b">
        <v>0</v>
      </c>
      <c r="D496" s="21" t="str">
        <f t="shared" si="7"/>
        <v>Saturday</v>
      </c>
      <c r="E496" s="23">
        <v>0.13639999999999999</v>
      </c>
      <c r="F496" s="23">
        <f>YEAR('Merged raw data'!$B496)</f>
        <v>2011</v>
      </c>
      <c r="G496" s="23" t="str">
        <f>TEXT('Merged raw data'!$B496,"mmmm")</f>
        <v>January</v>
      </c>
      <c r="H496" s="37" t="str">
        <f>TEXT(TIME('Merged raw data'!F496,0,0),"h AM/PM")</f>
        <v>4 PM</v>
      </c>
      <c r="I496" s="23" t="str">
        <f>IF(OR('Merged raw data'!H496=1,'Merged raw data'!H496=2,'Merged raw data'!H496=3,'Merged raw data'!H496=4,'Merged raw data'!H496=5),"weekday","weekend")</f>
        <v>weekend</v>
      </c>
      <c r="J496" s="23" t="s">
        <v>23</v>
      </c>
      <c r="K496" s="23" t="str">
        <f>IF('Merged raw data'!I496=1,"Clear",IF('Merged raw data'!I496=2,"Mist",IF('Merged raw data'!I496=3,"Rain",IF('Merged raw data'!I496=4,"Storm","NA"))))</f>
        <v>Clear</v>
      </c>
      <c r="L496" s="24">
        <v>0.28000000000000003</v>
      </c>
      <c r="M496" s="24">
        <v>0.19400000000000001</v>
      </c>
      <c r="N496" s="21">
        <f>'Merged raw data'!$J496*100</f>
        <v>12</v>
      </c>
      <c r="O496" s="21">
        <v>11</v>
      </c>
      <c r="P496" s="21">
        <v>72</v>
      </c>
      <c r="Q496" s="21">
        <v>83</v>
      </c>
      <c r="R496" s="21" t="str">
        <f>IF(Q496&gt;=outliers!I498,"High",IF(Q496&lt;=outliers!I497,"Low","Moderate"))</f>
        <v>High</v>
      </c>
      <c r="S496" s="8" t="str">
        <f>IF(OR(Q496&lt;outliers!$I$6,Q496&gt;outliers!$I$7),"Outlier","Normal")</f>
        <v>Normal</v>
      </c>
      <c r="T496" s="8" t="str">
        <f>IF(OR(L496&lt;outliers!$J$6,L496&gt;outliers!$J$7),"Outlier","Normal")</f>
        <v>Normal</v>
      </c>
      <c r="U496" s="8" t="str">
        <f>IF(OR(M496&lt;outliers!$K$6,M496&gt;outliers!$K$7),"Outlier","Normal")</f>
        <v>Normal</v>
      </c>
    </row>
    <row r="497" spans="1:21">
      <c r="A497" s="21">
        <v>496</v>
      </c>
      <c r="B497" s="68">
        <v>40565</v>
      </c>
      <c r="C497" s="22" t="b">
        <v>0</v>
      </c>
      <c r="D497" s="21" t="str">
        <f t="shared" si="7"/>
        <v>Saturday</v>
      </c>
      <c r="E497" s="23">
        <v>0.19700000000000001</v>
      </c>
      <c r="F497" s="23">
        <f>YEAR('Merged raw data'!$B497)</f>
        <v>2011</v>
      </c>
      <c r="G497" s="23" t="str">
        <f>TEXT('Merged raw data'!$B497,"mmmm")</f>
        <v>January</v>
      </c>
      <c r="H497" s="37" t="str">
        <f>TEXT(TIME('Merged raw data'!F497,0,0),"h AM/PM")</f>
        <v>5 PM</v>
      </c>
      <c r="I497" s="23" t="str">
        <f>IF(OR('Merged raw data'!H497=1,'Merged raw data'!H497=2,'Merged raw data'!H497=3,'Merged raw data'!H497=4,'Merged raw data'!H497=5),"weekday","weekend")</f>
        <v>weekend</v>
      </c>
      <c r="J497" s="23" t="s">
        <v>23</v>
      </c>
      <c r="K497" s="23" t="str">
        <f>IF('Merged raw data'!I497=1,"Clear",IF('Merged raw data'!I497=2,"Mist",IF('Merged raw data'!I497=3,"Rain",IF('Merged raw data'!I497=4,"Storm","NA"))))</f>
        <v>Clear</v>
      </c>
      <c r="L497" s="24">
        <v>0.28000000000000003</v>
      </c>
      <c r="M497" s="24">
        <v>0.23</v>
      </c>
      <c r="N497" s="21">
        <f>'Merged raw data'!$J497*100</f>
        <v>12</v>
      </c>
      <c r="O497" s="21">
        <v>8</v>
      </c>
      <c r="P497" s="21">
        <v>59</v>
      </c>
      <c r="Q497" s="21">
        <v>67</v>
      </c>
      <c r="R497" s="21" t="str">
        <f>IF(Q497&gt;=outliers!I499,"High",IF(Q497&lt;=outliers!I498,"Low","Moderate"))</f>
        <v>High</v>
      </c>
      <c r="S497" s="8" t="str">
        <f>IF(OR(Q497&lt;outliers!$I$6,Q497&gt;outliers!$I$7),"Outlier","Normal")</f>
        <v>Normal</v>
      </c>
      <c r="T497" s="8" t="str">
        <f>IF(OR(L497&lt;outliers!$J$6,L497&gt;outliers!$J$7),"Outlier","Normal")</f>
        <v>Normal</v>
      </c>
      <c r="U497" s="8" t="str">
        <f>IF(OR(M497&lt;outliers!$K$6,M497&gt;outliers!$K$7),"Outlier","Normal")</f>
        <v>Normal</v>
      </c>
    </row>
    <row r="498" spans="1:21">
      <c r="A498" s="21">
        <v>497</v>
      </c>
      <c r="B498" s="68">
        <v>40565</v>
      </c>
      <c r="C498" s="22" t="b">
        <v>0</v>
      </c>
      <c r="D498" s="21" t="str">
        <f t="shared" si="7"/>
        <v>Saturday</v>
      </c>
      <c r="E498" s="23">
        <v>9.0899999999999995E-2</v>
      </c>
      <c r="F498" s="23">
        <f>YEAR('Merged raw data'!$B498)</f>
        <v>2011</v>
      </c>
      <c r="G498" s="23" t="str">
        <f>TEXT('Merged raw data'!$B498,"mmmm")</f>
        <v>January</v>
      </c>
      <c r="H498" s="37" t="str">
        <f>TEXT(TIME('Merged raw data'!F498,0,0),"h AM/PM")</f>
        <v>6 PM</v>
      </c>
      <c r="I498" s="23" t="str">
        <f>IF(OR('Merged raw data'!H498=1,'Merged raw data'!H498=2,'Merged raw data'!H498=3,'Merged raw data'!H498=4,'Merged raw data'!H498=5),"weekday","weekend")</f>
        <v>weekend</v>
      </c>
      <c r="J498" s="23" t="s">
        <v>23</v>
      </c>
      <c r="K498" s="23" t="str">
        <f>IF('Merged raw data'!I498=1,"Clear",IF('Merged raw data'!I498=2,"Mist",IF('Merged raw data'!I498=3,"Rain",IF('Merged raw data'!I498=4,"Storm","NA"))))</f>
        <v>Clear</v>
      </c>
      <c r="L498" s="24">
        <v>0.35</v>
      </c>
      <c r="M498" s="24">
        <v>0.19400000000000001</v>
      </c>
      <c r="N498" s="21">
        <f>'Merged raw data'!$J498*100</f>
        <v>8</v>
      </c>
      <c r="O498" s="21">
        <v>0</v>
      </c>
      <c r="P498" s="21">
        <v>54</v>
      </c>
      <c r="Q498" s="21">
        <v>54</v>
      </c>
      <c r="R498" s="21" t="str">
        <f>IF(Q498&gt;=outliers!I500,"High",IF(Q498&lt;=outliers!I499,"Low","Moderate"))</f>
        <v>High</v>
      </c>
      <c r="S498" s="8" t="str">
        <f>IF(OR(Q498&lt;outliers!$I$6,Q498&gt;outliers!$I$7),"Outlier","Normal")</f>
        <v>Normal</v>
      </c>
      <c r="T498" s="8" t="str">
        <f>IF(OR(L498&lt;outliers!$J$6,L498&gt;outliers!$J$7),"Outlier","Normal")</f>
        <v>Normal</v>
      </c>
      <c r="U498" s="8" t="str">
        <f>IF(OR(M498&lt;outliers!$K$6,M498&gt;outliers!$K$7),"Outlier","Normal")</f>
        <v>Normal</v>
      </c>
    </row>
    <row r="499" spans="1:21">
      <c r="A499" s="21">
        <v>498</v>
      </c>
      <c r="B499" s="68">
        <v>40565</v>
      </c>
      <c r="C499" s="22" t="b">
        <v>0</v>
      </c>
      <c r="D499" s="21" t="str">
        <f t="shared" si="7"/>
        <v>Saturday</v>
      </c>
      <c r="E499" s="23">
        <v>0.1061</v>
      </c>
      <c r="F499" s="23">
        <f>YEAR('Merged raw data'!$B499)</f>
        <v>2011</v>
      </c>
      <c r="G499" s="23" t="str">
        <f>TEXT('Merged raw data'!$B499,"mmmm")</f>
        <v>January</v>
      </c>
      <c r="H499" s="37" t="str">
        <f>TEXT(TIME('Merged raw data'!F499,0,0),"h AM/PM")</f>
        <v>7 PM</v>
      </c>
      <c r="I499" s="23" t="str">
        <f>IF(OR('Merged raw data'!H499=1,'Merged raw data'!H499=2,'Merged raw data'!H499=3,'Merged raw data'!H499=4,'Merged raw data'!H499=5),"weekday","weekend")</f>
        <v>weekend</v>
      </c>
      <c r="J499" s="23" t="s">
        <v>23</v>
      </c>
      <c r="K499" s="23" t="str">
        <f>IF('Merged raw data'!I499=1,"Clear",IF('Merged raw data'!I499=2,"Mist",IF('Merged raw data'!I499=3,"Rain",IF('Merged raw data'!I499=4,"Storm","NA"))))</f>
        <v>Clear</v>
      </c>
      <c r="L499" s="24">
        <v>0.35</v>
      </c>
      <c r="M499" s="24">
        <v>0.1343</v>
      </c>
      <c r="N499" s="21">
        <f>'Merged raw data'!$J499*100</f>
        <v>8</v>
      </c>
      <c r="O499" s="21">
        <v>6</v>
      </c>
      <c r="P499" s="21">
        <v>53</v>
      </c>
      <c r="Q499" s="21">
        <v>59</v>
      </c>
      <c r="R499" s="21" t="str">
        <f>IF(Q499&gt;=outliers!I501,"High",IF(Q499&lt;=outliers!I500,"Low","Moderate"))</f>
        <v>High</v>
      </c>
      <c r="S499" s="8" t="str">
        <f>IF(OR(Q499&lt;outliers!$I$6,Q499&gt;outliers!$I$7),"Outlier","Normal")</f>
        <v>Normal</v>
      </c>
      <c r="T499" s="8" t="str">
        <f>IF(OR(L499&lt;outliers!$J$6,L499&gt;outliers!$J$7),"Outlier","Normal")</f>
        <v>Normal</v>
      </c>
      <c r="U499" s="8" t="str">
        <f>IF(OR(M499&lt;outliers!$K$6,M499&gt;outliers!$K$7),"Outlier","Normal")</f>
        <v>Normal</v>
      </c>
    </row>
    <row r="500" spans="1:21">
      <c r="A500" s="21">
        <v>499</v>
      </c>
      <c r="B500" s="68">
        <v>40565</v>
      </c>
      <c r="C500" s="22" t="b">
        <v>0</v>
      </c>
      <c r="D500" s="21" t="str">
        <f t="shared" si="7"/>
        <v>Saturday</v>
      </c>
      <c r="E500" s="23">
        <v>7.5800000000000006E-2</v>
      </c>
      <c r="F500" s="23">
        <f>YEAR('Merged raw data'!$B500)</f>
        <v>2011</v>
      </c>
      <c r="G500" s="23" t="str">
        <f>TEXT('Merged raw data'!$B500,"mmmm")</f>
        <v>January</v>
      </c>
      <c r="H500" s="37" t="str">
        <f>TEXT(TIME('Merged raw data'!F500,0,0),"h AM/PM")</f>
        <v>8 PM</v>
      </c>
      <c r="I500" s="23" t="str">
        <f>IF(OR('Merged raw data'!H500=1,'Merged raw data'!H500=2,'Merged raw data'!H500=3,'Merged raw data'!H500=4,'Merged raw data'!H500=5),"weekday","weekend")</f>
        <v>weekend</v>
      </c>
      <c r="J500" s="23" t="s">
        <v>23</v>
      </c>
      <c r="K500" s="23" t="str">
        <f>IF('Merged raw data'!I500=1,"Clear",IF('Merged raw data'!I500=2,"Mist",IF('Merged raw data'!I500=3,"Rain",IF('Merged raw data'!I500=4,"Storm","NA"))))</f>
        <v>Clear</v>
      </c>
      <c r="L500" s="24">
        <v>0.45</v>
      </c>
      <c r="M500" s="24">
        <v>0.16420000000000001</v>
      </c>
      <c r="N500" s="21">
        <f>'Merged raw data'!$J500*100</f>
        <v>6</v>
      </c>
      <c r="O500" s="21">
        <v>1</v>
      </c>
      <c r="P500" s="21">
        <v>44</v>
      </c>
      <c r="Q500" s="21">
        <v>45</v>
      </c>
      <c r="R500" s="21" t="str">
        <f>IF(Q500&gt;=outliers!I502,"High",IF(Q500&lt;=outliers!I501,"Low","Moderate"))</f>
        <v>High</v>
      </c>
      <c r="S500" s="8" t="str">
        <f>IF(OR(Q500&lt;outliers!$I$6,Q500&gt;outliers!$I$7),"Outlier","Normal")</f>
        <v>Normal</v>
      </c>
      <c r="T500" s="8" t="str">
        <f>IF(OR(L500&lt;outliers!$J$6,L500&gt;outliers!$J$7),"Outlier","Normal")</f>
        <v>Normal</v>
      </c>
      <c r="U500" s="8" t="str">
        <f>IF(OR(M500&lt;outliers!$K$6,M500&gt;outliers!$K$7),"Outlier","Normal")</f>
        <v>Normal</v>
      </c>
    </row>
    <row r="501" spans="1:21">
      <c r="A501" s="21">
        <v>500</v>
      </c>
      <c r="B501" s="68">
        <v>40565</v>
      </c>
      <c r="C501" s="22" t="b">
        <v>0</v>
      </c>
      <c r="D501" s="21" t="str">
        <f t="shared" si="7"/>
        <v>Saturday</v>
      </c>
      <c r="E501" s="23">
        <v>0.1061</v>
      </c>
      <c r="F501" s="23">
        <f>YEAR('Merged raw data'!$B501)</f>
        <v>2011</v>
      </c>
      <c r="G501" s="23" t="str">
        <f>TEXT('Merged raw data'!$B501,"mmmm")</f>
        <v>January</v>
      </c>
      <c r="H501" s="37" t="str">
        <f>TEXT(TIME('Merged raw data'!F501,0,0),"h AM/PM")</f>
        <v>9 PM</v>
      </c>
      <c r="I501" s="23" t="str">
        <f>IF(OR('Merged raw data'!H501=1,'Merged raw data'!H501=2,'Merged raw data'!H501=3,'Merged raw data'!H501=4,'Merged raw data'!H501=5),"weekday","weekend")</f>
        <v>weekend</v>
      </c>
      <c r="J501" s="23" t="s">
        <v>23</v>
      </c>
      <c r="K501" s="23" t="str">
        <f>IF('Merged raw data'!I501=1,"Clear",IF('Merged raw data'!I501=2,"Mist",IF('Merged raw data'!I501=3,"Rain",IF('Merged raw data'!I501=4,"Storm","NA"))))</f>
        <v>Clear</v>
      </c>
      <c r="L501" s="24">
        <v>0.41</v>
      </c>
      <c r="M501" s="24">
        <v>8.9599999999999999E-2</v>
      </c>
      <c r="N501" s="21">
        <f>'Merged raw data'!$J501*100</f>
        <v>6</v>
      </c>
      <c r="O501" s="21">
        <v>0</v>
      </c>
      <c r="P501" s="21">
        <v>39</v>
      </c>
      <c r="Q501" s="21">
        <v>39</v>
      </c>
      <c r="R501" s="21" t="str">
        <f>IF(Q501&gt;=outliers!I503,"High",IF(Q501&lt;=outliers!I502,"Low","Moderate"))</f>
        <v>High</v>
      </c>
      <c r="S501" s="8" t="str">
        <f>IF(OR(Q501&lt;outliers!$I$6,Q501&gt;outliers!$I$7),"Outlier","Normal")</f>
        <v>Normal</v>
      </c>
      <c r="T501" s="8" t="str">
        <f>IF(OR(L501&lt;outliers!$J$6,L501&gt;outliers!$J$7),"Outlier","Normal")</f>
        <v>Normal</v>
      </c>
      <c r="U501" s="8" t="str">
        <f>IF(OR(M501&lt;outliers!$K$6,M501&gt;outliers!$K$7),"Outlier","Normal")</f>
        <v>Normal</v>
      </c>
    </row>
    <row r="502" spans="1:21">
      <c r="A502" s="21">
        <v>501</v>
      </c>
      <c r="B502" s="68">
        <v>40565</v>
      </c>
      <c r="C502" s="22" t="b">
        <v>0</v>
      </c>
      <c r="D502" s="21" t="str">
        <f t="shared" si="7"/>
        <v>Saturday</v>
      </c>
      <c r="E502" s="23">
        <v>0.1515</v>
      </c>
      <c r="F502" s="23">
        <f>YEAR('Merged raw data'!$B502)</f>
        <v>2011</v>
      </c>
      <c r="G502" s="23" t="str">
        <f>TEXT('Merged raw data'!$B502,"mmmm")</f>
        <v>January</v>
      </c>
      <c r="H502" s="37" t="str">
        <f>TEXT(TIME('Merged raw data'!F502,0,0),"h AM/PM")</f>
        <v>10 PM</v>
      </c>
      <c r="I502" s="23" t="str">
        <f>IF(OR('Merged raw data'!H502=1,'Merged raw data'!H502=2,'Merged raw data'!H502=3,'Merged raw data'!H502=4,'Merged raw data'!H502=5),"weekday","weekend")</f>
        <v>weekend</v>
      </c>
      <c r="J502" s="23" t="s">
        <v>23</v>
      </c>
      <c r="K502" s="23" t="str">
        <f>IF('Merged raw data'!I502=1,"Clear",IF('Merged raw data'!I502=2,"Mist",IF('Merged raw data'!I502=3,"Rain",IF('Merged raw data'!I502=4,"Storm","NA"))))</f>
        <v>Clear</v>
      </c>
      <c r="L502" s="24">
        <v>0.49</v>
      </c>
      <c r="M502" s="24">
        <v>0.23</v>
      </c>
      <c r="N502" s="21">
        <f>'Merged raw data'!$J502*100</f>
        <v>6</v>
      </c>
      <c r="O502" s="21">
        <v>7</v>
      </c>
      <c r="P502" s="21">
        <v>23</v>
      </c>
      <c r="Q502" s="21">
        <v>30</v>
      </c>
      <c r="R502" s="21" t="str">
        <f>IF(Q502&gt;=outliers!I504,"High",IF(Q502&lt;=outliers!I503,"Low","Moderate"))</f>
        <v>High</v>
      </c>
      <c r="S502" s="8" t="str">
        <f>IF(OR(Q502&lt;outliers!$I$6,Q502&gt;outliers!$I$7),"Outlier","Normal")</f>
        <v>Normal</v>
      </c>
      <c r="T502" s="8" t="str">
        <f>IF(OR(L502&lt;outliers!$J$6,L502&gt;outliers!$J$7),"Outlier","Normal")</f>
        <v>Normal</v>
      </c>
      <c r="U502" s="8" t="str">
        <f>IF(OR(M502&lt;outliers!$K$6,M502&gt;outliers!$K$7),"Outlier","Normal")</f>
        <v>Normal</v>
      </c>
    </row>
    <row r="503" spans="1:21">
      <c r="A503" s="21">
        <v>502</v>
      </c>
      <c r="B503" s="68">
        <v>40565</v>
      </c>
      <c r="C503" s="22" t="b">
        <v>0</v>
      </c>
      <c r="D503" s="21" t="str">
        <f t="shared" si="7"/>
        <v>Saturday</v>
      </c>
      <c r="E503" s="23">
        <v>7.5800000000000006E-2</v>
      </c>
      <c r="F503" s="23">
        <f>YEAR('Merged raw data'!$B503)</f>
        <v>2011</v>
      </c>
      <c r="G503" s="23" t="str">
        <f>TEXT('Merged raw data'!$B503,"mmmm")</f>
        <v>January</v>
      </c>
      <c r="H503" s="37" t="str">
        <f>TEXT(TIME('Merged raw data'!F503,0,0),"h AM/PM")</f>
        <v>11 PM</v>
      </c>
      <c r="I503" s="23" t="str">
        <f>IF(OR('Merged raw data'!H503=1,'Merged raw data'!H503=2,'Merged raw data'!H503=3,'Merged raw data'!H503=4,'Merged raw data'!H503=5),"weekday","weekend")</f>
        <v>weekend</v>
      </c>
      <c r="J503" s="23" t="s">
        <v>23</v>
      </c>
      <c r="K503" s="23" t="str">
        <f>IF('Merged raw data'!I503=1,"Clear",IF('Merged raw data'!I503=2,"Mist",IF('Merged raw data'!I503=3,"Rain",IF('Merged raw data'!I503=4,"Storm","NA"))))</f>
        <v>Clear</v>
      </c>
      <c r="L503" s="24">
        <v>0.56999999999999995</v>
      </c>
      <c r="M503" s="24">
        <v>0.1045</v>
      </c>
      <c r="N503" s="21">
        <f>'Merged raw data'!$J503*100</f>
        <v>4</v>
      </c>
      <c r="O503" s="21">
        <v>2</v>
      </c>
      <c r="P503" s="21">
        <v>31</v>
      </c>
      <c r="Q503" s="21">
        <v>33</v>
      </c>
      <c r="R503" s="21" t="str">
        <f>IF(Q503&gt;=outliers!I505,"High",IF(Q503&lt;=outliers!I504,"Low","Moderate"))</f>
        <v>High</v>
      </c>
      <c r="S503" s="8" t="str">
        <f>IF(OR(Q503&lt;outliers!$I$6,Q503&gt;outliers!$I$7),"Outlier","Normal")</f>
        <v>Normal</v>
      </c>
      <c r="T503" s="8" t="str">
        <f>IF(OR(L503&lt;outliers!$J$6,L503&gt;outliers!$J$7),"Outlier","Normal")</f>
        <v>Normal</v>
      </c>
      <c r="U503" s="8" t="str">
        <f>IF(OR(M503&lt;outliers!$K$6,M503&gt;outliers!$K$7),"Outlier","Normal")</f>
        <v>Normal</v>
      </c>
    </row>
    <row r="504" spans="1:21">
      <c r="A504" s="21">
        <v>503</v>
      </c>
      <c r="B504" s="68">
        <v>40566</v>
      </c>
      <c r="C504" s="22" t="b">
        <v>0</v>
      </c>
      <c r="D504" s="21" t="str">
        <f t="shared" si="7"/>
        <v>Sunday</v>
      </c>
      <c r="E504" s="23">
        <v>7.5800000000000006E-2</v>
      </c>
      <c r="F504" s="23">
        <f>YEAR('Merged raw data'!$B504)</f>
        <v>2011</v>
      </c>
      <c r="G504" s="23" t="str">
        <f>TEXT('Merged raw data'!$B504,"mmmm")</f>
        <v>January</v>
      </c>
      <c r="H504" s="37" t="str">
        <f>TEXT(TIME('Merged raw data'!F504,0,0),"h AM/PM")</f>
        <v>12 AM</v>
      </c>
      <c r="I504" s="23" t="str">
        <f>IF(OR('Merged raw data'!H504=1,'Merged raw data'!H504=2,'Merged raw data'!H504=3,'Merged raw data'!H504=4,'Merged raw data'!H504=5),"weekday","weekend")</f>
        <v>weekend</v>
      </c>
      <c r="J504" s="23" t="s">
        <v>23</v>
      </c>
      <c r="K504" s="23" t="str">
        <f>IF('Merged raw data'!I504=1,"Clear",IF('Merged raw data'!I504=2,"Mist",IF('Merged raw data'!I504=3,"Rain",IF('Merged raw data'!I504=4,"Storm","NA"))))</f>
        <v>Clear</v>
      </c>
      <c r="L504" s="24">
        <v>0.56999999999999995</v>
      </c>
      <c r="M504" s="24">
        <v>0.1045</v>
      </c>
      <c r="N504" s="21">
        <f>'Merged raw data'!$J504*100</f>
        <v>4</v>
      </c>
      <c r="O504" s="21">
        <v>2</v>
      </c>
      <c r="P504" s="21">
        <v>20</v>
      </c>
      <c r="Q504" s="21">
        <v>22</v>
      </c>
      <c r="R504" s="21" t="str">
        <f>IF(Q504&gt;=outliers!I506,"High",IF(Q504&lt;=outliers!I505,"Low","Moderate"))</f>
        <v>High</v>
      </c>
      <c r="S504" s="8" t="str">
        <f>IF(OR(Q504&lt;outliers!$I$6,Q504&gt;outliers!$I$7),"Outlier","Normal")</f>
        <v>Normal</v>
      </c>
      <c r="T504" s="8" t="str">
        <f>IF(OR(L504&lt;outliers!$J$6,L504&gt;outliers!$J$7),"Outlier","Normal")</f>
        <v>Normal</v>
      </c>
      <c r="U504" s="8" t="str">
        <f>IF(OR(M504&lt;outliers!$K$6,M504&gt;outliers!$K$7),"Outlier","Normal")</f>
        <v>Normal</v>
      </c>
    </row>
    <row r="505" spans="1:21">
      <c r="A505" s="21">
        <v>504</v>
      </c>
      <c r="B505" s="68">
        <v>40566</v>
      </c>
      <c r="C505" s="22" t="b">
        <v>0</v>
      </c>
      <c r="D505" s="21" t="str">
        <f t="shared" si="7"/>
        <v>Sunday</v>
      </c>
      <c r="E505" s="23">
        <v>7.5800000000000006E-2</v>
      </c>
      <c r="F505" s="23">
        <f>YEAR('Merged raw data'!$B505)</f>
        <v>2011</v>
      </c>
      <c r="G505" s="23" t="str">
        <f>TEXT('Merged raw data'!$B505,"mmmm")</f>
        <v>January</v>
      </c>
      <c r="H505" s="37" t="str">
        <f>TEXT(TIME('Merged raw data'!F505,0,0),"h AM/PM")</f>
        <v>1 AM</v>
      </c>
      <c r="I505" s="23" t="str">
        <f>IF(OR('Merged raw data'!H505=1,'Merged raw data'!H505=2,'Merged raw data'!H505=3,'Merged raw data'!H505=4,'Merged raw data'!H505=5),"weekday","weekend")</f>
        <v>weekend</v>
      </c>
      <c r="J505" s="23" t="s">
        <v>23</v>
      </c>
      <c r="K505" s="23" t="str">
        <f>IF('Merged raw data'!I505=1,"Clear",IF('Merged raw data'!I505=2,"Mist",IF('Merged raw data'!I505=3,"Rain",IF('Merged raw data'!I505=4,"Storm","NA"))))</f>
        <v>Clear</v>
      </c>
      <c r="L505" s="24">
        <v>0.56999999999999995</v>
      </c>
      <c r="M505" s="24">
        <v>0.1045</v>
      </c>
      <c r="N505" s="21">
        <f>'Merged raw data'!$J505*100</f>
        <v>4</v>
      </c>
      <c r="O505" s="21">
        <v>1</v>
      </c>
      <c r="P505" s="21">
        <v>12</v>
      </c>
      <c r="Q505" s="21">
        <v>13</v>
      </c>
      <c r="R505" s="21" t="str">
        <f>IF(Q505&gt;=outliers!I507,"High",IF(Q505&lt;=outliers!I506,"Low","Moderate"))</f>
        <v>High</v>
      </c>
      <c r="S505" s="8" t="str">
        <f>IF(OR(Q505&lt;outliers!$I$6,Q505&gt;outliers!$I$7),"Outlier","Normal")</f>
        <v>Normal</v>
      </c>
      <c r="T505" s="8" t="str">
        <f>IF(OR(L505&lt;outliers!$J$6,L505&gt;outliers!$J$7),"Outlier","Normal")</f>
        <v>Normal</v>
      </c>
      <c r="U505" s="8" t="str">
        <f>IF(OR(M505&lt;outliers!$K$6,M505&gt;outliers!$K$7),"Outlier","Normal")</f>
        <v>Normal</v>
      </c>
    </row>
    <row r="506" spans="1:21">
      <c r="A506" s="21">
        <v>505</v>
      </c>
      <c r="B506" s="68">
        <v>40566</v>
      </c>
      <c r="C506" s="22" t="b">
        <v>0</v>
      </c>
      <c r="D506" s="21" t="str">
        <f t="shared" si="7"/>
        <v>Sunday</v>
      </c>
      <c r="E506" s="23">
        <v>6.0600000000000001E-2</v>
      </c>
      <c r="F506" s="23">
        <f>YEAR('Merged raw data'!$B506)</f>
        <v>2011</v>
      </c>
      <c r="G506" s="23" t="str">
        <f>TEXT('Merged raw data'!$B506,"mmmm")</f>
        <v>January</v>
      </c>
      <c r="H506" s="37" t="str">
        <f>TEXT(TIME('Merged raw data'!F506,0,0),"h AM/PM")</f>
        <v>2 AM</v>
      </c>
      <c r="I506" s="23" t="str">
        <f>IF(OR('Merged raw data'!H506=1,'Merged raw data'!H506=2,'Merged raw data'!H506=3,'Merged raw data'!H506=4,'Merged raw data'!H506=5),"weekday","weekend")</f>
        <v>weekend</v>
      </c>
      <c r="J506" s="23" t="s">
        <v>23</v>
      </c>
      <c r="K506" s="23" t="str">
        <f>IF('Merged raw data'!I506=1,"Clear",IF('Merged raw data'!I506=2,"Mist",IF('Merged raw data'!I506=3,"Rain",IF('Merged raw data'!I506=4,"Storm","NA"))))</f>
        <v>Clear</v>
      </c>
      <c r="L506" s="24">
        <v>0.62</v>
      </c>
      <c r="M506" s="24">
        <v>0.1343</v>
      </c>
      <c r="N506" s="21">
        <f>'Merged raw data'!$J506*100</f>
        <v>2</v>
      </c>
      <c r="O506" s="21">
        <v>3</v>
      </c>
      <c r="P506" s="21">
        <v>15</v>
      </c>
      <c r="Q506" s="21">
        <v>18</v>
      </c>
      <c r="R506" s="21" t="str">
        <f>IF(Q506&gt;=outliers!I508,"High",IF(Q506&lt;=outliers!I507,"Low","Moderate"))</f>
        <v>High</v>
      </c>
      <c r="S506" s="8" t="str">
        <f>IF(OR(Q506&lt;outliers!$I$6,Q506&gt;outliers!$I$7),"Outlier","Normal")</f>
        <v>Normal</v>
      </c>
      <c r="T506" s="8" t="str">
        <f>IF(OR(L506&lt;outliers!$J$6,L506&gt;outliers!$J$7),"Outlier","Normal")</f>
        <v>Normal</v>
      </c>
      <c r="U506" s="8" t="str">
        <f>IF(OR(M506&lt;outliers!$K$6,M506&gt;outliers!$K$7),"Outlier","Normal")</f>
        <v>Normal</v>
      </c>
    </row>
    <row r="507" spans="1:21">
      <c r="A507" s="21">
        <v>506</v>
      </c>
      <c r="B507" s="68">
        <v>40566</v>
      </c>
      <c r="C507" s="22" t="b">
        <v>0</v>
      </c>
      <c r="D507" s="21" t="str">
        <f t="shared" si="7"/>
        <v>Sunday</v>
      </c>
      <c r="E507" s="23">
        <v>6.0600000000000001E-2</v>
      </c>
      <c r="F507" s="23">
        <f>YEAR('Merged raw data'!$B507)</f>
        <v>2011</v>
      </c>
      <c r="G507" s="23" t="str">
        <f>TEXT('Merged raw data'!$B507,"mmmm")</f>
        <v>January</v>
      </c>
      <c r="H507" s="37" t="str">
        <f>TEXT(TIME('Merged raw data'!F507,0,0),"h AM/PM")</f>
        <v>3 AM</v>
      </c>
      <c r="I507" s="23" t="str">
        <f>IF(OR('Merged raw data'!H507=1,'Merged raw data'!H507=2,'Merged raw data'!H507=3,'Merged raw data'!H507=4,'Merged raw data'!H507=5),"weekday","weekend")</f>
        <v>weekend</v>
      </c>
      <c r="J507" s="23" t="s">
        <v>23</v>
      </c>
      <c r="K507" s="23" t="str">
        <f>IF('Merged raw data'!I507=1,"Clear",IF('Merged raw data'!I507=2,"Mist",IF('Merged raw data'!I507=3,"Rain",IF('Merged raw data'!I507=4,"Storm","NA"))))</f>
        <v>Clear</v>
      </c>
      <c r="L507" s="24">
        <v>0.62</v>
      </c>
      <c r="M507" s="24">
        <v>0.1343</v>
      </c>
      <c r="N507" s="21">
        <f>'Merged raw data'!$J507*100</f>
        <v>2</v>
      </c>
      <c r="O507" s="21">
        <v>1</v>
      </c>
      <c r="P507" s="21">
        <v>4</v>
      </c>
      <c r="Q507" s="21">
        <v>5</v>
      </c>
      <c r="R507" s="21" t="str">
        <f>IF(Q507&gt;=outliers!I509,"High",IF(Q507&lt;=outliers!I508,"Low","Moderate"))</f>
        <v>High</v>
      </c>
      <c r="S507" s="8" t="str">
        <f>IF(OR(Q507&lt;outliers!$I$6,Q507&gt;outliers!$I$7),"Outlier","Normal")</f>
        <v>Normal</v>
      </c>
      <c r="T507" s="8" t="str">
        <f>IF(OR(L507&lt;outliers!$J$6,L507&gt;outliers!$J$7),"Outlier","Normal")</f>
        <v>Normal</v>
      </c>
      <c r="U507" s="8" t="str">
        <f>IF(OR(M507&lt;outliers!$K$6,M507&gt;outliers!$K$7),"Outlier","Normal")</f>
        <v>Normal</v>
      </c>
    </row>
    <row r="508" spans="1:21">
      <c r="A508" s="21">
        <v>507</v>
      </c>
      <c r="B508" s="68">
        <v>40566</v>
      </c>
      <c r="C508" s="22" t="b">
        <v>0</v>
      </c>
      <c r="D508" s="21" t="str">
        <f t="shared" si="7"/>
        <v>Sunday</v>
      </c>
      <c r="E508" s="23">
        <v>7.5800000000000006E-2</v>
      </c>
      <c r="F508" s="23">
        <f>YEAR('Merged raw data'!$B508)</f>
        <v>2011</v>
      </c>
      <c r="G508" s="23" t="str">
        <f>TEXT('Merged raw data'!$B508,"mmmm")</f>
        <v>January</v>
      </c>
      <c r="H508" s="37" t="str">
        <f>TEXT(TIME('Merged raw data'!F508,0,0),"h AM/PM")</f>
        <v>5 AM</v>
      </c>
      <c r="I508" s="23" t="str">
        <f>IF(OR('Merged raw data'!H508=1,'Merged raw data'!H508=2,'Merged raw data'!H508=3,'Merged raw data'!H508=4,'Merged raw data'!H508=5),"weekday","weekend")</f>
        <v>weekend</v>
      </c>
      <c r="J508" s="23" t="s">
        <v>23</v>
      </c>
      <c r="K508" s="23" t="str">
        <f>IF('Merged raw data'!I508=1,"Clear",IF('Merged raw data'!I508=2,"Mist",IF('Merged raw data'!I508=3,"Rain",IF('Merged raw data'!I508=4,"Storm","NA"))))</f>
        <v>Mist</v>
      </c>
      <c r="L508" s="24">
        <v>0.56999999999999995</v>
      </c>
      <c r="M508" s="24">
        <v>0.1045</v>
      </c>
      <c r="N508" s="21">
        <f>'Merged raw data'!$J508*100</f>
        <v>4</v>
      </c>
      <c r="O508" s="21">
        <v>0</v>
      </c>
      <c r="P508" s="21">
        <v>3</v>
      </c>
      <c r="Q508" s="21">
        <v>3</v>
      </c>
      <c r="R508" s="21" t="str">
        <f>IF(Q508&gt;=outliers!I510,"High",IF(Q508&lt;=outliers!I509,"Low","Moderate"))</f>
        <v>High</v>
      </c>
      <c r="S508" s="8" t="str">
        <f>IF(OR(Q508&lt;outliers!$I$6,Q508&gt;outliers!$I$7),"Outlier","Normal")</f>
        <v>Normal</v>
      </c>
      <c r="T508" s="8" t="str">
        <f>IF(OR(L508&lt;outliers!$J$6,L508&gt;outliers!$J$7),"Outlier","Normal")</f>
        <v>Normal</v>
      </c>
      <c r="U508" s="8" t="str">
        <f>IF(OR(M508&lt;outliers!$K$6,M508&gt;outliers!$K$7),"Outlier","Normal")</f>
        <v>Normal</v>
      </c>
    </row>
    <row r="509" spans="1:21">
      <c r="A509" s="21">
        <v>508</v>
      </c>
      <c r="B509" s="68">
        <v>40566</v>
      </c>
      <c r="C509" s="22" t="b">
        <v>0</v>
      </c>
      <c r="D509" s="21" t="str">
        <f t="shared" si="7"/>
        <v>Sunday</v>
      </c>
      <c r="E509" s="23">
        <v>7.5800000000000006E-2</v>
      </c>
      <c r="F509" s="23">
        <f>YEAR('Merged raw data'!$B509)</f>
        <v>2011</v>
      </c>
      <c r="G509" s="23" t="str">
        <f>TEXT('Merged raw data'!$B509,"mmmm")</f>
        <v>January</v>
      </c>
      <c r="H509" s="37" t="str">
        <f>TEXT(TIME('Merged raw data'!F509,0,0),"h AM/PM")</f>
        <v>6 AM</v>
      </c>
      <c r="I509" s="23" t="str">
        <f>IF(OR('Merged raw data'!H509=1,'Merged raw data'!H509=2,'Merged raw data'!H509=3,'Merged raw data'!H509=4,'Merged raw data'!H509=5),"weekday","weekend")</f>
        <v>weekend</v>
      </c>
      <c r="J509" s="23" t="s">
        <v>23</v>
      </c>
      <c r="K509" s="23" t="str">
        <f>IF('Merged raw data'!I509=1,"Clear",IF('Merged raw data'!I509=2,"Mist",IF('Merged raw data'!I509=3,"Rain",IF('Merged raw data'!I509=4,"Storm","NA"))))</f>
        <v>Mist</v>
      </c>
      <c r="L509" s="24">
        <v>0.56999999999999995</v>
      </c>
      <c r="M509" s="24">
        <v>0.1045</v>
      </c>
      <c r="N509" s="21">
        <f>'Merged raw data'!$J509*100</f>
        <v>4</v>
      </c>
      <c r="O509" s="21">
        <v>0</v>
      </c>
      <c r="P509" s="21">
        <v>1</v>
      </c>
      <c r="Q509" s="21">
        <v>1</v>
      </c>
      <c r="R509" s="21" t="str">
        <f>IF(Q509&gt;=outliers!I511,"High",IF(Q509&lt;=outliers!I510,"Low","Moderate"))</f>
        <v>High</v>
      </c>
      <c r="S509" s="8" t="str">
        <f>IF(OR(Q509&lt;outliers!$I$6,Q509&gt;outliers!$I$7),"Outlier","Normal")</f>
        <v>Normal</v>
      </c>
      <c r="T509" s="8" t="str">
        <f>IF(OR(L509&lt;outliers!$J$6,L509&gt;outliers!$J$7),"Outlier","Normal")</f>
        <v>Normal</v>
      </c>
      <c r="U509" s="8" t="str">
        <f>IF(OR(M509&lt;outliers!$K$6,M509&gt;outliers!$K$7),"Outlier","Normal")</f>
        <v>Normal</v>
      </c>
    </row>
    <row r="510" spans="1:21">
      <c r="A510" s="21">
        <v>509</v>
      </c>
      <c r="B510" s="68">
        <v>40566</v>
      </c>
      <c r="C510" s="22" t="b">
        <v>0</v>
      </c>
      <c r="D510" s="21" t="str">
        <f t="shared" si="7"/>
        <v>Sunday</v>
      </c>
      <c r="E510" s="23">
        <v>0.1061</v>
      </c>
      <c r="F510" s="23">
        <f>YEAR('Merged raw data'!$B510)</f>
        <v>2011</v>
      </c>
      <c r="G510" s="23" t="str">
        <f>TEXT('Merged raw data'!$B510,"mmmm")</f>
        <v>January</v>
      </c>
      <c r="H510" s="37" t="str">
        <f>TEXT(TIME('Merged raw data'!F510,0,0),"h AM/PM")</f>
        <v>7 AM</v>
      </c>
      <c r="I510" s="23" t="str">
        <f>IF(OR('Merged raw data'!H510=1,'Merged raw data'!H510=2,'Merged raw data'!H510=3,'Merged raw data'!H510=4,'Merged raw data'!H510=5),"weekday","weekend")</f>
        <v>weekend</v>
      </c>
      <c r="J510" s="23" t="s">
        <v>23</v>
      </c>
      <c r="K510" s="23" t="str">
        <f>IF('Merged raw data'!I510=1,"Clear",IF('Merged raw data'!I510=2,"Mist",IF('Merged raw data'!I510=3,"Rain",IF('Merged raw data'!I510=4,"Storm","NA"))))</f>
        <v>Clear</v>
      </c>
      <c r="L510" s="24">
        <v>0.57999999999999996</v>
      </c>
      <c r="M510" s="24">
        <v>0.16420000000000001</v>
      </c>
      <c r="N510" s="21">
        <f>'Merged raw data'!$J510*100</f>
        <v>8</v>
      </c>
      <c r="O510" s="21">
        <v>1</v>
      </c>
      <c r="P510" s="21">
        <v>1</v>
      </c>
      <c r="Q510" s="21">
        <v>2</v>
      </c>
      <c r="R510" s="21" t="str">
        <f>IF(Q510&gt;=outliers!I512,"High",IF(Q510&lt;=outliers!I511,"Low","Moderate"))</f>
        <v>High</v>
      </c>
      <c r="S510" s="8" t="str">
        <f>IF(OR(Q510&lt;outliers!$I$6,Q510&gt;outliers!$I$7),"Outlier","Normal")</f>
        <v>Normal</v>
      </c>
      <c r="T510" s="8" t="str">
        <f>IF(OR(L510&lt;outliers!$J$6,L510&gt;outliers!$J$7),"Outlier","Normal")</f>
        <v>Normal</v>
      </c>
      <c r="U510" s="8" t="str">
        <f>IF(OR(M510&lt;outliers!$K$6,M510&gt;outliers!$K$7),"Outlier","Normal")</f>
        <v>Normal</v>
      </c>
    </row>
    <row r="511" spans="1:21">
      <c r="A511" s="21">
        <v>510</v>
      </c>
      <c r="B511" s="68">
        <v>40566</v>
      </c>
      <c r="C511" s="22" t="b">
        <v>0</v>
      </c>
      <c r="D511" s="21" t="str">
        <f t="shared" si="7"/>
        <v>Sunday</v>
      </c>
      <c r="E511" s="23">
        <v>7.5800000000000006E-2</v>
      </c>
      <c r="F511" s="23">
        <f>YEAR('Merged raw data'!$B511)</f>
        <v>2011</v>
      </c>
      <c r="G511" s="23" t="str">
        <f>TEXT('Merged raw data'!$B511,"mmmm")</f>
        <v>January</v>
      </c>
      <c r="H511" s="37" t="str">
        <f>TEXT(TIME('Merged raw data'!F511,0,0),"h AM/PM")</f>
        <v>8 AM</v>
      </c>
      <c r="I511" s="23" t="str">
        <f>IF(OR('Merged raw data'!H511=1,'Merged raw data'!H511=2,'Merged raw data'!H511=3,'Merged raw data'!H511=4,'Merged raw data'!H511=5),"weekday","weekend")</f>
        <v>weekend</v>
      </c>
      <c r="J511" s="23" t="s">
        <v>23</v>
      </c>
      <c r="K511" s="23" t="str">
        <f>IF('Merged raw data'!I511=1,"Clear",IF('Merged raw data'!I511=2,"Mist",IF('Merged raw data'!I511=3,"Rain",IF('Merged raw data'!I511=4,"Storm","NA"))))</f>
        <v>Clear</v>
      </c>
      <c r="L511" s="24">
        <v>0.62</v>
      </c>
      <c r="M511" s="24">
        <v>0.16420000000000001</v>
      </c>
      <c r="N511" s="21">
        <f>'Merged raw data'!$J511*100</f>
        <v>6</v>
      </c>
      <c r="O511" s="21">
        <v>2</v>
      </c>
      <c r="P511" s="21">
        <v>17</v>
      </c>
      <c r="Q511" s="21">
        <v>19</v>
      </c>
      <c r="R511" s="21" t="str">
        <f>IF(Q511&gt;=outliers!I513,"High",IF(Q511&lt;=outliers!I512,"Low","Moderate"))</f>
        <v>High</v>
      </c>
      <c r="S511" s="8" t="str">
        <f>IF(OR(Q511&lt;outliers!$I$6,Q511&gt;outliers!$I$7),"Outlier","Normal")</f>
        <v>Normal</v>
      </c>
      <c r="T511" s="8" t="str">
        <f>IF(OR(L511&lt;outliers!$J$6,L511&gt;outliers!$J$7),"Outlier","Normal")</f>
        <v>Normal</v>
      </c>
      <c r="U511" s="8" t="str">
        <f>IF(OR(M511&lt;outliers!$K$6,M511&gt;outliers!$K$7),"Outlier","Normal")</f>
        <v>Normal</v>
      </c>
    </row>
    <row r="512" spans="1:21">
      <c r="A512" s="21">
        <v>511</v>
      </c>
      <c r="B512" s="68">
        <v>40566</v>
      </c>
      <c r="C512" s="22" t="b">
        <v>0</v>
      </c>
      <c r="D512" s="21" t="str">
        <f t="shared" si="7"/>
        <v>Sunday</v>
      </c>
      <c r="E512" s="23">
        <v>7.5800000000000006E-2</v>
      </c>
      <c r="F512" s="23">
        <f>YEAR('Merged raw data'!$B512)</f>
        <v>2011</v>
      </c>
      <c r="G512" s="23" t="str">
        <f>TEXT('Merged raw data'!$B512,"mmmm")</f>
        <v>January</v>
      </c>
      <c r="H512" s="37" t="str">
        <f>TEXT(TIME('Merged raw data'!F512,0,0),"h AM/PM")</f>
        <v>9 AM</v>
      </c>
      <c r="I512" s="23" t="str">
        <f>IF(OR('Merged raw data'!H512=1,'Merged raw data'!H512=2,'Merged raw data'!H512=3,'Merged raw data'!H512=4,'Merged raw data'!H512=5),"weekday","weekend")</f>
        <v>weekend</v>
      </c>
      <c r="J512" s="23" t="s">
        <v>23</v>
      </c>
      <c r="K512" s="23" t="str">
        <f>IF('Merged raw data'!I512=1,"Clear",IF('Merged raw data'!I512=2,"Mist",IF('Merged raw data'!I512=3,"Rain",IF('Merged raw data'!I512=4,"Storm","NA"))))</f>
        <v>Clear</v>
      </c>
      <c r="L512" s="24">
        <v>0.54</v>
      </c>
      <c r="M512" s="24">
        <v>0.35820000000000002</v>
      </c>
      <c r="N512" s="21">
        <f>'Merged raw data'!$J512*100</f>
        <v>10</v>
      </c>
      <c r="O512" s="21">
        <v>3</v>
      </c>
      <c r="P512" s="21">
        <v>25</v>
      </c>
      <c r="Q512" s="21">
        <v>28</v>
      </c>
      <c r="R512" s="21" t="str">
        <f>IF(Q512&gt;=outliers!I514,"High",IF(Q512&lt;=outliers!I513,"Low","Moderate"))</f>
        <v>High</v>
      </c>
      <c r="S512" s="8" t="str">
        <f>IF(OR(Q512&lt;outliers!$I$6,Q512&gt;outliers!$I$7),"Outlier","Normal")</f>
        <v>Normal</v>
      </c>
      <c r="T512" s="8" t="str">
        <f>IF(OR(L512&lt;outliers!$J$6,L512&gt;outliers!$J$7),"Outlier","Normal")</f>
        <v>Normal</v>
      </c>
      <c r="U512" s="8" t="str">
        <f>IF(OR(M512&lt;outliers!$K$6,M512&gt;outliers!$K$7),"Outlier","Normal")</f>
        <v>Normal</v>
      </c>
    </row>
    <row r="513" spans="1:21">
      <c r="A513" s="21">
        <v>512</v>
      </c>
      <c r="B513" s="68">
        <v>40566</v>
      </c>
      <c r="C513" s="22" t="b">
        <v>0</v>
      </c>
      <c r="D513" s="21" t="str">
        <f t="shared" si="7"/>
        <v>Sunday</v>
      </c>
      <c r="E513" s="23">
        <v>0.1061</v>
      </c>
      <c r="F513" s="23">
        <f>YEAR('Merged raw data'!$B513)</f>
        <v>2011</v>
      </c>
      <c r="G513" s="23" t="str">
        <f>TEXT('Merged raw data'!$B513,"mmmm")</f>
        <v>January</v>
      </c>
      <c r="H513" s="37" t="str">
        <f>TEXT(TIME('Merged raw data'!F513,0,0),"h AM/PM")</f>
        <v>10 AM</v>
      </c>
      <c r="I513" s="23" t="str">
        <f>IF(OR('Merged raw data'!H513=1,'Merged raw data'!H513=2,'Merged raw data'!H513=3,'Merged raw data'!H513=4,'Merged raw data'!H513=5),"weekday","weekend")</f>
        <v>weekend</v>
      </c>
      <c r="J513" s="23" t="s">
        <v>23</v>
      </c>
      <c r="K513" s="23" t="str">
        <f>IF('Merged raw data'!I513=1,"Clear",IF('Merged raw data'!I513=2,"Mist",IF('Merged raw data'!I513=3,"Rain",IF('Merged raw data'!I513=4,"Storm","NA"))))</f>
        <v>Clear</v>
      </c>
      <c r="L513" s="24">
        <v>0.46</v>
      </c>
      <c r="M513" s="24">
        <v>0.3881</v>
      </c>
      <c r="N513" s="21">
        <f>'Merged raw data'!$J513*100</f>
        <v>14.000000000000002</v>
      </c>
      <c r="O513" s="21">
        <v>7</v>
      </c>
      <c r="P513" s="21">
        <v>51</v>
      </c>
      <c r="Q513" s="21">
        <v>58</v>
      </c>
      <c r="R513" s="21" t="str">
        <f>IF(Q513&gt;=outliers!I515,"High",IF(Q513&lt;=outliers!I514,"Low","Moderate"))</f>
        <v>High</v>
      </c>
      <c r="S513" s="8" t="str">
        <f>IF(OR(Q513&lt;outliers!$I$6,Q513&gt;outliers!$I$7),"Outlier","Normal")</f>
        <v>Normal</v>
      </c>
      <c r="T513" s="8" t="str">
        <f>IF(OR(L513&lt;outliers!$J$6,L513&gt;outliers!$J$7),"Outlier","Normal")</f>
        <v>Normal</v>
      </c>
      <c r="U513" s="8" t="str">
        <f>IF(OR(M513&lt;outliers!$K$6,M513&gt;outliers!$K$7),"Outlier","Normal")</f>
        <v>Normal</v>
      </c>
    </row>
    <row r="514" spans="1:21">
      <c r="A514" s="21">
        <v>513</v>
      </c>
      <c r="B514" s="68">
        <v>40566</v>
      </c>
      <c r="C514" s="22" t="b">
        <v>0</v>
      </c>
      <c r="D514" s="21" t="str">
        <f t="shared" si="7"/>
        <v>Sunday</v>
      </c>
      <c r="E514" s="23">
        <v>0.13639999999999999</v>
      </c>
      <c r="F514" s="23">
        <f>YEAR('Merged raw data'!$B514)</f>
        <v>2011</v>
      </c>
      <c r="G514" s="23" t="str">
        <f>TEXT('Merged raw data'!$B514,"mmmm")</f>
        <v>January</v>
      </c>
      <c r="H514" s="37" t="str">
        <f>TEXT(TIME('Merged raw data'!F514,0,0),"h AM/PM")</f>
        <v>11 AM</v>
      </c>
      <c r="I514" s="23" t="str">
        <f>IF(OR('Merged raw data'!H514=1,'Merged raw data'!H514=2,'Merged raw data'!H514=3,'Merged raw data'!H514=4,'Merged raw data'!H514=5),"weekday","weekend")</f>
        <v>weekend</v>
      </c>
      <c r="J514" s="23" t="s">
        <v>23</v>
      </c>
      <c r="K514" s="23" t="str">
        <f>IF('Merged raw data'!I514=1,"Clear",IF('Merged raw data'!I514=2,"Mist",IF('Merged raw data'!I514=3,"Rain",IF('Merged raw data'!I514=4,"Storm","NA"))))</f>
        <v>Clear</v>
      </c>
      <c r="L514" s="24">
        <v>0.43</v>
      </c>
      <c r="M514" s="24">
        <v>0.22389999999999999</v>
      </c>
      <c r="N514" s="21">
        <f>'Merged raw data'!$J514*100</f>
        <v>14.000000000000002</v>
      </c>
      <c r="O514" s="21">
        <v>22</v>
      </c>
      <c r="P514" s="21">
        <v>77</v>
      </c>
      <c r="Q514" s="21">
        <v>99</v>
      </c>
      <c r="R514" s="21" t="str">
        <f>IF(Q514&gt;=outliers!I516,"High",IF(Q514&lt;=outliers!I515,"Low","Moderate"))</f>
        <v>High</v>
      </c>
      <c r="S514" s="8" t="str">
        <f>IF(OR(Q514&lt;outliers!$I$6,Q514&gt;outliers!$I$7),"Outlier","Normal")</f>
        <v>Normal</v>
      </c>
      <c r="T514" s="8" t="str">
        <f>IF(OR(L514&lt;outliers!$J$6,L514&gt;outliers!$J$7),"Outlier","Normal")</f>
        <v>Normal</v>
      </c>
      <c r="U514" s="8" t="str">
        <f>IF(OR(M514&lt;outliers!$K$6,M514&gt;outliers!$K$7),"Outlier","Normal")</f>
        <v>Normal</v>
      </c>
    </row>
    <row r="515" spans="1:21">
      <c r="A515" s="21">
        <v>514</v>
      </c>
      <c r="B515" s="68">
        <v>40566</v>
      </c>
      <c r="C515" s="22" t="b">
        <v>0</v>
      </c>
      <c r="D515" s="21" t="str">
        <f t="shared" ref="D515:D578" si="8">TEXT(B515,"dddd")</f>
        <v>Sunday</v>
      </c>
      <c r="E515" s="23">
        <v>0.1212</v>
      </c>
      <c r="F515" s="23">
        <f>YEAR('Merged raw data'!$B515)</f>
        <v>2011</v>
      </c>
      <c r="G515" s="23" t="str">
        <f>TEXT('Merged raw data'!$B515,"mmmm")</f>
        <v>January</v>
      </c>
      <c r="H515" s="37" t="str">
        <f>TEXT(TIME('Merged raw data'!F515,0,0),"h AM/PM")</f>
        <v>12 PM</v>
      </c>
      <c r="I515" s="23" t="str">
        <f>IF(OR('Merged raw data'!H515=1,'Merged raw data'!H515=2,'Merged raw data'!H515=3,'Merged raw data'!H515=4,'Merged raw data'!H515=5),"weekday","weekend")</f>
        <v>weekend</v>
      </c>
      <c r="J515" s="23" t="s">
        <v>23</v>
      </c>
      <c r="K515" s="23" t="str">
        <f>IF('Merged raw data'!I515=1,"Clear",IF('Merged raw data'!I515=2,"Mist",IF('Merged raw data'!I515=3,"Rain",IF('Merged raw data'!I515=4,"Storm","NA"))))</f>
        <v>Clear</v>
      </c>
      <c r="L515" s="24">
        <v>0.37</v>
      </c>
      <c r="M515" s="24">
        <v>0.4627</v>
      </c>
      <c r="N515" s="21">
        <f>'Merged raw data'!$J515*100</f>
        <v>16</v>
      </c>
      <c r="O515" s="21">
        <v>24</v>
      </c>
      <c r="P515" s="21">
        <v>92</v>
      </c>
      <c r="Q515" s="21">
        <v>116</v>
      </c>
      <c r="R515" s="21" t="str">
        <f>IF(Q515&gt;=outliers!I517,"High",IF(Q515&lt;=outliers!I516,"Low","Moderate"))</f>
        <v>High</v>
      </c>
      <c r="S515" s="8" t="str">
        <f>IF(OR(Q515&lt;outliers!$I$6,Q515&gt;outliers!$I$7),"Outlier","Normal")</f>
        <v>Normal</v>
      </c>
      <c r="T515" s="8" t="str">
        <f>IF(OR(L515&lt;outliers!$J$6,L515&gt;outliers!$J$7),"Outlier","Normal")</f>
        <v>Normal</v>
      </c>
      <c r="U515" s="8" t="str">
        <f>IF(OR(M515&lt;outliers!$K$6,M515&gt;outliers!$K$7),"Outlier","Normal")</f>
        <v>Normal</v>
      </c>
    </row>
    <row r="516" spans="1:21">
      <c r="A516" s="21">
        <v>515</v>
      </c>
      <c r="B516" s="68">
        <v>40566</v>
      </c>
      <c r="C516" s="22" t="b">
        <v>0</v>
      </c>
      <c r="D516" s="21" t="str">
        <f t="shared" si="8"/>
        <v>Sunday</v>
      </c>
      <c r="E516" s="23">
        <v>0.1061</v>
      </c>
      <c r="F516" s="23">
        <f>YEAR('Merged raw data'!$B516)</f>
        <v>2011</v>
      </c>
      <c r="G516" s="23" t="str">
        <f>TEXT('Merged raw data'!$B516,"mmmm")</f>
        <v>January</v>
      </c>
      <c r="H516" s="37" t="str">
        <f>TEXT(TIME('Merged raw data'!F516,0,0),"h AM/PM")</f>
        <v>1 PM</v>
      </c>
      <c r="I516" s="23" t="str">
        <f>IF(OR('Merged raw data'!H516=1,'Merged raw data'!H516=2,'Merged raw data'!H516=3,'Merged raw data'!H516=4,'Merged raw data'!H516=5),"weekday","weekend")</f>
        <v>weekend</v>
      </c>
      <c r="J516" s="23" t="s">
        <v>23</v>
      </c>
      <c r="K516" s="23" t="str">
        <f>IF('Merged raw data'!I516=1,"Clear",IF('Merged raw data'!I516=2,"Mist",IF('Merged raw data'!I516=3,"Rain",IF('Merged raw data'!I516=4,"Storm","NA"))))</f>
        <v>Clear</v>
      </c>
      <c r="L516" s="24">
        <v>0.33</v>
      </c>
      <c r="M516" s="24">
        <v>0.3881</v>
      </c>
      <c r="N516" s="21">
        <f>'Merged raw data'!$J516*100</f>
        <v>14.000000000000002</v>
      </c>
      <c r="O516" s="21">
        <v>12</v>
      </c>
      <c r="P516" s="21">
        <v>75</v>
      </c>
      <c r="Q516" s="21">
        <v>87</v>
      </c>
      <c r="R516" s="21" t="str">
        <f>IF(Q516&gt;=outliers!I518,"High",IF(Q516&lt;=outliers!I517,"Low","Moderate"))</f>
        <v>High</v>
      </c>
      <c r="S516" s="8" t="str">
        <f>IF(OR(Q516&lt;outliers!$I$6,Q516&gt;outliers!$I$7),"Outlier","Normal")</f>
        <v>Normal</v>
      </c>
      <c r="T516" s="8" t="str">
        <f>IF(OR(L516&lt;outliers!$J$6,L516&gt;outliers!$J$7),"Outlier","Normal")</f>
        <v>Normal</v>
      </c>
      <c r="U516" s="8" t="str">
        <f>IF(OR(M516&lt;outliers!$K$6,M516&gt;outliers!$K$7),"Outlier","Normal")</f>
        <v>Normal</v>
      </c>
    </row>
    <row r="517" spans="1:21">
      <c r="A517" s="21">
        <v>516</v>
      </c>
      <c r="B517" s="68">
        <v>40566</v>
      </c>
      <c r="C517" s="22" t="b">
        <v>0</v>
      </c>
      <c r="D517" s="21" t="str">
        <f t="shared" si="8"/>
        <v>Sunday</v>
      </c>
      <c r="E517" s="23">
        <v>0.13639999999999999</v>
      </c>
      <c r="F517" s="23">
        <f>YEAR('Merged raw data'!$B517)</f>
        <v>2011</v>
      </c>
      <c r="G517" s="23" t="str">
        <f>TEXT('Merged raw data'!$B517,"mmmm")</f>
        <v>January</v>
      </c>
      <c r="H517" s="37" t="str">
        <f>TEXT(TIME('Merged raw data'!F517,0,0),"h AM/PM")</f>
        <v>2 PM</v>
      </c>
      <c r="I517" s="23" t="str">
        <f>IF(OR('Merged raw data'!H517=1,'Merged raw data'!H517=2,'Merged raw data'!H517=3,'Merged raw data'!H517=4,'Merged raw data'!H517=5),"weekday","weekend")</f>
        <v>weekend</v>
      </c>
      <c r="J517" s="23" t="s">
        <v>23</v>
      </c>
      <c r="K517" s="23" t="str">
        <f>IF('Merged raw data'!I517=1,"Clear",IF('Merged raw data'!I517=2,"Mist",IF('Merged raw data'!I517=3,"Rain",IF('Merged raw data'!I517=4,"Storm","NA"))))</f>
        <v>Clear</v>
      </c>
      <c r="L517" s="24">
        <v>0.28000000000000003</v>
      </c>
      <c r="M517" s="24">
        <v>0.35820000000000002</v>
      </c>
      <c r="N517" s="21">
        <f>'Merged raw data'!$J517*100</f>
        <v>16</v>
      </c>
      <c r="O517" s="21">
        <v>17</v>
      </c>
      <c r="P517" s="21">
        <v>93</v>
      </c>
      <c r="Q517" s="21">
        <v>110</v>
      </c>
      <c r="R517" s="21" t="str">
        <f>IF(Q517&gt;=outliers!I519,"High",IF(Q517&lt;=outliers!I518,"Low","Moderate"))</f>
        <v>High</v>
      </c>
      <c r="S517" s="8" t="str">
        <f>IF(OR(Q517&lt;outliers!$I$6,Q517&gt;outliers!$I$7),"Outlier","Normal")</f>
        <v>Normal</v>
      </c>
      <c r="T517" s="8" t="str">
        <f>IF(OR(L517&lt;outliers!$J$6,L517&gt;outliers!$J$7),"Outlier","Normal")</f>
        <v>Normal</v>
      </c>
      <c r="U517" s="8" t="str">
        <f>IF(OR(M517&lt;outliers!$K$6,M517&gt;outliers!$K$7),"Outlier","Normal")</f>
        <v>Normal</v>
      </c>
    </row>
    <row r="518" spans="1:21">
      <c r="A518" s="21">
        <v>517</v>
      </c>
      <c r="B518" s="68">
        <v>40566</v>
      </c>
      <c r="C518" s="22" t="b">
        <v>0</v>
      </c>
      <c r="D518" s="21" t="str">
        <f t="shared" si="8"/>
        <v>Sunday</v>
      </c>
      <c r="E518" s="23">
        <v>0.13639999999999999</v>
      </c>
      <c r="F518" s="23">
        <f>YEAR('Merged raw data'!$B518)</f>
        <v>2011</v>
      </c>
      <c r="G518" s="23" t="str">
        <f>TEXT('Merged raw data'!$B518,"mmmm")</f>
        <v>January</v>
      </c>
      <c r="H518" s="37" t="str">
        <f>TEXT(TIME('Merged raw data'!F518,0,0),"h AM/PM")</f>
        <v>3 PM</v>
      </c>
      <c r="I518" s="23" t="str">
        <f>IF(OR('Merged raw data'!H518=1,'Merged raw data'!H518=2,'Merged raw data'!H518=3,'Merged raw data'!H518=4,'Merged raw data'!H518=5),"weekday","weekend")</f>
        <v>weekend</v>
      </c>
      <c r="J518" s="23" t="s">
        <v>23</v>
      </c>
      <c r="K518" s="23" t="str">
        <f>IF('Merged raw data'!I518=1,"Clear",IF('Merged raw data'!I518=2,"Mist",IF('Merged raw data'!I518=3,"Rain",IF('Merged raw data'!I518=4,"Storm","NA"))))</f>
        <v>Clear</v>
      </c>
      <c r="L518" s="24">
        <v>0.28000000000000003</v>
      </c>
      <c r="M518" s="24">
        <v>0.35820000000000002</v>
      </c>
      <c r="N518" s="21">
        <f>'Merged raw data'!$J518*100</f>
        <v>16</v>
      </c>
      <c r="O518" s="21">
        <v>13</v>
      </c>
      <c r="P518" s="21">
        <v>64</v>
      </c>
      <c r="Q518" s="21">
        <v>77</v>
      </c>
      <c r="R518" s="21" t="str">
        <f>IF(Q518&gt;=outliers!I520,"High",IF(Q518&lt;=outliers!I519,"Low","Moderate"))</f>
        <v>High</v>
      </c>
      <c r="S518" s="8" t="str">
        <f>IF(OR(Q518&lt;outliers!$I$6,Q518&gt;outliers!$I$7),"Outlier","Normal")</f>
        <v>Normal</v>
      </c>
      <c r="T518" s="8" t="str">
        <f>IF(OR(L518&lt;outliers!$J$6,L518&gt;outliers!$J$7),"Outlier","Normal")</f>
        <v>Normal</v>
      </c>
      <c r="U518" s="8" t="str">
        <f>IF(OR(M518&lt;outliers!$K$6,M518&gt;outliers!$K$7),"Outlier","Normal")</f>
        <v>Normal</v>
      </c>
    </row>
    <row r="519" spans="1:21">
      <c r="A519" s="21">
        <v>518</v>
      </c>
      <c r="B519" s="68">
        <v>40566</v>
      </c>
      <c r="C519" s="22" t="b">
        <v>0</v>
      </c>
      <c r="D519" s="21" t="str">
        <f t="shared" si="8"/>
        <v>Sunday</v>
      </c>
      <c r="E519" s="23">
        <v>0.13639999999999999</v>
      </c>
      <c r="F519" s="23">
        <f>YEAR('Merged raw data'!$B519)</f>
        <v>2011</v>
      </c>
      <c r="G519" s="23" t="str">
        <f>TEXT('Merged raw data'!$B519,"mmmm")</f>
        <v>January</v>
      </c>
      <c r="H519" s="37" t="str">
        <f>TEXT(TIME('Merged raw data'!F519,0,0),"h AM/PM")</f>
        <v>4 PM</v>
      </c>
      <c r="I519" s="23" t="str">
        <f>IF(OR('Merged raw data'!H519=1,'Merged raw data'!H519=2,'Merged raw data'!H519=3,'Merged raw data'!H519=4,'Merged raw data'!H519=5),"weekday","weekend")</f>
        <v>weekend</v>
      </c>
      <c r="J519" s="23" t="s">
        <v>23</v>
      </c>
      <c r="K519" s="23" t="str">
        <f>IF('Merged raw data'!I519=1,"Clear",IF('Merged raw data'!I519=2,"Mist",IF('Merged raw data'!I519=3,"Rain",IF('Merged raw data'!I519=4,"Storm","NA"))))</f>
        <v>Clear</v>
      </c>
      <c r="L519" s="24">
        <v>0.26</v>
      </c>
      <c r="M519" s="24">
        <v>0.32840000000000003</v>
      </c>
      <c r="N519" s="21">
        <f>'Merged raw data'!$J519*100</f>
        <v>16</v>
      </c>
      <c r="O519" s="21">
        <v>9</v>
      </c>
      <c r="P519" s="21">
        <v>56</v>
      </c>
      <c r="Q519" s="21">
        <v>65</v>
      </c>
      <c r="R519" s="21" t="str">
        <f>IF(Q519&gt;=outliers!I521,"High",IF(Q519&lt;=outliers!I520,"Low","Moderate"))</f>
        <v>High</v>
      </c>
      <c r="S519" s="8" t="str">
        <f>IF(OR(Q519&lt;outliers!$I$6,Q519&gt;outliers!$I$7),"Outlier","Normal")</f>
        <v>Normal</v>
      </c>
      <c r="T519" s="8" t="str">
        <f>IF(OR(L519&lt;outliers!$J$6,L519&gt;outliers!$J$7),"Outlier","Normal")</f>
        <v>Normal</v>
      </c>
      <c r="U519" s="8" t="str">
        <f>IF(OR(M519&lt;outliers!$K$6,M519&gt;outliers!$K$7),"Outlier","Normal")</f>
        <v>Normal</v>
      </c>
    </row>
    <row r="520" spans="1:21">
      <c r="A520" s="21">
        <v>519</v>
      </c>
      <c r="B520" s="68">
        <v>40566</v>
      </c>
      <c r="C520" s="22" t="b">
        <v>0</v>
      </c>
      <c r="D520" s="21" t="str">
        <f t="shared" si="8"/>
        <v>Sunday</v>
      </c>
      <c r="E520" s="23">
        <v>0.1061</v>
      </c>
      <c r="F520" s="23">
        <f>YEAR('Merged raw data'!$B520)</f>
        <v>2011</v>
      </c>
      <c r="G520" s="23" t="str">
        <f>TEXT('Merged raw data'!$B520,"mmmm")</f>
        <v>January</v>
      </c>
      <c r="H520" s="37" t="str">
        <f>TEXT(TIME('Merged raw data'!F520,0,0),"h AM/PM")</f>
        <v>5 PM</v>
      </c>
      <c r="I520" s="23" t="str">
        <f>IF(OR('Merged raw data'!H520=1,'Merged raw data'!H520=2,'Merged raw data'!H520=3,'Merged raw data'!H520=4,'Merged raw data'!H520=5),"weekday","weekend")</f>
        <v>weekend</v>
      </c>
      <c r="J520" s="23" t="s">
        <v>23</v>
      </c>
      <c r="K520" s="23" t="str">
        <f>IF('Merged raw data'!I520=1,"Clear",IF('Merged raw data'!I520=2,"Mist",IF('Merged raw data'!I520=3,"Rain",IF('Merged raw data'!I520=4,"Storm","NA"))))</f>
        <v>Clear</v>
      </c>
      <c r="L520" s="24">
        <v>0.26</v>
      </c>
      <c r="M520" s="24">
        <v>0.3881</v>
      </c>
      <c r="N520" s="21">
        <f>'Merged raw data'!$J520*100</f>
        <v>14.000000000000002</v>
      </c>
      <c r="O520" s="21">
        <v>5</v>
      </c>
      <c r="P520" s="21">
        <v>50</v>
      </c>
      <c r="Q520" s="21">
        <v>55</v>
      </c>
      <c r="R520" s="21" t="str">
        <f>IF(Q520&gt;=outliers!I522,"High",IF(Q520&lt;=outliers!I521,"Low","Moderate"))</f>
        <v>High</v>
      </c>
      <c r="S520" s="8" t="str">
        <f>IF(OR(Q520&lt;outliers!$I$6,Q520&gt;outliers!$I$7),"Outlier","Normal")</f>
        <v>Normal</v>
      </c>
      <c r="T520" s="8" t="str">
        <f>IF(OR(L520&lt;outliers!$J$6,L520&gt;outliers!$J$7),"Outlier","Normal")</f>
        <v>Normal</v>
      </c>
      <c r="U520" s="8" t="str">
        <f>IF(OR(M520&lt;outliers!$K$6,M520&gt;outliers!$K$7),"Outlier","Normal")</f>
        <v>Normal</v>
      </c>
    </row>
    <row r="521" spans="1:21">
      <c r="A521" s="21">
        <v>520</v>
      </c>
      <c r="B521" s="68">
        <v>40566</v>
      </c>
      <c r="C521" s="22" t="b">
        <v>0</v>
      </c>
      <c r="D521" s="21" t="str">
        <f t="shared" si="8"/>
        <v>Sunday</v>
      </c>
      <c r="E521" s="23">
        <v>0.1212</v>
      </c>
      <c r="F521" s="23">
        <f>YEAR('Merged raw data'!$B521)</f>
        <v>2011</v>
      </c>
      <c r="G521" s="23" t="str">
        <f>TEXT('Merged raw data'!$B521,"mmmm")</f>
        <v>January</v>
      </c>
      <c r="H521" s="37" t="str">
        <f>TEXT(TIME('Merged raw data'!F521,0,0),"h AM/PM")</f>
        <v>6 PM</v>
      </c>
      <c r="I521" s="23" t="str">
        <f>IF(OR('Merged raw data'!H521=1,'Merged raw data'!H521=2,'Merged raw data'!H521=3,'Merged raw data'!H521=4,'Merged raw data'!H521=5),"weekday","weekend")</f>
        <v>weekend</v>
      </c>
      <c r="J521" s="23" t="s">
        <v>23</v>
      </c>
      <c r="K521" s="23" t="str">
        <f>IF('Merged raw data'!I521=1,"Clear",IF('Merged raw data'!I521=2,"Mist",IF('Merged raw data'!I521=3,"Rain",IF('Merged raw data'!I521=4,"Storm","NA"))))</f>
        <v>Clear</v>
      </c>
      <c r="L521" s="24">
        <v>0.3</v>
      </c>
      <c r="M521" s="24">
        <v>0.25369999999999998</v>
      </c>
      <c r="N521" s="21">
        <f>'Merged raw data'!$J521*100</f>
        <v>12</v>
      </c>
      <c r="O521" s="21">
        <v>5</v>
      </c>
      <c r="P521" s="21">
        <v>44</v>
      </c>
      <c r="Q521" s="21">
        <v>49</v>
      </c>
      <c r="R521" s="21" t="str">
        <f>IF(Q521&gt;=outliers!I523,"High",IF(Q521&lt;=outliers!I522,"Low","Moderate"))</f>
        <v>High</v>
      </c>
      <c r="S521" s="8" t="str">
        <f>IF(OR(Q521&lt;outliers!$I$6,Q521&gt;outliers!$I$7),"Outlier","Normal")</f>
        <v>Normal</v>
      </c>
      <c r="T521" s="8" t="str">
        <f>IF(OR(L521&lt;outliers!$J$6,L521&gt;outliers!$J$7),"Outlier","Normal")</f>
        <v>Normal</v>
      </c>
      <c r="U521" s="8" t="str">
        <f>IF(OR(M521&lt;outliers!$K$6,M521&gt;outliers!$K$7),"Outlier","Normal")</f>
        <v>Normal</v>
      </c>
    </row>
    <row r="522" spans="1:21">
      <c r="A522" s="21">
        <v>521</v>
      </c>
      <c r="B522" s="68">
        <v>40566</v>
      </c>
      <c r="C522" s="22" t="b">
        <v>0</v>
      </c>
      <c r="D522" s="21" t="str">
        <f t="shared" si="8"/>
        <v>Sunday</v>
      </c>
      <c r="E522" s="23">
        <v>0.1212</v>
      </c>
      <c r="F522" s="23">
        <f>YEAR('Merged raw data'!$B522)</f>
        <v>2011</v>
      </c>
      <c r="G522" s="23" t="str">
        <f>TEXT('Merged raw data'!$B522,"mmmm")</f>
        <v>January</v>
      </c>
      <c r="H522" s="37" t="str">
        <f>TEXT(TIME('Merged raw data'!F522,0,0),"h AM/PM")</f>
        <v>7 PM</v>
      </c>
      <c r="I522" s="23" t="str">
        <f>IF(OR('Merged raw data'!H522=1,'Merged raw data'!H522=2,'Merged raw data'!H522=3,'Merged raw data'!H522=4,'Merged raw data'!H522=5),"weekday","weekend")</f>
        <v>weekend</v>
      </c>
      <c r="J522" s="23" t="s">
        <v>23</v>
      </c>
      <c r="K522" s="23" t="str">
        <f>IF('Merged raw data'!I522=1,"Clear",IF('Merged raw data'!I522=2,"Mist",IF('Merged raw data'!I522=3,"Rain",IF('Merged raw data'!I522=4,"Storm","NA"))))</f>
        <v>Clear</v>
      </c>
      <c r="L522" s="24">
        <v>0.3</v>
      </c>
      <c r="M522" s="24">
        <v>0.28360000000000002</v>
      </c>
      <c r="N522" s="21">
        <f>'Merged raw data'!$J522*100</f>
        <v>12</v>
      </c>
      <c r="O522" s="21">
        <v>5</v>
      </c>
      <c r="P522" s="21">
        <v>45</v>
      </c>
      <c r="Q522" s="21">
        <v>50</v>
      </c>
      <c r="R522" s="21" t="str">
        <f>IF(Q522&gt;=outliers!I524,"High",IF(Q522&lt;=outliers!I523,"Low","Moderate"))</f>
        <v>High</v>
      </c>
      <c r="S522" s="8" t="str">
        <f>IF(OR(Q522&lt;outliers!$I$6,Q522&gt;outliers!$I$7),"Outlier","Normal")</f>
        <v>Normal</v>
      </c>
      <c r="T522" s="8" t="str">
        <f>IF(OR(L522&lt;outliers!$J$6,L522&gt;outliers!$J$7),"Outlier","Normal")</f>
        <v>Normal</v>
      </c>
      <c r="U522" s="8" t="str">
        <f>IF(OR(M522&lt;outliers!$K$6,M522&gt;outliers!$K$7),"Outlier","Normal")</f>
        <v>Normal</v>
      </c>
    </row>
    <row r="523" spans="1:21">
      <c r="A523" s="21">
        <v>522</v>
      </c>
      <c r="B523" s="68">
        <v>40566</v>
      </c>
      <c r="C523" s="22" t="b">
        <v>0</v>
      </c>
      <c r="D523" s="21" t="str">
        <f t="shared" si="8"/>
        <v>Sunday</v>
      </c>
      <c r="E523" s="23">
        <v>0.1061</v>
      </c>
      <c r="F523" s="23">
        <f>YEAR('Merged raw data'!$B523)</f>
        <v>2011</v>
      </c>
      <c r="G523" s="23" t="str">
        <f>TEXT('Merged raw data'!$B523,"mmmm")</f>
        <v>January</v>
      </c>
      <c r="H523" s="37" t="str">
        <f>TEXT(TIME('Merged raw data'!F523,0,0),"h AM/PM")</f>
        <v>8 PM</v>
      </c>
      <c r="I523" s="23" t="str">
        <f>IF(OR('Merged raw data'!H523=1,'Merged raw data'!H523=2,'Merged raw data'!H523=3,'Merged raw data'!H523=4,'Merged raw data'!H523=5),"weekday","weekend")</f>
        <v>weekend</v>
      </c>
      <c r="J523" s="23" t="s">
        <v>23</v>
      </c>
      <c r="K523" s="23" t="str">
        <f>IF('Merged raw data'!I523=1,"Clear",IF('Merged raw data'!I523=2,"Mist",IF('Merged raw data'!I523=3,"Rain",IF('Merged raw data'!I523=4,"Storm","NA"))))</f>
        <v>Clear</v>
      </c>
      <c r="L523" s="24">
        <v>0.36</v>
      </c>
      <c r="M523" s="24">
        <v>0.25369999999999998</v>
      </c>
      <c r="N523" s="21">
        <f>'Merged raw data'!$J523*100</f>
        <v>10</v>
      </c>
      <c r="O523" s="21">
        <v>4</v>
      </c>
      <c r="P523" s="21">
        <v>31</v>
      </c>
      <c r="Q523" s="21">
        <v>35</v>
      </c>
      <c r="R523" s="21" t="str">
        <f>IF(Q523&gt;=outliers!I525,"High",IF(Q523&lt;=outliers!I524,"Low","Moderate"))</f>
        <v>High</v>
      </c>
      <c r="S523" s="8" t="str">
        <f>IF(OR(Q523&lt;outliers!$I$6,Q523&gt;outliers!$I$7),"Outlier","Normal")</f>
        <v>Normal</v>
      </c>
      <c r="T523" s="8" t="str">
        <f>IF(OR(L523&lt;outliers!$J$6,L523&gt;outliers!$J$7),"Outlier","Normal")</f>
        <v>Normal</v>
      </c>
      <c r="U523" s="8" t="str">
        <f>IF(OR(M523&lt;outliers!$K$6,M523&gt;outliers!$K$7),"Outlier","Normal")</f>
        <v>Normal</v>
      </c>
    </row>
    <row r="524" spans="1:21">
      <c r="A524" s="21">
        <v>523</v>
      </c>
      <c r="B524" s="68">
        <v>40566</v>
      </c>
      <c r="C524" s="22" t="b">
        <v>0</v>
      </c>
      <c r="D524" s="21" t="str">
        <f t="shared" si="8"/>
        <v>Sunday</v>
      </c>
      <c r="E524" s="23">
        <v>0.1061</v>
      </c>
      <c r="F524" s="23">
        <f>YEAR('Merged raw data'!$B524)</f>
        <v>2011</v>
      </c>
      <c r="G524" s="23" t="str">
        <f>TEXT('Merged raw data'!$B524,"mmmm")</f>
        <v>January</v>
      </c>
      <c r="H524" s="37" t="str">
        <f>TEXT(TIME('Merged raw data'!F524,0,0),"h AM/PM")</f>
        <v>9 PM</v>
      </c>
      <c r="I524" s="23" t="str">
        <f>IF(OR('Merged raw data'!H524=1,'Merged raw data'!H524=2,'Merged raw data'!H524=3,'Merged raw data'!H524=4,'Merged raw data'!H524=5),"weekday","weekend")</f>
        <v>weekend</v>
      </c>
      <c r="J524" s="23" t="s">
        <v>23</v>
      </c>
      <c r="K524" s="23" t="str">
        <f>IF('Merged raw data'!I524=1,"Clear",IF('Merged raw data'!I524=2,"Mist",IF('Merged raw data'!I524=3,"Rain",IF('Merged raw data'!I524=4,"Storm","NA"))))</f>
        <v>Clear</v>
      </c>
      <c r="L524" s="24">
        <v>0.36</v>
      </c>
      <c r="M524" s="24">
        <v>0.19400000000000001</v>
      </c>
      <c r="N524" s="21">
        <f>'Merged raw data'!$J524*100</f>
        <v>10</v>
      </c>
      <c r="O524" s="21">
        <v>5</v>
      </c>
      <c r="P524" s="21">
        <v>20</v>
      </c>
      <c r="Q524" s="21">
        <v>25</v>
      </c>
      <c r="R524" s="21" t="str">
        <f>IF(Q524&gt;=outliers!I526,"High",IF(Q524&lt;=outliers!I525,"Low","Moderate"))</f>
        <v>High</v>
      </c>
      <c r="S524" s="8" t="str">
        <f>IF(OR(Q524&lt;outliers!$I$6,Q524&gt;outliers!$I$7),"Outlier","Normal")</f>
        <v>Normal</v>
      </c>
      <c r="T524" s="8" t="str">
        <f>IF(OR(L524&lt;outliers!$J$6,L524&gt;outliers!$J$7),"Outlier","Normal")</f>
        <v>Normal</v>
      </c>
      <c r="U524" s="8" t="str">
        <f>IF(OR(M524&lt;outliers!$K$6,M524&gt;outliers!$K$7),"Outlier","Normal")</f>
        <v>Normal</v>
      </c>
    </row>
    <row r="525" spans="1:21">
      <c r="A525" s="21">
        <v>524</v>
      </c>
      <c r="B525" s="68">
        <v>40566</v>
      </c>
      <c r="C525" s="22" t="b">
        <v>0</v>
      </c>
      <c r="D525" s="21" t="str">
        <f t="shared" si="8"/>
        <v>Sunday</v>
      </c>
      <c r="E525" s="23">
        <v>9.0899999999999995E-2</v>
      </c>
      <c r="F525" s="23">
        <f>YEAR('Merged raw data'!$B525)</f>
        <v>2011</v>
      </c>
      <c r="G525" s="23" t="str">
        <f>TEXT('Merged raw data'!$B525,"mmmm")</f>
        <v>January</v>
      </c>
      <c r="H525" s="37" t="str">
        <f>TEXT(TIME('Merged raw data'!F525,0,0),"h AM/PM")</f>
        <v>10 PM</v>
      </c>
      <c r="I525" s="23" t="str">
        <f>IF(OR('Merged raw data'!H525=1,'Merged raw data'!H525=2,'Merged raw data'!H525=3,'Merged raw data'!H525=4,'Merged raw data'!H525=5),"weekday","weekend")</f>
        <v>weekend</v>
      </c>
      <c r="J525" s="23" t="s">
        <v>23</v>
      </c>
      <c r="K525" s="23" t="str">
        <f>IF('Merged raw data'!I525=1,"Clear",IF('Merged raw data'!I525=2,"Mist",IF('Merged raw data'!I525=3,"Rain",IF('Merged raw data'!I525=4,"Storm","NA"))))</f>
        <v>Clear</v>
      </c>
      <c r="L525" s="24">
        <v>0.38</v>
      </c>
      <c r="M525" s="24">
        <v>0.19400000000000001</v>
      </c>
      <c r="N525" s="21">
        <f>'Merged raw data'!$J525*100</f>
        <v>8</v>
      </c>
      <c r="O525" s="21">
        <v>5</v>
      </c>
      <c r="P525" s="21">
        <v>23</v>
      </c>
      <c r="Q525" s="21">
        <v>28</v>
      </c>
      <c r="R525" s="21" t="str">
        <f>IF(Q525&gt;=outliers!I527,"High",IF(Q525&lt;=outliers!I526,"Low","Moderate"))</f>
        <v>High</v>
      </c>
      <c r="S525" s="8" t="str">
        <f>IF(OR(Q525&lt;outliers!$I$6,Q525&gt;outliers!$I$7),"Outlier","Normal")</f>
        <v>Normal</v>
      </c>
      <c r="T525" s="8" t="str">
        <f>IF(OR(L525&lt;outliers!$J$6,L525&gt;outliers!$J$7),"Outlier","Normal")</f>
        <v>Normal</v>
      </c>
      <c r="U525" s="8" t="str">
        <f>IF(OR(M525&lt;outliers!$K$6,M525&gt;outliers!$K$7),"Outlier","Normal")</f>
        <v>Normal</v>
      </c>
    </row>
    <row r="526" spans="1:21">
      <c r="A526" s="21">
        <v>525</v>
      </c>
      <c r="B526" s="68">
        <v>40566</v>
      </c>
      <c r="C526" s="22" t="b">
        <v>0</v>
      </c>
      <c r="D526" s="21" t="str">
        <f t="shared" si="8"/>
        <v>Sunday</v>
      </c>
      <c r="E526" s="23">
        <v>6.0600000000000001E-2</v>
      </c>
      <c r="F526" s="23">
        <f>YEAR('Merged raw data'!$B526)</f>
        <v>2011</v>
      </c>
      <c r="G526" s="23" t="str">
        <f>TEXT('Merged raw data'!$B526,"mmmm")</f>
        <v>January</v>
      </c>
      <c r="H526" s="37" t="str">
        <f>TEXT(TIME('Merged raw data'!F526,0,0),"h AM/PM")</f>
        <v>11 PM</v>
      </c>
      <c r="I526" s="23" t="str">
        <f>IF(OR('Merged raw data'!H526=1,'Merged raw data'!H526=2,'Merged raw data'!H526=3,'Merged raw data'!H526=4,'Merged raw data'!H526=5),"weekday","weekend")</f>
        <v>weekend</v>
      </c>
      <c r="J526" s="23" t="s">
        <v>23</v>
      </c>
      <c r="K526" s="23" t="str">
        <f>IF('Merged raw data'!I526=1,"Clear",IF('Merged raw data'!I526=2,"Mist",IF('Merged raw data'!I526=3,"Rain",IF('Merged raw data'!I526=4,"Storm","NA"))))</f>
        <v>Clear</v>
      </c>
      <c r="L526" s="24">
        <v>0.41</v>
      </c>
      <c r="M526" s="24">
        <v>0.22389999999999999</v>
      </c>
      <c r="N526" s="21">
        <f>'Merged raw data'!$J526*100</f>
        <v>6</v>
      </c>
      <c r="O526" s="21">
        <v>4</v>
      </c>
      <c r="P526" s="21">
        <v>17</v>
      </c>
      <c r="Q526" s="21">
        <v>21</v>
      </c>
      <c r="R526" s="21" t="str">
        <f>IF(Q526&gt;=outliers!I528,"High",IF(Q526&lt;=outliers!I527,"Low","Moderate"))</f>
        <v>High</v>
      </c>
      <c r="S526" s="8" t="str">
        <f>IF(OR(Q526&lt;outliers!$I$6,Q526&gt;outliers!$I$7),"Outlier","Normal")</f>
        <v>Normal</v>
      </c>
      <c r="T526" s="8" t="str">
        <f>IF(OR(L526&lt;outliers!$J$6,L526&gt;outliers!$J$7),"Outlier","Normal")</f>
        <v>Normal</v>
      </c>
      <c r="U526" s="8" t="str">
        <f>IF(OR(M526&lt;outliers!$K$6,M526&gt;outliers!$K$7),"Outlier","Normal")</f>
        <v>Normal</v>
      </c>
    </row>
    <row r="527" spans="1:21">
      <c r="A527" s="21">
        <v>526</v>
      </c>
      <c r="B527" s="68">
        <v>40567</v>
      </c>
      <c r="C527" s="22" t="b">
        <v>0</v>
      </c>
      <c r="D527" s="21" t="str">
        <f t="shared" si="8"/>
        <v>Monday</v>
      </c>
      <c r="E527" s="23">
        <v>6.0600000000000001E-2</v>
      </c>
      <c r="F527" s="23">
        <f>YEAR('Merged raw data'!$B527)</f>
        <v>2011</v>
      </c>
      <c r="G527" s="23" t="str">
        <f>TEXT('Merged raw data'!$B527,"mmmm")</f>
        <v>January</v>
      </c>
      <c r="H527" s="37" t="str">
        <f>TEXT(TIME('Merged raw data'!F527,0,0),"h AM/PM")</f>
        <v>12 AM</v>
      </c>
      <c r="I527" s="23" t="str">
        <f>IF(OR('Merged raw data'!H527=1,'Merged raw data'!H527=2,'Merged raw data'!H527=3,'Merged raw data'!H527=4,'Merged raw data'!H527=5),"weekday","weekend")</f>
        <v>weekday</v>
      </c>
      <c r="J527" s="23" t="s">
        <v>23</v>
      </c>
      <c r="K527" s="23" t="str">
        <f>IF('Merged raw data'!I527=1,"Clear",IF('Merged raw data'!I527=2,"Mist",IF('Merged raw data'!I527=3,"Rain",IF('Merged raw data'!I527=4,"Storm","NA"))))</f>
        <v>Clear</v>
      </c>
      <c r="L527" s="24">
        <v>0.41</v>
      </c>
      <c r="M527" s="24">
        <v>0.19400000000000001</v>
      </c>
      <c r="N527" s="21">
        <f>'Merged raw data'!$J527*100</f>
        <v>6</v>
      </c>
      <c r="O527" s="21">
        <v>0</v>
      </c>
      <c r="P527" s="21">
        <v>7</v>
      </c>
      <c r="Q527" s="21">
        <v>7</v>
      </c>
      <c r="R527" s="21" t="str">
        <f>IF(Q527&gt;=outliers!I529,"High",IF(Q527&lt;=outliers!I528,"Low","Moderate"))</f>
        <v>High</v>
      </c>
      <c r="S527" s="8" t="str">
        <f>IF(OR(Q527&lt;outliers!$I$6,Q527&gt;outliers!$I$7),"Outlier","Normal")</f>
        <v>Normal</v>
      </c>
      <c r="T527" s="8" t="str">
        <f>IF(OR(L527&lt;outliers!$J$6,L527&gt;outliers!$J$7),"Outlier","Normal")</f>
        <v>Normal</v>
      </c>
      <c r="U527" s="8" t="str">
        <f>IF(OR(M527&lt;outliers!$K$6,M527&gt;outliers!$K$7),"Outlier","Normal")</f>
        <v>Normal</v>
      </c>
    </row>
    <row r="528" spans="1:21">
      <c r="A528" s="21">
        <v>527</v>
      </c>
      <c r="B528" s="68">
        <v>40567</v>
      </c>
      <c r="C528" s="22" t="b">
        <v>0</v>
      </c>
      <c r="D528" s="21" t="str">
        <f t="shared" si="8"/>
        <v>Monday</v>
      </c>
      <c r="E528" s="23">
        <v>4.5499999999999999E-2</v>
      </c>
      <c r="F528" s="23">
        <f>YEAR('Merged raw data'!$B528)</f>
        <v>2011</v>
      </c>
      <c r="G528" s="23" t="str">
        <f>TEXT('Merged raw data'!$B528,"mmmm")</f>
        <v>January</v>
      </c>
      <c r="H528" s="37" t="str">
        <f>TEXT(TIME('Merged raw data'!F528,0,0),"h AM/PM")</f>
        <v>1 AM</v>
      </c>
      <c r="I528" s="23" t="str">
        <f>IF(OR('Merged raw data'!H528=1,'Merged raw data'!H528=2,'Merged raw data'!H528=3,'Merged raw data'!H528=4,'Merged raw data'!H528=5),"weekday","weekend")</f>
        <v>weekday</v>
      </c>
      <c r="J528" s="23" t="s">
        <v>23</v>
      </c>
      <c r="K528" s="23" t="str">
        <f>IF('Merged raw data'!I528=1,"Clear",IF('Merged raw data'!I528=2,"Mist",IF('Merged raw data'!I528=3,"Rain",IF('Merged raw data'!I528=4,"Storm","NA"))))</f>
        <v>Clear</v>
      </c>
      <c r="L528" s="24">
        <v>0.45</v>
      </c>
      <c r="M528" s="24">
        <v>0.19400000000000001</v>
      </c>
      <c r="N528" s="21">
        <f>'Merged raw data'!$J528*100</f>
        <v>4</v>
      </c>
      <c r="O528" s="21">
        <v>0</v>
      </c>
      <c r="P528" s="21">
        <v>1</v>
      </c>
      <c r="Q528" s="21">
        <v>1</v>
      </c>
      <c r="R528" s="21" t="str">
        <f>IF(Q528&gt;=outliers!I530,"High",IF(Q528&lt;=outliers!I529,"Low","Moderate"))</f>
        <v>High</v>
      </c>
      <c r="S528" s="8" t="str">
        <f>IF(OR(Q528&lt;outliers!$I$6,Q528&gt;outliers!$I$7),"Outlier","Normal")</f>
        <v>Normal</v>
      </c>
      <c r="T528" s="8" t="str">
        <f>IF(OR(L528&lt;outliers!$J$6,L528&gt;outliers!$J$7),"Outlier","Normal")</f>
        <v>Normal</v>
      </c>
      <c r="U528" s="8" t="str">
        <f>IF(OR(M528&lt;outliers!$K$6,M528&gt;outliers!$K$7),"Outlier","Normal")</f>
        <v>Normal</v>
      </c>
    </row>
    <row r="529" spans="1:21">
      <c r="A529" s="21">
        <v>528</v>
      </c>
      <c r="B529" s="68">
        <v>40567</v>
      </c>
      <c r="C529" s="22" t="b">
        <v>0</v>
      </c>
      <c r="D529" s="21" t="str">
        <f t="shared" si="8"/>
        <v>Monday</v>
      </c>
      <c r="E529" s="23">
        <v>3.0300000000000001E-2</v>
      </c>
      <c r="F529" s="23">
        <f>YEAR('Merged raw data'!$B529)</f>
        <v>2011</v>
      </c>
      <c r="G529" s="23" t="str">
        <f>TEXT('Merged raw data'!$B529,"mmmm")</f>
        <v>January</v>
      </c>
      <c r="H529" s="37" t="str">
        <f>TEXT(TIME('Merged raw data'!F529,0,0),"h AM/PM")</f>
        <v>3 AM</v>
      </c>
      <c r="I529" s="23" t="str">
        <f>IF(OR('Merged raw data'!H529=1,'Merged raw data'!H529=2,'Merged raw data'!H529=3,'Merged raw data'!H529=4,'Merged raw data'!H529=5),"weekday","weekend")</f>
        <v>weekday</v>
      </c>
      <c r="J529" s="23" t="s">
        <v>23</v>
      </c>
      <c r="K529" s="23" t="str">
        <f>IF('Merged raw data'!I529=1,"Clear",IF('Merged raw data'!I529=2,"Mist",IF('Merged raw data'!I529=3,"Rain",IF('Merged raw data'!I529=4,"Storm","NA"))))</f>
        <v>Clear</v>
      </c>
      <c r="L529" s="24">
        <v>0.45</v>
      </c>
      <c r="M529" s="24">
        <v>0.25369999999999998</v>
      </c>
      <c r="N529" s="21">
        <f>'Merged raw data'!$J529*100</f>
        <v>4</v>
      </c>
      <c r="O529" s="21">
        <v>0</v>
      </c>
      <c r="P529" s="21">
        <v>1</v>
      </c>
      <c r="Q529" s="21">
        <v>1</v>
      </c>
      <c r="R529" s="21" t="str">
        <f>IF(Q529&gt;=outliers!I531,"High",IF(Q529&lt;=outliers!I530,"Low","Moderate"))</f>
        <v>High</v>
      </c>
      <c r="S529" s="8" t="str">
        <f>IF(OR(Q529&lt;outliers!$I$6,Q529&gt;outliers!$I$7),"Outlier","Normal")</f>
        <v>Normal</v>
      </c>
      <c r="T529" s="8" t="str">
        <f>IF(OR(L529&lt;outliers!$J$6,L529&gt;outliers!$J$7),"Outlier","Normal")</f>
        <v>Normal</v>
      </c>
      <c r="U529" s="8" t="str">
        <f>IF(OR(M529&lt;outliers!$K$6,M529&gt;outliers!$K$7),"Outlier","Normal")</f>
        <v>Normal</v>
      </c>
    </row>
    <row r="530" spans="1:21">
      <c r="A530" s="21">
        <v>529</v>
      </c>
      <c r="B530" s="68">
        <v>40567</v>
      </c>
      <c r="C530" s="22" t="b">
        <v>0</v>
      </c>
      <c r="D530" s="21" t="str">
        <f t="shared" si="8"/>
        <v>Monday</v>
      </c>
      <c r="E530" s="23">
        <v>6.0600000000000001E-2</v>
      </c>
      <c r="F530" s="23">
        <f>YEAR('Merged raw data'!$B530)</f>
        <v>2011</v>
      </c>
      <c r="G530" s="23" t="str">
        <f>TEXT('Merged raw data'!$B530,"mmmm")</f>
        <v>January</v>
      </c>
      <c r="H530" s="37" t="str">
        <f>TEXT(TIME('Merged raw data'!F530,0,0),"h AM/PM")</f>
        <v>4 AM</v>
      </c>
      <c r="I530" s="23" t="str">
        <f>IF(OR('Merged raw data'!H530=1,'Merged raw data'!H530=2,'Merged raw data'!H530=3,'Merged raw data'!H530=4,'Merged raw data'!H530=5),"weekday","weekend")</f>
        <v>weekday</v>
      </c>
      <c r="J530" s="23" t="s">
        <v>23</v>
      </c>
      <c r="K530" s="23" t="str">
        <f>IF('Merged raw data'!I530=1,"Clear",IF('Merged raw data'!I530=2,"Mist",IF('Merged raw data'!I530=3,"Rain",IF('Merged raw data'!I530=4,"Storm","NA"))))</f>
        <v>Clear</v>
      </c>
      <c r="L530" s="24">
        <v>0.48</v>
      </c>
      <c r="M530" s="24">
        <v>0.1343</v>
      </c>
      <c r="N530" s="21">
        <f>'Merged raw data'!$J530*100</f>
        <v>2</v>
      </c>
      <c r="O530" s="21">
        <v>0</v>
      </c>
      <c r="P530" s="21">
        <v>1</v>
      </c>
      <c r="Q530" s="21">
        <v>1</v>
      </c>
      <c r="R530" s="21" t="str">
        <f>IF(Q530&gt;=outliers!I532,"High",IF(Q530&lt;=outliers!I531,"Low","Moderate"))</f>
        <v>High</v>
      </c>
      <c r="S530" s="8" t="str">
        <f>IF(OR(Q530&lt;outliers!$I$6,Q530&gt;outliers!$I$7),"Outlier","Normal")</f>
        <v>Normal</v>
      </c>
      <c r="T530" s="8" t="str">
        <f>IF(OR(L530&lt;outliers!$J$6,L530&gt;outliers!$J$7),"Outlier","Normal")</f>
        <v>Normal</v>
      </c>
      <c r="U530" s="8" t="str">
        <f>IF(OR(M530&lt;outliers!$K$6,M530&gt;outliers!$K$7),"Outlier","Normal")</f>
        <v>Normal</v>
      </c>
    </row>
    <row r="531" spans="1:21">
      <c r="A531" s="21">
        <v>530</v>
      </c>
      <c r="B531" s="68">
        <v>40567</v>
      </c>
      <c r="C531" s="22" t="b">
        <v>0</v>
      </c>
      <c r="D531" s="21" t="str">
        <f t="shared" si="8"/>
        <v>Monday</v>
      </c>
      <c r="E531" s="23">
        <v>6.0600000000000001E-2</v>
      </c>
      <c r="F531" s="23">
        <f>YEAR('Merged raw data'!$B531)</f>
        <v>2011</v>
      </c>
      <c r="G531" s="23" t="str">
        <f>TEXT('Merged raw data'!$B531,"mmmm")</f>
        <v>January</v>
      </c>
      <c r="H531" s="37" t="str">
        <f>TEXT(TIME('Merged raw data'!F531,0,0),"h AM/PM")</f>
        <v>5 AM</v>
      </c>
      <c r="I531" s="23" t="str">
        <f>IF(OR('Merged raw data'!H531=1,'Merged raw data'!H531=2,'Merged raw data'!H531=3,'Merged raw data'!H531=4,'Merged raw data'!H531=5),"weekday","weekend")</f>
        <v>weekday</v>
      </c>
      <c r="J531" s="23" t="s">
        <v>23</v>
      </c>
      <c r="K531" s="23" t="str">
        <f>IF('Merged raw data'!I531=1,"Clear",IF('Merged raw data'!I531=2,"Mist",IF('Merged raw data'!I531=3,"Rain",IF('Merged raw data'!I531=4,"Storm","NA"))))</f>
        <v>Clear</v>
      </c>
      <c r="L531" s="24">
        <v>0.48</v>
      </c>
      <c r="M531" s="24">
        <v>0.1343</v>
      </c>
      <c r="N531" s="21">
        <f>'Merged raw data'!$J531*100</f>
        <v>2</v>
      </c>
      <c r="O531" s="21">
        <v>0</v>
      </c>
      <c r="P531" s="21">
        <v>5</v>
      </c>
      <c r="Q531" s="21">
        <v>5</v>
      </c>
      <c r="R531" s="21" t="str">
        <f>IF(Q531&gt;=outliers!I533,"High",IF(Q531&lt;=outliers!I532,"Low","Moderate"))</f>
        <v>High</v>
      </c>
      <c r="S531" s="8" t="str">
        <f>IF(OR(Q531&lt;outliers!$I$6,Q531&gt;outliers!$I$7),"Outlier","Normal")</f>
        <v>Normal</v>
      </c>
      <c r="T531" s="8" t="str">
        <f>IF(OR(L531&lt;outliers!$J$6,L531&gt;outliers!$J$7),"Outlier","Normal")</f>
        <v>Normal</v>
      </c>
      <c r="U531" s="8" t="str">
        <f>IF(OR(M531&lt;outliers!$K$6,M531&gt;outliers!$K$7),"Outlier","Normal")</f>
        <v>Normal</v>
      </c>
    </row>
    <row r="532" spans="1:21">
      <c r="A532" s="21">
        <v>531</v>
      </c>
      <c r="B532" s="68">
        <v>40567</v>
      </c>
      <c r="C532" s="22" t="b">
        <v>0</v>
      </c>
      <c r="D532" s="21" t="str">
        <f t="shared" si="8"/>
        <v>Monday</v>
      </c>
      <c r="E532" s="23">
        <v>7.5800000000000006E-2</v>
      </c>
      <c r="F532" s="23">
        <f>YEAR('Merged raw data'!$B532)</f>
        <v>2011</v>
      </c>
      <c r="G532" s="23" t="str">
        <f>TEXT('Merged raw data'!$B532,"mmmm")</f>
        <v>January</v>
      </c>
      <c r="H532" s="37" t="str">
        <f>TEXT(TIME('Merged raw data'!F532,0,0),"h AM/PM")</f>
        <v>6 AM</v>
      </c>
      <c r="I532" s="23" t="str">
        <f>IF(OR('Merged raw data'!H532=1,'Merged raw data'!H532=2,'Merged raw data'!H532=3,'Merged raw data'!H532=4,'Merged raw data'!H532=5),"weekday","weekend")</f>
        <v>weekday</v>
      </c>
      <c r="J532" s="23" t="s">
        <v>23</v>
      </c>
      <c r="K532" s="23" t="str">
        <f>IF('Merged raw data'!I532=1,"Clear",IF('Merged raw data'!I532=2,"Mist",IF('Merged raw data'!I532=3,"Rain",IF('Merged raw data'!I532=4,"Storm","NA"))))</f>
        <v>Clear</v>
      </c>
      <c r="L532" s="24">
        <v>0.48</v>
      </c>
      <c r="M532" s="24">
        <v>8.9599999999999999E-2</v>
      </c>
      <c r="N532" s="21">
        <f>'Merged raw data'!$J532*100</f>
        <v>2</v>
      </c>
      <c r="O532" s="21">
        <v>0</v>
      </c>
      <c r="P532" s="21">
        <v>15</v>
      </c>
      <c r="Q532" s="21">
        <v>15</v>
      </c>
      <c r="R532" s="21" t="str">
        <f>IF(Q532&gt;=outliers!I534,"High",IF(Q532&lt;=outliers!I533,"Low","Moderate"))</f>
        <v>High</v>
      </c>
      <c r="S532" s="8" t="str">
        <f>IF(OR(Q532&lt;outliers!$I$6,Q532&gt;outliers!$I$7),"Outlier","Normal")</f>
        <v>Normal</v>
      </c>
      <c r="T532" s="8" t="str">
        <f>IF(OR(L532&lt;outliers!$J$6,L532&gt;outliers!$J$7),"Outlier","Normal")</f>
        <v>Normal</v>
      </c>
      <c r="U532" s="8" t="str">
        <f>IF(OR(M532&lt;outliers!$K$6,M532&gt;outliers!$K$7),"Outlier","Normal")</f>
        <v>Normal</v>
      </c>
    </row>
    <row r="533" spans="1:21">
      <c r="A533" s="21">
        <v>532</v>
      </c>
      <c r="B533" s="68">
        <v>40567</v>
      </c>
      <c r="C533" s="22" t="b">
        <v>0</v>
      </c>
      <c r="D533" s="21" t="str">
        <f t="shared" si="8"/>
        <v>Monday</v>
      </c>
      <c r="E533" s="23">
        <v>0.1212</v>
      </c>
      <c r="F533" s="23">
        <f>YEAR('Merged raw data'!$B533)</f>
        <v>2011</v>
      </c>
      <c r="G533" s="23" t="str">
        <f>TEXT('Merged raw data'!$B533,"mmmm")</f>
        <v>January</v>
      </c>
      <c r="H533" s="37" t="str">
        <f>TEXT(TIME('Merged raw data'!F533,0,0),"h AM/PM")</f>
        <v>7 AM</v>
      </c>
      <c r="I533" s="23" t="str">
        <f>IF(OR('Merged raw data'!H533=1,'Merged raw data'!H533=2,'Merged raw data'!H533=3,'Merged raw data'!H533=4,'Merged raw data'!H533=5),"weekday","weekend")</f>
        <v>weekday</v>
      </c>
      <c r="J533" s="23" t="s">
        <v>23</v>
      </c>
      <c r="K533" s="23" t="str">
        <f>IF('Merged raw data'!I533=1,"Clear",IF('Merged raw data'!I533=2,"Mist",IF('Merged raw data'!I533=3,"Rain",IF('Merged raw data'!I533=4,"Storm","NA"))))</f>
        <v>Clear</v>
      </c>
      <c r="L533" s="24">
        <v>0.48</v>
      </c>
      <c r="M533" s="24">
        <v>0.23</v>
      </c>
      <c r="N533" s="21">
        <f>'Merged raw data'!$J533*100</f>
        <v>2</v>
      </c>
      <c r="O533" s="21">
        <v>5</v>
      </c>
      <c r="P533" s="21">
        <v>79</v>
      </c>
      <c r="Q533" s="21">
        <v>84</v>
      </c>
      <c r="R533" s="21" t="str">
        <f>IF(Q533&gt;=outliers!I535,"High",IF(Q533&lt;=outliers!I534,"Low","Moderate"))</f>
        <v>High</v>
      </c>
      <c r="S533" s="8" t="str">
        <f>IF(OR(Q533&lt;outliers!$I$6,Q533&gt;outliers!$I$7),"Outlier","Normal")</f>
        <v>Normal</v>
      </c>
      <c r="T533" s="8" t="str">
        <f>IF(OR(L533&lt;outliers!$J$6,L533&gt;outliers!$J$7),"Outlier","Normal")</f>
        <v>Normal</v>
      </c>
      <c r="U533" s="8" t="str">
        <f>IF(OR(M533&lt;outliers!$K$6,M533&gt;outliers!$K$7),"Outlier","Normal")</f>
        <v>Normal</v>
      </c>
    </row>
    <row r="534" spans="1:21">
      <c r="A534" s="21">
        <v>533</v>
      </c>
      <c r="B534" s="68">
        <v>40567</v>
      </c>
      <c r="C534" s="22" t="b">
        <v>0</v>
      </c>
      <c r="D534" s="21" t="str">
        <f t="shared" si="8"/>
        <v>Monday</v>
      </c>
      <c r="E534" s="23">
        <v>0.13639999999999999</v>
      </c>
      <c r="F534" s="23">
        <f>YEAR('Merged raw data'!$B534)</f>
        <v>2011</v>
      </c>
      <c r="G534" s="23" t="str">
        <f>TEXT('Merged raw data'!$B534,"mmmm")</f>
        <v>January</v>
      </c>
      <c r="H534" s="37" t="str">
        <f>TEXT(TIME('Merged raw data'!F534,0,0),"h AM/PM")</f>
        <v>8 AM</v>
      </c>
      <c r="I534" s="23" t="str">
        <f>IF(OR('Merged raw data'!H534=1,'Merged raw data'!H534=2,'Merged raw data'!H534=3,'Merged raw data'!H534=4,'Merged raw data'!H534=5),"weekday","weekend")</f>
        <v>weekday</v>
      </c>
      <c r="J534" s="23" t="s">
        <v>23</v>
      </c>
      <c r="K534" s="23" t="str">
        <f>IF('Merged raw data'!I534=1,"Clear",IF('Merged raw data'!I534=2,"Mist",IF('Merged raw data'!I534=3,"Rain",IF('Merged raw data'!I534=4,"Storm","NA"))))</f>
        <v>Clear</v>
      </c>
      <c r="L534" s="24">
        <v>0.49</v>
      </c>
      <c r="M534" s="24">
        <v>0.23</v>
      </c>
      <c r="N534" s="21">
        <f>'Merged raw data'!$J534*100</f>
        <v>4</v>
      </c>
      <c r="O534" s="21">
        <v>6</v>
      </c>
      <c r="P534" s="21">
        <v>171</v>
      </c>
      <c r="Q534" s="21">
        <v>177</v>
      </c>
      <c r="R534" s="21" t="str">
        <f>IF(Q534&gt;=outliers!I536,"High",IF(Q534&lt;=outliers!I535,"Low","Moderate"))</f>
        <v>High</v>
      </c>
      <c r="S534" s="8" t="str">
        <f>IF(OR(Q534&lt;outliers!$I$6,Q534&gt;outliers!$I$7),"Outlier","Normal")</f>
        <v>Normal</v>
      </c>
      <c r="T534" s="8" t="str">
        <f>IF(OR(L534&lt;outliers!$J$6,L534&gt;outliers!$J$7),"Outlier","Normal")</f>
        <v>Normal</v>
      </c>
      <c r="U534" s="8" t="str">
        <f>IF(OR(M534&lt;outliers!$K$6,M534&gt;outliers!$K$7),"Outlier","Normal")</f>
        <v>Normal</v>
      </c>
    </row>
    <row r="535" spans="1:21">
      <c r="A535" s="21">
        <v>534</v>
      </c>
      <c r="B535" s="68">
        <v>40567</v>
      </c>
      <c r="C535" s="22" t="b">
        <v>0</v>
      </c>
      <c r="D535" s="21" t="str">
        <f t="shared" si="8"/>
        <v>Monday</v>
      </c>
      <c r="E535" s="23">
        <v>0.1515</v>
      </c>
      <c r="F535" s="23">
        <f>YEAR('Merged raw data'!$B535)</f>
        <v>2011</v>
      </c>
      <c r="G535" s="23" t="str">
        <f>TEXT('Merged raw data'!$B535,"mmmm")</f>
        <v>January</v>
      </c>
      <c r="H535" s="37" t="str">
        <f>TEXT(TIME('Merged raw data'!F535,0,0),"h AM/PM")</f>
        <v>9 AM</v>
      </c>
      <c r="I535" s="23" t="str">
        <f>IF(OR('Merged raw data'!H535=1,'Merged raw data'!H535=2,'Merged raw data'!H535=3,'Merged raw data'!H535=4,'Merged raw data'!H535=5),"weekday","weekend")</f>
        <v>weekday</v>
      </c>
      <c r="J535" s="23" t="s">
        <v>23</v>
      </c>
      <c r="K535" s="23" t="str">
        <f>IF('Merged raw data'!I535=1,"Clear",IF('Merged raw data'!I535=2,"Mist",IF('Merged raw data'!I535=3,"Rain",IF('Merged raw data'!I535=4,"Storm","NA"))))</f>
        <v>Clear</v>
      </c>
      <c r="L535" s="24">
        <v>0.41</v>
      </c>
      <c r="M535" s="24">
        <v>0.23</v>
      </c>
      <c r="N535" s="21">
        <f>'Merged raw data'!$J535*100</f>
        <v>6</v>
      </c>
      <c r="O535" s="21">
        <v>4</v>
      </c>
      <c r="P535" s="21">
        <v>98</v>
      </c>
      <c r="Q535" s="21">
        <v>102</v>
      </c>
      <c r="R535" s="21" t="str">
        <f>IF(Q535&gt;=outliers!I537,"High",IF(Q535&lt;=outliers!I536,"Low","Moderate"))</f>
        <v>High</v>
      </c>
      <c r="S535" s="8" t="str">
        <f>IF(OR(Q535&lt;outliers!$I$6,Q535&gt;outliers!$I$7),"Outlier","Normal")</f>
        <v>Normal</v>
      </c>
      <c r="T535" s="8" t="str">
        <f>IF(OR(L535&lt;outliers!$J$6,L535&gt;outliers!$J$7),"Outlier","Normal")</f>
        <v>Normal</v>
      </c>
      <c r="U535" s="8" t="str">
        <f>IF(OR(M535&lt;outliers!$K$6,M535&gt;outliers!$K$7),"Outlier","Normal")</f>
        <v>Normal</v>
      </c>
    </row>
    <row r="536" spans="1:21">
      <c r="A536" s="21">
        <v>535</v>
      </c>
      <c r="B536" s="68">
        <v>40567</v>
      </c>
      <c r="C536" s="22" t="b">
        <v>0</v>
      </c>
      <c r="D536" s="21" t="str">
        <f t="shared" si="8"/>
        <v>Monday</v>
      </c>
      <c r="E536" s="23">
        <v>0.13639999999999999</v>
      </c>
      <c r="F536" s="23">
        <f>YEAR('Merged raw data'!$B536)</f>
        <v>2011</v>
      </c>
      <c r="G536" s="23" t="str">
        <f>TEXT('Merged raw data'!$B536,"mmmm")</f>
        <v>January</v>
      </c>
      <c r="H536" s="37" t="str">
        <f>TEXT(TIME('Merged raw data'!F536,0,0),"h AM/PM")</f>
        <v>10 AM</v>
      </c>
      <c r="I536" s="23" t="str">
        <f>IF(OR('Merged raw data'!H536=1,'Merged raw data'!H536=2,'Merged raw data'!H536=3,'Merged raw data'!H536=4,'Merged raw data'!H536=5),"weekday","weekend")</f>
        <v>weekday</v>
      </c>
      <c r="J536" s="23" t="s">
        <v>23</v>
      </c>
      <c r="K536" s="23" t="str">
        <f>IF('Merged raw data'!I536=1,"Clear",IF('Merged raw data'!I536=2,"Mist",IF('Merged raw data'!I536=3,"Rain",IF('Merged raw data'!I536=4,"Storm","NA"))))</f>
        <v>Clear</v>
      </c>
      <c r="L536" s="24">
        <v>0.42</v>
      </c>
      <c r="M536" s="24">
        <v>0.23</v>
      </c>
      <c r="N536" s="21">
        <f>'Merged raw data'!$J536*100</f>
        <v>10</v>
      </c>
      <c r="O536" s="21">
        <v>6</v>
      </c>
      <c r="P536" s="21">
        <v>34</v>
      </c>
      <c r="Q536" s="21">
        <v>40</v>
      </c>
      <c r="R536" s="21" t="str">
        <f>IF(Q536&gt;=outliers!I538,"High",IF(Q536&lt;=outliers!I537,"Low","Moderate"))</f>
        <v>High</v>
      </c>
      <c r="S536" s="8" t="str">
        <f>IF(OR(Q536&lt;outliers!$I$6,Q536&gt;outliers!$I$7),"Outlier","Normal")</f>
        <v>Normal</v>
      </c>
      <c r="T536" s="8" t="str">
        <f>IF(OR(L536&lt;outliers!$J$6,L536&gt;outliers!$J$7),"Outlier","Normal")</f>
        <v>Normal</v>
      </c>
      <c r="U536" s="8" t="str">
        <f>IF(OR(M536&lt;outliers!$K$6,M536&gt;outliers!$K$7),"Outlier","Normal")</f>
        <v>Normal</v>
      </c>
    </row>
    <row r="537" spans="1:21">
      <c r="A537" s="21">
        <v>536</v>
      </c>
      <c r="B537" s="68">
        <v>40567</v>
      </c>
      <c r="C537" s="22" t="b">
        <v>0</v>
      </c>
      <c r="D537" s="21" t="str">
        <f t="shared" si="8"/>
        <v>Monday</v>
      </c>
      <c r="E537" s="23">
        <v>0.1212</v>
      </c>
      <c r="F537" s="23">
        <f>YEAR('Merged raw data'!$B537)</f>
        <v>2011</v>
      </c>
      <c r="G537" s="23" t="str">
        <f>TEXT('Merged raw data'!$B537,"mmmm")</f>
        <v>January</v>
      </c>
      <c r="H537" s="37" t="str">
        <f>TEXT(TIME('Merged raw data'!F537,0,0),"h AM/PM")</f>
        <v>11 AM</v>
      </c>
      <c r="I537" s="23" t="str">
        <f>IF(OR('Merged raw data'!H537=1,'Merged raw data'!H537=2,'Merged raw data'!H537=3,'Merged raw data'!H537=4,'Merged raw data'!H537=5),"weekday","weekend")</f>
        <v>weekday</v>
      </c>
      <c r="J537" s="23" t="s">
        <v>23</v>
      </c>
      <c r="K537" s="23" t="str">
        <f>IF('Merged raw data'!I537=1,"Clear",IF('Merged raw data'!I537=2,"Mist",IF('Merged raw data'!I537=3,"Rain",IF('Merged raw data'!I537=4,"Storm","NA"))))</f>
        <v>Clear</v>
      </c>
      <c r="L537" s="24">
        <v>0.46</v>
      </c>
      <c r="M537" s="24">
        <v>0.1343</v>
      </c>
      <c r="N537" s="21">
        <f>'Merged raw data'!$J537*100</f>
        <v>10</v>
      </c>
      <c r="O537" s="21">
        <v>3</v>
      </c>
      <c r="P537" s="21">
        <v>43</v>
      </c>
      <c r="Q537" s="21">
        <v>46</v>
      </c>
      <c r="R537" s="21" t="str">
        <f>IF(Q537&gt;=outliers!I539,"High",IF(Q537&lt;=outliers!I538,"Low","Moderate"))</f>
        <v>High</v>
      </c>
      <c r="S537" s="8" t="str">
        <f>IF(OR(Q537&lt;outliers!$I$6,Q537&gt;outliers!$I$7),"Outlier","Normal")</f>
        <v>Normal</v>
      </c>
      <c r="T537" s="8" t="str">
        <f>IF(OR(L537&lt;outliers!$J$6,L537&gt;outliers!$J$7),"Outlier","Normal")</f>
        <v>Normal</v>
      </c>
      <c r="U537" s="8" t="str">
        <f>IF(OR(M537&lt;outliers!$K$6,M537&gt;outliers!$K$7),"Outlier","Normal")</f>
        <v>Normal</v>
      </c>
    </row>
    <row r="538" spans="1:21">
      <c r="A538" s="21">
        <v>537</v>
      </c>
      <c r="B538" s="68">
        <v>40567</v>
      </c>
      <c r="C538" s="22" t="b">
        <v>0</v>
      </c>
      <c r="D538" s="21" t="str">
        <f t="shared" si="8"/>
        <v>Monday</v>
      </c>
      <c r="E538" s="23">
        <v>0.13639999999999999</v>
      </c>
      <c r="F538" s="23">
        <f>YEAR('Merged raw data'!$B538)</f>
        <v>2011</v>
      </c>
      <c r="G538" s="23" t="str">
        <f>TEXT('Merged raw data'!$B538,"mmmm")</f>
        <v>January</v>
      </c>
      <c r="H538" s="37" t="str">
        <f>TEXT(TIME('Merged raw data'!F538,0,0),"h AM/PM")</f>
        <v>12 PM</v>
      </c>
      <c r="I538" s="23" t="str">
        <f>IF(OR('Merged raw data'!H538=1,'Merged raw data'!H538=2,'Merged raw data'!H538=3,'Merged raw data'!H538=4,'Merged raw data'!H538=5),"weekday","weekend")</f>
        <v>weekday</v>
      </c>
      <c r="J538" s="23" t="s">
        <v>23</v>
      </c>
      <c r="K538" s="23" t="str">
        <f>IF('Merged raw data'!I538=1,"Clear",IF('Merged raw data'!I538=2,"Mist",IF('Merged raw data'!I538=3,"Rain",IF('Merged raw data'!I538=4,"Storm","NA"))))</f>
        <v>Mist</v>
      </c>
      <c r="L538" s="24">
        <v>0.42</v>
      </c>
      <c r="M538" s="24">
        <v>0.19400000000000001</v>
      </c>
      <c r="N538" s="21">
        <f>'Merged raw data'!$J538*100</f>
        <v>12</v>
      </c>
      <c r="O538" s="21">
        <v>11</v>
      </c>
      <c r="P538" s="21">
        <v>52</v>
      </c>
      <c r="Q538" s="21">
        <v>63</v>
      </c>
      <c r="R538" s="21" t="str">
        <f>IF(Q538&gt;=outliers!I540,"High",IF(Q538&lt;=outliers!I539,"Low","Moderate"))</f>
        <v>High</v>
      </c>
      <c r="S538" s="8" t="str">
        <f>IF(OR(Q538&lt;outliers!$I$6,Q538&gt;outliers!$I$7),"Outlier","Normal")</f>
        <v>Normal</v>
      </c>
      <c r="T538" s="8" t="str">
        <f>IF(OR(L538&lt;outliers!$J$6,L538&gt;outliers!$J$7),"Outlier","Normal")</f>
        <v>Normal</v>
      </c>
      <c r="U538" s="8" t="str">
        <f>IF(OR(M538&lt;outliers!$K$6,M538&gt;outliers!$K$7),"Outlier","Normal")</f>
        <v>Normal</v>
      </c>
    </row>
    <row r="539" spans="1:21">
      <c r="A539" s="21">
        <v>538</v>
      </c>
      <c r="B539" s="68">
        <v>40567</v>
      </c>
      <c r="C539" s="22" t="b">
        <v>0</v>
      </c>
      <c r="D539" s="21" t="str">
        <f t="shared" si="8"/>
        <v>Monday</v>
      </c>
      <c r="E539" s="23">
        <v>0.13639999999999999</v>
      </c>
      <c r="F539" s="23">
        <f>YEAR('Merged raw data'!$B539)</f>
        <v>2011</v>
      </c>
      <c r="G539" s="23" t="str">
        <f>TEXT('Merged raw data'!$B539,"mmmm")</f>
        <v>January</v>
      </c>
      <c r="H539" s="37" t="str">
        <f>TEXT(TIME('Merged raw data'!F539,0,0),"h AM/PM")</f>
        <v>1 PM</v>
      </c>
      <c r="I539" s="23" t="str">
        <f>IF(OR('Merged raw data'!H539=1,'Merged raw data'!H539=2,'Merged raw data'!H539=3,'Merged raw data'!H539=4,'Merged raw data'!H539=5),"weekday","weekend")</f>
        <v>weekday</v>
      </c>
      <c r="J539" s="23" t="s">
        <v>23</v>
      </c>
      <c r="K539" s="23" t="str">
        <f>IF('Merged raw data'!I539=1,"Clear",IF('Merged raw data'!I539=2,"Mist",IF('Merged raw data'!I539=3,"Rain",IF('Merged raw data'!I539=4,"Storm","NA"))))</f>
        <v>Mist</v>
      </c>
      <c r="L539" s="24">
        <v>0.43</v>
      </c>
      <c r="M539" s="24">
        <v>0.22389999999999999</v>
      </c>
      <c r="N539" s="21">
        <f>'Merged raw data'!$J539*100</f>
        <v>14.000000000000002</v>
      </c>
      <c r="O539" s="21">
        <v>6</v>
      </c>
      <c r="P539" s="21">
        <v>54</v>
      </c>
      <c r="Q539" s="21">
        <v>60</v>
      </c>
      <c r="R539" s="21" t="str">
        <f>IF(Q539&gt;=outliers!I541,"High",IF(Q539&lt;=outliers!I540,"Low","Moderate"))</f>
        <v>High</v>
      </c>
      <c r="S539" s="8" t="str">
        <f>IF(OR(Q539&lt;outliers!$I$6,Q539&gt;outliers!$I$7),"Outlier","Normal")</f>
        <v>Normal</v>
      </c>
      <c r="T539" s="8" t="str">
        <f>IF(OR(L539&lt;outliers!$J$6,L539&gt;outliers!$J$7),"Outlier","Normal")</f>
        <v>Normal</v>
      </c>
      <c r="U539" s="8" t="str">
        <f>IF(OR(M539&lt;outliers!$K$6,M539&gt;outliers!$K$7),"Outlier","Normal")</f>
        <v>Normal</v>
      </c>
    </row>
    <row r="540" spans="1:21">
      <c r="A540" s="21">
        <v>539</v>
      </c>
      <c r="B540" s="68">
        <v>40567</v>
      </c>
      <c r="C540" s="22" t="b">
        <v>0</v>
      </c>
      <c r="D540" s="21" t="str">
        <f t="shared" si="8"/>
        <v>Monday</v>
      </c>
      <c r="E540" s="23">
        <v>0.13639999999999999</v>
      </c>
      <c r="F540" s="23">
        <f>YEAR('Merged raw data'!$B540)</f>
        <v>2011</v>
      </c>
      <c r="G540" s="23" t="str">
        <f>TEXT('Merged raw data'!$B540,"mmmm")</f>
        <v>January</v>
      </c>
      <c r="H540" s="37" t="str">
        <f>TEXT(TIME('Merged raw data'!F540,0,0),"h AM/PM")</f>
        <v>2 PM</v>
      </c>
      <c r="I540" s="23" t="str">
        <f>IF(OR('Merged raw data'!H540=1,'Merged raw data'!H540=2,'Merged raw data'!H540=3,'Merged raw data'!H540=4,'Merged raw data'!H540=5),"weekday","weekend")</f>
        <v>weekday</v>
      </c>
      <c r="J540" s="23" t="s">
        <v>23</v>
      </c>
      <c r="K540" s="23" t="str">
        <f>IF('Merged raw data'!I540=1,"Clear",IF('Merged raw data'!I540=2,"Mist",IF('Merged raw data'!I540=3,"Rain",IF('Merged raw data'!I540=4,"Storm","NA"))))</f>
        <v>Mist</v>
      </c>
      <c r="L540" s="24">
        <v>0.46</v>
      </c>
      <c r="M540" s="24">
        <v>0.22389999999999999</v>
      </c>
      <c r="N540" s="21">
        <f>'Merged raw data'!$J540*100</f>
        <v>14.000000000000002</v>
      </c>
      <c r="O540" s="21">
        <v>2</v>
      </c>
      <c r="P540" s="21">
        <v>43</v>
      </c>
      <c r="Q540" s="21">
        <v>45</v>
      </c>
      <c r="R540" s="21" t="str">
        <f>IF(Q540&gt;=outliers!I542,"High",IF(Q540&lt;=outliers!I541,"Low","Moderate"))</f>
        <v>High</v>
      </c>
      <c r="S540" s="8" t="str">
        <f>IF(OR(Q540&lt;outliers!$I$6,Q540&gt;outliers!$I$7),"Outlier","Normal")</f>
        <v>Normal</v>
      </c>
      <c r="T540" s="8" t="str">
        <f>IF(OR(L540&lt;outliers!$J$6,L540&gt;outliers!$J$7),"Outlier","Normal")</f>
        <v>Normal</v>
      </c>
      <c r="U540" s="8" t="str">
        <f>IF(OR(M540&lt;outliers!$K$6,M540&gt;outliers!$K$7),"Outlier","Normal")</f>
        <v>Normal</v>
      </c>
    </row>
    <row r="541" spans="1:21">
      <c r="A541" s="21">
        <v>540</v>
      </c>
      <c r="B541" s="68">
        <v>40567</v>
      </c>
      <c r="C541" s="22" t="b">
        <v>0</v>
      </c>
      <c r="D541" s="21" t="str">
        <f t="shared" si="8"/>
        <v>Monday</v>
      </c>
      <c r="E541" s="23">
        <v>0.16669999999999999</v>
      </c>
      <c r="F541" s="23">
        <f>YEAR('Merged raw data'!$B541)</f>
        <v>2011</v>
      </c>
      <c r="G541" s="23" t="str">
        <f>TEXT('Merged raw data'!$B541,"mmmm")</f>
        <v>January</v>
      </c>
      <c r="H541" s="37" t="str">
        <f>TEXT(TIME('Merged raw data'!F541,0,0),"h AM/PM")</f>
        <v>3 PM</v>
      </c>
      <c r="I541" s="23" t="str">
        <f>IF(OR('Merged raw data'!H541=1,'Merged raw data'!H541=2,'Merged raw data'!H541=3,'Merged raw data'!H541=4,'Merged raw data'!H541=5),"weekday","weekend")</f>
        <v>weekday</v>
      </c>
      <c r="J541" s="23" t="s">
        <v>23</v>
      </c>
      <c r="K541" s="23" t="str">
        <f>IF('Merged raw data'!I541=1,"Clear",IF('Merged raw data'!I541=2,"Mist",IF('Merged raw data'!I541=3,"Rain",IF('Merged raw data'!I541=4,"Storm","NA"))))</f>
        <v>Clear</v>
      </c>
      <c r="L541" s="24">
        <v>0.4</v>
      </c>
      <c r="M541" s="24">
        <v>0.16420000000000001</v>
      </c>
      <c r="N541" s="21">
        <f>'Merged raw data'!$J541*100</f>
        <v>16</v>
      </c>
      <c r="O541" s="21">
        <v>7</v>
      </c>
      <c r="P541" s="21">
        <v>50</v>
      </c>
      <c r="Q541" s="21">
        <v>57</v>
      </c>
      <c r="R541" s="21" t="str">
        <f>IF(Q541&gt;=outliers!I543,"High",IF(Q541&lt;=outliers!I542,"Low","Moderate"))</f>
        <v>High</v>
      </c>
      <c r="S541" s="8" t="str">
        <f>IF(OR(Q541&lt;outliers!$I$6,Q541&gt;outliers!$I$7),"Outlier","Normal")</f>
        <v>Normal</v>
      </c>
      <c r="T541" s="8" t="str">
        <f>IF(OR(L541&lt;outliers!$J$6,L541&gt;outliers!$J$7),"Outlier","Normal")</f>
        <v>Normal</v>
      </c>
      <c r="U541" s="8" t="str">
        <f>IF(OR(M541&lt;outliers!$K$6,M541&gt;outliers!$K$7),"Outlier","Normal")</f>
        <v>Normal</v>
      </c>
    </row>
    <row r="542" spans="1:21">
      <c r="A542" s="21">
        <v>541</v>
      </c>
      <c r="B542" s="68">
        <v>40567</v>
      </c>
      <c r="C542" s="22" t="b">
        <v>0</v>
      </c>
      <c r="D542" s="21" t="str">
        <f t="shared" si="8"/>
        <v>Monday</v>
      </c>
      <c r="E542" s="23">
        <v>0.1515</v>
      </c>
      <c r="F542" s="23">
        <f>YEAR('Merged raw data'!$B542)</f>
        <v>2011</v>
      </c>
      <c r="G542" s="23" t="str">
        <f>TEXT('Merged raw data'!$B542,"mmmm")</f>
        <v>January</v>
      </c>
      <c r="H542" s="37" t="str">
        <f>TEXT(TIME('Merged raw data'!F542,0,0),"h AM/PM")</f>
        <v>4 PM</v>
      </c>
      <c r="I542" s="23" t="str">
        <f>IF(OR('Merged raw data'!H542=1,'Merged raw data'!H542=2,'Merged raw data'!H542=3,'Merged raw data'!H542=4,'Merged raw data'!H542=5),"weekday","weekend")</f>
        <v>weekday</v>
      </c>
      <c r="J542" s="23" t="s">
        <v>23</v>
      </c>
      <c r="K542" s="23" t="str">
        <f>IF('Merged raw data'!I542=1,"Clear",IF('Merged raw data'!I542=2,"Mist",IF('Merged raw data'!I542=3,"Rain",IF('Merged raw data'!I542=4,"Storm","NA"))))</f>
        <v>Clear</v>
      </c>
      <c r="L542" s="24">
        <v>0.47</v>
      </c>
      <c r="M542" s="24">
        <v>0.25369999999999998</v>
      </c>
      <c r="N542" s="21">
        <f>'Merged raw data'!$J542*100</f>
        <v>16</v>
      </c>
      <c r="O542" s="21">
        <v>4</v>
      </c>
      <c r="P542" s="21">
        <v>66</v>
      </c>
      <c r="Q542" s="21">
        <v>70</v>
      </c>
      <c r="R542" s="21" t="str">
        <f>IF(Q542&gt;=outliers!I544,"High",IF(Q542&lt;=outliers!I543,"Low","Moderate"))</f>
        <v>High</v>
      </c>
      <c r="S542" s="8" t="str">
        <f>IF(OR(Q542&lt;outliers!$I$6,Q542&gt;outliers!$I$7),"Outlier","Normal")</f>
        <v>Normal</v>
      </c>
      <c r="T542" s="8" t="str">
        <f>IF(OR(L542&lt;outliers!$J$6,L542&gt;outliers!$J$7),"Outlier","Normal")</f>
        <v>Normal</v>
      </c>
      <c r="U542" s="8" t="str">
        <f>IF(OR(M542&lt;outliers!$K$6,M542&gt;outliers!$K$7),"Outlier","Normal")</f>
        <v>Normal</v>
      </c>
    </row>
    <row r="543" spans="1:21">
      <c r="A543" s="21">
        <v>542</v>
      </c>
      <c r="B543" s="68">
        <v>40567</v>
      </c>
      <c r="C543" s="22" t="b">
        <v>0</v>
      </c>
      <c r="D543" s="21" t="str">
        <f t="shared" si="8"/>
        <v>Monday</v>
      </c>
      <c r="E543" s="23">
        <v>0.1212</v>
      </c>
      <c r="F543" s="23">
        <f>YEAR('Merged raw data'!$B543)</f>
        <v>2011</v>
      </c>
      <c r="G543" s="23" t="str">
        <f>TEXT('Merged raw data'!$B543,"mmmm")</f>
        <v>January</v>
      </c>
      <c r="H543" s="37" t="str">
        <f>TEXT(TIME('Merged raw data'!F543,0,0),"h AM/PM")</f>
        <v>5 PM</v>
      </c>
      <c r="I543" s="23" t="str">
        <f>IF(OR('Merged raw data'!H543=1,'Merged raw data'!H543=2,'Merged raw data'!H543=3,'Merged raw data'!H543=4,'Merged raw data'!H543=5),"weekday","weekend")</f>
        <v>weekday</v>
      </c>
      <c r="J543" s="23" t="s">
        <v>23</v>
      </c>
      <c r="K543" s="23" t="str">
        <f>IF('Merged raw data'!I543=1,"Clear",IF('Merged raw data'!I543=2,"Mist",IF('Merged raw data'!I543=3,"Rain",IF('Merged raw data'!I543=4,"Storm","NA"))))</f>
        <v>Clear</v>
      </c>
      <c r="L543" s="24">
        <v>0.5</v>
      </c>
      <c r="M543" s="24">
        <v>0.25369999999999998</v>
      </c>
      <c r="N543" s="21">
        <f>'Merged raw data'!$J543*100</f>
        <v>14.000000000000002</v>
      </c>
      <c r="O543" s="21">
        <v>6</v>
      </c>
      <c r="P543" s="21">
        <v>178</v>
      </c>
      <c r="Q543" s="21">
        <v>184</v>
      </c>
      <c r="R543" s="21" t="str">
        <f>IF(Q543&gt;=outliers!I545,"High",IF(Q543&lt;=outliers!I544,"Low","Moderate"))</f>
        <v>High</v>
      </c>
      <c r="S543" s="8" t="str">
        <f>IF(OR(Q543&lt;outliers!$I$6,Q543&gt;outliers!$I$7),"Outlier","Normal")</f>
        <v>Outlier</v>
      </c>
      <c r="T543" s="8" t="str">
        <f>IF(OR(L543&lt;outliers!$J$6,L543&gt;outliers!$J$7),"Outlier","Normal")</f>
        <v>Normal</v>
      </c>
      <c r="U543" s="8" t="str">
        <f>IF(OR(M543&lt;outliers!$K$6,M543&gt;outliers!$K$7),"Outlier","Normal")</f>
        <v>Normal</v>
      </c>
    </row>
    <row r="544" spans="1:21">
      <c r="A544" s="21">
        <v>543</v>
      </c>
      <c r="B544" s="68">
        <v>40567</v>
      </c>
      <c r="C544" s="22" t="b">
        <v>0</v>
      </c>
      <c r="D544" s="21" t="str">
        <f t="shared" si="8"/>
        <v>Monday</v>
      </c>
      <c r="E544" s="23">
        <v>0.13639999999999999</v>
      </c>
      <c r="F544" s="23">
        <f>YEAR('Merged raw data'!$B544)</f>
        <v>2011</v>
      </c>
      <c r="G544" s="23" t="str">
        <f>TEXT('Merged raw data'!$B544,"mmmm")</f>
        <v>January</v>
      </c>
      <c r="H544" s="37" t="str">
        <f>TEXT(TIME('Merged raw data'!F544,0,0),"h AM/PM")</f>
        <v>6 PM</v>
      </c>
      <c r="I544" s="23" t="str">
        <f>IF(OR('Merged raw data'!H544=1,'Merged raw data'!H544=2,'Merged raw data'!H544=3,'Merged raw data'!H544=4,'Merged raw data'!H544=5),"weekday","weekend")</f>
        <v>weekday</v>
      </c>
      <c r="J544" s="23" t="s">
        <v>23</v>
      </c>
      <c r="K544" s="23" t="str">
        <f>IF('Merged raw data'!I544=1,"Clear",IF('Merged raw data'!I544=2,"Mist",IF('Merged raw data'!I544=3,"Rain",IF('Merged raw data'!I544=4,"Storm","NA"))))</f>
        <v>Clear</v>
      </c>
      <c r="L544" s="24">
        <v>0.59</v>
      </c>
      <c r="M544" s="24">
        <v>0.19400000000000001</v>
      </c>
      <c r="N544" s="21">
        <f>'Merged raw data'!$J544*100</f>
        <v>14.000000000000002</v>
      </c>
      <c r="O544" s="21">
        <v>8</v>
      </c>
      <c r="P544" s="21">
        <v>145</v>
      </c>
      <c r="Q544" s="21">
        <v>153</v>
      </c>
      <c r="R544" s="21" t="str">
        <f>IF(Q544&gt;=outliers!I546,"High",IF(Q544&lt;=outliers!I545,"Low","Moderate"))</f>
        <v>High</v>
      </c>
      <c r="S544" s="8" t="str">
        <f>IF(OR(Q544&lt;outliers!$I$6,Q544&gt;outliers!$I$7),"Outlier","Normal")</f>
        <v>Normal</v>
      </c>
      <c r="T544" s="8" t="str">
        <f>IF(OR(L544&lt;outliers!$J$6,L544&gt;outliers!$J$7),"Outlier","Normal")</f>
        <v>Normal</v>
      </c>
      <c r="U544" s="8" t="str">
        <f>IF(OR(M544&lt;outliers!$K$6,M544&gt;outliers!$K$7),"Outlier","Normal")</f>
        <v>Normal</v>
      </c>
    </row>
    <row r="545" spans="1:21">
      <c r="A545" s="21">
        <v>544</v>
      </c>
      <c r="B545" s="68">
        <v>40567</v>
      </c>
      <c r="C545" s="22" t="b">
        <v>0</v>
      </c>
      <c r="D545" s="21" t="str">
        <f t="shared" si="8"/>
        <v>Monday</v>
      </c>
      <c r="E545" s="23">
        <v>0.1515</v>
      </c>
      <c r="F545" s="23">
        <f>YEAR('Merged raw data'!$B545)</f>
        <v>2011</v>
      </c>
      <c r="G545" s="23" t="str">
        <f>TEXT('Merged raw data'!$B545,"mmmm")</f>
        <v>January</v>
      </c>
      <c r="H545" s="37" t="str">
        <f>TEXT(TIME('Merged raw data'!F545,0,0),"h AM/PM")</f>
        <v>7 PM</v>
      </c>
      <c r="I545" s="23" t="str">
        <f>IF(OR('Merged raw data'!H545=1,'Merged raw data'!H545=2,'Merged raw data'!H545=3,'Merged raw data'!H545=4,'Merged raw data'!H545=5),"weekday","weekend")</f>
        <v>weekday</v>
      </c>
      <c r="J545" s="23" t="s">
        <v>23</v>
      </c>
      <c r="K545" s="23" t="str">
        <f>IF('Merged raw data'!I545=1,"Clear",IF('Merged raw data'!I545=2,"Mist",IF('Merged raw data'!I545=3,"Rain",IF('Merged raw data'!I545=4,"Storm","NA"))))</f>
        <v>Clear</v>
      </c>
      <c r="L545" s="24">
        <v>0.54</v>
      </c>
      <c r="M545" s="24">
        <v>0.16420000000000001</v>
      </c>
      <c r="N545" s="21">
        <f>'Merged raw data'!$J545*100</f>
        <v>14.000000000000002</v>
      </c>
      <c r="O545" s="21">
        <v>5</v>
      </c>
      <c r="P545" s="21">
        <v>101</v>
      </c>
      <c r="Q545" s="21">
        <v>106</v>
      </c>
      <c r="R545" s="21" t="str">
        <f>IF(Q545&gt;=outliers!I547,"High",IF(Q545&lt;=outliers!I546,"Low","Moderate"))</f>
        <v>High</v>
      </c>
      <c r="S545" s="8" t="str">
        <f>IF(OR(Q545&lt;outliers!$I$6,Q545&gt;outliers!$I$7),"Outlier","Normal")</f>
        <v>Normal</v>
      </c>
      <c r="T545" s="8" t="str">
        <f>IF(OR(L545&lt;outliers!$J$6,L545&gt;outliers!$J$7),"Outlier","Normal")</f>
        <v>Normal</v>
      </c>
      <c r="U545" s="8" t="str">
        <f>IF(OR(M545&lt;outliers!$K$6,M545&gt;outliers!$K$7),"Outlier","Normal")</f>
        <v>Normal</v>
      </c>
    </row>
    <row r="546" spans="1:21">
      <c r="A546" s="21">
        <v>545</v>
      </c>
      <c r="B546" s="68">
        <v>40567</v>
      </c>
      <c r="C546" s="22" t="b">
        <v>0</v>
      </c>
      <c r="D546" s="21" t="str">
        <f t="shared" si="8"/>
        <v>Monday</v>
      </c>
      <c r="E546" s="23">
        <v>0.13639999999999999</v>
      </c>
      <c r="F546" s="23">
        <f>YEAR('Merged raw data'!$B546)</f>
        <v>2011</v>
      </c>
      <c r="G546" s="23" t="str">
        <f>TEXT('Merged raw data'!$B546,"mmmm")</f>
        <v>January</v>
      </c>
      <c r="H546" s="37" t="str">
        <f>TEXT(TIME('Merged raw data'!F546,0,0),"h AM/PM")</f>
        <v>8 PM</v>
      </c>
      <c r="I546" s="23" t="str">
        <f>IF(OR('Merged raw data'!H546=1,'Merged raw data'!H546=2,'Merged raw data'!H546=3,'Merged raw data'!H546=4,'Merged raw data'!H546=5),"weekday","weekend")</f>
        <v>weekday</v>
      </c>
      <c r="J546" s="23" t="s">
        <v>23</v>
      </c>
      <c r="K546" s="23" t="str">
        <f>IF('Merged raw data'!I546=1,"Clear",IF('Merged raw data'!I546=2,"Mist",IF('Merged raw data'!I546=3,"Rain",IF('Merged raw data'!I546=4,"Storm","NA"))))</f>
        <v>Clear</v>
      </c>
      <c r="L546" s="24">
        <v>0.59</v>
      </c>
      <c r="M546" s="24">
        <v>0.19400000000000001</v>
      </c>
      <c r="N546" s="21">
        <f>'Merged raw data'!$J546*100</f>
        <v>14.000000000000002</v>
      </c>
      <c r="O546" s="21">
        <v>1</v>
      </c>
      <c r="P546" s="21">
        <v>80</v>
      </c>
      <c r="Q546" s="21">
        <v>81</v>
      </c>
      <c r="R546" s="21" t="str">
        <f>IF(Q546&gt;=outliers!I548,"High",IF(Q546&lt;=outliers!I547,"Low","Moderate"))</f>
        <v>High</v>
      </c>
      <c r="S546" s="8" t="str">
        <f>IF(OR(Q546&lt;outliers!$I$6,Q546&gt;outliers!$I$7),"Outlier","Normal")</f>
        <v>Normal</v>
      </c>
      <c r="T546" s="8" t="str">
        <f>IF(OR(L546&lt;outliers!$J$6,L546&gt;outliers!$J$7),"Outlier","Normal")</f>
        <v>Normal</v>
      </c>
      <c r="U546" s="8" t="str">
        <f>IF(OR(M546&lt;outliers!$K$6,M546&gt;outliers!$K$7),"Outlier","Normal")</f>
        <v>Normal</v>
      </c>
    </row>
    <row r="547" spans="1:21">
      <c r="A547" s="21">
        <v>546</v>
      </c>
      <c r="B547" s="68">
        <v>40567</v>
      </c>
      <c r="C547" s="22" t="b">
        <v>0</v>
      </c>
      <c r="D547" s="21" t="str">
        <f t="shared" si="8"/>
        <v>Monday</v>
      </c>
      <c r="E547" s="23">
        <v>0.1515</v>
      </c>
      <c r="F547" s="23">
        <f>YEAR('Merged raw data'!$B547)</f>
        <v>2011</v>
      </c>
      <c r="G547" s="23" t="str">
        <f>TEXT('Merged raw data'!$B547,"mmmm")</f>
        <v>January</v>
      </c>
      <c r="H547" s="37" t="str">
        <f>TEXT(TIME('Merged raw data'!F547,0,0),"h AM/PM")</f>
        <v>9 PM</v>
      </c>
      <c r="I547" s="23" t="str">
        <f>IF(OR('Merged raw data'!H547=1,'Merged raw data'!H547=2,'Merged raw data'!H547=3,'Merged raw data'!H547=4,'Merged raw data'!H547=5),"weekday","weekend")</f>
        <v>weekday</v>
      </c>
      <c r="J547" s="23" t="s">
        <v>23</v>
      </c>
      <c r="K547" s="23" t="str">
        <f>IF('Merged raw data'!I547=1,"Clear",IF('Merged raw data'!I547=2,"Mist",IF('Merged raw data'!I547=3,"Rain",IF('Merged raw data'!I547=4,"Storm","NA"))))</f>
        <v>Clear</v>
      </c>
      <c r="L547" s="24">
        <v>0.63</v>
      </c>
      <c r="M547" s="24">
        <v>0.16420000000000001</v>
      </c>
      <c r="N547" s="21">
        <f>'Merged raw data'!$J547*100</f>
        <v>14.000000000000002</v>
      </c>
      <c r="O547" s="21">
        <v>6</v>
      </c>
      <c r="P547" s="21">
        <v>53</v>
      </c>
      <c r="Q547" s="21">
        <v>59</v>
      </c>
      <c r="R547" s="21" t="str">
        <f>IF(Q547&gt;=outliers!I549,"High",IF(Q547&lt;=outliers!I548,"Low","Moderate"))</f>
        <v>High</v>
      </c>
      <c r="S547" s="8" t="str">
        <f>IF(OR(Q547&lt;outliers!$I$6,Q547&gt;outliers!$I$7),"Outlier","Normal")</f>
        <v>Normal</v>
      </c>
      <c r="T547" s="8" t="str">
        <f>IF(OR(L547&lt;outliers!$J$6,L547&gt;outliers!$J$7),"Outlier","Normal")</f>
        <v>Normal</v>
      </c>
      <c r="U547" s="8" t="str">
        <f>IF(OR(M547&lt;outliers!$K$6,M547&gt;outliers!$K$7),"Outlier","Normal")</f>
        <v>Normal</v>
      </c>
    </row>
    <row r="548" spans="1:21">
      <c r="A548" s="21">
        <v>547</v>
      </c>
      <c r="B548" s="68">
        <v>40567</v>
      </c>
      <c r="C548" s="22" t="b">
        <v>0</v>
      </c>
      <c r="D548" s="21" t="str">
        <f t="shared" si="8"/>
        <v>Monday</v>
      </c>
      <c r="E548" s="23">
        <v>0.13639999999999999</v>
      </c>
      <c r="F548" s="23">
        <f>YEAR('Merged raw data'!$B548)</f>
        <v>2011</v>
      </c>
      <c r="G548" s="23" t="str">
        <f>TEXT('Merged raw data'!$B548,"mmmm")</f>
        <v>January</v>
      </c>
      <c r="H548" s="37" t="str">
        <f>TEXT(TIME('Merged raw data'!F548,0,0),"h AM/PM")</f>
        <v>10 PM</v>
      </c>
      <c r="I548" s="23" t="str">
        <f>IF(OR('Merged raw data'!H548=1,'Merged raw data'!H548=2,'Merged raw data'!H548=3,'Merged raw data'!H548=4,'Merged raw data'!H548=5),"weekday","weekend")</f>
        <v>weekday</v>
      </c>
      <c r="J548" s="23" t="s">
        <v>23</v>
      </c>
      <c r="K548" s="23" t="str">
        <f>IF('Merged raw data'!I548=1,"Clear",IF('Merged raw data'!I548=2,"Mist",IF('Merged raw data'!I548=3,"Rain",IF('Merged raw data'!I548=4,"Storm","NA"))))</f>
        <v>Mist</v>
      </c>
      <c r="L548" s="24">
        <v>0.63</v>
      </c>
      <c r="M548" s="24">
        <v>0.22389999999999999</v>
      </c>
      <c r="N548" s="21">
        <f>'Merged raw data'!$J548*100</f>
        <v>14.000000000000002</v>
      </c>
      <c r="O548" s="21">
        <v>3</v>
      </c>
      <c r="P548" s="21">
        <v>32</v>
      </c>
      <c r="Q548" s="21">
        <v>35</v>
      </c>
      <c r="R548" s="21" t="str">
        <f>IF(Q548&gt;=outliers!I550,"High",IF(Q548&lt;=outliers!I549,"Low","Moderate"))</f>
        <v>High</v>
      </c>
      <c r="S548" s="8" t="str">
        <f>IF(OR(Q548&lt;outliers!$I$6,Q548&gt;outliers!$I$7),"Outlier","Normal")</f>
        <v>Normal</v>
      </c>
      <c r="T548" s="8" t="str">
        <f>IF(OR(L548&lt;outliers!$J$6,L548&gt;outliers!$J$7),"Outlier","Normal")</f>
        <v>Normal</v>
      </c>
      <c r="U548" s="8" t="str">
        <f>IF(OR(M548&lt;outliers!$K$6,M548&gt;outliers!$K$7),"Outlier","Normal")</f>
        <v>Normal</v>
      </c>
    </row>
    <row r="549" spans="1:21">
      <c r="A549" s="21">
        <v>548</v>
      </c>
      <c r="B549" s="68">
        <v>40567</v>
      </c>
      <c r="C549" s="22" t="b">
        <v>0</v>
      </c>
      <c r="D549" s="21" t="str">
        <f t="shared" si="8"/>
        <v>Monday</v>
      </c>
      <c r="E549" s="23">
        <v>0.1515</v>
      </c>
      <c r="F549" s="23">
        <f>YEAR('Merged raw data'!$B549)</f>
        <v>2011</v>
      </c>
      <c r="G549" s="23" t="str">
        <f>TEXT('Merged raw data'!$B549,"mmmm")</f>
        <v>January</v>
      </c>
      <c r="H549" s="37" t="str">
        <f>TEXT(TIME('Merged raw data'!F549,0,0),"h AM/PM")</f>
        <v>11 PM</v>
      </c>
      <c r="I549" s="23" t="str">
        <f>IF(OR('Merged raw data'!H549=1,'Merged raw data'!H549=2,'Merged raw data'!H549=3,'Merged raw data'!H549=4,'Merged raw data'!H549=5),"weekday","weekend")</f>
        <v>weekday</v>
      </c>
      <c r="J549" s="23" t="s">
        <v>23</v>
      </c>
      <c r="K549" s="23" t="str">
        <f>IF('Merged raw data'!I549=1,"Clear",IF('Merged raw data'!I549=2,"Mist",IF('Merged raw data'!I549=3,"Rain",IF('Merged raw data'!I549=4,"Storm","NA"))))</f>
        <v>Mist</v>
      </c>
      <c r="L549" s="24">
        <v>0.64</v>
      </c>
      <c r="M549" s="24">
        <v>0.25369999999999998</v>
      </c>
      <c r="N549" s="21">
        <f>'Merged raw data'!$J549*100</f>
        <v>16</v>
      </c>
      <c r="O549" s="21">
        <v>3</v>
      </c>
      <c r="P549" s="21">
        <v>21</v>
      </c>
      <c r="Q549" s="21">
        <v>24</v>
      </c>
      <c r="R549" s="21" t="str">
        <f>IF(Q549&gt;=outliers!I551,"High",IF(Q549&lt;=outliers!I550,"Low","Moderate"))</f>
        <v>High</v>
      </c>
      <c r="S549" s="8" t="str">
        <f>IF(OR(Q549&lt;outliers!$I$6,Q549&gt;outliers!$I$7),"Outlier","Normal")</f>
        <v>Normal</v>
      </c>
      <c r="T549" s="8" t="str">
        <f>IF(OR(L549&lt;outliers!$J$6,L549&gt;outliers!$J$7),"Outlier","Normal")</f>
        <v>Normal</v>
      </c>
      <c r="U549" s="8" t="str">
        <f>IF(OR(M549&lt;outliers!$K$6,M549&gt;outliers!$K$7),"Outlier","Normal")</f>
        <v>Normal</v>
      </c>
    </row>
    <row r="550" spans="1:21">
      <c r="A550" s="21">
        <v>549</v>
      </c>
      <c r="B550" s="68">
        <v>40568</v>
      </c>
      <c r="C550" s="22" t="b">
        <v>0</v>
      </c>
      <c r="D550" s="21" t="str">
        <f t="shared" si="8"/>
        <v>Tuesday</v>
      </c>
      <c r="E550" s="23">
        <v>0.13639999999999999</v>
      </c>
      <c r="F550" s="23">
        <f>YEAR('Merged raw data'!$B550)</f>
        <v>2011</v>
      </c>
      <c r="G550" s="23" t="str">
        <f>TEXT('Merged raw data'!$B550,"mmmm")</f>
        <v>January</v>
      </c>
      <c r="H550" s="37" t="str">
        <f>TEXT(TIME('Merged raw data'!F550,0,0),"h AM/PM")</f>
        <v>12 AM</v>
      </c>
      <c r="I550" s="23" t="str">
        <f>IF(OR('Merged raw data'!H550=1,'Merged raw data'!H550=2,'Merged raw data'!H550=3,'Merged raw data'!H550=4,'Merged raw data'!H550=5),"weekday","weekend")</f>
        <v>weekday</v>
      </c>
      <c r="J550" s="23" t="s">
        <v>23</v>
      </c>
      <c r="K550" s="23" t="str">
        <f>IF('Merged raw data'!I550=1,"Clear",IF('Merged raw data'!I550=2,"Mist",IF('Merged raw data'!I550=3,"Rain",IF('Merged raw data'!I550=4,"Storm","NA"))))</f>
        <v>Mist</v>
      </c>
      <c r="L550" s="24">
        <v>0.69</v>
      </c>
      <c r="M550" s="24">
        <v>0.28360000000000002</v>
      </c>
      <c r="N550" s="21">
        <f>'Merged raw data'!$J550*100</f>
        <v>16</v>
      </c>
      <c r="O550" s="21">
        <v>3</v>
      </c>
      <c r="P550" s="21">
        <v>6</v>
      </c>
      <c r="Q550" s="21">
        <v>9</v>
      </c>
      <c r="R550" s="21" t="str">
        <f>IF(Q550&gt;=outliers!I552,"High",IF(Q550&lt;=outliers!I551,"Low","Moderate"))</f>
        <v>High</v>
      </c>
      <c r="S550" s="8" t="str">
        <f>IF(OR(Q550&lt;outliers!$I$6,Q550&gt;outliers!$I$7),"Outlier","Normal")</f>
        <v>Normal</v>
      </c>
      <c r="T550" s="8" t="str">
        <f>IF(OR(L550&lt;outliers!$J$6,L550&gt;outliers!$J$7),"Outlier","Normal")</f>
        <v>Normal</v>
      </c>
      <c r="U550" s="8" t="str">
        <f>IF(OR(M550&lt;outliers!$K$6,M550&gt;outliers!$K$7),"Outlier","Normal")</f>
        <v>Normal</v>
      </c>
    </row>
    <row r="551" spans="1:21">
      <c r="A551" s="21">
        <v>550</v>
      </c>
      <c r="B551" s="68">
        <v>40568</v>
      </c>
      <c r="C551" s="22" t="b">
        <v>0</v>
      </c>
      <c r="D551" s="21" t="str">
        <f t="shared" si="8"/>
        <v>Tuesday</v>
      </c>
      <c r="E551" s="23">
        <v>0.16669999999999999</v>
      </c>
      <c r="F551" s="23">
        <f>YEAR('Merged raw data'!$B551)</f>
        <v>2011</v>
      </c>
      <c r="G551" s="23" t="str">
        <f>TEXT('Merged raw data'!$B551,"mmmm")</f>
        <v>January</v>
      </c>
      <c r="H551" s="37" t="str">
        <f>TEXT(TIME('Merged raw data'!F551,0,0),"h AM/PM")</f>
        <v>1 AM</v>
      </c>
      <c r="I551" s="23" t="str">
        <f>IF(OR('Merged raw data'!H551=1,'Merged raw data'!H551=2,'Merged raw data'!H551=3,'Merged raw data'!H551=4,'Merged raw data'!H551=5),"weekday","weekend")</f>
        <v>weekday</v>
      </c>
      <c r="J551" s="23" t="s">
        <v>23</v>
      </c>
      <c r="K551" s="23" t="str">
        <f>IF('Merged raw data'!I551=1,"Clear",IF('Merged raw data'!I551=2,"Mist",IF('Merged raw data'!I551=3,"Rain",IF('Merged raw data'!I551=4,"Storm","NA"))))</f>
        <v>Mist</v>
      </c>
      <c r="L551" s="24">
        <v>0.69</v>
      </c>
      <c r="M551" s="24">
        <v>0.16420000000000001</v>
      </c>
      <c r="N551" s="21">
        <f>'Merged raw data'!$J551*100</f>
        <v>16</v>
      </c>
      <c r="O551" s="21">
        <v>0</v>
      </c>
      <c r="P551" s="21">
        <v>5</v>
      </c>
      <c r="Q551" s="21">
        <v>5</v>
      </c>
      <c r="R551" s="21" t="str">
        <f>IF(Q551&gt;=outliers!I553,"High",IF(Q551&lt;=outliers!I552,"Low","Moderate"))</f>
        <v>High</v>
      </c>
      <c r="S551" s="8" t="str">
        <f>IF(OR(Q551&lt;outliers!$I$6,Q551&gt;outliers!$I$7),"Outlier","Normal")</f>
        <v>Normal</v>
      </c>
      <c r="T551" s="8" t="str">
        <f>IF(OR(L551&lt;outliers!$J$6,L551&gt;outliers!$J$7),"Outlier","Normal")</f>
        <v>Normal</v>
      </c>
      <c r="U551" s="8" t="str">
        <f>IF(OR(M551&lt;outliers!$K$6,M551&gt;outliers!$K$7),"Outlier","Normal")</f>
        <v>Normal</v>
      </c>
    </row>
    <row r="552" spans="1:21">
      <c r="A552" s="21">
        <v>551</v>
      </c>
      <c r="B552" s="68">
        <v>40568</v>
      </c>
      <c r="C552" s="22" t="b">
        <v>0</v>
      </c>
      <c r="D552" s="21" t="str">
        <f t="shared" si="8"/>
        <v>Tuesday</v>
      </c>
      <c r="E552" s="23">
        <v>0.1515</v>
      </c>
      <c r="F552" s="23">
        <f>YEAR('Merged raw data'!$B552)</f>
        <v>2011</v>
      </c>
      <c r="G552" s="23" t="str">
        <f>TEXT('Merged raw data'!$B552,"mmmm")</f>
        <v>January</v>
      </c>
      <c r="H552" s="37" t="str">
        <f>TEXT(TIME('Merged raw data'!F552,0,0),"h AM/PM")</f>
        <v>2 AM</v>
      </c>
      <c r="I552" s="23" t="str">
        <f>IF(OR('Merged raw data'!H552=1,'Merged raw data'!H552=2,'Merged raw data'!H552=3,'Merged raw data'!H552=4,'Merged raw data'!H552=5),"weekday","weekend")</f>
        <v>weekday</v>
      </c>
      <c r="J552" s="23" t="s">
        <v>23</v>
      </c>
      <c r="K552" s="23" t="str">
        <f>IF('Merged raw data'!I552=1,"Clear",IF('Merged raw data'!I552=2,"Mist",IF('Merged raw data'!I552=3,"Rain",IF('Merged raw data'!I552=4,"Storm","NA"))))</f>
        <v>Clear</v>
      </c>
      <c r="L552" s="24">
        <v>0.69</v>
      </c>
      <c r="M552" s="24">
        <v>0.22389999999999999</v>
      </c>
      <c r="N552" s="21">
        <f>'Merged raw data'!$J552*100</f>
        <v>16</v>
      </c>
      <c r="O552" s="21">
        <v>0</v>
      </c>
      <c r="P552" s="21">
        <v>2</v>
      </c>
      <c r="Q552" s="21">
        <v>2</v>
      </c>
      <c r="R552" s="21" t="str">
        <f>IF(Q552&gt;=outliers!I554,"High",IF(Q552&lt;=outliers!I553,"Low","Moderate"))</f>
        <v>High</v>
      </c>
      <c r="S552" s="8" t="str">
        <f>IF(OR(Q552&lt;outliers!$I$6,Q552&gt;outliers!$I$7),"Outlier","Normal")</f>
        <v>Normal</v>
      </c>
      <c r="T552" s="8" t="str">
        <f>IF(OR(L552&lt;outliers!$J$6,L552&gt;outliers!$J$7),"Outlier","Normal")</f>
        <v>Normal</v>
      </c>
      <c r="U552" s="8" t="str">
        <f>IF(OR(M552&lt;outliers!$K$6,M552&gt;outliers!$K$7),"Outlier","Normal")</f>
        <v>Normal</v>
      </c>
    </row>
    <row r="553" spans="1:21">
      <c r="A553" s="21">
        <v>552</v>
      </c>
      <c r="B553" s="68">
        <v>40568</v>
      </c>
      <c r="C553" s="22" t="b">
        <v>0</v>
      </c>
      <c r="D553" s="21" t="str">
        <f t="shared" si="8"/>
        <v>Tuesday</v>
      </c>
      <c r="E553" s="23">
        <v>0.16669999999999999</v>
      </c>
      <c r="F553" s="23">
        <f>YEAR('Merged raw data'!$B553)</f>
        <v>2011</v>
      </c>
      <c r="G553" s="23" t="str">
        <f>TEXT('Merged raw data'!$B553,"mmmm")</f>
        <v>January</v>
      </c>
      <c r="H553" s="37" t="str">
        <f>TEXT(TIME('Merged raw data'!F553,0,0),"h AM/PM")</f>
        <v>4 AM</v>
      </c>
      <c r="I553" s="23" t="str">
        <f>IF(OR('Merged raw data'!H553=1,'Merged raw data'!H553=2,'Merged raw data'!H553=3,'Merged raw data'!H553=4,'Merged raw data'!H553=5),"weekday","weekend")</f>
        <v>weekday</v>
      </c>
      <c r="J553" s="23" t="s">
        <v>23</v>
      </c>
      <c r="K553" s="23" t="str">
        <f>IF('Merged raw data'!I553=1,"Clear",IF('Merged raw data'!I553=2,"Mist",IF('Merged raw data'!I553=3,"Rain",IF('Merged raw data'!I553=4,"Storm","NA"))))</f>
        <v>Clear</v>
      </c>
      <c r="L553" s="24">
        <v>0.74</v>
      </c>
      <c r="M553" s="24">
        <v>0.1045</v>
      </c>
      <c r="N553" s="21">
        <f>'Merged raw data'!$J553*100</f>
        <v>14.000000000000002</v>
      </c>
      <c r="O553" s="21">
        <v>0</v>
      </c>
      <c r="P553" s="21">
        <v>1</v>
      </c>
      <c r="Q553" s="21">
        <v>1</v>
      </c>
      <c r="R553" s="21" t="str">
        <f>IF(Q553&gt;=outliers!I555,"High",IF(Q553&lt;=outliers!I554,"Low","Moderate"))</f>
        <v>High</v>
      </c>
      <c r="S553" s="8" t="str">
        <f>IF(OR(Q553&lt;outliers!$I$6,Q553&gt;outliers!$I$7),"Outlier","Normal")</f>
        <v>Normal</v>
      </c>
      <c r="T553" s="8" t="str">
        <f>IF(OR(L553&lt;outliers!$J$6,L553&gt;outliers!$J$7),"Outlier","Normal")</f>
        <v>Normal</v>
      </c>
      <c r="U553" s="8" t="str">
        <f>IF(OR(M553&lt;outliers!$K$6,M553&gt;outliers!$K$7),"Outlier","Normal")</f>
        <v>Normal</v>
      </c>
    </row>
    <row r="554" spans="1:21">
      <c r="A554" s="21">
        <v>553</v>
      </c>
      <c r="B554" s="68">
        <v>40568</v>
      </c>
      <c r="C554" s="22" t="b">
        <v>0</v>
      </c>
      <c r="D554" s="21" t="str">
        <f t="shared" si="8"/>
        <v>Tuesday</v>
      </c>
      <c r="E554" s="23">
        <v>0.13639999999999999</v>
      </c>
      <c r="F554" s="23">
        <f>YEAR('Merged raw data'!$B554)</f>
        <v>2011</v>
      </c>
      <c r="G554" s="23" t="str">
        <f>TEXT('Merged raw data'!$B554,"mmmm")</f>
        <v>January</v>
      </c>
      <c r="H554" s="37" t="str">
        <f>TEXT(TIME('Merged raw data'!F554,0,0),"h AM/PM")</f>
        <v>5 AM</v>
      </c>
      <c r="I554" s="23" t="str">
        <f>IF(OR('Merged raw data'!H554=1,'Merged raw data'!H554=2,'Merged raw data'!H554=3,'Merged raw data'!H554=4,'Merged raw data'!H554=5),"weekday","weekend")</f>
        <v>weekday</v>
      </c>
      <c r="J554" s="23" t="s">
        <v>23</v>
      </c>
      <c r="K554" s="23" t="str">
        <f>IF('Merged raw data'!I554=1,"Clear",IF('Merged raw data'!I554=2,"Mist",IF('Merged raw data'!I554=3,"Rain",IF('Merged raw data'!I554=4,"Storm","NA"))))</f>
        <v>Clear</v>
      </c>
      <c r="L554" s="24">
        <v>0.74</v>
      </c>
      <c r="M554" s="24">
        <v>0.22389999999999999</v>
      </c>
      <c r="N554" s="21">
        <f>'Merged raw data'!$J554*100</f>
        <v>14.000000000000002</v>
      </c>
      <c r="O554" s="21">
        <v>0</v>
      </c>
      <c r="P554" s="21">
        <v>9</v>
      </c>
      <c r="Q554" s="21">
        <v>9</v>
      </c>
      <c r="R554" s="21" t="str">
        <f>IF(Q554&gt;=outliers!I556,"High",IF(Q554&lt;=outliers!I555,"Low","Moderate"))</f>
        <v>High</v>
      </c>
      <c r="S554" s="8" t="str">
        <f>IF(OR(Q554&lt;outliers!$I$6,Q554&gt;outliers!$I$7),"Outlier","Normal")</f>
        <v>Normal</v>
      </c>
      <c r="T554" s="8" t="str">
        <f>IF(OR(L554&lt;outliers!$J$6,L554&gt;outliers!$J$7),"Outlier","Normal")</f>
        <v>Normal</v>
      </c>
      <c r="U554" s="8" t="str">
        <f>IF(OR(M554&lt;outliers!$K$6,M554&gt;outliers!$K$7),"Outlier","Normal")</f>
        <v>Normal</v>
      </c>
    </row>
    <row r="555" spans="1:21">
      <c r="A555" s="21">
        <v>554</v>
      </c>
      <c r="B555" s="68">
        <v>40568</v>
      </c>
      <c r="C555" s="22" t="b">
        <v>0</v>
      </c>
      <c r="D555" s="21" t="str">
        <f t="shared" si="8"/>
        <v>Tuesday</v>
      </c>
      <c r="E555" s="23">
        <v>0.18179999999999999</v>
      </c>
      <c r="F555" s="23">
        <f>YEAR('Merged raw data'!$B555)</f>
        <v>2011</v>
      </c>
      <c r="G555" s="23" t="str">
        <f>TEXT('Merged raw data'!$B555,"mmmm")</f>
        <v>January</v>
      </c>
      <c r="H555" s="37" t="str">
        <f>TEXT(TIME('Merged raw data'!F555,0,0),"h AM/PM")</f>
        <v>6 AM</v>
      </c>
      <c r="I555" s="23" t="str">
        <f>IF(OR('Merged raw data'!H555=1,'Merged raw data'!H555=2,'Merged raw data'!H555=3,'Merged raw data'!H555=4,'Merged raw data'!H555=5),"weekday","weekend")</f>
        <v>weekday</v>
      </c>
      <c r="J555" s="23" t="s">
        <v>23</v>
      </c>
      <c r="K555" s="23" t="str">
        <f>IF('Merged raw data'!I555=1,"Clear",IF('Merged raw data'!I555=2,"Mist",IF('Merged raw data'!I555=3,"Rain",IF('Merged raw data'!I555=4,"Storm","NA"))))</f>
        <v>Clear</v>
      </c>
      <c r="L555" s="24">
        <v>0.74</v>
      </c>
      <c r="M555" s="24">
        <v>0.1045</v>
      </c>
      <c r="N555" s="21">
        <f>'Merged raw data'!$J555*100</f>
        <v>16</v>
      </c>
      <c r="O555" s="21">
        <v>1</v>
      </c>
      <c r="P555" s="21">
        <v>35</v>
      </c>
      <c r="Q555" s="21">
        <v>36</v>
      </c>
      <c r="R555" s="21" t="str">
        <f>IF(Q555&gt;=outliers!I557,"High",IF(Q555&lt;=outliers!I556,"Low","Moderate"))</f>
        <v>High</v>
      </c>
      <c r="S555" s="8" t="str">
        <f>IF(OR(Q555&lt;outliers!$I$6,Q555&gt;outliers!$I$7),"Outlier","Normal")</f>
        <v>Normal</v>
      </c>
      <c r="T555" s="8" t="str">
        <f>IF(OR(L555&lt;outliers!$J$6,L555&gt;outliers!$J$7),"Outlier","Normal")</f>
        <v>Normal</v>
      </c>
      <c r="U555" s="8" t="str">
        <f>IF(OR(M555&lt;outliers!$K$6,M555&gt;outliers!$K$7),"Outlier","Normal")</f>
        <v>Normal</v>
      </c>
    </row>
    <row r="556" spans="1:21">
      <c r="A556" s="21">
        <v>555</v>
      </c>
      <c r="B556" s="68">
        <v>40568</v>
      </c>
      <c r="C556" s="22" t="b">
        <v>0</v>
      </c>
      <c r="D556" s="21" t="str">
        <f t="shared" si="8"/>
        <v>Tuesday</v>
      </c>
      <c r="E556" s="23">
        <v>0.1515</v>
      </c>
      <c r="F556" s="23">
        <f>YEAR('Merged raw data'!$B556)</f>
        <v>2011</v>
      </c>
      <c r="G556" s="23" t="str">
        <f>TEXT('Merged raw data'!$B556,"mmmm")</f>
        <v>January</v>
      </c>
      <c r="H556" s="37" t="str">
        <f>TEXT(TIME('Merged raw data'!F556,0,0),"h AM/PM")</f>
        <v>7 AM</v>
      </c>
      <c r="I556" s="23" t="str">
        <f>IF(OR('Merged raw data'!H556=1,'Merged raw data'!H556=2,'Merged raw data'!H556=3,'Merged raw data'!H556=4,'Merged raw data'!H556=5),"weekday","weekend")</f>
        <v>weekday</v>
      </c>
      <c r="J556" s="23" t="s">
        <v>23</v>
      </c>
      <c r="K556" s="23" t="str">
        <f>IF('Merged raw data'!I556=1,"Clear",IF('Merged raw data'!I556=2,"Mist",IF('Merged raw data'!I556=3,"Rain",IF('Merged raw data'!I556=4,"Storm","NA"))))</f>
        <v>Clear</v>
      </c>
      <c r="L556" s="24">
        <v>0.74</v>
      </c>
      <c r="M556" s="24">
        <v>0.22389999999999999</v>
      </c>
      <c r="N556" s="21">
        <f>'Merged raw data'!$J556*100</f>
        <v>16</v>
      </c>
      <c r="O556" s="21">
        <v>5</v>
      </c>
      <c r="P556" s="21">
        <v>103</v>
      </c>
      <c r="Q556" s="21">
        <v>108</v>
      </c>
      <c r="R556" s="21" t="str">
        <f>IF(Q556&gt;=outliers!I558,"High",IF(Q556&lt;=outliers!I557,"Low","Moderate"))</f>
        <v>High</v>
      </c>
      <c r="S556" s="8" t="str">
        <f>IF(OR(Q556&lt;outliers!$I$6,Q556&gt;outliers!$I$7),"Outlier","Normal")</f>
        <v>Normal</v>
      </c>
      <c r="T556" s="8" t="str">
        <f>IF(OR(L556&lt;outliers!$J$6,L556&gt;outliers!$J$7),"Outlier","Normal")</f>
        <v>Normal</v>
      </c>
      <c r="U556" s="8" t="str">
        <f>IF(OR(M556&lt;outliers!$K$6,M556&gt;outliers!$K$7),"Outlier","Normal")</f>
        <v>Normal</v>
      </c>
    </row>
    <row r="557" spans="1:21">
      <c r="A557" s="21">
        <v>556</v>
      </c>
      <c r="B557" s="68">
        <v>40568</v>
      </c>
      <c r="C557" s="22" t="b">
        <v>0</v>
      </c>
      <c r="D557" s="21" t="str">
        <f t="shared" si="8"/>
        <v>Tuesday</v>
      </c>
      <c r="E557" s="23">
        <v>0.18179999999999999</v>
      </c>
      <c r="F557" s="23">
        <f>YEAR('Merged raw data'!$B557)</f>
        <v>2011</v>
      </c>
      <c r="G557" s="23" t="str">
        <f>TEXT('Merged raw data'!$B557,"mmmm")</f>
        <v>January</v>
      </c>
      <c r="H557" s="37" t="str">
        <f>TEXT(TIME('Merged raw data'!F557,0,0),"h AM/PM")</f>
        <v>8 AM</v>
      </c>
      <c r="I557" s="23" t="str">
        <f>IF(OR('Merged raw data'!H557=1,'Merged raw data'!H557=2,'Merged raw data'!H557=3,'Merged raw data'!H557=4,'Merged raw data'!H557=5),"weekday","weekend")</f>
        <v>weekday</v>
      </c>
      <c r="J557" s="23" t="s">
        <v>23</v>
      </c>
      <c r="K557" s="23" t="str">
        <f>IF('Merged raw data'!I557=1,"Clear",IF('Merged raw data'!I557=2,"Mist",IF('Merged raw data'!I557=3,"Rain",IF('Merged raw data'!I557=4,"Storm","NA"))))</f>
        <v>Mist</v>
      </c>
      <c r="L557" s="24">
        <v>0.74</v>
      </c>
      <c r="M557" s="24">
        <v>0.1343</v>
      </c>
      <c r="N557" s="21">
        <f>'Merged raw data'!$J557*100</f>
        <v>16</v>
      </c>
      <c r="O557" s="21">
        <v>5</v>
      </c>
      <c r="P557" s="21">
        <v>233</v>
      </c>
      <c r="Q557" s="21">
        <v>238</v>
      </c>
      <c r="R557" s="21" t="str">
        <f>IF(Q557&gt;=outliers!I559,"High",IF(Q557&lt;=outliers!I558,"Low","Moderate"))</f>
        <v>High</v>
      </c>
      <c r="S557" s="8" t="str">
        <f>IF(OR(Q557&lt;outliers!$I$6,Q557&gt;outliers!$I$7),"Outlier","Normal")</f>
        <v>Outlier</v>
      </c>
      <c r="T557" s="8" t="str">
        <f>IF(OR(L557&lt;outliers!$J$6,L557&gt;outliers!$J$7),"Outlier","Normal")</f>
        <v>Normal</v>
      </c>
      <c r="U557" s="8" t="str">
        <f>IF(OR(M557&lt;outliers!$K$6,M557&gt;outliers!$K$7),"Outlier","Normal")</f>
        <v>Normal</v>
      </c>
    </row>
    <row r="558" spans="1:21">
      <c r="A558" s="21">
        <v>557</v>
      </c>
      <c r="B558" s="68">
        <v>40568</v>
      </c>
      <c r="C558" s="22" t="b">
        <v>0</v>
      </c>
      <c r="D558" s="21" t="str">
        <f t="shared" si="8"/>
        <v>Tuesday</v>
      </c>
      <c r="E558" s="23">
        <v>0.2273</v>
      </c>
      <c r="F558" s="23">
        <f>YEAR('Merged raw data'!$B558)</f>
        <v>2011</v>
      </c>
      <c r="G558" s="23" t="str">
        <f>TEXT('Merged raw data'!$B558,"mmmm")</f>
        <v>January</v>
      </c>
      <c r="H558" s="37" t="str">
        <f>TEXT(TIME('Merged raw data'!F558,0,0),"h AM/PM")</f>
        <v>9 AM</v>
      </c>
      <c r="I558" s="23" t="str">
        <f>IF(OR('Merged raw data'!H558=1,'Merged raw data'!H558=2,'Merged raw data'!H558=3,'Merged raw data'!H558=4,'Merged raw data'!H558=5),"weekday","weekend")</f>
        <v>weekday</v>
      </c>
      <c r="J558" s="23" t="s">
        <v>23</v>
      </c>
      <c r="K558" s="23" t="str">
        <f>IF('Merged raw data'!I558=1,"Clear",IF('Merged raw data'!I558=2,"Mist",IF('Merged raw data'!I558=3,"Rain",IF('Merged raw data'!I558=4,"Storm","NA"))))</f>
        <v>Mist</v>
      </c>
      <c r="L558" s="24">
        <v>0.64</v>
      </c>
      <c r="M558" s="24">
        <v>8.9599999999999999E-2</v>
      </c>
      <c r="N558" s="21">
        <f>'Merged raw data'!$J558*100</f>
        <v>20</v>
      </c>
      <c r="O558" s="21">
        <v>10</v>
      </c>
      <c r="P558" s="21">
        <v>134</v>
      </c>
      <c r="Q558" s="21">
        <v>144</v>
      </c>
      <c r="R558" s="21" t="str">
        <f>IF(Q558&gt;=outliers!I560,"High",IF(Q558&lt;=outliers!I559,"Low","Moderate"))</f>
        <v>High</v>
      </c>
      <c r="S558" s="8" t="str">
        <f>IF(OR(Q558&lt;outliers!$I$6,Q558&gt;outliers!$I$7),"Outlier","Normal")</f>
        <v>Normal</v>
      </c>
      <c r="T558" s="8" t="str">
        <f>IF(OR(L558&lt;outliers!$J$6,L558&gt;outliers!$J$7),"Outlier","Normal")</f>
        <v>Normal</v>
      </c>
      <c r="U558" s="8" t="str">
        <f>IF(OR(M558&lt;outliers!$K$6,M558&gt;outliers!$K$7),"Outlier","Normal")</f>
        <v>Normal</v>
      </c>
    </row>
    <row r="559" spans="1:21">
      <c r="A559" s="21">
        <v>558</v>
      </c>
      <c r="B559" s="68">
        <v>40568</v>
      </c>
      <c r="C559" s="22" t="b">
        <v>0</v>
      </c>
      <c r="D559" s="21" t="str">
        <f t="shared" si="8"/>
        <v>Tuesday</v>
      </c>
      <c r="E559" s="23">
        <v>0.2424</v>
      </c>
      <c r="F559" s="23">
        <f>YEAR('Merged raw data'!$B559)</f>
        <v>2011</v>
      </c>
      <c r="G559" s="23" t="str">
        <f>TEXT('Merged raw data'!$B559,"mmmm")</f>
        <v>January</v>
      </c>
      <c r="H559" s="37" t="str">
        <f>TEXT(TIME('Merged raw data'!F559,0,0),"h AM/PM")</f>
        <v>10 AM</v>
      </c>
      <c r="I559" s="23" t="str">
        <f>IF(OR('Merged raw data'!H559=1,'Merged raw data'!H559=2,'Merged raw data'!H559=3,'Merged raw data'!H559=4,'Merged raw data'!H559=5),"weekday","weekend")</f>
        <v>weekday</v>
      </c>
      <c r="J559" s="23" t="s">
        <v>23</v>
      </c>
      <c r="K559" s="23" t="str">
        <f>IF('Merged raw data'!I559=1,"Clear",IF('Merged raw data'!I559=2,"Mist",IF('Merged raw data'!I559=3,"Rain",IF('Merged raw data'!I559=4,"Storm","NA"))))</f>
        <v>Mist</v>
      </c>
      <c r="L559" s="24">
        <v>0.6</v>
      </c>
      <c r="M559" s="24">
        <v>0.1045</v>
      </c>
      <c r="N559" s="21">
        <f>'Merged raw data'!$J559*100</f>
        <v>22</v>
      </c>
      <c r="O559" s="21">
        <v>6</v>
      </c>
      <c r="P559" s="21">
        <v>49</v>
      </c>
      <c r="Q559" s="21">
        <v>55</v>
      </c>
      <c r="R559" s="21" t="str">
        <f>IF(Q559&gt;=outliers!I561,"High",IF(Q559&lt;=outliers!I560,"Low","Moderate"))</f>
        <v>High</v>
      </c>
      <c r="S559" s="8" t="str">
        <f>IF(OR(Q559&lt;outliers!$I$6,Q559&gt;outliers!$I$7),"Outlier","Normal")</f>
        <v>Normal</v>
      </c>
      <c r="T559" s="8" t="str">
        <f>IF(OR(L559&lt;outliers!$J$6,L559&gt;outliers!$J$7),"Outlier","Normal")</f>
        <v>Normal</v>
      </c>
      <c r="U559" s="8" t="str">
        <f>IF(OR(M559&lt;outliers!$K$6,M559&gt;outliers!$K$7),"Outlier","Normal")</f>
        <v>Normal</v>
      </c>
    </row>
    <row r="560" spans="1:21">
      <c r="A560" s="21">
        <v>559</v>
      </c>
      <c r="B560" s="68">
        <v>40568</v>
      </c>
      <c r="C560" s="22" t="b">
        <v>0</v>
      </c>
      <c r="D560" s="21" t="str">
        <f t="shared" si="8"/>
        <v>Tuesday</v>
      </c>
      <c r="E560" s="23">
        <v>0.2424</v>
      </c>
      <c r="F560" s="23">
        <f>YEAR('Merged raw data'!$B560)</f>
        <v>2011</v>
      </c>
      <c r="G560" s="23" t="str">
        <f>TEXT('Merged raw data'!$B560,"mmmm")</f>
        <v>January</v>
      </c>
      <c r="H560" s="37" t="str">
        <f>TEXT(TIME('Merged raw data'!F560,0,0),"h AM/PM")</f>
        <v>11 AM</v>
      </c>
      <c r="I560" s="23" t="str">
        <f>IF(OR('Merged raw data'!H560=1,'Merged raw data'!H560=2,'Merged raw data'!H560=3,'Merged raw data'!H560=4,'Merged raw data'!H560=5),"weekday","weekend")</f>
        <v>weekday</v>
      </c>
      <c r="J560" s="23" t="s">
        <v>23</v>
      </c>
      <c r="K560" s="23" t="str">
        <f>IF('Merged raw data'!I560=1,"Clear",IF('Merged raw data'!I560=2,"Mist",IF('Merged raw data'!I560=3,"Rain",IF('Merged raw data'!I560=4,"Storm","NA"))))</f>
        <v>Mist</v>
      </c>
      <c r="L560" s="24">
        <v>0.6</v>
      </c>
      <c r="M560" s="24">
        <v>0.1343</v>
      </c>
      <c r="N560" s="21">
        <f>'Merged raw data'!$J560*100</f>
        <v>24</v>
      </c>
      <c r="O560" s="21">
        <v>6</v>
      </c>
      <c r="P560" s="21">
        <v>55</v>
      </c>
      <c r="Q560" s="21">
        <v>61</v>
      </c>
      <c r="R560" s="21" t="str">
        <f>IF(Q560&gt;=outliers!I562,"High",IF(Q560&lt;=outliers!I561,"Low","Moderate"))</f>
        <v>High</v>
      </c>
      <c r="S560" s="8" t="str">
        <f>IF(OR(Q560&lt;outliers!$I$6,Q560&gt;outliers!$I$7),"Outlier","Normal")</f>
        <v>Normal</v>
      </c>
      <c r="T560" s="8" t="str">
        <f>IF(OR(L560&lt;outliers!$J$6,L560&gt;outliers!$J$7),"Outlier","Normal")</f>
        <v>Normal</v>
      </c>
      <c r="U560" s="8" t="str">
        <f>IF(OR(M560&lt;outliers!$K$6,M560&gt;outliers!$K$7),"Outlier","Normal")</f>
        <v>Normal</v>
      </c>
    </row>
    <row r="561" spans="1:21">
      <c r="A561" s="21">
        <v>560</v>
      </c>
      <c r="B561" s="68">
        <v>40568</v>
      </c>
      <c r="C561" s="22" t="b">
        <v>0</v>
      </c>
      <c r="D561" s="21" t="str">
        <f t="shared" si="8"/>
        <v>Tuesday</v>
      </c>
      <c r="E561" s="23">
        <v>0.28789999999999999</v>
      </c>
      <c r="F561" s="23">
        <f>YEAR('Merged raw data'!$B561)</f>
        <v>2011</v>
      </c>
      <c r="G561" s="23" t="str">
        <f>TEXT('Merged raw data'!$B561,"mmmm")</f>
        <v>January</v>
      </c>
      <c r="H561" s="37" t="str">
        <f>TEXT(TIME('Merged raw data'!F561,0,0),"h AM/PM")</f>
        <v>12 PM</v>
      </c>
      <c r="I561" s="23" t="str">
        <f>IF(OR('Merged raw data'!H561=1,'Merged raw data'!H561=2,'Merged raw data'!H561=3,'Merged raw data'!H561=4,'Merged raw data'!H561=5),"weekday","weekend")</f>
        <v>weekday</v>
      </c>
      <c r="J561" s="23" t="s">
        <v>23</v>
      </c>
      <c r="K561" s="23" t="str">
        <f>IF('Merged raw data'!I561=1,"Clear",IF('Merged raw data'!I561=2,"Mist",IF('Merged raw data'!I561=3,"Rain",IF('Merged raw data'!I561=4,"Storm","NA"))))</f>
        <v>Mist</v>
      </c>
      <c r="L561" s="24">
        <v>0.56000000000000005</v>
      </c>
      <c r="M561" s="24">
        <v>8.9599999999999999E-2</v>
      </c>
      <c r="N561" s="21">
        <f>'Merged raw data'!$J561*100</f>
        <v>26</v>
      </c>
      <c r="O561" s="21">
        <v>21</v>
      </c>
      <c r="P561" s="21">
        <v>85</v>
      </c>
      <c r="Q561" s="21">
        <v>106</v>
      </c>
      <c r="R561" s="21" t="str">
        <f>IF(Q561&gt;=outliers!I563,"High",IF(Q561&lt;=outliers!I562,"Low","Moderate"))</f>
        <v>High</v>
      </c>
      <c r="S561" s="8" t="str">
        <f>IF(OR(Q561&lt;outliers!$I$6,Q561&gt;outliers!$I$7),"Outlier","Normal")</f>
        <v>Normal</v>
      </c>
      <c r="T561" s="8" t="str">
        <f>IF(OR(L561&lt;outliers!$J$6,L561&gt;outliers!$J$7),"Outlier","Normal")</f>
        <v>Normal</v>
      </c>
      <c r="U561" s="8" t="str">
        <f>IF(OR(M561&lt;outliers!$K$6,M561&gt;outliers!$K$7),"Outlier","Normal")</f>
        <v>Normal</v>
      </c>
    </row>
    <row r="562" spans="1:21">
      <c r="A562" s="21">
        <v>561</v>
      </c>
      <c r="B562" s="68">
        <v>40568</v>
      </c>
      <c r="C562" s="22" t="b">
        <v>0</v>
      </c>
      <c r="D562" s="21" t="str">
        <f t="shared" si="8"/>
        <v>Tuesday</v>
      </c>
      <c r="E562" s="23">
        <v>0.2727</v>
      </c>
      <c r="F562" s="23">
        <f>YEAR('Merged raw data'!$B562)</f>
        <v>2011</v>
      </c>
      <c r="G562" s="23" t="str">
        <f>TEXT('Merged raw data'!$B562,"mmmm")</f>
        <v>January</v>
      </c>
      <c r="H562" s="37" t="str">
        <f>TEXT(TIME('Merged raw data'!F562,0,0),"h AM/PM")</f>
        <v>1 PM</v>
      </c>
      <c r="I562" s="23" t="str">
        <f>IF(OR('Merged raw data'!H562=1,'Merged raw data'!H562=2,'Merged raw data'!H562=3,'Merged raw data'!H562=4,'Merged raw data'!H562=5),"weekday","weekend")</f>
        <v>weekday</v>
      </c>
      <c r="J562" s="23" t="s">
        <v>23</v>
      </c>
      <c r="K562" s="23" t="str">
        <f>IF('Merged raw data'!I562=1,"Clear",IF('Merged raw data'!I562=2,"Mist",IF('Merged raw data'!I562=3,"Rain",IF('Merged raw data'!I562=4,"Storm","NA"))))</f>
        <v>Mist</v>
      </c>
      <c r="L562" s="24">
        <v>0.56000000000000005</v>
      </c>
      <c r="M562" s="24">
        <v>0.1343</v>
      </c>
      <c r="N562" s="21">
        <f>'Merged raw data'!$J562*100</f>
        <v>26</v>
      </c>
      <c r="O562" s="21">
        <v>21</v>
      </c>
      <c r="P562" s="21">
        <v>72</v>
      </c>
      <c r="Q562" s="21">
        <v>93</v>
      </c>
      <c r="R562" s="21" t="str">
        <f>IF(Q562&gt;=outliers!I564,"High",IF(Q562&lt;=outliers!I563,"Low","Moderate"))</f>
        <v>High</v>
      </c>
      <c r="S562" s="8" t="str">
        <f>IF(OR(Q562&lt;outliers!$I$6,Q562&gt;outliers!$I$7),"Outlier","Normal")</f>
        <v>Normal</v>
      </c>
      <c r="T562" s="8" t="str">
        <f>IF(OR(L562&lt;outliers!$J$6,L562&gt;outliers!$J$7),"Outlier","Normal")</f>
        <v>Normal</v>
      </c>
      <c r="U562" s="8" t="str">
        <f>IF(OR(M562&lt;outliers!$K$6,M562&gt;outliers!$K$7),"Outlier","Normal")</f>
        <v>Normal</v>
      </c>
    </row>
    <row r="563" spans="1:21">
      <c r="A563" s="21">
        <v>562</v>
      </c>
      <c r="B563" s="68">
        <v>40568</v>
      </c>
      <c r="C563" s="22" t="b">
        <v>0</v>
      </c>
      <c r="D563" s="21" t="str">
        <f t="shared" si="8"/>
        <v>Tuesday</v>
      </c>
      <c r="E563" s="23">
        <v>0.33329999999999999</v>
      </c>
      <c r="F563" s="23">
        <f>YEAR('Merged raw data'!$B563)</f>
        <v>2011</v>
      </c>
      <c r="G563" s="23" t="str">
        <f>TEXT('Merged raw data'!$B563,"mmmm")</f>
        <v>January</v>
      </c>
      <c r="H563" s="37" t="str">
        <f>TEXT(TIME('Merged raw data'!F563,0,0),"h AM/PM")</f>
        <v>2 PM</v>
      </c>
      <c r="I563" s="23" t="str">
        <f>IF(OR('Merged raw data'!H563=1,'Merged raw data'!H563=2,'Merged raw data'!H563=3,'Merged raw data'!H563=4,'Merged raw data'!H563=5),"weekday","weekend")</f>
        <v>weekday</v>
      </c>
      <c r="J563" s="23" t="s">
        <v>23</v>
      </c>
      <c r="K563" s="23" t="str">
        <f>IF('Merged raw data'!I563=1,"Clear",IF('Merged raw data'!I563=2,"Mist",IF('Merged raw data'!I563=3,"Rain",IF('Merged raw data'!I563=4,"Storm","NA"))))</f>
        <v>Mist</v>
      </c>
      <c r="L563" s="24">
        <v>0.45</v>
      </c>
      <c r="M563" s="24">
        <v>0.23</v>
      </c>
      <c r="N563" s="21">
        <f>'Merged raw data'!$J563*100</f>
        <v>30</v>
      </c>
      <c r="O563" s="21">
        <v>11</v>
      </c>
      <c r="P563" s="21">
        <v>57</v>
      </c>
      <c r="Q563" s="21">
        <v>68</v>
      </c>
      <c r="R563" s="21" t="str">
        <f>IF(Q563&gt;=outliers!I565,"High",IF(Q563&lt;=outliers!I564,"Low","Moderate"))</f>
        <v>High</v>
      </c>
      <c r="S563" s="8" t="str">
        <f>IF(OR(Q563&lt;outliers!$I$6,Q563&gt;outliers!$I$7),"Outlier","Normal")</f>
        <v>Normal</v>
      </c>
      <c r="T563" s="8" t="str">
        <f>IF(OR(L563&lt;outliers!$J$6,L563&gt;outliers!$J$7),"Outlier","Normal")</f>
        <v>Normal</v>
      </c>
      <c r="U563" s="8" t="str">
        <f>IF(OR(M563&lt;outliers!$K$6,M563&gt;outliers!$K$7),"Outlier","Normal")</f>
        <v>Normal</v>
      </c>
    </row>
    <row r="564" spans="1:21">
      <c r="A564" s="21">
        <v>563</v>
      </c>
      <c r="B564" s="68">
        <v>40568</v>
      </c>
      <c r="C564" s="22" t="b">
        <v>0</v>
      </c>
      <c r="D564" s="21" t="str">
        <f t="shared" si="8"/>
        <v>Tuesday</v>
      </c>
      <c r="E564" s="23">
        <v>0.34849999999999998</v>
      </c>
      <c r="F564" s="23">
        <f>YEAR('Merged raw data'!$B564)</f>
        <v>2011</v>
      </c>
      <c r="G564" s="23" t="str">
        <f>TEXT('Merged raw data'!$B564,"mmmm")</f>
        <v>January</v>
      </c>
      <c r="H564" s="37" t="str">
        <f>TEXT(TIME('Merged raw data'!F564,0,0),"h AM/PM")</f>
        <v>3 PM</v>
      </c>
      <c r="I564" s="23" t="str">
        <f>IF(OR('Merged raw data'!H564=1,'Merged raw data'!H564=2,'Merged raw data'!H564=3,'Merged raw data'!H564=4,'Merged raw data'!H564=5),"weekday","weekend")</f>
        <v>weekday</v>
      </c>
      <c r="J564" s="23" t="s">
        <v>23</v>
      </c>
      <c r="K564" s="23" t="str">
        <f>IF('Merged raw data'!I564=1,"Clear",IF('Merged raw data'!I564=2,"Mist",IF('Merged raw data'!I564=3,"Rain",IF('Merged raw data'!I564=4,"Storm","NA"))))</f>
        <v>Mist</v>
      </c>
      <c r="L564" s="24">
        <v>0.42</v>
      </c>
      <c r="M564" s="24">
        <v>0.23</v>
      </c>
      <c r="N564" s="21">
        <f>'Merged raw data'!$J564*100</f>
        <v>32</v>
      </c>
      <c r="O564" s="21">
        <v>21</v>
      </c>
      <c r="P564" s="21">
        <v>63</v>
      </c>
      <c r="Q564" s="21">
        <v>84</v>
      </c>
      <c r="R564" s="21" t="str">
        <f>IF(Q564&gt;=outliers!I566,"High",IF(Q564&lt;=outliers!I565,"Low","Moderate"))</f>
        <v>High</v>
      </c>
      <c r="S564" s="8" t="str">
        <f>IF(OR(Q564&lt;outliers!$I$6,Q564&gt;outliers!$I$7),"Outlier","Normal")</f>
        <v>Normal</v>
      </c>
      <c r="T564" s="8" t="str">
        <f>IF(OR(L564&lt;outliers!$J$6,L564&gt;outliers!$J$7),"Outlier","Normal")</f>
        <v>Normal</v>
      </c>
      <c r="U564" s="8" t="str">
        <f>IF(OR(M564&lt;outliers!$K$6,M564&gt;outliers!$K$7),"Outlier","Normal")</f>
        <v>Normal</v>
      </c>
    </row>
    <row r="565" spans="1:21">
      <c r="A565" s="21">
        <v>564</v>
      </c>
      <c r="B565" s="68">
        <v>40568</v>
      </c>
      <c r="C565" s="22" t="b">
        <v>0</v>
      </c>
      <c r="D565" s="21" t="str">
        <f t="shared" si="8"/>
        <v>Tuesday</v>
      </c>
      <c r="E565" s="23">
        <v>0.34849999999999998</v>
      </c>
      <c r="F565" s="23">
        <f>YEAR('Merged raw data'!$B565)</f>
        <v>2011</v>
      </c>
      <c r="G565" s="23" t="str">
        <f>TEXT('Merged raw data'!$B565,"mmmm")</f>
        <v>January</v>
      </c>
      <c r="H565" s="37" t="str">
        <f>TEXT(TIME('Merged raw data'!F565,0,0),"h AM/PM")</f>
        <v>4 PM</v>
      </c>
      <c r="I565" s="23" t="str">
        <f>IF(OR('Merged raw data'!H565=1,'Merged raw data'!H565=2,'Merged raw data'!H565=3,'Merged raw data'!H565=4,'Merged raw data'!H565=5),"weekday","weekend")</f>
        <v>weekday</v>
      </c>
      <c r="J565" s="23" t="s">
        <v>23</v>
      </c>
      <c r="K565" s="23" t="str">
        <f>IF('Merged raw data'!I565=1,"Clear",IF('Merged raw data'!I565=2,"Mist",IF('Merged raw data'!I565=3,"Rain",IF('Merged raw data'!I565=4,"Storm","NA"))))</f>
        <v>Mist</v>
      </c>
      <c r="L565" s="24">
        <v>0.42</v>
      </c>
      <c r="M565" s="24">
        <v>0.23</v>
      </c>
      <c r="N565" s="21">
        <f>'Merged raw data'!$J565*100</f>
        <v>32</v>
      </c>
      <c r="O565" s="21">
        <v>14</v>
      </c>
      <c r="P565" s="21">
        <v>102</v>
      </c>
      <c r="Q565" s="21">
        <v>116</v>
      </c>
      <c r="R565" s="21" t="str">
        <f>IF(Q565&gt;=outliers!I567,"High",IF(Q565&lt;=outliers!I566,"Low","Moderate"))</f>
        <v>High</v>
      </c>
      <c r="S565" s="8" t="str">
        <f>IF(OR(Q565&lt;outliers!$I$6,Q565&gt;outliers!$I$7),"Outlier","Normal")</f>
        <v>Normal</v>
      </c>
      <c r="T565" s="8" t="str">
        <f>IF(OR(L565&lt;outliers!$J$6,L565&gt;outliers!$J$7),"Outlier","Normal")</f>
        <v>Normal</v>
      </c>
      <c r="U565" s="8" t="str">
        <f>IF(OR(M565&lt;outliers!$K$6,M565&gt;outliers!$K$7),"Outlier","Normal")</f>
        <v>Normal</v>
      </c>
    </row>
    <row r="566" spans="1:21">
      <c r="A566" s="21">
        <v>565</v>
      </c>
      <c r="B566" s="68">
        <v>40568</v>
      </c>
      <c r="C566" s="22" t="b">
        <v>0</v>
      </c>
      <c r="D566" s="21" t="str">
        <f t="shared" si="8"/>
        <v>Tuesday</v>
      </c>
      <c r="E566" s="23">
        <v>0.33329999999999999</v>
      </c>
      <c r="F566" s="23">
        <f>YEAR('Merged raw data'!$B566)</f>
        <v>2011</v>
      </c>
      <c r="G566" s="23" t="str">
        <f>TEXT('Merged raw data'!$B566,"mmmm")</f>
        <v>January</v>
      </c>
      <c r="H566" s="37" t="str">
        <f>TEXT(TIME('Merged raw data'!F566,0,0),"h AM/PM")</f>
        <v>5 PM</v>
      </c>
      <c r="I566" s="23" t="str">
        <f>IF(OR('Merged raw data'!H566=1,'Merged raw data'!H566=2,'Merged raw data'!H566=3,'Merged raw data'!H566=4,'Merged raw data'!H566=5),"weekday","weekend")</f>
        <v>weekday</v>
      </c>
      <c r="J566" s="23" t="s">
        <v>23</v>
      </c>
      <c r="K566" s="23" t="str">
        <f>IF('Merged raw data'!I566=1,"Clear",IF('Merged raw data'!I566=2,"Mist",IF('Merged raw data'!I566=3,"Rain",IF('Merged raw data'!I566=4,"Storm","NA"))))</f>
        <v>Clear</v>
      </c>
      <c r="L566" s="24">
        <v>0.45</v>
      </c>
      <c r="M566" s="24">
        <v>0.23</v>
      </c>
      <c r="N566" s="21">
        <f>'Merged raw data'!$J566*100</f>
        <v>30</v>
      </c>
      <c r="O566" s="21">
        <v>14</v>
      </c>
      <c r="P566" s="21">
        <v>208</v>
      </c>
      <c r="Q566" s="21">
        <v>222</v>
      </c>
      <c r="R566" s="21" t="str">
        <f>IF(Q566&gt;=outliers!I568,"High",IF(Q566&lt;=outliers!I567,"Low","Moderate"))</f>
        <v>High</v>
      </c>
      <c r="S566" s="8" t="str">
        <f>IF(OR(Q566&lt;outliers!$I$6,Q566&gt;outliers!$I$7),"Outlier","Normal")</f>
        <v>Outlier</v>
      </c>
      <c r="T566" s="8" t="str">
        <f>IF(OR(L566&lt;outliers!$J$6,L566&gt;outliers!$J$7),"Outlier","Normal")</f>
        <v>Normal</v>
      </c>
      <c r="U566" s="8" t="str">
        <f>IF(OR(M566&lt;outliers!$K$6,M566&gt;outliers!$K$7),"Outlier","Normal")</f>
        <v>Normal</v>
      </c>
    </row>
    <row r="567" spans="1:21">
      <c r="A567" s="21">
        <v>566</v>
      </c>
      <c r="B567" s="68">
        <v>40568</v>
      </c>
      <c r="C567" s="22" t="b">
        <v>0</v>
      </c>
      <c r="D567" s="21" t="str">
        <f t="shared" si="8"/>
        <v>Tuesday</v>
      </c>
      <c r="E567" s="23">
        <v>0.31819999999999998</v>
      </c>
      <c r="F567" s="23">
        <f>YEAR('Merged raw data'!$B567)</f>
        <v>2011</v>
      </c>
      <c r="G567" s="23" t="str">
        <f>TEXT('Merged raw data'!$B567,"mmmm")</f>
        <v>January</v>
      </c>
      <c r="H567" s="37" t="str">
        <f>TEXT(TIME('Merged raw data'!F567,0,0),"h AM/PM")</f>
        <v>6 PM</v>
      </c>
      <c r="I567" s="23" t="str">
        <f>IF(OR('Merged raw data'!H567=1,'Merged raw data'!H567=2,'Merged raw data'!H567=3,'Merged raw data'!H567=4,'Merged raw data'!H567=5),"weekday","weekend")</f>
        <v>weekday</v>
      </c>
      <c r="J567" s="23" t="s">
        <v>23</v>
      </c>
      <c r="K567" s="23" t="str">
        <f>IF('Merged raw data'!I567=1,"Clear",IF('Merged raw data'!I567=2,"Mist",IF('Merged raw data'!I567=3,"Rain",IF('Merged raw data'!I567=4,"Storm","NA"))))</f>
        <v>Mist</v>
      </c>
      <c r="L567" s="24">
        <v>0.49</v>
      </c>
      <c r="M567" s="24">
        <v>8.9599999999999999E-2</v>
      </c>
      <c r="N567" s="21">
        <f>'Merged raw data'!$J567*100</f>
        <v>30</v>
      </c>
      <c r="O567" s="21">
        <v>7</v>
      </c>
      <c r="P567" s="21">
        <v>218</v>
      </c>
      <c r="Q567" s="21">
        <v>225</v>
      </c>
      <c r="R567" s="21" t="str">
        <f>IF(Q567&gt;=outliers!I569,"High",IF(Q567&lt;=outliers!I568,"Low","Moderate"))</f>
        <v>High</v>
      </c>
      <c r="S567" s="8" t="str">
        <f>IF(OR(Q567&lt;outliers!$I$6,Q567&gt;outliers!$I$7),"Outlier","Normal")</f>
        <v>Outlier</v>
      </c>
      <c r="T567" s="8" t="str">
        <f>IF(OR(L567&lt;outliers!$J$6,L567&gt;outliers!$J$7),"Outlier","Normal")</f>
        <v>Normal</v>
      </c>
      <c r="U567" s="8" t="str">
        <f>IF(OR(M567&lt;outliers!$K$6,M567&gt;outliers!$K$7),"Outlier","Normal")</f>
        <v>Normal</v>
      </c>
    </row>
    <row r="568" spans="1:21">
      <c r="A568" s="21">
        <v>567</v>
      </c>
      <c r="B568" s="68">
        <v>40568</v>
      </c>
      <c r="C568" s="22" t="b">
        <v>0</v>
      </c>
      <c r="D568" s="21" t="str">
        <f t="shared" si="8"/>
        <v>Tuesday</v>
      </c>
      <c r="E568" s="23">
        <v>0.2576</v>
      </c>
      <c r="F568" s="23">
        <f>YEAR('Merged raw data'!$B568)</f>
        <v>2011</v>
      </c>
      <c r="G568" s="23" t="str">
        <f>TEXT('Merged raw data'!$B568,"mmmm")</f>
        <v>January</v>
      </c>
      <c r="H568" s="37" t="str">
        <f>TEXT(TIME('Merged raw data'!F568,0,0),"h AM/PM")</f>
        <v>7 PM</v>
      </c>
      <c r="I568" s="23" t="str">
        <f>IF(OR('Merged raw data'!H568=1,'Merged raw data'!H568=2,'Merged raw data'!H568=3,'Merged raw data'!H568=4,'Merged raw data'!H568=5),"weekday","weekend")</f>
        <v>weekday</v>
      </c>
      <c r="J568" s="23" t="s">
        <v>23</v>
      </c>
      <c r="K568" s="23" t="str">
        <f>IF('Merged raw data'!I568=1,"Clear",IF('Merged raw data'!I568=2,"Mist",IF('Merged raw data'!I568=3,"Rain",IF('Merged raw data'!I568=4,"Storm","NA"))))</f>
        <v>Mist</v>
      </c>
      <c r="L568" s="24">
        <v>0.65</v>
      </c>
      <c r="M568" s="24">
        <v>0.16420000000000001</v>
      </c>
      <c r="N568" s="21">
        <f>'Merged raw data'!$J568*100</f>
        <v>26</v>
      </c>
      <c r="O568" s="21">
        <v>13</v>
      </c>
      <c r="P568" s="21">
        <v>133</v>
      </c>
      <c r="Q568" s="21">
        <v>146</v>
      </c>
      <c r="R568" s="21" t="str">
        <f>IF(Q568&gt;=outliers!I570,"High",IF(Q568&lt;=outliers!I569,"Low","Moderate"))</f>
        <v>High</v>
      </c>
      <c r="S568" s="8" t="str">
        <f>IF(OR(Q568&lt;outliers!$I$6,Q568&gt;outliers!$I$7),"Outlier","Normal")</f>
        <v>Normal</v>
      </c>
      <c r="T568" s="8" t="str">
        <f>IF(OR(L568&lt;outliers!$J$6,L568&gt;outliers!$J$7),"Outlier","Normal")</f>
        <v>Normal</v>
      </c>
      <c r="U568" s="8" t="str">
        <f>IF(OR(M568&lt;outliers!$K$6,M568&gt;outliers!$K$7),"Outlier","Normal")</f>
        <v>Normal</v>
      </c>
    </row>
    <row r="569" spans="1:21">
      <c r="A569" s="21">
        <v>568</v>
      </c>
      <c r="B569" s="68">
        <v>40568</v>
      </c>
      <c r="C569" s="22" t="b">
        <v>0</v>
      </c>
      <c r="D569" s="21" t="str">
        <f t="shared" si="8"/>
        <v>Tuesday</v>
      </c>
      <c r="E569" s="23">
        <v>0.2273</v>
      </c>
      <c r="F569" s="23">
        <f>YEAR('Merged raw data'!$B569)</f>
        <v>2011</v>
      </c>
      <c r="G569" s="23" t="str">
        <f>TEXT('Merged raw data'!$B569,"mmmm")</f>
        <v>January</v>
      </c>
      <c r="H569" s="37" t="str">
        <f>TEXT(TIME('Merged raw data'!F569,0,0),"h AM/PM")</f>
        <v>8 PM</v>
      </c>
      <c r="I569" s="23" t="str">
        <f>IF(OR('Merged raw data'!H569=1,'Merged raw data'!H569=2,'Merged raw data'!H569=3,'Merged raw data'!H569=4,'Merged raw data'!H569=5),"weekday","weekend")</f>
        <v>weekday</v>
      </c>
      <c r="J569" s="23" t="s">
        <v>23</v>
      </c>
      <c r="K569" s="23" t="str">
        <f>IF('Merged raw data'!I569=1,"Clear",IF('Merged raw data'!I569=2,"Mist",IF('Merged raw data'!I569=3,"Rain",IF('Merged raw data'!I569=4,"Storm","NA"))))</f>
        <v>Clear</v>
      </c>
      <c r="L569" s="24">
        <v>0.65</v>
      </c>
      <c r="M569" s="24">
        <v>0.19400000000000001</v>
      </c>
      <c r="N569" s="21">
        <f>'Merged raw data'!$J569*100</f>
        <v>24</v>
      </c>
      <c r="O569" s="21">
        <v>16</v>
      </c>
      <c r="P569" s="21">
        <v>103</v>
      </c>
      <c r="Q569" s="21">
        <v>119</v>
      </c>
      <c r="R569" s="21" t="str">
        <f>IF(Q569&gt;=outliers!I571,"High",IF(Q569&lt;=outliers!I570,"Low","Moderate"))</f>
        <v>High</v>
      </c>
      <c r="S569" s="8" t="str">
        <f>IF(OR(Q569&lt;outliers!$I$6,Q569&gt;outliers!$I$7),"Outlier","Normal")</f>
        <v>Normal</v>
      </c>
      <c r="T569" s="8" t="str">
        <f>IF(OR(L569&lt;outliers!$J$6,L569&gt;outliers!$J$7),"Outlier","Normal")</f>
        <v>Normal</v>
      </c>
      <c r="U569" s="8" t="str">
        <f>IF(OR(M569&lt;outliers!$K$6,M569&gt;outliers!$K$7),"Outlier","Normal")</f>
        <v>Normal</v>
      </c>
    </row>
    <row r="570" spans="1:21">
      <c r="A570" s="21">
        <v>569</v>
      </c>
      <c r="B570" s="68">
        <v>40568</v>
      </c>
      <c r="C570" s="22" t="b">
        <v>0</v>
      </c>
      <c r="D570" s="21" t="str">
        <f t="shared" si="8"/>
        <v>Tuesday</v>
      </c>
      <c r="E570" s="23">
        <v>0.2273</v>
      </c>
      <c r="F570" s="23">
        <f>YEAR('Merged raw data'!$B570)</f>
        <v>2011</v>
      </c>
      <c r="G570" s="23" t="str">
        <f>TEXT('Merged raw data'!$B570,"mmmm")</f>
        <v>January</v>
      </c>
      <c r="H570" s="37" t="str">
        <f>TEXT(TIME('Merged raw data'!F570,0,0),"h AM/PM")</f>
        <v>9 PM</v>
      </c>
      <c r="I570" s="23" t="str">
        <f>IF(OR('Merged raw data'!H570=1,'Merged raw data'!H570=2,'Merged raw data'!H570=3,'Merged raw data'!H570=4,'Merged raw data'!H570=5),"weekday","weekend")</f>
        <v>weekday</v>
      </c>
      <c r="J570" s="23" t="s">
        <v>23</v>
      </c>
      <c r="K570" s="23" t="str">
        <f>IF('Merged raw data'!I570=1,"Clear",IF('Merged raw data'!I570=2,"Mist",IF('Merged raw data'!I570=3,"Rain",IF('Merged raw data'!I570=4,"Storm","NA"))))</f>
        <v>Clear</v>
      </c>
      <c r="L570" s="24">
        <v>0.65</v>
      </c>
      <c r="M570" s="24">
        <v>0.19400000000000001</v>
      </c>
      <c r="N570" s="21">
        <f>'Merged raw data'!$J570*100</f>
        <v>24</v>
      </c>
      <c r="O570" s="21">
        <v>5</v>
      </c>
      <c r="P570" s="21">
        <v>40</v>
      </c>
      <c r="Q570" s="21">
        <v>45</v>
      </c>
      <c r="R570" s="21" t="str">
        <f>IF(Q570&gt;=outliers!I572,"High",IF(Q570&lt;=outliers!I571,"Low","Moderate"))</f>
        <v>High</v>
      </c>
      <c r="S570" s="8" t="str">
        <f>IF(OR(Q570&lt;outliers!$I$6,Q570&gt;outliers!$I$7),"Outlier","Normal")</f>
        <v>Normal</v>
      </c>
      <c r="T570" s="8" t="str">
        <f>IF(OR(L570&lt;outliers!$J$6,L570&gt;outliers!$J$7),"Outlier","Normal")</f>
        <v>Normal</v>
      </c>
      <c r="U570" s="8" t="str">
        <f>IF(OR(M570&lt;outliers!$K$6,M570&gt;outliers!$K$7),"Outlier","Normal")</f>
        <v>Normal</v>
      </c>
    </row>
    <row r="571" spans="1:21">
      <c r="A571" s="21">
        <v>570</v>
      </c>
      <c r="B571" s="68">
        <v>40568</v>
      </c>
      <c r="C571" s="22" t="b">
        <v>0</v>
      </c>
      <c r="D571" s="21" t="str">
        <f t="shared" si="8"/>
        <v>Tuesday</v>
      </c>
      <c r="E571" s="23">
        <v>0.2273</v>
      </c>
      <c r="F571" s="23">
        <f>YEAR('Merged raw data'!$B571)</f>
        <v>2011</v>
      </c>
      <c r="G571" s="23" t="str">
        <f>TEXT('Merged raw data'!$B571,"mmmm")</f>
        <v>January</v>
      </c>
      <c r="H571" s="37" t="str">
        <f>TEXT(TIME('Merged raw data'!F571,0,0),"h AM/PM")</f>
        <v>10 PM</v>
      </c>
      <c r="I571" s="23" t="str">
        <f>IF(OR('Merged raw data'!H571=1,'Merged raw data'!H571=2,'Merged raw data'!H571=3,'Merged raw data'!H571=4,'Merged raw data'!H571=5),"weekday","weekend")</f>
        <v>weekday</v>
      </c>
      <c r="J571" s="23" t="s">
        <v>23</v>
      </c>
      <c r="K571" s="23" t="str">
        <f>IF('Merged raw data'!I571=1,"Clear",IF('Merged raw data'!I571=2,"Mist",IF('Merged raw data'!I571=3,"Rain",IF('Merged raw data'!I571=4,"Storm","NA"))))</f>
        <v>Clear</v>
      </c>
      <c r="L571" s="24">
        <v>0.64</v>
      </c>
      <c r="M571" s="24">
        <v>0.16420000000000001</v>
      </c>
      <c r="N571" s="21">
        <f>'Merged raw data'!$J571*100</f>
        <v>22</v>
      </c>
      <c r="O571" s="21">
        <v>4</v>
      </c>
      <c r="P571" s="21">
        <v>49</v>
      </c>
      <c r="Q571" s="21">
        <v>53</v>
      </c>
      <c r="R571" s="21" t="str">
        <f>IF(Q571&gt;=outliers!I573,"High",IF(Q571&lt;=outliers!I572,"Low","Moderate"))</f>
        <v>High</v>
      </c>
      <c r="S571" s="8" t="str">
        <f>IF(OR(Q571&lt;outliers!$I$6,Q571&gt;outliers!$I$7),"Outlier","Normal")</f>
        <v>Normal</v>
      </c>
      <c r="T571" s="8" t="str">
        <f>IF(OR(L571&lt;outliers!$J$6,L571&gt;outliers!$J$7),"Outlier","Normal")</f>
        <v>Normal</v>
      </c>
      <c r="U571" s="8" t="str">
        <f>IF(OR(M571&lt;outliers!$K$6,M571&gt;outliers!$K$7),"Outlier","Normal")</f>
        <v>Normal</v>
      </c>
    </row>
    <row r="572" spans="1:21">
      <c r="A572" s="21">
        <v>571</v>
      </c>
      <c r="B572" s="68">
        <v>40568</v>
      </c>
      <c r="C572" s="22" t="b">
        <v>0</v>
      </c>
      <c r="D572" s="21" t="str">
        <f t="shared" si="8"/>
        <v>Tuesday</v>
      </c>
      <c r="E572" s="23">
        <v>0.2273</v>
      </c>
      <c r="F572" s="23">
        <f>YEAR('Merged raw data'!$B572)</f>
        <v>2011</v>
      </c>
      <c r="G572" s="23" t="str">
        <f>TEXT('Merged raw data'!$B572,"mmmm")</f>
        <v>January</v>
      </c>
      <c r="H572" s="37" t="str">
        <f>TEXT(TIME('Merged raw data'!F572,0,0),"h AM/PM")</f>
        <v>11 PM</v>
      </c>
      <c r="I572" s="23" t="str">
        <f>IF(OR('Merged raw data'!H572=1,'Merged raw data'!H572=2,'Merged raw data'!H572=3,'Merged raw data'!H572=4,'Merged raw data'!H572=5),"weekday","weekend")</f>
        <v>weekday</v>
      </c>
      <c r="J572" s="23" t="s">
        <v>23</v>
      </c>
      <c r="K572" s="23" t="str">
        <f>IF('Merged raw data'!I572=1,"Clear",IF('Merged raw data'!I572=2,"Mist",IF('Merged raw data'!I572=3,"Rain",IF('Merged raw data'!I572=4,"Storm","NA"))))</f>
        <v>Mist</v>
      </c>
      <c r="L572" s="24">
        <v>0.64</v>
      </c>
      <c r="M572" s="24">
        <v>0.16420000000000001</v>
      </c>
      <c r="N572" s="21">
        <f>'Merged raw data'!$J572*100</f>
        <v>22</v>
      </c>
      <c r="O572" s="21">
        <v>3</v>
      </c>
      <c r="P572" s="21">
        <v>37</v>
      </c>
      <c r="Q572" s="21">
        <v>40</v>
      </c>
      <c r="R572" s="21" t="str">
        <f>IF(Q572&gt;=outliers!I574,"High",IF(Q572&lt;=outliers!I573,"Low","Moderate"))</f>
        <v>High</v>
      </c>
      <c r="S572" s="8" t="str">
        <f>IF(OR(Q572&lt;outliers!$I$6,Q572&gt;outliers!$I$7),"Outlier","Normal")</f>
        <v>Normal</v>
      </c>
      <c r="T572" s="8" t="str">
        <f>IF(OR(L572&lt;outliers!$J$6,L572&gt;outliers!$J$7),"Outlier","Normal")</f>
        <v>Normal</v>
      </c>
      <c r="U572" s="8" t="str">
        <f>IF(OR(M572&lt;outliers!$K$6,M572&gt;outliers!$K$7),"Outlier","Normal")</f>
        <v>Normal</v>
      </c>
    </row>
    <row r="573" spans="1:21">
      <c r="A573" s="21">
        <v>572</v>
      </c>
      <c r="B573" s="68">
        <v>40569</v>
      </c>
      <c r="C573" s="22" t="b">
        <v>0</v>
      </c>
      <c r="D573" s="21" t="str">
        <f t="shared" si="8"/>
        <v>Wednesday</v>
      </c>
      <c r="E573" s="23">
        <v>0.2273</v>
      </c>
      <c r="F573" s="23">
        <f>YEAR('Merged raw data'!$B573)</f>
        <v>2011</v>
      </c>
      <c r="G573" s="23" t="str">
        <f>TEXT('Merged raw data'!$B573,"mmmm")</f>
        <v>January</v>
      </c>
      <c r="H573" s="37" t="str">
        <f>TEXT(TIME('Merged raw data'!F573,0,0),"h AM/PM")</f>
        <v>12 AM</v>
      </c>
      <c r="I573" s="23" t="str">
        <f>IF(OR('Merged raw data'!H573=1,'Merged raw data'!H573=2,'Merged raw data'!H573=3,'Merged raw data'!H573=4,'Merged raw data'!H573=5),"weekday","weekend")</f>
        <v>weekday</v>
      </c>
      <c r="J573" s="23" t="s">
        <v>23</v>
      </c>
      <c r="K573" s="23" t="str">
        <f>IF('Merged raw data'!I573=1,"Clear",IF('Merged raw data'!I573=2,"Mist",IF('Merged raw data'!I573=3,"Rain",IF('Merged raw data'!I573=4,"Storm","NA"))))</f>
        <v>Mist</v>
      </c>
      <c r="L573" s="24">
        <v>0.69</v>
      </c>
      <c r="M573" s="24">
        <v>0.1343</v>
      </c>
      <c r="N573" s="21">
        <f>'Merged raw data'!$J573*100</f>
        <v>22</v>
      </c>
      <c r="O573" s="21">
        <v>3</v>
      </c>
      <c r="P573" s="21">
        <v>14</v>
      </c>
      <c r="Q573" s="21">
        <v>17</v>
      </c>
      <c r="R573" s="21" t="str">
        <f>IF(Q573&gt;=outliers!I575,"High",IF(Q573&lt;=outliers!I574,"Low","Moderate"))</f>
        <v>High</v>
      </c>
      <c r="S573" s="8" t="str">
        <f>IF(OR(Q573&lt;outliers!$I$6,Q573&gt;outliers!$I$7),"Outlier","Normal")</f>
        <v>Normal</v>
      </c>
      <c r="T573" s="8" t="str">
        <f>IF(OR(L573&lt;outliers!$J$6,L573&gt;outliers!$J$7),"Outlier","Normal")</f>
        <v>Normal</v>
      </c>
      <c r="U573" s="8" t="str">
        <f>IF(OR(M573&lt;outliers!$K$6,M573&gt;outliers!$K$7),"Outlier","Normal")</f>
        <v>Normal</v>
      </c>
    </row>
    <row r="574" spans="1:21">
      <c r="A574" s="21">
        <v>573</v>
      </c>
      <c r="B574" s="68">
        <v>40569</v>
      </c>
      <c r="C574" s="22" t="b">
        <v>0</v>
      </c>
      <c r="D574" s="21" t="str">
        <f t="shared" si="8"/>
        <v>Wednesday</v>
      </c>
      <c r="E574" s="23">
        <v>0.2424</v>
      </c>
      <c r="F574" s="23">
        <f>YEAR('Merged raw data'!$B574)</f>
        <v>2011</v>
      </c>
      <c r="G574" s="23" t="str">
        <f>TEXT('Merged raw data'!$B574,"mmmm")</f>
        <v>January</v>
      </c>
      <c r="H574" s="37" t="str">
        <f>TEXT(TIME('Merged raw data'!F574,0,0),"h AM/PM")</f>
        <v>1 AM</v>
      </c>
      <c r="I574" s="23" t="str">
        <f>IF(OR('Merged raw data'!H574=1,'Merged raw data'!H574=2,'Merged raw data'!H574=3,'Merged raw data'!H574=4,'Merged raw data'!H574=5),"weekday","weekend")</f>
        <v>weekday</v>
      </c>
      <c r="J574" s="23" t="s">
        <v>23</v>
      </c>
      <c r="K574" s="23" t="str">
        <f>IF('Merged raw data'!I574=1,"Clear",IF('Merged raw data'!I574=2,"Mist",IF('Merged raw data'!I574=3,"Rain",IF('Merged raw data'!I574=4,"Storm","NA"))))</f>
        <v>Mist</v>
      </c>
      <c r="L574" s="24">
        <v>0.65</v>
      </c>
      <c r="M574" s="24">
        <v>0.1343</v>
      </c>
      <c r="N574" s="21">
        <f>'Merged raw data'!$J574*100</f>
        <v>24</v>
      </c>
      <c r="O574" s="21">
        <v>0</v>
      </c>
      <c r="P574" s="21">
        <v>5</v>
      </c>
      <c r="Q574" s="21">
        <v>5</v>
      </c>
      <c r="R574" s="21" t="str">
        <f>IF(Q574&gt;=outliers!I576,"High",IF(Q574&lt;=outliers!I575,"Low","Moderate"))</f>
        <v>High</v>
      </c>
      <c r="S574" s="8" t="str">
        <f>IF(OR(Q574&lt;outliers!$I$6,Q574&gt;outliers!$I$7),"Outlier","Normal")</f>
        <v>Normal</v>
      </c>
      <c r="T574" s="8" t="str">
        <f>IF(OR(L574&lt;outliers!$J$6,L574&gt;outliers!$J$7),"Outlier","Normal")</f>
        <v>Normal</v>
      </c>
      <c r="U574" s="8" t="str">
        <f>IF(OR(M574&lt;outliers!$K$6,M574&gt;outliers!$K$7),"Outlier","Normal")</f>
        <v>Normal</v>
      </c>
    </row>
    <row r="575" spans="1:21">
      <c r="A575" s="21">
        <v>574</v>
      </c>
      <c r="B575" s="68">
        <v>40569</v>
      </c>
      <c r="C575" s="22" t="b">
        <v>0</v>
      </c>
      <c r="D575" s="21" t="str">
        <f t="shared" si="8"/>
        <v>Wednesday</v>
      </c>
      <c r="E575" s="23">
        <v>0.2273</v>
      </c>
      <c r="F575" s="23">
        <f>YEAR('Merged raw data'!$B575)</f>
        <v>2011</v>
      </c>
      <c r="G575" s="23" t="str">
        <f>TEXT('Merged raw data'!$B575,"mmmm")</f>
        <v>January</v>
      </c>
      <c r="H575" s="37" t="str">
        <f>TEXT(TIME('Merged raw data'!F575,0,0),"h AM/PM")</f>
        <v>2 AM</v>
      </c>
      <c r="I575" s="23" t="str">
        <f>IF(OR('Merged raw data'!H575=1,'Merged raw data'!H575=2,'Merged raw data'!H575=3,'Merged raw data'!H575=4,'Merged raw data'!H575=5),"weekday","weekend")</f>
        <v>weekday</v>
      </c>
      <c r="J575" s="23" t="s">
        <v>23</v>
      </c>
      <c r="K575" s="23" t="str">
        <f>IF('Merged raw data'!I575=1,"Clear",IF('Merged raw data'!I575=2,"Mist",IF('Merged raw data'!I575=3,"Rain",IF('Merged raw data'!I575=4,"Storm","NA"))))</f>
        <v>Rain</v>
      </c>
      <c r="L575" s="24">
        <v>0.69</v>
      </c>
      <c r="M575" s="24">
        <v>0.19400000000000001</v>
      </c>
      <c r="N575" s="21">
        <f>'Merged raw data'!$J575*100</f>
        <v>22</v>
      </c>
      <c r="O575" s="21">
        <v>3</v>
      </c>
      <c r="P575" s="21">
        <v>7</v>
      </c>
      <c r="Q575" s="21">
        <v>10</v>
      </c>
      <c r="R575" s="21" t="str">
        <f>IF(Q575&gt;=outliers!I577,"High",IF(Q575&lt;=outliers!I576,"Low","Moderate"))</f>
        <v>High</v>
      </c>
      <c r="S575" s="8" t="str">
        <f>IF(OR(Q575&lt;outliers!$I$6,Q575&gt;outliers!$I$7),"Outlier","Normal")</f>
        <v>Normal</v>
      </c>
      <c r="T575" s="8" t="str">
        <f>IF(OR(L575&lt;outliers!$J$6,L575&gt;outliers!$J$7),"Outlier","Normal")</f>
        <v>Normal</v>
      </c>
      <c r="U575" s="8" t="str">
        <f>IF(OR(M575&lt;outliers!$K$6,M575&gt;outliers!$K$7),"Outlier","Normal")</f>
        <v>Normal</v>
      </c>
    </row>
    <row r="576" spans="1:21">
      <c r="A576" s="21">
        <v>575</v>
      </c>
      <c r="B576" s="68">
        <v>40569</v>
      </c>
      <c r="C576" s="22" t="b">
        <v>0</v>
      </c>
      <c r="D576" s="21" t="str">
        <f t="shared" si="8"/>
        <v>Wednesday</v>
      </c>
      <c r="E576" s="23">
        <v>0.18179999999999999</v>
      </c>
      <c r="F576" s="23">
        <f>YEAR('Merged raw data'!$B576)</f>
        <v>2011</v>
      </c>
      <c r="G576" s="23" t="str">
        <f>TEXT('Merged raw data'!$B576,"mmmm")</f>
        <v>January</v>
      </c>
      <c r="H576" s="37" t="str">
        <f>TEXT(TIME('Merged raw data'!F576,0,0),"h AM/PM")</f>
        <v>5 AM</v>
      </c>
      <c r="I576" s="23" t="str">
        <f>IF(OR('Merged raw data'!H576=1,'Merged raw data'!H576=2,'Merged raw data'!H576=3,'Merged raw data'!H576=4,'Merged raw data'!H576=5),"weekday","weekend")</f>
        <v>weekday</v>
      </c>
      <c r="J576" s="23" t="s">
        <v>23</v>
      </c>
      <c r="K576" s="23" t="str">
        <f>IF('Merged raw data'!I576=1,"Clear",IF('Merged raw data'!I576=2,"Mist",IF('Merged raw data'!I576=3,"Rain",IF('Merged raw data'!I576=4,"Storm","NA"))))</f>
        <v>Rain</v>
      </c>
      <c r="L576" s="24">
        <v>0.86</v>
      </c>
      <c r="M576" s="24">
        <v>0.28360000000000002</v>
      </c>
      <c r="N576" s="21">
        <f>'Merged raw data'!$J576*100</f>
        <v>20</v>
      </c>
      <c r="O576" s="21">
        <v>0</v>
      </c>
      <c r="P576" s="21">
        <v>1</v>
      </c>
      <c r="Q576" s="21">
        <v>1</v>
      </c>
      <c r="R576" s="21" t="str">
        <f>IF(Q576&gt;=outliers!I578,"High",IF(Q576&lt;=outliers!I577,"Low","Moderate"))</f>
        <v>High</v>
      </c>
      <c r="S576" s="8" t="str">
        <f>IF(OR(Q576&lt;outliers!$I$6,Q576&gt;outliers!$I$7),"Outlier","Normal")</f>
        <v>Normal</v>
      </c>
      <c r="T576" s="8" t="str">
        <f>IF(OR(L576&lt;outliers!$J$6,L576&gt;outliers!$J$7),"Outlier","Normal")</f>
        <v>Normal</v>
      </c>
      <c r="U576" s="8" t="str">
        <f>IF(OR(M576&lt;outliers!$K$6,M576&gt;outliers!$K$7),"Outlier","Normal")</f>
        <v>Normal</v>
      </c>
    </row>
    <row r="577" spans="1:21">
      <c r="A577" s="21">
        <v>576</v>
      </c>
      <c r="B577" s="68">
        <v>40569</v>
      </c>
      <c r="C577" s="22" t="b">
        <v>0</v>
      </c>
      <c r="D577" s="21" t="str">
        <f t="shared" si="8"/>
        <v>Wednesday</v>
      </c>
      <c r="E577" s="23">
        <v>0.18179999999999999</v>
      </c>
      <c r="F577" s="23">
        <f>YEAR('Merged raw data'!$B577)</f>
        <v>2011</v>
      </c>
      <c r="G577" s="23" t="str">
        <f>TEXT('Merged raw data'!$B577,"mmmm")</f>
        <v>January</v>
      </c>
      <c r="H577" s="37" t="str">
        <f>TEXT(TIME('Merged raw data'!F577,0,0),"h AM/PM")</f>
        <v>6 AM</v>
      </c>
      <c r="I577" s="23" t="str">
        <f>IF(OR('Merged raw data'!H577=1,'Merged raw data'!H577=2,'Merged raw data'!H577=3,'Merged raw data'!H577=4,'Merged raw data'!H577=5),"weekday","weekend")</f>
        <v>weekday</v>
      </c>
      <c r="J577" s="23" t="s">
        <v>23</v>
      </c>
      <c r="K577" s="23" t="str">
        <f>IF('Merged raw data'!I577=1,"Clear",IF('Merged raw data'!I577=2,"Mist",IF('Merged raw data'!I577=3,"Rain",IF('Merged raw data'!I577=4,"Storm","NA"))))</f>
        <v>Rain</v>
      </c>
      <c r="L577" s="24">
        <v>0.86</v>
      </c>
      <c r="M577" s="24">
        <v>0.28360000000000002</v>
      </c>
      <c r="N577" s="21">
        <f>'Merged raw data'!$J577*100</f>
        <v>20</v>
      </c>
      <c r="O577" s="21">
        <v>0</v>
      </c>
      <c r="P577" s="21">
        <v>8</v>
      </c>
      <c r="Q577" s="21">
        <v>8</v>
      </c>
      <c r="R577" s="21" t="str">
        <f>IF(Q577&gt;=outliers!I579,"High",IF(Q577&lt;=outliers!I578,"Low","Moderate"))</f>
        <v>High</v>
      </c>
      <c r="S577" s="8" t="str">
        <f>IF(OR(Q577&lt;outliers!$I$6,Q577&gt;outliers!$I$7),"Outlier","Normal")</f>
        <v>Normal</v>
      </c>
      <c r="T577" s="8" t="str">
        <f>IF(OR(L577&lt;outliers!$J$6,L577&gt;outliers!$J$7),"Outlier","Normal")</f>
        <v>Normal</v>
      </c>
      <c r="U577" s="8" t="str">
        <f>IF(OR(M577&lt;outliers!$K$6,M577&gt;outliers!$K$7),"Outlier","Normal")</f>
        <v>Normal</v>
      </c>
    </row>
    <row r="578" spans="1:21">
      <c r="A578" s="21">
        <v>577</v>
      </c>
      <c r="B578" s="68">
        <v>40569</v>
      </c>
      <c r="C578" s="22" t="b">
        <v>0</v>
      </c>
      <c r="D578" s="21" t="str">
        <f t="shared" si="8"/>
        <v>Wednesday</v>
      </c>
      <c r="E578" s="23">
        <v>0.21210000000000001</v>
      </c>
      <c r="F578" s="23">
        <f>YEAR('Merged raw data'!$B578)</f>
        <v>2011</v>
      </c>
      <c r="G578" s="23" t="str">
        <f>TEXT('Merged raw data'!$B578,"mmmm")</f>
        <v>January</v>
      </c>
      <c r="H578" s="37" t="str">
        <f>TEXT(TIME('Merged raw data'!F578,0,0),"h AM/PM")</f>
        <v>7 AM</v>
      </c>
      <c r="I578" s="23" t="str">
        <f>IF(OR('Merged raw data'!H578=1,'Merged raw data'!H578=2,'Merged raw data'!H578=3,'Merged raw data'!H578=4,'Merged raw data'!H578=5),"weekday","weekend")</f>
        <v>weekday</v>
      </c>
      <c r="J578" s="23" t="s">
        <v>23</v>
      </c>
      <c r="K578" s="23" t="str">
        <f>IF('Merged raw data'!I578=1,"Clear",IF('Merged raw data'!I578=2,"Mist",IF('Merged raw data'!I578=3,"Rain",IF('Merged raw data'!I578=4,"Storm","NA"))))</f>
        <v>Rain</v>
      </c>
      <c r="L578" s="24">
        <v>0.87</v>
      </c>
      <c r="M578" s="24">
        <v>0.29849999999999999</v>
      </c>
      <c r="N578" s="21">
        <f>'Merged raw data'!$J578*100</f>
        <v>22</v>
      </c>
      <c r="O578" s="21">
        <v>1</v>
      </c>
      <c r="P578" s="21">
        <v>29</v>
      </c>
      <c r="Q578" s="21">
        <v>30</v>
      </c>
      <c r="R578" s="21" t="str">
        <f>IF(Q578&gt;=outliers!I580,"High",IF(Q578&lt;=outliers!I579,"Low","Moderate"))</f>
        <v>High</v>
      </c>
      <c r="S578" s="8" t="str">
        <f>IF(OR(Q578&lt;outliers!$I$6,Q578&gt;outliers!$I$7),"Outlier","Normal")</f>
        <v>Normal</v>
      </c>
      <c r="T578" s="8" t="str">
        <f>IF(OR(L578&lt;outliers!$J$6,L578&gt;outliers!$J$7),"Outlier","Normal")</f>
        <v>Normal</v>
      </c>
      <c r="U578" s="8" t="str">
        <f>IF(OR(M578&lt;outliers!$K$6,M578&gt;outliers!$K$7),"Outlier","Normal")</f>
        <v>Normal</v>
      </c>
    </row>
    <row r="579" spans="1:21">
      <c r="A579" s="21">
        <v>578</v>
      </c>
      <c r="B579" s="68">
        <v>40569</v>
      </c>
      <c r="C579" s="22" t="b">
        <v>0</v>
      </c>
      <c r="D579" s="21" t="str">
        <f t="shared" ref="D579:D642" si="9">TEXT(B579,"dddd")</f>
        <v>Wednesday</v>
      </c>
      <c r="E579" s="23">
        <v>0.21210000000000001</v>
      </c>
      <c r="F579" s="23">
        <f>YEAR('Merged raw data'!$B579)</f>
        <v>2011</v>
      </c>
      <c r="G579" s="23" t="str">
        <f>TEXT('Merged raw data'!$B579,"mmmm")</f>
        <v>January</v>
      </c>
      <c r="H579" s="37" t="str">
        <f>TEXT(TIME('Merged raw data'!F579,0,0),"h AM/PM")</f>
        <v>8 AM</v>
      </c>
      <c r="I579" s="23" t="str">
        <f>IF(OR('Merged raw data'!H579=1,'Merged raw data'!H579=2,'Merged raw data'!H579=3,'Merged raw data'!H579=4,'Merged raw data'!H579=5),"weekday","weekend")</f>
        <v>weekday</v>
      </c>
      <c r="J579" s="23" t="s">
        <v>23</v>
      </c>
      <c r="K579" s="23" t="str">
        <f>IF('Merged raw data'!I579=1,"Clear",IF('Merged raw data'!I579=2,"Mist",IF('Merged raw data'!I579=3,"Rain",IF('Merged raw data'!I579=4,"Storm","NA"))))</f>
        <v>Rain</v>
      </c>
      <c r="L579" s="24">
        <v>0.87</v>
      </c>
      <c r="M579" s="24">
        <v>0.29849999999999999</v>
      </c>
      <c r="N579" s="21">
        <f>'Merged raw data'!$J579*100</f>
        <v>22</v>
      </c>
      <c r="O579" s="21">
        <v>3</v>
      </c>
      <c r="P579" s="21">
        <v>69</v>
      </c>
      <c r="Q579" s="21">
        <v>72</v>
      </c>
      <c r="R579" s="21" t="str">
        <f>IF(Q579&gt;=outliers!I581,"High",IF(Q579&lt;=outliers!I580,"Low","Moderate"))</f>
        <v>High</v>
      </c>
      <c r="S579" s="8" t="str">
        <f>IF(OR(Q579&lt;outliers!$I$6,Q579&gt;outliers!$I$7),"Outlier","Normal")</f>
        <v>Normal</v>
      </c>
      <c r="T579" s="8" t="str">
        <f>IF(OR(L579&lt;outliers!$J$6,L579&gt;outliers!$J$7),"Outlier","Normal")</f>
        <v>Normal</v>
      </c>
      <c r="U579" s="8" t="str">
        <f>IF(OR(M579&lt;outliers!$K$6,M579&gt;outliers!$K$7),"Outlier","Normal")</f>
        <v>Normal</v>
      </c>
    </row>
    <row r="580" spans="1:21">
      <c r="A580" s="21">
        <v>579</v>
      </c>
      <c r="B580" s="68">
        <v>40569</v>
      </c>
      <c r="C580" s="22" t="b">
        <v>0</v>
      </c>
      <c r="D580" s="21" t="str">
        <f t="shared" si="9"/>
        <v>Wednesday</v>
      </c>
      <c r="E580" s="23">
        <v>0.21210000000000001</v>
      </c>
      <c r="F580" s="23">
        <f>YEAR('Merged raw data'!$B580)</f>
        <v>2011</v>
      </c>
      <c r="G580" s="23" t="str">
        <f>TEXT('Merged raw data'!$B580,"mmmm")</f>
        <v>January</v>
      </c>
      <c r="H580" s="37" t="str">
        <f>TEXT(TIME('Merged raw data'!F580,0,0),"h AM/PM")</f>
        <v>9 AM</v>
      </c>
      <c r="I580" s="23" t="str">
        <f>IF(OR('Merged raw data'!H580=1,'Merged raw data'!H580=2,'Merged raw data'!H580=3,'Merged raw data'!H580=4,'Merged raw data'!H580=5),"weekday","weekend")</f>
        <v>weekday</v>
      </c>
      <c r="J580" s="23" t="s">
        <v>23</v>
      </c>
      <c r="K580" s="23" t="str">
        <f>IF('Merged raw data'!I580=1,"Clear",IF('Merged raw data'!I580=2,"Mist",IF('Merged raw data'!I580=3,"Rain",IF('Merged raw data'!I580=4,"Storm","NA"))))</f>
        <v>Rain</v>
      </c>
      <c r="L580" s="24">
        <v>0.87</v>
      </c>
      <c r="M580" s="24">
        <v>0.29849999999999999</v>
      </c>
      <c r="N580" s="21">
        <f>'Merged raw data'!$J580*100</f>
        <v>22</v>
      </c>
      <c r="O580" s="21">
        <v>3</v>
      </c>
      <c r="P580" s="21">
        <v>55</v>
      </c>
      <c r="Q580" s="21">
        <v>58</v>
      </c>
      <c r="R580" s="21" t="str">
        <f>IF(Q580&gt;=outliers!I582,"High",IF(Q580&lt;=outliers!I581,"Low","Moderate"))</f>
        <v>High</v>
      </c>
      <c r="S580" s="8" t="str">
        <f>IF(OR(Q580&lt;outliers!$I$6,Q580&gt;outliers!$I$7),"Outlier","Normal")</f>
        <v>Normal</v>
      </c>
      <c r="T580" s="8" t="str">
        <f>IF(OR(L580&lt;outliers!$J$6,L580&gt;outliers!$J$7),"Outlier","Normal")</f>
        <v>Normal</v>
      </c>
      <c r="U580" s="8" t="str">
        <f>IF(OR(M580&lt;outliers!$K$6,M580&gt;outliers!$K$7),"Outlier","Normal")</f>
        <v>Normal</v>
      </c>
    </row>
    <row r="581" spans="1:21">
      <c r="A581" s="21">
        <v>580</v>
      </c>
      <c r="B581" s="68">
        <v>40569</v>
      </c>
      <c r="C581" s="22" t="b">
        <v>0</v>
      </c>
      <c r="D581" s="21" t="str">
        <f t="shared" si="9"/>
        <v>Wednesday</v>
      </c>
      <c r="E581" s="23">
        <v>0.21210000000000001</v>
      </c>
      <c r="F581" s="23">
        <f>YEAR('Merged raw data'!$B581)</f>
        <v>2011</v>
      </c>
      <c r="G581" s="23" t="str">
        <f>TEXT('Merged raw data'!$B581,"mmmm")</f>
        <v>January</v>
      </c>
      <c r="H581" s="37" t="str">
        <f>TEXT(TIME('Merged raw data'!F581,0,0),"h AM/PM")</f>
        <v>10 AM</v>
      </c>
      <c r="I581" s="23" t="str">
        <f>IF(OR('Merged raw data'!H581=1,'Merged raw data'!H581=2,'Merged raw data'!H581=3,'Merged raw data'!H581=4,'Merged raw data'!H581=5),"weekday","weekend")</f>
        <v>weekday</v>
      </c>
      <c r="J581" s="23" t="s">
        <v>23</v>
      </c>
      <c r="K581" s="23" t="str">
        <f>IF('Merged raw data'!I581=1,"Clear",IF('Merged raw data'!I581=2,"Mist",IF('Merged raw data'!I581=3,"Rain",IF('Merged raw data'!I581=4,"Storm","NA"))))</f>
        <v>Rain</v>
      </c>
      <c r="L581" s="24">
        <v>0.93</v>
      </c>
      <c r="M581" s="24">
        <v>0.28360000000000002</v>
      </c>
      <c r="N581" s="21">
        <f>'Merged raw data'!$J581*100</f>
        <v>22</v>
      </c>
      <c r="O581" s="21">
        <v>2</v>
      </c>
      <c r="P581" s="21">
        <v>26</v>
      </c>
      <c r="Q581" s="21">
        <v>28</v>
      </c>
      <c r="R581" s="21" t="str">
        <f>IF(Q581&gt;=outliers!I583,"High",IF(Q581&lt;=outliers!I582,"Low","Moderate"))</f>
        <v>High</v>
      </c>
      <c r="S581" s="8" t="str">
        <f>IF(OR(Q581&lt;outliers!$I$6,Q581&gt;outliers!$I$7),"Outlier","Normal")</f>
        <v>Normal</v>
      </c>
      <c r="T581" s="8" t="str">
        <f>IF(OR(L581&lt;outliers!$J$6,L581&gt;outliers!$J$7),"Outlier","Normal")</f>
        <v>Normal</v>
      </c>
      <c r="U581" s="8" t="str">
        <f>IF(OR(M581&lt;outliers!$K$6,M581&gt;outliers!$K$7),"Outlier","Normal")</f>
        <v>Normal</v>
      </c>
    </row>
    <row r="582" spans="1:21">
      <c r="A582" s="21">
        <v>581</v>
      </c>
      <c r="B582" s="68">
        <v>40569</v>
      </c>
      <c r="C582" s="22" t="b">
        <v>0</v>
      </c>
      <c r="D582" s="21" t="str">
        <f t="shared" si="9"/>
        <v>Wednesday</v>
      </c>
      <c r="E582" s="23">
        <v>0.19700000000000001</v>
      </c>
      <c r="F582" s="23">
        <f>YEAR('Merged raw data'!$B582)</f>
        <v>2011</v>
      </c>
      <c r="G582" s="23" t="str">
        <f>TEXT('Merged raw data'!$B582,"mmmm")</f>
        <v>January</v>
      </c>
      <c r="H582" s="37" t="str">
        <f>TEXT(TIME('Merged raw data'!F582,0,0),"h AM/PM")</f>
        <v>11 AM</v>
      </c>
      <c r="I582" s="23" t="str">
        <f>IF(OR('Merged raw data'!H582=1,'Merged raw data'!H582=2,'Merged raw data'!H582=3,'Merged raw data'!H582=4,'Merged raw data'!H582=5),"weekday","weekend")</f>
        <v>weekday</v>
      </c>
      <c r="J582" s="23" t="s">
        <v>23</v>
      </c>
      <c r="K582" s="23" t="str">
        <f>IF('Merged raw data'!I582=1,"Clear",IF('Merged raw data'!I582=2,"Mist",IF('Merged raw data'!I582=3,"Rain",IF('Merged raw data'!I582=4,"Storm","NA"))))</f>
        <v>Rain</v>
      </c>
      <c r="L582" s="24">
        <v>0.93</v>
      </c>
      <c r="M582" s="24">
        <v>0.32840000000000003</v>
      </c>
      <c r="N582" s="21">
        <f>'Merged raw data'!$J582*100</f>
        <v>22</v>
      </c>
      <c r="O582" s="21">
        <v>6</v>
      </c>
      <c r="P582" s="21">
        <v>35</v>
      </c>
      <c r="Q582" s="21">
        <v>41</v>
      </c>
      <c r="R582" s="21" t="str">
        <f>IF(Q582&gt;=outliers!I584,"High",IF(Q582&lt;=outliers!I583,"Low","Moderate"))</f>
        <v>High</v>
      </c>
      <c r="S582" s="8" t="str">
        <f>IF(OR(Q582&lt;outliers!$I$6,Q582&gt;outliers!$I$7),"Outlier","Normal")</f>
        <v>Normal</v>
      </c>
      <c r="T582" s="8" t="str">
        <f>IF(OR(L582&lt;outliers!$J$6,L582&gt;outliers!$J$7),"Outlier","Normal")</f>
        <v>Normal</v>
      </c>
      <c r="U582" s="8" t="str">
        <f>IF(OR(M582&lt;outliers!$K$6,M582&gt;outliers!$K$7),"Outlier","Normal")</f>
        <v>Normal</v>
      </c>
    </row>
    <row r="583" spans="1:21">
      <c r="A583" s="21">
        <v>582</v>
      </c>
      <c r="B583" s="68">
        <v>40569</v>
      </c>
      <c r="C583" s="22" t="b">
        <v>0</v>
      </c>
      <c r="D583" s="21" t="str">
        <f t="shared" si="9"/>
        <v>Wednesday</v>
      </c>
      <c r="E583" s="23">
        <v>0.19700000000000001</v>
      </c>
      <c r="F583" s="23">
        <f>YEAR('Merged raw data'!$B583)</f>
        <v>2011</v>
      </c>
      <c r="G583" s="23" t="str">
        <f>TEXT('Merged raw data'!$B583,"mmmm")</f>
        <v>January</v>
      </c>
      <c r="H583" s="37" t="str">
        <f>TEXT(TIME('Merged raw data'!F583,0,0),"h AM/PM")</f>
        <v>12 PM</v>
      </c>
      <c r="I583" s="23" t="str">
        <f>IF(OR('Merged raw data'!H583=1,'Merged raw data'!H583=2,'Merged raw data'!H583=3,'Merged raw data'!H583=4,'Merged raw data'!H583=5),"weekday","weekend")</f>
        <v>weekday</v>
      </c>
      <c r="J583" s="23" t="s">
        <v>23</v>
      </c>
      <c r="K583" s="23" t="str">
        <f>IF('Merged raw data'!I583=1,"Clear",IF('Merged raw data'!I583=2,"Mist",IF('Merged raw data'!I583=3,"Rain",IF('Merged raw data'!I583=4,"Storm","NA"))))</f>
        <v>Rain</v>
      </c>
      <c r="L583" s="24">
        <v>0.93</v>
      </c>
      <c r="M583" s="24">
        <v>0.32840000000000003</v>
      </c>
      <c r="N583" s="21">
        <f>'Merged raw data'!$J583*100</f>
        <v>22</v>
      </c>
      <c r="O583" s="21">
        <v>7</v>
      </c>
      <c r="P583" s="21">
        <v>41</v>
      </c>
      <c r="Q583" s="21">
        <v>48</v>
      </c>
      <c r="R583" s="21" t="str">
        <f>IF(Q583&gt;=outliers!I585,"High",IF(Q583&lt;=outliers!I584,"Low","Moderate"))</f>
        <v>High</v>
      </c>
      <c r="S583" s="8" t="str">
        <f>IF(OR(Q583&lt;outliers!$I$6,Q583&gt;outliers!$I$7),"Outlier","Normal")</f>
        <v>Normal</v>
      </c>
      <c r="T583" s="8" t="str">
        <f>IF(OR(L583&lt;outliers!$J$6,L583&gt;outliers!$J$7),"Outlier","Normal")</f>
        <v>Normal</v>
      </c>
      <c r="U583" s="8" t="str">
        <f>IF(OR(M583&lt;outliers!$K$6,M583&gt;outliers!$K$7),"Outlier","Normal")</f>
        <v>Normal</v>
      </c>
    </row>
    <row r="584" spans="1:21">
      <c r="A584" s="21">
        <v>583</v>
      </c>
      <c r="B584" s="68">
        <v>40569</v>
      </c>
      <c r="C584" s="22" t="b">
        <v>0</v>
      </c>
      <c r="D584" s="21" t="str">
        <f t="shared" si="9"/>
        <v>Wednesday</v>
      </c>
      <c r="E584" s="23">
        <v>0.19700000000000001</v>
      </c>
      <c r="F584" s="23">
        <f>YEAR('Merged raw data'!$B584)</f>
        <v>2011</v>
      </c>
      <c r="G584" s="23" t="str">
        <f>TEXT('Merged raw data'!$B584,"mmmm")</f>
        <v>January</v>
      </c>
      <c r="H584" s="37" t="str">
        <f>TEXT(TIME('Merged raw data'!F584,0,0),"h AM/PM")</f>
        <v>1 PM</v>
      </c>
      <c r="I584" s="23" t="str">
        <f>IF(OR('Merged raw data'!H584=1,'Merged raw data'!H584=2,'Merged raw data'!H584=3,'Merged raw data'!H584=4,'Merged raw data'!H584=5),"weekday","weekend")</f>
        <v>weekday</v>
      </c>
      <c r="J584" s="23" t="s">
        <v>23</v>
      </c>
      <c r="K584" s="23" t="str">
        <f>IF('Merged raw data'!I584=1,"Clear",IF('Merged raw data'!I584=2,"Mist",IF('Merged raw data'!I584=3,"Rain",IF('Merged raw data'!I584=4,"Storm","NA"))))</f>
        <v>Rain</v>
      </c>
      <c r="L584" s="24">
        <v>0.93</v>
      </c>
      <c r="M584" s="24">
        <v>0.32840000000000003</v>
      </c>
      <c r="N584" s="21">
        <f>'Merged raw data'!$J584*100</f>
        <v>22</v>
      </c>
      <c r="O584" s="21">
        <v>4</v>
      </c>
      <c r="P584" s="21">
        <v>43</v>
      </c>
      <c r="Q584" s="21">
        <v>47</v>
      </c>
      <c r="R584" s="21" t="str">
        <f>IF(Q584&gt;=outliers!I586,"High",IF(Q584&lt;=outliers!I585,"Low","Moderate"))</f>
        <v>High</v>
      </c>
      <c r="S584" s="8" t="str">
        <f>IF(OR(Q584&lt;outliers!$I$6,Q584&gt;outliers!$I$7),"Outlier","Normal")</f>
        <v>Normal</v>
      </c>
      <c r="T584" s="8" t="str">
        <f>IF(OR(L584&lt;outliers!$J$6,L584&gt;outliers!$J$7),"Outlier","Normal")</f>
        <v>Normal</v>
      </c>
      <c r="U584" s="8" t="str">
        <f>IF(OR(M584&lt;outliers!$K$6,M584&gt;outliers!$K$7),"Outlier","Normal")</f>
        <v>Normal</v>
      </c>
    </row>
    <row r="585" spans="1:21">
      <c r="A585" s="21">
        <v>584</v>
      </c>
      <c r="B585" s="68">
        <v>40569</v>
      </c>
      <c r="C585" s="22" t="b">
        <v>0</v>
      </c>
      <c r="D585" s="21" t="str">
        <f t="shared" si="9"/>
        <v>Wednesday</v>
      </c>
      <c r="E585" s="23">
        <v>0.19700000000000001</v>
      </c>
      <c r="F585" s="23">
        <f>YEAR('Merged raw data'!$B585)</f>
        <v>2011</v>
      </c>
      <c r="G585" s="23" t="str">
        <f>TEXT('Merged raw data'!$B585,"mmmm")</f>
        <v>January</v>
      </c>
      <c r="H585" s="37" t="str">
        <f>TEXT(TIME('Merged raw data'!F585,0,0),"h AM/PM")</f>
        <v>2 PM</v>
      </c>
      <c r="I585" s="23" t="str">
        <f>IF(OR('Merged raw data'!H585=1,'Merged raw data'!H585=2,'Merged raw data'!H585=3,'Merged raw data'!H585=4,'Merged raw data'!H585=5),"weekday","weekend")</f>
        <v>weekday</v>
      </c>
      <c r="J585" s="23" t="s">
        <v>23</v>
      </c>
      <c r="K585" s="23" t="str">
        <f>IF('Merged raw data'!I585=1,"Clear",IF('Merged raw data'!I585=2,"Mist",IF('Merged raw data'!I585=3,"Rain",IF('Merged raw data'!I585=4,"Storm","NA"))))</f>
        <v>Rain</v>
      </c>
      <c r="L585" s="24">
        <v>0.93</v>
      </c>
      <c r="M585" s="24">
        <v>0.35820000000000002</v>
      </c>
      <c r="N585" s="21">
        <f>'Merged raw data'!$J585*100</f>
        <v>22</v>
      </c>
      <c r="O585" s="21">
        <v>0</v>
      </c>
      <c r="P585" s="21">
        <v>36</v>
      </c>
      <c r="Q585" s="21">
        <v>36</v>
      </c>
      <c r="R585" s="21" t="str">
        <f>IF(Q585&gt;=outliers!I587,"High",IF(Q585&lt;=outliers!I586,"Low","Moderate"))</f>
        <v>High</v>
      </c>
      <c r="S585" s="8" t="str">
        <f>IF(OR(Q585&lt;outliers!$I$6,Q585&gt;outliers!$I$7),"Outlier","Normal")</f>
        <v>Normal</v>
      </c>
      <c r="T585" s="8" t="str">
        <f>IF(OR(L585&lt;outliers!$J$6,L585&gt;outliers!$J$7),"Outlier","Normal")</f>
        <v>Normal</v>
      </c>
      <c r="U585" s="8" t="str">
        <f>IF(OR(M585&lt;outliers!$K$6,M585&gt;outliers!$K$7),"Outlier","Normal")</f>
        <v>Normal</v>
      </c>
    </row>
    <row r="586" spans="1:21">
      <c r="A586" s="21">
        <v>585</v>
      </c>
      <c r="B586" s="68">
        <v>40569</v>
      </c>
      <c r="C586" s="22" t="b">
        <v>0</v>
      </c>
      <c r="D586" s="21" t="str">
        <f t="shared" si="9"/>
        <v>Wednesday</v>
      </c>
      <c r="E586" s="23">
        <v>0.18179999999999999</v>
      </c>
      <c r="F586" s="23">
        <f>YEAR('Merged raw data'!$B586)</f>
        <v>2011</v>
      </c>
      <c r="G586" s="23" t="str">
        <f>TEXT('Merged raw data'!$B586,"mmmm")</f>
        <v>January</v>
      </c>
      <c r="H586" s="37" t="str">
        <f>TEXT(TIME('Merged raw data'!F586,0,0),"h AM/PM")</f>
        <v>3 PM</v>
      </c>
      <c r="I586" s="23" t="str">
        <f>IF(OR('Merged raw data'!H586=1,'Merged raw data'!H586=2,'Merged raw data'!H586=3,'Merged raw data'!H586=4,'Merged raw data'!H586=5),"weekday","weekend")</f>
        <v>weekday</v>
      </c>
      <c r="J586" s="23" t="s">
        <v>23</v>
      </c>
      <c r="K586" s="23" t="str">
        <f>IF('Merged raw data'!I586=1,"Clear",IF('Merged raw data'!I586=2,"Mist",IF('Merged raw data'!I586=3,"Rain",IF('Merged raw data'!I586=4,"Storm","NA"))))</f>
        <v>Rain</v>
      </c>
      <c r="L586" s="24">
        <v>0.93</v>
      </c>
      <c r="M586" s="24">
        <v>0.4627</v>
      </c>
      <c r="N586" s="21">
        <f>'Merged raw data'!$J586*100</f>
        <v>22</v>
      </c>
      <c r="O586" s="21">
        <v>1</v>
      </c>
      <c r="P586" s="21">
        <v>42</v>
      </c>
      <c r="Q586" s="21">
        <v>43</v>
      </c>
      <c r="R586" s="21" t="str">
        <f>IF(Q586&gt;=outliers!I588,"High",IF(Q586&lt;=outliers!I587,"Low","Moderate"))</f>
        <v>High</v>
      </c>
      <c r="S586" s="8" t="str">
        <f>IF(OR(Q586&lt;outliers!$I$6,Q586&gt;outliers!$I$7),"Outlier","Normal")</f>
        <v>Normal</v>
      </c>
      <c r="T586" s="8" t="str">
        <f>IF(OR(L586&lt;outliers!$J$6,L586&gt;outliers!$J$7),"Outlier","Normal")</f>
        <v>Normal</v>
      </c>
      <c r="U586" s="8" t="str">
        <f>IF(OR(M586&lt;outliers!$K$6,M586&gt;outliers!$K$7),"Outlier","Normal")</f>
        <v>Normal</v>
      </c>
    </row>
    <row r="587" spans="1:21">
      <c r="A587" s="21">
        <v>586</v>
      </c>
      <c r="B587" s="68">
        <v>40569</v>
      </c>
      <c r="C587" s="22" t="b">
        <v>0</v>
      </c>
      <c r="D587" s="21" t="str">
        <f t="shared" si="9"/>
        <v>Wednesday</v>
      </c>
      <c r="E587" s="23">
        <v>0.19700000000000001</v>
      </c>
      <c r="F587" s="23">
        <f>YEAR('Merged raw data'!$B587)</f>
        <v>2011</v>
      </c>
      <c r="G587" s="23" t="str">
        <f>TEXT('Merged raw data'!$B587,"mmmm")</f>
        <v>January</v>
      </c>
      <c r="H587" s="37" t="str">
        <f>TEXT(TIME('Merged raw data'!F587,0,0),"h AM/PM")</f>
        <v>4 PM</v>
      </c>
      <c r="I587" s="23" t="str">
        <f>IF(OR('Merged raw data'!H587=1,'Merged raw data'!H587=2,'Merged raw data'!H587=3,'Merged raw data'!H587=4,'Merged raw data'!H587=5),"weekday","weekend")</f>
        <v>weekday</v>
      </c>
      <c r="J587" s="23" t="s">
        <v>23</v>
      </c>
      <c r="K587" s="23" t="str">
        <f>IF('Merged raw data'!I587=1,"Clear",IF('Merged raw data'!I587=2,"Mist",IF('Merged raw data'!I587=3,"Rain",IF('Merged raw data'!I587=4,"Storm","NA"))))</f>
        <v>Storm</v>
      </c>
      <c r="L587" s="24">
        <v>0.93</v>
      </c>
      <c r="M587" s="24">
        <v>0.32840000000000003</v>
      </c>
      <c r="N587" s="21">
        <f>'Merged raw data'!$J587*100</f>
        <v>22</v>
      </c>
      <c r="O587" s="21">
        <v>1</v>
      </c>
      <c r="P587" s="21">
        <v>35</v>
      </c>
      <c r="Q587" s="21">
        <v>36</v>
      </c>
      <c r="R587" s="21" t="str">
        <f>IF(Q587&gt;=outliers!I589,"High",IF(Q587&lt;=outliers!I588,"Low","Moderate"))</f>
        <v>High</v>
      </c>
      <c r="S587" s="8" t="str">
        <f>IF(OR(Q587&lt;outliers!$I$6,Q587&gt;outliers!$I$7),"Outlier","Normal")</f>
        <v>Normal</v>
      </c>
      <c r="T587" s="8" t="str">
        <f>IF(OR(L587&lt;outliers!$J$6,L587&gt;outliers!$J$7),"Outlier","Normal")</f>
        <v>Normal</v>
      </c>
      <c r="U587" s="8" t="str">
        <f>IF(OR(M587&lt;outliers!$K$6,M587&gt;outliers!$K$7),"Outlier","Normal")</f>
        <v>Normal</v>
      </c>
    </row>
    <row r="588" spans="1:21">
      <c r="A588" s="21">
        <v>587</v>
      </c>
      <c r="B588" s="68">
        <v>40569</v>
      </c>
      <c r="C588" s="22" t="b">
        <v>0</v>
      </c>
      <c r="D588" s="21" t="str">
        <f t="shared" si="9"/>
        <v>Wednesday</v>
      </c>
      <c r="E588" s="23">
        <v>0.18179999999999999</v>
      </c>
      <c r="F588" s="23">
        <f>YEAR('Merged raw data'!$B588)</f>
        <v>2011</v>
      </c>
      <c r="G588" s="23" t="str">
        <f>TEXT('Merged raw data'!$B588,"mmmm")</f>
        <v>January</v>
      </c>
      <c r="H588" s="37" t="str">
        <f>TEXT(TIME('Merged raw data'!F588,0,0),"h AM/PM")</f>
        <v>5 PM</v>
      </c>
      <c r="I588" s="23" t="str">
        <f>IF(OR('Merged raw data'!H588=1,'Merged raw data'!H588=2,'Merged raw data'!H588=3,'Merged raw data'!H588=4,'Merged raw data'!H588=5),"weekday","weekend")</f>
        <v>weekday</v>
      </c>
      <c r="J588" s="23" t="s">
        <v>23</v>
      </c>
      <c r="K588" s="23" t="str">
        <f>IF('Merged raw data'!I588=1,"Clear",IF('Merged raw data'!I588=2,"Mist",IF('Merged raw data'!I588=3,"Rain",IF('Merged raw data'!I588=4,"Storm","NA"))))</f>
        <v>Rain</v>
      </c>
      <c r="L588" s="24">
        <v>0.93</v>
      </c>
      <c r="M588" s="24">
        <v>0.35820000000000002</v>
      </c>
      <c r="N588" s="21">
        <f>'Merged raw data'!$J588*100</f>
        <v>20</v>
      </c>
      <c r="O588" s="21">
        <v>0</v>
      </c>
      <c r="P588" s="21">
        <v>26</v>
      </c>
      <c r="Q588" s="21">
        <v>26</v>
      </c>
      <c r="R588" s="21" t="str">
        <f>IF(Q588&gt;=outliers!I590,"High",IF(Q588&lt;=outliers!I589,"Low","Moderate"))</f>
        <v>High</v>
      </c>
      <c r="S588" s="8" t="str">
        <f>IF(OR(Q588&lt;outliers!$I$6,Q588&gt;outliers!$I$7),"Outlier","Normal")</f>
        <v>Normal</v>
      </c>
      <c r="T588" s="8" t="str">
        <f>IF(OR(L588&lt;outliers!$J$6,L588&gt;outliers!$J$7),"Outlier","Normal")</f>
        <v>Normal</v>
      </c>
      <c r="U588" s="8" t="str">
        <f>IF(OR(M588&lt;outliers!$K$6,M588&gt;outliers!$K$7),"Outlier","Normal")</f>
        <v>Normal</v>
      </c>
    </row>
    <row r="589" spans="1:21">
      <c r="A589" s="21">
        <v>588</v>
      </c>
      <c r="B589" s="68">
        <v>40570</v>
      </c>
      <c r="C589" s="22" t="b">
        <v>0</v>
      </c>
      <c r="D589" s="21" t="str">
        <f t="shared" si="9"/>
        <v>Thursday</v>
      </c>
      <c r="E589" s="23">
        <v>0.2273</v>
      </c>
      <c r="F589" s="23">
        <f>YEAR('Merged raw data'!$B589)</f>
        <v>2011</v>
      </c>
      <c r="G589" s="23" t="str">
        <f>TEXT('Merged raw data'!$B589,"mmmm")</f>
        <v>January</v>
      </c>
      <c r="H589" s="37" t="str">
        <f>TEXT(TIME('Merged raw data'!F589,0,0),"h AM/PM")</f>
        <v>4 PM</v>
      </c>
      <c r="I589" s="23" t="str">
        <f>IF(OR('Merged raw data'!H589=1,'Merged raw data'!H589=2,'Merged raw data'!H589=3,'Merged raw data'!H589=4,'Merged raw data'!H589=5),"weekday","weekend")</f>
        <v>weekday</v>
      </c>
      <c r="J589" s="23" t="s">
        <v>23</v>
      </c>
      <c r="K589" s="23" t="str">
        <f>IF('Merged raw data'!I589=1,"Clear",IF('Merged raw data'!I589=2,"Mist",IF('Merged raw data'!I589=3,"Rain",IF('Merged raw data'!I589=4,"Storm","NA"))))</f>
        <v>Clear</v>
      </c>
      <c r="L589" s="24">
        <v>0.55000000000000004</v>
      </c>
      <c r="M589" s="24">
        <v>0.19400000000000001</v>
      </c>
      <c r="N589" s="21">
        <f>'Merged raw data'!$J589*100</f>
        <v>22</v>
      </c>
      <c r="O589" s="21">
        <v>1</v>
      </c>
      <c r="P589" s="21">
        <v>23</v>
      </c>
      <c r="Q589" s="21">
        <v>24</v>
      </c>
      <c r="R589" s="21" t="str">
        <f>IF(Q589&gt;=outliers!I591,"High",IF(Q589&lt;=outliers!I590,"Low","Moderate"))</f>
        <v>High</v>
      </c>
      <c r="S589" s="8" t="str">
        <f>IF(OR(Q589&lt;outliers!$I$6,Q589&gt;outliers!$I$7),"Outlier","Normal")</f>
        <v>Normal</v>
      </c>
      <c r="T589" s="8" t="str">
        <f>IF(OR(L589&lt;outliers!$J$6,L589&gt;outliers!$J$7),"Outlier","Normal")</f>
        <v>Normal</v>
      </c>
      <c r="U589" s="8" t="str">
        <f>IF(OR(M589&lt;outliers!$K$6,M589&gt;outliers!$K$7),"Outlier","Normal")</f>
        <v>Normal</v>
      </c>
    </row>
    <row r="590" spans="1:21">
      <c r="A590" s="21">
        <v>589</v>
      </c>
      <c r="B590" s="68">
        <v>40570</v>
      </c>
      <c r="C590" s="22" t="b">
        <v>0</v>
      </c>
      <c r="D590" s="21" t="str">
        <f t="shared" si="9"/>
        <v>Thursday</v>
      </c>
      <c r="E590" s="23">
        <v>0.2424</v>
      </c>
      <c r="F590" s="23">
        <f>YEAR('Merged raw data'!$B590)</f>
        <v>2011</v>
      </c>
      <c r="G590" s="23" t="str">
        <f>TEXT('Merged raw data'!$B590,"mmmm")</f>
        <v>January</v>
      </c>
      <c r="H590" s="37" t="str">
        <f>TEXT(TIME('Merged raw data'!F590,0,0),"h AM/PM")</f>
        <v>5 PM</v>
      </c>
      <c r="I590" s="23" t="str">
        <f>IF(OR('Merged raw data'!H590=1,'Merged raw data'!H590=2,'Merged raw data'!H590=3,'Merged raw data'!H590=4,'Merged raw data'!H590=5),"weekday","weekend")</f>
        <v>weekday</v>
      </c>
      <c r="J590" s="23" t="s">
        <v>23</v>
      </c>
      <c r="K590" s="23" t="str">
        <f>IF('Merged raw data'!I590=1,"Clear",IF('Merged raw data'!I590=2,"Mist",IF('Merged raw data'!I590=3,"Rain",IF('Merged raw data'!I590=4,"Storm","NA"))))</f>
        <v>Clear</v>
      </c>
      <c r="L590" s="24">
        <v>0.55000000000000004</v>
      </c>
      <c r="M590" s="24">
        <v>0.1045</v>
      </c>
      <c r="N590" s="21">
        <f>'Merged raw data'!$J590*100</f>
        <v>22</v>
      </c>
      <c r="O590" s="21">
        <v>2</v>
      </c>
      <c r="P590" s="21">
        <v>82</v>
      </c>
      <c r="Q590" s="21">
        <v>84</v>
      </c>
      <c r="R590" s="21" t="str">
        <f>IF(Q590&gt;=outliers!I592,"High",IF(Q590&lt;=outliers!I591,"Low","Moderate"))</f>
        <v>High</v>
      </c>
      <c r="S590" s="8" t="str">
        <f>IF(OR(Q590&lt;outliers!$I$6,Q590&gt;outliers!$I$7),"Outlier","Normal")</f>
        <v>Normal</v>
      </c>
      <c r="T590" s="8" t="str">
        <f>IF(OR(L590&lt;outliers!$J$6,L590&gt;outliers!$J$7),"Outlier","Normal")</f>
        <v>Normal</v>
      </c>
      <c r="U590" s="8" t="str">
        <f>IF(OR(M590&lt;outliers!$K$6,M590&gt;outliers!$K$7),"Outlier","Normal")</f>
        <v>Normal</v>
      </c>
    </row>
    <row r="591" spans="1:21">
      <c r="A591" s="21">
        <v>590</v>
      </c>
      <c r="B591" s="68">
        <v>40570</v>
      </c>
      <c r="C591" s="22" t="b">
        <v>0</v>
      </c>
      <c r="D591" s="21" t="str">
        <f t="shared" si="9"/>
        <v>Thursday</v>
      </c>
      <c r="E591" s="23">
        <v>0.2273</v>
      </c>
      <c r="F591" s="23">
        <f>YEAR('Merged raw data'!$B591)</f>
        <v>2011</v>
      </c>
      <c r="G591" s="23" t="str">
        <f>TEXT('Merged raw data'!$B591,"mmmm")</f>
        <v>January</v>
      </c>
      <c r="H591" s="37" t="str">
        <f>TEXT(TIME('Merged raw data'!F591,0,0),"h AM/PM")</f>
        <v>6 PM</v>
      </c>
      <c r="I591" s="23" t="str">
        <f>IF(OR('Merged raw data'!H591=1,'Merged raw data'!H591=2,'Merged raw data'!H591=3,'Merged raw data'!H591=4,'Merged raw data'!H591=5),"weekday","weekend")</f>
        <v>weekday</v>
      </c>
      <c r="J591" s="23" t="s">
        <v>23</v>
      </c>
      <c r="K591" s="23" t="str">
        <f>IF('Merged raw data'!I591=1,"Clear",IF('Merged raw data'!I591=2,"Mist",IF('Merged raw data'!I591=3,"Rain",IF('Merged raw data'!I591=4,"Storm","NA"))))</f>
        <v>Clear</v>
      </c>
      <c r="L591" s="24">
        <v>0.69</v>
      </c>
      <c r="M591" s="24">
        <v>8.9599999999999999E-2</v>
      </c>
      <c r="N591" s="21">
        <f>'Merged raw data'!$J591*100</f>
        <v>20</v>
      </c>
      <c r="O591" s="21">
        <v>3</v>
      </c>
      <c r="P591" s="21">
        <v>101</v>
      </c>
      <c r="Q591" s="21">
        <v>104</v>
      </c>
      <c r="R591" s="21" t="str">
        <f>IF(Q591&gt;=outliers!I593,"High",IF(Q591&lt;=outliers!I592,"Low","Moderate"))</f>
        <v>High</v>
      </c>
      <c r="S591" s="8" t="str">
        <f>IF(OR(Q591&lt;outliers!$I$6,Q591&gt;outliers!$I$7),"Outlier","Normal")</f>
        <v>Normal</v>
      </c>
      <c r="T591" s="8" t="str">
        <f>IF(OR(L591&lt;outliers!$J$6,L591&gt;outliers!$J$7),"Outlier","Normal")</f>
        <v>Normal</v>
      </c>
      <c r="U591" s="8" t="str">
        <f>IF(OR(M591&lt;outliers!$K$6,M591&gt;outliers!$K$7),"Outlier","Normal")</f>
        <v>Normal</v>
      </c>
    </row>
    <row r="592" spans="1:21">
      <c r="A592" s="21">
        <v>591</v>
      </c>
      <c r="B592" s="68">
        <v>40570</v>
      </c>
      <c r="C592" s="22" t="b">
        <v>0</v>
      </c>
      <c r="D592" s="21" t="str">
        <f t="shared" si="9"/>
        <v>Thursday</v>
      </c>
      <c r="E592" s="23">
        <v>0.2273</v>
      </c>
      <c r="F592" s="23">
        <f>YEAR('Merged raw data'!$B592)</f>
        <v>2011</v>
      </c>
      <c r="G592" s="23" t="str">
        <f>TEXT('Merged raw data'!$B592,"mmmm")</f>
        <v>January</v>
      </c>
      <c r="H592" s="37" t="str">
        <f>TEXT(TIME('Merged raw data'!F592,0,0),"h AM/PM")</f>
        <v>7 PM</v>
      </c>
      <c r="I592" s="23" t="str">
        <f>IF(OR('Merged raw data'!H592=1,'Merged raw data'!H592=2,'Merged raw data'!H592=3,'Merged raw data'!H592=4,'Merged raw data'!H592=5),"weekday","weekend")</f>
        <v>weekday</v>
      </c>
      <c r="J592" s="23" t="s">
        <v>23</v>
      </c>
      <c r="K592" s="23" t="str">
        <f>IF('Merged raw data'!I592=1,"Clear",IF('Merged raw data'!I592=2,"Mist",IF('Merged raw data'!I592=3,"Rain",IF('Merged raw data'!I592=4,"Storm","NA"))))</f>
        <v>Clear</v>
      </c>
      <c r="L592" s="24">
        <v>0.69</v>
      </c>
      <c r="M592" s="24">
        <v>8.9599999999999999E-2</v>
      </c>
      <c r="N592" s="21">
        <f>'Merged raw data'!$J592*100</f>
        <v>20</v>
      </c>
      <c r="O592" s="21">
        <v>3</v>
      </c>
      <c r="P592" s="21">
        <v>76</v>
      </c>
      <c r="Q592" s="21">
        <v>79</v>
      </c>
      <c r="R592" s="21" t="str">
        <f>IF(Q592&gt;=outliers!I594,"High",IF(Q592&lt;=outliers!I593,"Low","Moderate"))</f>
        <v>High</v>
      </c>
      <c r="S592" s="8" t="str">
        <f>IF(OR(Q592&lt;outliers!$I$6,Q592&gt;outliers!$I$7),"Outlier","Normal")</f>
        <v>Normal</v>
      </c>
      <c r="T592" s="8" t="str">
        <f>IF(OR(L592&lt;outliers!$J$6,L592&gt;outliers!$J$7),"Outlier","Normal")</f>
        <v>Normal</v>
      </c>
      <c r="U592" s="8" t="str">
        <f>IF(OR(M592&lt;outliers!$K$6,M592&gt;outliers!$K$7),"Outlier","Normal")</f>
        <v>Normal</v>
      </c>
    </row>
    <row r="593" spans="1:21">
      <c r="A593" s="21">
        <v>592</v>
      </c>
      <c r="B593" s="68">
        <v>40570</v>
      </c>
      <c r="C593" s="22" t="b">
        <v>0</v>
      </c>
      <c r="D593" s="21" t="str">
        <f t="shared" si="9"/>
        <v>Thursday</v>
      </c>
      <c r="E593" s="23">
        <v>0.21210000000000001</v>
      </c>
      <c r="F593" s="23">
        <f>YEAR('Merged raw data'!$B593)</f>
        <v>2011</v>
      </c>
      <c r="G593" s="23" t="str">
        <f>TEXT('Merged raw data'!$B593,"mmmm")</f>
        <v>January</v>
      </c>
      <c r="H593" s="37" t="str">
        <f>TEXT(TIME('Merged raw data'!F593,0,0),"h AM/PM")</f>
        <v>8 PM</v>
      </c>
      <c r="I593" s="23" t="str">
        <f>IF(OR('Merged raw data'!H593=1,'Merged raw data'!H593=2,'Merged raw data'!H593=3,'Merged raw data'!H593=4,'Merged raw data'!H593=5),"weekday","weekend")</f>
        <v>weekday</v>
      </c>
      <c r="J593" s="23" t="s">
        <v>23</v>
      </c>
      <c r="K593" s="23" t="str">
        <f>IF('Merged raw data'!I593=1,"Clear",IF('Merged raw data'!I593=2,"Mist",IF('Merged raw data'!I593=3,"Rain",IF('Merged raw data'!I593=4,"Storm","NA"))))</f>
        <v>Clear</v>
      </c>
      <c r="L593" s="24">
        <v>0.74</v>
      </c>
      <c r="M593" s="24">
        <v>8.9599999999999999E-2</v>
      </c>
      <c r="N593" s="21">
        <f>'Merged raw data'!$J593*100</f>
        <v>18</v>
      </c>
      <c r="O593" s="21">
        <v>4</v>
      </c>
      <c r="P593" s="21">
        <v>55</v>
      </c>
      <c r="Q593" s="21">
        <v>59</v>
      </c>
      <c r="R593" s="21" t="str">
        <f>IF(Q593&gt;=outliers!I595,"High",IF(Q593&lt;=outliers!I594,"Low","Moderate"))</f>
        <v>High</v>
      </c>
      <c r="S593" s="8" t="str">
        <f>IF(OR(Q593&lt;outliers!$I$6,Q593&gt;outliers!$I$7),"Outlier","Normal")</f>
        <v>Normal</v>
      </c>
      <c r="T593" s="8" t="str">
        <f>IF(OR(L593&lt;outliers!$J$6,L593&gt;outliers!$J$7),"Outlier","Normal")</f>
        <v>Normal</v>
      </c>
      <c r="U593" s="8" t="str">
        <f>IF(OR(M593&lt;outliers!$K$6,M593&gt;outliers!$K$7),"Outlier","Normal")</f>
        <v>Normal</v>
      </c>
    </row>
    <row r="594" spans="1:21">
      <c r="A594" s="21">
        <v>593</v>
      </c>
      <c r="B594" s="68">
        <v>40570</v>
      </c>
      <c r="C594" s="22" t="b">
        <v>0</v>
      </c>
      <c r="D594" s="21" t="str">
        <f t="shared" si="9"/>
        <v>Thursday</v>
      </c>
      <c r="E594" s="23">
        <v>0.21210000000000001</v>
      </c>
      <c r="F594" s="23">
        <f>YEAR('Merged raw data'!$B594)</f>
        <v>2011</v>
      </c>
      <c r="G594" s="23" t="str">
        <f>TEXT('Merged raw data'!$B594,"mmmm")</f>
        <v>January</v>
      </c>
      <c r="H594" s="37" t="str">
        <f>TEXT(TIME('Merged raw data'!F594,0,0),"h AM/PM")</f>
        <v>9 PM</v>
      </c>
      <c r="I594" s="23" t="str">
        <f>IF(OR('Merged raw data'!H594=1,'Merged raw data'!H594=2,'Merged raw data'!H594=3,'Merged raw data'!H594=4,'Merged raw data'!H594=5),"weekday","weekend")</f>
        <v>weekday</v>
      </c>
      <c r="J594" s="23" t="s">
        <v>23</v>
      </c>
      <c r="K594" s="23" t="str">
        <f>IF('Merged raw data'!I594=1,"Clear",IF('Merged raw data'!I594=2,"Mist",IF('Merged raw data'!I594=3,"Rain",IF('Merged raw data'!I594=4,"Storm","NA"))))</f>
        <v>Clear</v>
      </c>
      <c r="L594" s="24">
        <v>0.74</v>
      </c>
      <c r="M594" s="24">
        <v>8.9599999999999999E-2</v>
      </c>
      <c r="N594" s="21">
        <f>'Merged raw data'!$J594*100</f>
        <v>18</v>
      </c>
      <c r="O594" s="21">
        <v>2</v>
      </c>
      <c r="P594" s="21">
        <v>36</v>
      </c>
      <c r="Q594" s="21">
        <v>38</v>
      </c>
      <c r="R594" s="21" t="str">
        <f>IF(Q594&gt;=outliers!I596,"High",IF(Q594&lt;=outliers!I595,"Low","Moderate"))</f>
        <v>High</v>
      </c>
      <c r="S594" s="8" t="str">
        <f>IF(OR(Q594&lt;outliers!$I$6,Q594&gt;outliers!$I$7),"Outlier","Normal")</f>
        <v>Normal</v>
      </c>
      <c r="T594" s="8" t="str">
        <f>IF(OR(L594&lt;outliers!$J$6,L594&gt;outliers!$J$7),"Outlier","Normal")</f>
        <v>Normal</v>
      </c>
      <c r="U594" s="8" t="str">
        <f>IF(OR(M594&lt;outliers!$K$6,M594&gt;outliers!$K$7),"Outlier","Normal")</f>
        <v>Normal</v>
      </c>
    </row>
    <row r="595" spans="1:21">
      <c r="A595" s="21">
        <v>594</v>
      </c>
      <c r="B595" s="68">
        <v>40570</v>
      </c>
      <c r="C595" s="22" t="b">
        <v>0</v>
      </c>
      <c r="D595" s="21" t="str">
        <f t="shared" si="9"/>
        <v>Thursday</v>
      </c>
      <c r="E595" s="23">
        <v>0.21210000000000001</v>
      </c>
      <c r="F595" s="23">
        <f>YEAR('Merged raw data'!$B595)</f>
        <v>2011</v>
      </c>
      <c r="G595" s="23" t="str">
        <f>TEXT('Merged raw data'!$B595,"mmmm")</f>
        <v>January</v>
      </c>
      <c r="H595" s="37" t="str">
        <f>TEXT(TIME('Merged raw data'!F595,0,0),"h AM/PM")</f>
        <v>10 PM</v>
      </c>
      <c r="I595" s="23" t="str">
        <f>IF(OR('Merged raw data'!H595=1,'Merged raw data'!H595=2,'Merged raw data'!H595=3,'Merged raw data'!H595=4,'Merged raw data'!H595=5),"weekday","weekend")</f>
        <v>weekday</v>
      </c>
      <c r="J595" s="23" t="s">
        <v>23</v>
      </c>
      <c r="K595" s="23" t="str">
        <f>IF('Merged raw data'!I595=1,"Clear",IF('Merged raw data'!I595=2,"Mist",IF('Merged raw data'!I595=3,"Rain",IF('Merged raw data'!I595=4,"Storm","NA"))))</f>
        <v>Clear</v>
      </c>
      <c r="L595" s="24">
        <v>0.74</v>
      </c>
      <c r="M595" s="24">
        <v>8.9599999999999999E-2</v>
      </c>
      <c r="N595" s="21">
        <f>'Merged raw data'!$J595*100</f>
        <v>18</v>
      </c>
      <c r="O595" s="21">
        <v>0</v>
      </c>
      <c r="P595" s="21">
        <v>27</v>
      </c>
      <c r="Q595" s="21">
        <v>27</v>
      </c>
      <c r="R595" s="21" t="str">
        <f>IF(Q595&gt;=outliers!I597,"High",IF(Q595&lt;=outliers!I596,"Low","Moderate"))</f>
        <v>High</v>
      </c>
      <c r="S595" s="8" t="str">
        <f>IF(OR(Q595&lt;outliers!$I$6,Q595&gt;outliers!$I$7),"Outlier","Normal")</f>
        <v>Normal</v>
      </c>
      <c r="T595" s="8" t="str">
        <f>IF(OR(L595&lt;outliers!$J$6,L595&gt;outliers!$J$7),"Outlier","Normal")</f>
        <v>Normal</v>
      </c>
      <c r="U595" s="8" t="str">
        <f>IF(OR(M595&lt;outliers!$K$6,M595&gt;outliers!$K$7),"Outlier","Normal")</f>
        <v>Normal</v>
      </c>
    </row>
    <row r="596" spans="1:21">
      <c r="A596" s="21">
        <v>595</v>
      </c>
      <c r="B596" s="68">
        <v>40570</v>
      </c>
      <c r="C596" s="22" t="b">
        <v>0</v>
      </c>
      <c r="D596" s="21" t="str">
        <f t="shared" si="9"/>
        <v>Thursday</v>
      </c>
      <c r="E596" s="23">
        <v>0.19700000000000001</v>
      </c>
      <c r="F596" s="23">
        <f>YEAR('Merged raw data'!$B596)</f>
        <v>2011</v>
      </c>
      <c r="G596" s="23" t="str">
        <f>TEXT('Merged raw data'!$B596,"mmmm")</f>
        <v>January</v>
      </c>
      <c r="H596" s="37" t="str">
        <f>TEXT(TIME('Merged raw data'!F596,0,0),"h AM/PM")</f>
        <v>11 PM</v>
      </c>
      <c r="I596" s="23" t="str">
        <f>IF(OR('Merged raw data'!H596=1,'Merged raw data'!H596=2,'Merged raw data'!H596=3,'Merged raw data'!H596=4,'Merged raw data'!H596=5),"weekday","weekend")</f>
        <v>weekday</v>
      </c>
      <c r="J596" s="23" t="s">
        <v>23</v>
      </c>
      <c r="K596" s="23" t="str">
        <f>IF('Merged raw data'!I596=1,"Clear",IF('Merged raw data'!I596=2,"Mist",IF('Merged raw data'!I596=3,"Rain",IF('Merged raw data'!I596=4,"Storm","NA"))))</f>
        <v>Clear</v>
      </c>
      <c r="L596" s="24">
        <v>0.8</v>
      </c>
      <c r="M596" s="24">
        <v>0.16420000000000001</v>
      </c>
      <c r="N596" s="21">
        <f>'Merged raw data'!$J596*100</f>
        <v>18</v>
      </c>
      <c r="O596" s="21">
        <v>0</v>
      </c>
      <c r="P596" s="21">
        <v>16</v>
      </c>
      <c r="Q596" s="21">
        <v>16</v>
      </c>
      <c r="R596" s="21" t="str">
        <f>IF(Q596&gt;=outliers!I598,"High",IF(Q596&lt;=outliers!I597,"Low","Moderate"))</f>
        <v>High</v>
      </c>
      <c r="S596" s="8" t="str">
        <f>IF(OR(Q596&lt;outliers!$I$6,Q596&gt;outliers!$I$7),"Outlier","Normal")</f>
        <v>Normal</v>
      </c>
      <c r="T596" s="8" t="str">
        <f>IF(OR(L596&lt;outliers!$J$6,L596&gt;outliers!$J$7),"Outlier","Normal")</f>
        <v>Normal</v>
      </c>
      <c r="U596" s="8" t="str">
        <f>IF(OR(M596&lt;outliers!$K$6,M596&gt;outliers!$K$7),"Outlier","Normal")</f>
        <v>Normal</v>
      </c>
    </row>
    <row r="597" spans="1:21">
      <c r="A597" s="21">
        <v>596</v>
      </c>
      <c r="B597" s="68">
        <v>40571</v>
      </c>
      <c r="C597" s="22" t="b">
        <v>0</v>
      </c>
      <c r="D597" s="21" t="str">
        <f t="shared" si="9"/>
        <v>Friday</v>
      </c>
      <c r="E597" s="23">
        <v>0.21210000000000001</v>
      </c>
      <c r="F597" s="23">
        <f>YEAR('Merged raw data'!$B597)</f>
        <v>2011</v>
      </c>
      <c r="G597" s="23" t="str">
        <f>TEXT('Merged raw data'!$B597,"mmmm")</f>
        <v>January</v>
      </c>
      <c r="H597" s="37" t="str">
        <f>TEXT(TIME('Merged raw data'!F597,0,0),"h AM/PM")</f>
        <v>12 AM</v>
      </c>
      <c r="I597" s="23" t="str">
        <f>IF(OR('Merged raw data'!H597=1,'Merged raw data'!H597=2,'Merged raw data'!H597=3,'Merged raw data'!H597=4,'Merged raw data'!H597=5),"weekday","weekend")</f>
        <v>weekday</v>
      </c>
      <c r="J597" s="23" t="s">
        <v>23</v>
      </c>
      <c r="K597" s="23" t="str">
        <f>IF('Merged raw data'!I597=1,"Clear",IF('Merged raw data'!I597=2,"Mist",IF('Merged raw data'!I597=3,"Rain",IF('Merged raw data'!I597=4,"Storm","NA"))))</f>
        <v>Mist</v>
      </c>
      <c r="L597" s="24">
        <v>0.75</v>
      </c>
      <c r="M597" s="24">
        <v>0.1343</v>
      </c>
      <c r="N597" s="21">
        <f>'Merged raw data'!$J597*100</f>
        <v>20</v>
      </c>
      <c r="O597" s="21">
        <v>0</v>
      </c>
      <c r="P597" s="21">
        <v>9</v>
      </c>
      <c r="Q597" s="21">
        <v>9</v>
      </c>
      <c r="R597" s="21" t="str">
        <f>IF(Q597&gt;=outliers!I599,"High",IF(Q597&lt;=outliers!I598,"Low","Moderate"))</f>
        <v>High</v>
      </c>
      <c r="S597" s="8" t="str">
        <f>IF(OR(Q597&lt;outliers!$I$6,Q597&gt;outliers!$I$7),"Outlier","Normal")</f>
        <v>Normal</v>
      </c>
      <c r="T597" s="8" t="str">
        <f>IF(OR(L597&lt;outliers!$J$6,L597&gt;outliers!$J$7),"Outlier","Normal")</f>
        <v>Normal</v>
      </c>
      <c r="U597" s="8" t="str">
        <f>IF(OR(M597&lt;outliers!$K$6,M597&gt;outliers!$K$7),"Outlier","Normal")</f>
        <v>Normal</v>
      </c>
    </row>
    <row r="598" spans="1:21">
      <c r="A598" s="21">
        <v>597</v>
      </c>
      <c r="B598" s="68">
        <v>40571</v>
      </c>
      <c r="C598" s="22" t="b">
        <v>0</v>
      </c>
      <c r="D598" s="21" t="str">
        <f t="shared" si="9"/>
        <v>Friday</v>
      </c>
      <c r="E598" s="23">
        <v>0.21210000000000001</v>
      </c>
      <c r="F598" s="23">
        <f>YEAR('Merged raw data'!$B598)</f>
        <v>2011</v>
      </c>
      <c r="G598" s="23" t="str">
        <f>TEXT('Merged raw data'!$B598,"mmmm")</f>
        <v>January</v>
      </c>
      <c r="H598" s="37" t="str">
        <f>TEXT(TIME('Merged raw data'!F598,0,0),"h AM/PM")</f>
        <v>1 AM</v>
      </c>
      <c r="I598" s="23" t="str">
        <f>IF(OR('Merged raw data'!H598=1,'Merged raw data'!H598=2,'Merged raw data'!H598=3,'Merged raw data'!H598=4,'Merged raw data'!H598=5),"weekday","weekend")</f>
        <v>weekday</v>
      </c>
      <c r="J598" s="23" t="s">
        <v>23</v>
      </c>
      <c r="K598" s="23" t="str">
        <f>IF('Merged raw data'!I598=1,"Clear",IF('Merged raw data'!I598=2,"Mist",IF('Merged raw data'!I598=3,"Rain",IF('Merged raw data'!I598=4,"Storm","NA"))))</f>
        <v>Mist</v>
      </c>
      <c r="L598" s="24">
        <v>0.75</v>
      </c>
      <c r="M598" s="24">
        <v>0.1343</v>
      </c>
      <c r="N598" s="21">
        <f>'Merged raw data'!$J598*100</f>
        <v>20</v>
      </c>
      <c r="O598" s="21">
        <v>1</v>
      </c>
      <c r="P598" s="21">
        <v>2</v>
      </c>
      <c r="Q598" s="21">
        <v>3</v>
      </c>
      <c r="R598" s="21" t="str">
        <f>IF(Q598&gt;=outliers!I600,"High",IF(Q598&lt;=outliers!I599,"Low","Moderate"))</f>
        <v>High</v>
      </c>
      <c r="S598" s="8" t="str">
        <f>IF(OR(Q598&lt;outliers!$I$6,Q598&gt;outliers!$I$7),"Outlier","Normal")</f>
        <v>Normal</v>
      </c>
      <c r="T598" s="8" t="str">
        <f>IF(OR(L598&lt;outliers!$J$6,L598&gt;outliers!$J$7),"Outlier","Normal")</f>
        <v>Normal</v>
      </c>
      <c r="U598" s="8" t="str">
        <f>IF(OR(M598&lt;outliers!$K$6,M598&gt;outliers!$K$7),"Outlier","Normal")</f>
        <v>Normal</v>
      </c>
    </row>
    <row r="599" spans="1:21">
      <c r="A599" s="21">
        <v>598</v>
      </c>
      <c r="B599" s="68">
        <v>40571</v>
      </c>
      <c r="C599" s="22" t="b">
        <v>0</v>
      </c>
      <c r="D599" s="21" t="str">
        <f t="shared" si="9"/>
        <v>Friday</v>
      </c>
      <c r="E599" s="23">
        <v>0.21210000000000001</v>
      </c>
      <c r="F599" s="23">
        <f>YEAR('Merged raw data'!$B599)</f>
        <v>2011</v>
      </c>
      <c r="G599" s="23" t="str">
        <f>TEXT('Merged raw data'!$B599,"mmmm")</f>
        <v>January</v>
      </c>
      <c r="H599" s="37" t="str">
        <f>TEXT(TIME('Merged raw data'!F599,0,0),"h AM/PM")</f>
        <v>2 AM</v>
      </c>
      <c r="I599" s="23" t="str">
        <f>IF(OR('Merged raw data'!H599=1,'Merged raw data'!H599=2,'Merged raw data'!H599=3,'Merged raw data'!H599=4,'Merged raw data'!H599=5),"weekday","weekend")</f>
        <v>weekday</v>
      </c>
      <c r="J599" s="23" t="s">
        <v>23</v>
      </c>
      <c r="K599" s="23" t="str">
        <f>IF('Merged raw data'!I599=1,"Clear",IF('Merged raw data'!I599=2,"Mist",IF('Merged raw data'!I599=3,"Rain",IF('Merged raw data'!I599=4,"Storm","NA"))))</f>
        <v>Mist</v>
      </c>
      <c r="L599" s="24">
        <v>0.75</v>
      </c>
      <c r="M599" s="24">
        <v>0.16420000000000001</v>
      </c>
      <c r="N599" s="21">
        <f>'Merged raw data'!$J599*100</f>
        <v>20</v>
      </c>
      <c r="O599" s="21">
        <v>0</v>
      </c>
      <c r="P599" s="21">
        <v>2</v>
      </c>
      <c r="Q599" s="21">
        <v>2</v>
      </c>
      <c r="R599" s="21" t="str">
        <f>IF(Q599&gt;=outliers!I601,"High",IF(Q599&lt;=outliers!I600,"Low","Moderate"))</f>
        <v>High</v>
      </c>
      <c r="S599" s="8" t="str">
        <f>IF(OR(Q599&lt;outliers!$I$6,Q599&gt;outliers!$I$7),"Outlier","Normal")</f>
        <v>Normal</v>
      </c>
      <c r="T599" s="8" t="str">
        <f>IF(OR(L599&lt;outliers!$J$6,L599&gt;outliers!$J$7),"Outlier","Normal")</f>
        <v>Normal</v>
      </c>
      <c r="U599" s="8" t="str">
        <f>IF(OR(M599&lt;outliers!$K$6,M599&gt;outliers!$K$7),"Outlier","Normal")</f>
        <v>Normal</v>
      </c>
    </row>
    <row r="600" spans="1:21">
      <c r="A600" s="21">
        <v>599</v>
      </c>
      <c r="B600" s="68">
        <v>40571</v>
      </c>
      <c r="C600" s="22" t="b">
        <v>0</v>
      </c>
      <c r="D600" s="21" t="str">
        <f t="shared" si="9"/>
        <v>Friday</v>
      </c>
      <c r="E600" s="23">
        <v>0.2273</v>
      </c>
      <c r="F600" s="23">
        <f>YEAR('Merged raw data'!$B600)</f>
        <v>2011</v>
      </c>
      <c r="G600" s="23" t="str">
        <f>TEXT('Merged raw data'!$B600,"mmmm")</f>
        <v>January</v>
      </c>
      <c r="H600" s="37" t="str">
        <f>TEXT(TIME('Merged raw data'!F600,0,0),"h AM/PM")</f>
        <v>3 AM</v>
      </c>
      <c r="I600" s="23" t="str">
        <f>IF(OR('Merged raw data'!H600=1,'Merged raw data'!H600=2,'Merged raw data'!H600=3,'Merged raw data'!H600=4,'Merged raw data'!H600=5),"weekday","weekend")</f>
        <v>weekday</v>
      </c>
      <c r="J600" s="23" t="s">
        <v>23</v>
      </c>
      <c r="K600" s="23" t="str">
        <f>IF('Merged raw data'!I600=1,"Clear",IF('Merged raw data'!I600=2,"Mist",IF('Merged raw data'!I600=3,"Rain",IF('Merged raw data'!I600=4,"Storm","NA"))))</f>
        <v>Mist</v>
      </c>
      <c r="L600" s="24">
        <v>0.75</v>
      </c>
      <c r="M600" s="24">
        <v>0.1045</v>
      </c>
      <c r="N600" s="21">
        <f>'Merged raw data'!$J600*100</f>
        <v>20</v>
      </c>
      <c r="O600" s="21">
        <v>1</v>
      </c>
      <c r="P600" s="21">
        <v>0</v>
      </c>
      <c r="Q600" s="21">
        <v>1</v>
      </c>
      <c r="R600" s="21" t="str">
        <f>IF(Q600&gt;=outliers!I602,"High",IF(Q600&lt;=outliers!I601,"Low","Moderate"))</f>
        <v>High</v>
      </c>
      <c r="S600" s="8" t="str">
        <f>IF(OR(Q600&lt;outliers!$I$6,Q600&gt;outliers!$I$7),"Outlier","Normal")</f>
        <v>Normal</v>
      </c>
      <c r="T600" s="8" t="str">
        <f>IF(OR(L600&lt;outliers!$J$6,L600&gt;outliers!$J$7),"Outlier","Normal")</f>
        <v>Normal</v>
      </c>
      <c r="U600" s="8" t="str">
        <f>IF(OR(M600&lt;outliers!$K$6,M600&gt;outliers!$K$7),"Outlier","Normal")</f>
        <v>Normal</v>
      </c>
    </row>
    <row r="601" spans="1:21">
      <c r="A601" s="21">
        <v>600</v>
      </c>
      <c r="B601" s="68">
        <v>40571</v>
      </c>
      <c r="C601" s="22" t="b">
        <v>0</v>
      </c>
      <c r="D601" s="21" t="str">
        <f t="shared" si="9"/>
        <v>Friday</v>
      </c>
      <c r="E601" s="23">
        <v>0.21210000000000001</v>
      </c>
      <c r="F601" s="23">
        <f>YEAR('Merged raw data'!$B601)</f>
        <v>2011</v>
      </c>
      <c r="G601" s="23" t="str">
        <f>TEXT('Merged raw data'!$B601,"mmmm")</f>
        <v>January</v>
      </c>
      <c r="H601" s="37" t="str">
        <f>TEXT(TIME('Merged raw data'!F601,0,0),"h AM/PM")</f>
        <v>5 AM</v>
      </c>
      <c r="I601" s="23" t="str">
        <f>IF(OR('Merged raw data'!H601=1,'Merged raw data'!H601=2,'Merged raw data'!H601=3,'Merged raw data'!H601=4,'Merged raw data'!H601=5),"weekday","weekend")</f>
        <v>weekday</v>
      </c>
      <c r="J601" s="23" t="s">
        <v>23</v>
      </c>
      <c r="K601" s="23" t="str">
        <f>IF('Merged raw data'!I601=1,"Clear",IF('Merged raw data'!I601=2,"Mist",IF('Merged raw data'!I601=3,"Rain",IF('Merged raw data'!I601=4,"Storm","NA"))))</f>
        <v>Mist</v>
      </c>
      <c r="L601" s="24">
        <v>0.8</v>
      </c>
      <c r="M601" s="24">
        <v>0.1045</v>
      </c>
      <c r="N601" s="21">
        <f>'Merged raw data'!$J601*100</f>
        <v>18</v>
      </c>
      <c r="O601" s="21">
        <v>0</v>
      </c>
      <c r="P601" s="21">
        <v>4</v>
      </c>
      <c r="Q601" s="21">
        <v>4</v>
      </c>
      <c r="R601" s="21" t="str">
        <f>IF(Q601&gt;=outliers!I603,"High",IF(Q601&lt;=outliers!I602,"Low","Moderate"))</f>
        <v>High</v>
      </c>
      <c r="S601" s="8" t="str">
        <f>IF(OR(Q601&lt;outliers!$I$6,Q601&gt;outliers!$I$7),"Outlier","Normal")</f>
        <v>Normal</v>
      </c>
      <c r="T601" s="8" t="str">
        <f>IF(OR(L601&lt;outliers!$J$6,L601&gt;outliers!$J$7),"Outlier","Normal")</f>
        <v>Normal</v>
      </c>
      <c r="U601" s="8" t="str">
        <f>IF(OR(M601&lt;outliers!$K$6,M601&gt;outliers!$K$7),"Outlier","Normal")</f>
        <v>Normal</v>
      </c>
    </row>
    <row r="602" spans="1:21">
      <c r="A602" s="21">
        <v>601</v>
      </c>
      <c r="B602" s="68">
        <v>40571</v>
      </c>
      <c r="C602" s="22" t="b">
        <v>0</v>
      </c>
      <c r="D602" s="21" t="str">
        <f t="shared" si="9"/>
        <v>Friday</v>
      </c>
      <c r="E602" s="23">
        <v>0.19700000000000001</v>
      </c>
      <c r="F602" s="23">
        <f>YEAR('Merged raw data'!$B602)</f>
        <v>2011</v>
      </c>
      <c r="G602" s="23" t="str">
        <f>TEXT('Merged raw data'!$B602,"mmmm")</f>
        <v>January</v>
      </c>
      <c r="H602" s="37" t="str">
        <f>TEXT(TIME('Merged raw data'!F602,0,0),"h AM/PM")</f>
        <v>6 AM</v>
      </c>
      <c r="I602" s="23" t="str">
        <f>IF(OR('Merged raw data'!H602=1,'Merged raw data'!H602=2,'Merged raw data'!H602=3,'Merged raw data'!H602=4,'Merged raw data'!H602=5),"weekday","weekend")</f>
        <v>weekday</v>
      </c>
      <c r="J602" s="23" t="s">
        <v>23</v>
      </c>
      <c r="K602" s="23" t="str">
        <f>IF('Merged raw data'!I602=1,"Clear",IF('Merged raw data'!I602=2,"Mist",IF('Merged raw data'!I602=3,"Rain",IF('Merged raw data'!I602=4,"Storm","NA"))))</f>
        <v>Mist</v>
      </c>
      <c r="L602" s="24">
        <v>0.8</v>
      </c>
      <c r="M602" s="24">
        <v>0.1343</v>
      </c>
      <c r="N602" s="21">
        <f>'Merged raw data'!$J602*100</f>
        <v>18</v>
      </c>
      <c r="O602" s="21">
        <v>0</v>
      </c>
      <c r="P602" s="21">
        <v>16</v>
      </c>
      <c r="Q602" s="21">
        <v>16</v>
      </c>
      <c r="R602" s="21" t="str">
        <f>IF(Q602&gt;=outliers!I604,"High",IF(Q602&lt;=outliers!I603,"Low","Moderate"))</f>
        <v>High</v>
      </c>
      <c r="S602" s="8" t="str">
        <f>IF(OR(Q602&lt;outliers!$I$6,Q602&gt;outliers!$I$7),"Outlier","Normal")</f>
        <v>Normal</v>
      </c>
      <c r="T602" s="8" t="str">
        <f>IF(OR(L602&lt;outliers!$J$6,L602&gt;outliers!$J$7),"Outlier","Normal")</f>
        <v>Normal</v>
      </c>
      <c r="U602" s="8" t="str">
        <f>IF(OR(M602&lt;outliers!$K$6,M602&gt;outliers!$K$7),"Outlier","Normal")</f>
        <v>Normal</v>
      </c>
    </row>
    <row r="603" spans="1:21">
      <c r="A603" s="21">
        <v>602</v>
      </c>
      <c r="B603" s="68">
        <v>40571</v>
      </c>
      <c r="C603" s="22" t="b">
        <v>0</v>
      </c>
      <c r="D603" s="21" t="str">
        <f t="shared" si="9"/>
        <v>Friday</v>
      </c>
      <c r="E603" s="23">
        <v>0.19700000000000001</v>
      </c>
      <c r="F603" s="23">
        <f>YEAR('Merged raw data'!$B603)</f>
        <v>2011</v>
      </c>
      <c r="G603" s="23" t="str">
        <f>TEXT('Merged raw data'!$B603,"mmmm")</f>
        <v>January</v>
      </c>
      <c r="H603" s="37" t="str">
        <f>TEXT(TIME('Merged raw data'!F603,0,0),"h AM/PM")</f>
        <v>7 AM</v>
      </c>
      <c r="I603" s="23" t="str">
        <f>IF(OR('Merged raw data'!H603=1,'Merged raw data'!H603=2,'Merged raw data'!H603=3,'Merged raw data'!H603=4,'Merged raw data'!H603=5),"weekday","weekend")</f>
        <v>weekday</v>
      </c>
      <c r="J603" s="23" t="s">
        <v>23</v>
      </c>
      <c r="K603" s="23" t="str">
        <f>IF('Merged raw data'!I603=1,"Clear",IF('Merged raw data'!I603=2,"Mist",IF('Merged raw data'!I603=3,"Rain",IF('Merged raw data'!I603=4,"Storm","NA"))))</f>
        <v>Mist</v>
      </c>
      <c r="L603" s="24">
        <v>0.86</v>
      </c>
      <c r="M603" s="24">
        <v>8.9599999999999999E-2</v>
      </c>
      <c r="N603" s="21">
        <f>'Merged raw data'!$J603*100</f>
        <v>16</v>
      </c>
      <c r="O603" s="21">
        <v>2</v>
      </c>
      <c r="P603" s="21">
        <v>58</v>
      </c>
      <c r="Q603" s="21">
        <v>60</v>
      </c>
      <c r="R603" s="21" t="str">
        <f>IF(Q603&gt;=outliers!I605,"High",IF(Q603&lt;=outliers!I604,"Low","Moderate"))</f>
        <v>High</v>
      </c>
      <c r="S603" s="8" t="str">
        <f>IF(OR(Q603&lt;outliers!$I$6,Q603&gt;outliers!$I$7),"Outlier","Normal")</f>
        <v>Normal</v>
      </c>
      <c r="T603" s="8" t="str">
        <f>IF(OR(L603&lt;outliers!$J$6,L603&gt;outliers!$J$7),"Outlier","Normal")</f>
        <v>Normal</v>
      </c>
      <c r="U603" s="8" t="str">
        <f>IF(OR(M603&lt;outliers!$K$6,M603&gt;outliers!$K$7),"Outlier","Normal")</f>
        <v>Normal</v>
      </c>
    </row>
    <row r="604" spans="1:21">
      <c r="A604" s="21">
        <v>603</v>
      </c>
      <c r="B604" s="68">
        <v>40571</v>
      </c>
      <c r="C604" s="22" t="b">
        <v>0</v>
      </c>
      <c r="D604" s="21" t="str">
        <f t="shared" si="9"/>
        <v>Friday</v>
      </c>
      <c r="E604" s="23">
        <v>0.19700000000000001</v>
      </c>
      <c r="F604" s="23">
        <f>YEAR('Merged raw data'!$B604)</f>
        <v>2011</v>
      </c>
      <c r="G604" s="23" t="str">
        <f>TEXT('Merged raw data'!$B604,"mmmm")</f>
        <v>January</v>
      </c>
      <c r="H604" s="37" t="str">
        <f>TEXT(TIME('Merged raw data'!F604,0,0),"h AM/PM")</f>
        <v>8 AM</v>
      </c>
      <c r="I604" s="23" t="str">
        <f>IF(OR('Merged raw data'!H604=1,'Merged raw data'!H604=2,'Merged raw data'!H604=3,'Merged raw data'!H604=4,'Merged raw data'!H604=5),"weekday","weekend")</f>
        <v>weekday</v>
      </c>
      <c r="J604" s="23" t="s">
        <v>23</v>
      </c>
      <c r="K604" s="23" t="str">
        <f>IF('Merged raw data'!I604=1,"Clear",IF('Merged raw data'!I604=2,"Mist",IF('Merged raw data'!I604=3,"Rain",IF('Merged raw data'!I604=4,"Storm","NA"))))</f>
        <v>Mist</v>
      </c>
      <c r="L604" s="24">
        <v>0.86</v>
      </c>
      <c r="M604" s="24">
        <v>8.9599999999999999E-2</v>
      </c>
      <c r="N604" s="21">
        <f>'Merged raw data'!$J604*100</f>
        <v>16</v>
      </c>
      <c r="O604" s="21">
        <v>2</v>
      </c>
      <c r="P604" s="21">
        <v>155</v>
      </c>
      <c r="Q604" s="21">
        <v>157</v>
      </c>
      <c r="R604" s="21" t="str">
        <f>IF(Q604&gt;=outliers!I606,"High",IF(Q604&lt;=outliers!I605,"Low","Moderate"))</f>
        <v>High</v>
      </c>
      <c r="S604" s="8" t="str">
        <f>IF(OR(Q604&lt;outliers!$I$6,Q604&gt;outliers!$I$7),"Outlier","Normal")</f>
        <v>Normal</v>
      </c>
      <c r="T604" s="8" t="str">
        <f>IF(OR(L604&lt;outliers!$J$6,L604&gt;outliers!$J$7),"Outlier","Normal")</f>
        <v>Normal</v>
      </c>
      <c r="U604" s="8" t="str">
        <f>IF(OR(M604&lt;outliers!$K$6,M604&gt;outliers!$K$7),"Outlier","Normal")</f>
        <v>Normal</v>
      </c>
    </row>
    <row r="605" spans="1:21">
      <c r="A605" s="21">
        <v>604</v>
      </c>
      <c r="B605" s="68">
        <v>40571</v>
      </c>
      <c r="C605" s="22" t="b">
        <v>0</v>
      </c>
      <c r="D605" s="21" t="str">
        <f t="shared" si="9"/>
        <v>Friday</v>
      </c>
      <c r="E605" s="23">
        <v>0.21210000000000001</v>
      </c>
      <c r="F605" s="23">
        <f>YEAR('Merged raw data'!$B605)</f>
        <v>2011</v>
      </c>
      <c r="G605" s="23" t="str">
        <f>TEXT('Merged raw data'!$B605,"mmmm")</f>
        <v>January</v>
      </c>
      <c r="H605" s="37" t="str">
        <f>TEXT(TIME('Merged raw data'!F605,0,0),"h AM/PM")</f>
        <v>9 AM</v>
      </c>
      <c r="I605" s="23" t="str">
        <f>IF(OR('Merged raw data'!H605=1,'Merged raw data'!H605=2,'Merged raw data'!H605=3,'Merged raw data'!H605=4,'Merged raw data'!H605=5),"weekday","weekend")</f>
        <v>weekday</v>
      </c>
      <c r="J605" s="23" t="s">
        <v>23</v>
      </c>
      <c r="K605" s="23" t="str">
        <f>IF('Merged raw data'!I605=1,"Clear",IF('Merged raw data'!I605=2,"Mist",IF('Merged raw data'!I605=3,"Rain",IF('Merged raw data'!I605=4,"Storm","NA"))))</f>
        <v>Rain</v>
      </c>
      <c r="L605" s="24">
        <v>0.86</v>
      </c>
      <c r="M605" s="24">
        <v>8.9599999999999999E-2</v>
      </c>
      <c r="N605" s="21">
        <f>'Merged raw data'!$J605*100</f>
        <v>18</v>
      </c>
      <c r="O605" s="21">
        <v>6</v>
      </c>
      <c r="P605" s="21">
        <v>95</v>
      </c>
      <c r="Q605" s="21">
        <v>101</v>
      </c>
      <c r="R605" s="21" t="str">
        <f>IF(Q605&gt;=outliers!I607,"High",IF(Q605&lt;=outliers!I606,"Low","Moderate"))</f>
        <v>High</v>
      </c>
      <c r="S605" s="8" t="str">
        <f>IF(OR(Q605&lt;outliers!$I$6,Q605&gt;outliers!$I$7),"Outlier","Normal")</f>
        <v>Normal</v>
      </c>
      <c r="T605" s="8" t="str">
        <f>IF(OR(L605&lt;outliers!$J$6,L605&gt;outliers!$J$7),"Outlier","Normal")</f>
        <v>Normal</v>
      </c>
      <c r="U605" s="8" t="str">
        <f>IF(OR(M605&lt;outliers!$K$6,M605&gt;outliers!$K$7),"Outlier","Normal")</f>
        <v>Normal</v>
      </c>
    </row>
    <row r="606" spans="1:21">
      <c r="A606" s="21">
        <v>605</v>
      </c>
      <c r="B606" s="68">
        <v>40571</v>
      </c>
      <c r="C606" s="22" t="b">
        <v>0</v>
      </c>
      <c r="D606" s="21" t="str">
        <f t="shared" si="9"/>
        <v>Friday</v>
      </c>
      <c r="E606" s="23">
        <v>0.21210000000000001</v>
      </c>
      <c r="F606" s="23">
        <f>YEAR('Merged raw data'!$B606)</f>
        <v>2011</v>
      </c>
      <c r="G606" s="23" t="str">
        <f>TEXT('Merged raw data'!$B606,"mmmm")</f>
        <v>January</v>
      </c>
      <c r="H606" s="37" t="str">
        <f>TEXT(TIME('Merged raw data'!F606,0,0),"h AM/PM")</f>
        <v>10 AM</v>
      </c>
      <c r="I606" s="23" t="str">
        <f>IF(OR('Merged raw data'!H606=1,'Merged raw data'!H606=2,'Merged raw data'!H606=3,'Merged raw data'!H606=4,'Merged raw data'!H606=5),"weekday","weekend")</f>
        <v>weekday</v>
      </c>
      <c r="J606" s="23" t="s">
        <v>23</v>
      </c>
      <c r="K606" s="23" t="str">
        <f>IF('Merged raw data'!I606=1,"Clear",IF('Merged raw data'!I606=2,"Mist",IF('Merged raw data'!I606=3,"Rain",IF('Merged raw data'!I606=4,"Storm","NA"))))</f>
        <v>Rain</v>
      </c>
      <c r="L606" s="24">
        <v>0.86</v>
      </c>
      <c r="M606" s="24">
        <v>0.1045</v>
      </c>
      <c r="N606" s="21">
        <f>'Merged raw data'!$J606*100</f>
        <v>18</v>
      </c>
      <c r="O606" s="21">
        <v>0</v>
      </c>
      <c r="P606" s="21">
        <v>49</v>
      </c>
      <c r="Q606" s="21">
        <v>49</v>
      </c>
      <c r="R606" s="21" t="str">
        <f>IF(Q606&gt;=outliers!I608,"High",IF(Q606&lt;=outliers!I607,"Low","Moderate"))</f>
        <v>High</v>
      </c>
      <c r="S606" s="8" t="str">
        <f>IF(OR(Q606&lt;outliers!$I$6,Q606&gt;outliers!$I$7),"Outlier","Normal")</f>
        <v>Normal</v>
      </c>
      <c r="T606" s="8" t="str">
        <f>IF(OR(L606&lt;outliers!$J$6,L606&gt;outliers!$J$7),"Outlier","Normal")</f>
        <v>Normal</v>
      </c>
      <c r="U606" s="8" t="str">
        <f>IF(OR(M606&lt;outliers!$K$6,M606&gt;outliers!$K$7),"Outlier","Normal")</f>
        <v>Normal</v>
      </c>
    </row>
    <row r="607" spans="1:21">
      <c r="A607" s="21">
        <v>606</v>
      </c>
      <c r="B607" s="68">
        <v>40571</v>
      </c>
      <c r="C607" s="22" t="b">
        <v>0</v>
      </c>
      <c r="D607" s="21" t="str">
        <f t="shared" si="9"/>
        <v>Friday</v>
      </c>
      <c r="E607" s="23">
        <v>0.21210000000000001</v>
      </c>
      <c r="F607" s="23">
        <f>YEAR('Merged raw data'!$B607)</f>
        <v>2011</v>
      </c>
      <c r="G607" s="23" t="str">
        <f>TEXT('Merged raw data'!$B607,"mmmm")</f>
        <v>January</v>
      </c>
      <c r="H607" s="37" t="str">
        <f>TEXT(TIME('Merged raw data'!F607,0,0),"h AM/PM")</f>
        <v>11 AM</v>
      </c>
      <c r="I607" s="23" t="str">
        <f>IF(OR('Merged raw data'!H607=1,'Merged raw data'!H607=2,'Merged raw data'!H607=3,'Merged raw data'!H607=4,'Merged raw data'!H607=5),"weekday","weekend")</f>
        <v>weekday</v>
      </c>
      <c r="J607" s="23" t="s">
        <v>23</v>
      </c>
      <c r="K607" s="23" t="str">
        <f>IF('Merged raw data'!I607=1,"Clear",IF('Merged raw data'!I607=2,"Mist",IF('Merged raw data'!I607=3,"Rain",IF('Merged raw data'!I607=4,"Storm","NA"))))</f>
        <v>Rain</v>
      </c>
      <c r="L607" s="24">
        <v>0.93</v>
      </c>
      <c r="M607" s="24">
        <v>0.1045</v>
      </c>
      <c r="N607" s="21">
        <f>'Merged raw data'!$J607*100</f>
        <v>18</v>
      </c>
      <c r="O607" s="21">
        <v>0</v>
      </c>
      <c r="P607" s="21">
        <v>30</v>
      </c>
      <c r="Q607" s="21">
        <v>30</v>
      </c>
      <c r="R607" s="21" t="str">
        <f>IF(Q607&gt;=outliers!I609,"High",IF(Q607&lt;=outliers!I608,"Low","Moderate"))</f>
        <v>High</v>
      </c>
      <c r="S607" s="8" t="str">
        <f>IF(OR(Q607&lt;outliers!$I$6,Q607&gt;outliers!$I$7),"Outlier","Normal")</f>
        <v>Normal</v>
      </c>
      <c r="T607" s="8" t="str">
        <f>IF(OR(L607&lt;outliers!$J$6,L607&gt;outliers!$J$7),"Outlier","Normal")</f>
        <v>Normal</v>
      </c>
      <c r="U607" s="8" t="str">
        <f>IF(OR(M607&lt;outliers!$K$6,M607&gt;outliers!$K$7),"Outlier","Normal")</f>
        <v>Normal</v>
      </c>
    </row>
    <row r="608" spans="1:21">
      <c r="A608" s="21">
        <v>607</v>
      </c>
      <c r="B608" s="68">
        <v>40571</v>
      </c>
      <c r="C608" s="22" t="b">
        <v>0</v>
      </c>
      <c r="D608" s="21" t="str">
        <f t="shared" si="9"/>
        <v>Friday</v>
      </c>
      <c r="E608" s="23">
        <v>0.21210000000000001</v>
      </c>
      <c r="F608" s="23">
        <f>YEAR('Merged raw data'!$B608)</f>
        <v>2011</v>
      </c>
      <c r="G608" s="23" t="str">
        <f>TEXT('Merged raw data'!$B608,"mmmm")</f>
        <v>January</v>
      </c>
      <c r="H608" s="37" t="str">
        <f>TEXT(TIME('Merged raw data'!F608,0,0),"h AM/PM")</f>
        <v>12 PM</v>
      </c>
      <c r="I608" s="23" t="str">
        <f>IF(OR('Merged raw data'!H608=1,'Merged raw data'!H608=2,'Merged raw data'!H608=3,'Merged raw data'!H608=4,'Merged raw data'!H608=5),"weekday","weekend")</f>
        <v>weekday</v>
      </c>
      <c r="J608" s="23" t="s">
        <v>23</v>
      </c>
      <c r="K608" s="23" t="str">
        <f>IF('Merged raw data'!I608=1,"Clear",IF('Merged raw data'!I608=2,"Mist",IF('Merged raw data'!I608=3,"Rain",IF('Merged raw data'!I608=4,"Storm","NA"))))</f>
        <v>Rain</v>
      </c>
      <c r="L608" s="24">
        <v>0.93</v>
      </c>
      <c r="M608" s="24">
        <v>0.1045</v>
      </c>
      <c r="N608" s="21">
        <f>'Merged raw data'!$J608*100</f>
        <v>18</v>
      </c>
      <c r="O608" s="21">
        <v>1</v>
      </c>
      <c r="P608" s="21">
        <v>28</v>
      </c>
      <c r="Q608" s="21">
        <v>29</v>
      </c>
      <c r="R608" s="21" t="str">
        <f>IF(Q608&gt;=outliers!I610,"High",IF(Q608&lt;=outliers!I609,"Low","Moderate"))</f>
        <v>High</v>
      </c>
      <c r="S608" s="8" t="str">
        <f>IF(OR(Q608&lt;outliers!$I$6,Q608&gt;outliers!$I$7),"Outlier","Normal")</f>
        <v>Normal</v>
      </c>
      <c r="T608" s="8" t="str">
        <f>IF(OR(L608&lt;outliers!$J$6,L608&gt;outliers!$J$7),"Outlier","Normal")</f>
        <v>Normal</v>
      </c>
      <c r="U608" s="8" t="str">
        <f>IF(OR(M608&lt;outliers!$K$6,M608&gt;outliers!$K$7),"Outlier","Normal")</f>
        <v>Normal</v>
      </c>
    </row>
    <row r="609" spans="1:21">
      <c r="A609" s="21">
        <v>608</v>
      </c>
      <c r="B609" s="68">
        <v>40571</v>
      </c>
      <c r="C609" s="22" t="b">
        <v>0</v>
      </c>
      <c r="D609" s="21" t="str">
        <f t="shared" si="9"/>
        <v>Friday</v>
      </c>
      <c r="E609" s="23">
        <v>0.21210000000000001</v>
      </c>
      <c r="F609" s="23">
        <f>YEAR('Merged raw data'!$B609)</f>
        <v>2011</v>
      </c>
      <c r="G609" s="23" t="str">
        <f>TEXT('Merged raw data'!$B609,"mmmm")</f>
        <v>January</v>
      </c>
      <c r="H609" s="37" t="str">
        <f>TEXT(TIME('Merged raw data'!F609,0,0),"h AM/PM")</f>
        <v>1 PM</v>
      </c>
      <c r="I609" s="23" t="str">
        <f>IF(OR('Merged raw data'!H609=1,'Merged raw data'!H609=2,'Merged raw data'!H609=3,'Merged raw data'!H609=4,'Merged raw data'!H609=5),"weekday","weekend")</f>
        <v>weekday</v>
      </c>
      <c r="J609" s="23" t="s">
        <v>23</v>
      </c>
      <c r="K609" s="23" t="str">
        <f>IF('Merged raw data'!I609=1,"Clear",IF('Merged raw data'!I609=2,"Mist",IF('Merged raw data'!I609=3,"Rain",IF('Merged raw data'!I609=4,"Storm","NA"))))</f>
        <v>Rain</v>
      </c>
      <c r="L609" s="24">
        <v>0.93</v>
      </c>
      <c r="M609" s="24">
        <v>0.1045</v>
      </c>
      <c r="N609" s="21">
        <f>'Merged raw data'!$J609*100</f>
        <v>18</v>
      </c>
      <c r="O609" s="21">
        <v>0</v>
      </c>
      <c r="P609" s="21">
        <v>31</v>
      </c>
      <c r="Q609" s="21">
        <v>31</v>
      </c>
      <c r="R609" s="21" t="str">
        <f>IF(Q609&gt;=outliers!I611,"High",IF(Q609&lt;=outliers!I610,"Low","Moderate"))</f>
        <v>High</v>
      </c>
      <c r="S609" s="8" t="str">
        <f>IF(OR(Q609&lt;outliers!$I$6,Q609&gt;outliers!$I$7),"Outlier","Normal")</f>
        <v>Normal</v>
      </c>
      <c r="T609" s="8" t="str">
        <f>IF(OR(L609&lt;outliers!$J$6,L609&gt;outliers!$J$7),"Outlier","Normal")</f>
        <v>Normal</v>
      </c>
      <c r="U609" s="8" t="str">
        <f>IF(OR(M609&lt;outliers!$K$6,M609&gt;outliers!$K$7),"Outlier","Normal")</f>
        <v>Normal</v>
      </c>
    </row>
    <row r="610" spans="1:21">
      <c r="A610" s="21">
        <v>609</v>
      </c>
      <c r="B610" s="68">
        <v>40571</v>
      </c>
      <c r="C610" s="22" t="b">
        <v>0</v>
      </c>
      <c r="D610" s="21" t="str">
        <f t="shared" si="9"/>
        <v>Friday</v>
      </c>
      <c r="E610" s="23">
        <v>0.2727</v>
      </c>
      <c r="F610" s="23">
        <f>YEAR('Merged raw data'!$B610)</f>
        <v>2011</v>
      </c>
      <c r="G610" s="23" t="str">
        <f>TEXT('Merged raw data'!$B610,"mmmm")</f>
        <v>January</v>
      </c>
      <c r="H610" s="37" t="str">
        <f>TEXT(TIME('Merged raw data'!F610,0,0),"h AM/PM")</f>
        <v>2 PM</v>
      </c>
      <c r="I610" s="23" t="str">
        <f>IF(OR('Merged raw data'!H610=1,'Merged raw data'!H610=2,'Merged raw data'!H610=3,'Merged raw data'!H610=4,'Merged raw data'!H610=5),"weekday","weekend")</f>
        <v>weekday</v>
      </c>
      <c r="J610" s="23" t="s">
        <v>23</v>
      </c>
      <c r="K610" s="23" t="str">
        <f>IF('Merged raw data'!I610=1,"Clear",IF('Merged raw data'!I610=2,"Mist",IF('Merged raw data'!I610=3,"Rain",IF('Merged raw data'!I610=4,"Storm","NA"))))</f>
        <v>Rain</v>
      </c>
      <c r="L610" s="24">
        <v>0.8</v>
      </c>
      <c r="M610" s="24">
        <v>0.23</v>
      </c>
      <c r="N610" s="21">
        <f>'Merged raw data'!$J610*100</f>
        <v>22</v>
      </c>
      <c r="O610" s="21">
        <v>2</v>
      </c>
      <c r="P610" s="21">
        <v>36</v>
      </c>
      <c r="Q610" s="21">
        <v>38</v>
      </c>
      <c r="R610" s="21" t="str">
        <f>IF(Q610&gt;=outliers!I612,"High",IF(Q610&lt;=outliers!I611,"Low","Moderate"))</f>
        <v>High</v>
      </c>
      <c r="S610" s="8" t="str">
        <f>IF(OR(Q610&lt;outliers!$I$6,Q610&gt;outliers!$I$7),"Outlier","Normal")</f>
        <v>Normal</v>
      </c>
      <c r="T610" s="8" t="str">
        <f>IF(OR(L610&lt;outliers!$J$6,L610&gt;outliers!$J$7),"Outlier","Normal")</f>
        <v>Normal</v>
      </c>
      <c r="U610" s="8" t="str">
        <f>IF(OR(M610&lt;outliers!$K$6,M610&gt;outliers!$K$7),"Outlier","Normal")</f>
        <v>Normal</v>
      </c>
    </row>
    <row r="611" spans="1:21">
      <c r="A611" s="21">
        <v>610</v>
      </c>
      <c r="B611" s="68">
        <v>40571</v>
      </c>
      <c r="C611" s="22" t="b">
        <v>0</v>
      </c>
      <c r="D611" s="21" t="str">
        <f t="shared" si="9"/>
        <v>Friday</v>
      </c>
      <c r="E611" s="23">
        <v>0.2576</v>
      </c>
      <c r="F611" s="23">
        <f>YEAR('Merged raw data'!$B611)</f>
        <v>2011</v>
      </c>
      <c r="G611" s="23" t="str">
        <f>TEXT('Merged raw data'!$B611,"mmmm")</f>
        <v>January</v>
      </c>
      <c r="H611" s="37" t="str">
        <f>TEXT(TIME('Merged raw data'!F611,0,0),"h AM/PM")</f>
        <v>3 PM</v>
      </c>
      <c r="I611" s="23" t="str">
        <f>IF(OR('Merged raw data'!H611=1,'Merged raw data'!H611=2,'Merged raw data'!H611=3,'Merged raw data'!H611=4,'Merged raw data'!H611=5),"weekday","weekend")</f>
        <v>weekday</v>
      </c>
      <c r="J611" s="23" t="s">
        <v>23</v>
      </c>
      <c r="K611" s="23" t="str">
        <f>IF('Merged raw data'!I611=1,"Clear",IF('Merged raw data'!I611=2,"Mist",IF('Merged raw data'!I611=3,"Rain",IF('Merged raw data'!I611=4,"Storm","NA"))))</f>
        <v>Mist</v>
      </c>
      <c r="L611" s="24">
        <v>0.86</v>
      </c>
      <c r="M611" s="24">
        <v>0.23</v>
      </c>
      <c r="N611" s="21">
        <f>'Merged raw data'!$J611*100</f>
        <v>20</v>
      </c>
      <c r="O611" s="21">
        <v>1</v>
      </c>
      <c r="P611" s="21">
        <v>40</v>
      </c>
      <c r="Q611" s="21">
        <v>41</v>
      </c>
      <c r="R611" s="21" t="str">
        <f>IF(Q611&gt;=outliers!I613,"High",IF(Q611&lt;=outliers!I612,"Low","Moderate"))</f>
        <v>High</v>
      </c>
      <c r="S611" s="8" t="str">
        <f>IF(OR(Q611&lt;outliers!$I$6,Q611&gt;outliers!$I$7),"Outlier","Normal")</f>
        <v>Normal</v>
      </c>
      <c r="T611" s="8" t="str">
        <f>IF(OR(L611&lt;outliers!$J$6,L611&gt;outliers!$J$7),"Outlier","Normal")</f>
        <v>Normal</v>
      </c>
      <c r="U611" s="8" t="str">
        <f>IF(OR(M611&lt;outliers!$K$6,M611&gt;outliers!$K$7),"Outlier","Normal")</f>
        <v>Normal</v>
      </c>
    </row>
    <row r="612" spans="1:21">
      <c r="A612" s="21">
        <v>611</v>
      </c>
      <c r="B612" s="68">
        <v>40571</v>
      </c>
      <c r="C612" s="22" t="b">
        <v>0</v>
      </c>
      <c r="D612" s="21" t="str">
        <f t="shared" si="9"/>
        <v>Friday</v>
      </c>
      <c r="E612" s="23">
        <v>0.2727</v>
      </c>
      <c r="F612" s="23">
        <f>YEAR('Merged raw data'!$B612)</f>
        <v>2011</v>
      </c>
      <c r="G612" s="23" t="str">
        <f>TEXT('Merged raw data'!$B612,"mmmm")</f>
        <v>January</v>
      </c>
      <c r="H612" s="37" t="str">
        <f>TEXT(TIME('Merged raw data'!F612,0,0),"h AM/PM")</f>
        <v>4 PM</v>
      </c>
      <c r="I612" s="23" t="str">
        <f>IF(OR('Merged raw data'!H612=1,'Merged raw data'!H612=2,'Merged raw data'!H612=3,'Merged raw data'!H612=4,'Merged raw data'!H612=5),"weekday","weekend")</f>
        <v>weekday</v>
      </c>
      <c r="J612" s="23" t="s">
        <v>23</v>
      </c>
      <c r="K612" s="23" t="str">
        <f>IF('Merged raw data'!I612=1,"Clear",IF('Merged raw data'!I612=2,"Mist",IF('Merged raw data'!I612=3,"Rain",IF('Merged raw data'!I612=4,"Storm","NA"))))</f>
        <v>Clear</v>
      </c>
      <c r="L612" s="24">
        <v>0.8</v>
      </c>
      <c r="M612" s="24">
        <v>0.23</v>
      </c>
      <c r="N612" s="21">
        <f>'Merged raw data'!$J612*100</f>
        <v>22</v>
      </c>
      <c r="O612" s="21">
        <v>10</v>
      </c>
      <c r="P612" s="21">
        <v>70</v>
      </c>
      <c r="Q612" s="21">
        <v>80</v>
      </c>
      <c r="R612" s="21" t="str">
        <f>IF(Q612&gt;=outliers!I614,"High",IF(Q612&lt;=outliers!I613,"Low","Moderate"))</f>
        <v>High</v>
      </c>
      <c r="S612" s="8" t="str">
        <f>IF(OR(Q612&lt;outliers!$I$6,Q612&gt;outliers!$I$7),"Outlier","Normal")</f>
        <v>Normal</v>
      </c>
      <c r="T612" s="8" t="str">
        <f>IF(OR(L612&lt;outliers!$J$6,L612&gt;outliers!$J$7),"Outlier","Normal")</f>
        <v>Normal</v>
      </c>
      <c r="U612" s="8" t="str">
        <f>IF(OR(M612&lt;outliers!$K$6,M612&gt;outliers!$K$7),"Outlier","Normal")</f>
        <v>Normal</v>
      </c>
    </row>
    <row r="613" spans="1:21">
      <c r="A613" s="21">
        <v>612</v>
      </c>
      <c r="B613" s="68">
        <v>40571</v>
      </c>
      <c r="C613" s="22" t="b">
        <v>0</v>
      </c>
      <c r="D613" s="21" t="str">
        <f t="shared" si="9"/>
        <v>Friday</v>
      </c>
      <c r="E613" s="23">
        <v>0.2424</v>
      </c>
      <c r="F613" s="23">
        <f>YEAR('Merged raw data'!$B613)</f>
        <v>2011</v>
      </c>
      <c r="G613" s="23" t="str">
        <f>TEXT('Merged raw data'!$B613,"mmmm")</f>
        <v>January</v>
      </c>
      <c r="H613" s="37" t="str">
        <f>TEXT(TIME('Merged raw data'!F613,0,0),"h AM/PM")</f>
        <v>5 PM</v>
      </c>
      <c r="I613" s="23" t="str">
        <f>IF(OR('Merged raw data'!H613=1,'Merged raw data'!H613=2,'Merged raw data'!H613=3,'Merged raw data'!H613=4,'Merged raw data'!H613=5),"weekday","weekend")</f>
        <v>weekday</v>
      </c>
      <c r="J613" s="23" t="s">
        <v>23</v>
      </c>
      <c r="K613" s="23" t="str">
        <f>IF('Merged raw data'!I613=1,"Clear",IF('Merged raw data'!I613=2,"Mist",IF('Merged raw data'!I613=3,"Rain",IF('Merged raw data'!I613=4,"Storm","NA"))))</f>
        <v>Clear</v>
      </c>
      <c r="L613" s="24">
        <v>0.75</v>
      </c>
      <c r="M613" s="24">
        <v>0.1343</v>
      </c>
      <c r="N613" s="21">
        <f>'Merged raw data'!$J613*100</f>
        <v>24</v>
      </c>
      <c r="O613" s="21">
        <v>2</v>
      </c>
      <c r="P613" s="21">
        <v>147</v>
      </c>
      <c r="Q613" s="21">
        <v>149</v>
      </c>
      <c r="R613" s="21" t="str">
        <f>IF(Q613&gt;=outliers!I615,"High",IF(Q613&lt;=outliers!I614,"Low","Moderate"))</f>
        <v>High</v>
      </c>
      <c r="S613" s="8" t="str">
        <f>IF(OR(Q613&lt;outliers!$I$6,Q613&gt;outliers!$I$7),"Outlier","Normal")</f>
        <v>Normal</v>
      </c>
      <c r="T613" s="8" t="str">
        <f>IF(OR(L613&lt;outliers!$J$6,L613&gt;outliers!$J$7),"Outlier","Normal")</f>
        <v>Normal</v>
      </c>
      <c r="U613" s="8" t="str">
        <f>IF(OR(M613&lt;outliers!$K$6,M613&gt;outliers!$K$7),"Outlier","Normal")</f>
        <v>Normal</v>
      </c>
    </row>
    <row r="614" spans="1:21">
      <c r="A614" s="21">
        <v>613</v>
      </c>
      <c r="B614" s="68">
        <v>40571</v>
      </c>
      <c r="C614" s="22" t="b">
        <v>0</v>
      </c>
      <c r="D614" s="21" t="str">
        <f t="shared" si="9"/>
        <v>Friday</v>
      </c>
      <c r="E614" s="23">
        <v>0.2273</v>
      </c>
      <c r="F614" s="23">
        <f>YEAR('Merged raw data'!$B614)</f>
        <v>2011</v>
      </c>
      <c r="G614" s="23" t="str">
        <f>TEXT('Merged raw data'!$B614,"mmmm")</f>
        <v>January</v>
      </c>
      <c r="H614" s="37" t="str">
        <f>TEXT(TIME('Merged raw data'!F614,0,0),"h AM/PM")</f>
        <v>6 PM</v>
      </c>
      <c r="I614" s="23" t="str">
        <f>IF(OR('Merged raw data'!H614=1,'Merged raw data'!H614=2,'Merged raw data'!H614=3,'Merged raw data'!H614=4,'Merged raw data'!H614=5),"weekday","weekend")</f>
        <v>weekday</v>
      </c>
      <c r="J614" s="23" t="s">
        <v>23</v>
      </c>
      <c r="K614" s="23" t="str">
        <f>IF('Merged raw data'!I614=1,"Clear",IF('Merged raw data'!I614=2,"Mist",IF('Merged raw data'!I614=3,"Rain",IF('Merged raw data'!I614=4,"Storm","NA"))))</f>
        <v>Clear</v>
      </c>
      <c r="L614" s="24">
        <v>0.75</v>
      </c>
      <c r="M614" s="24">
        <v>0.19400000000000001</v>
      </c>
      <c r="N614" s="21">
        <f>'Merged raw data'!$J614*100</f>
        <v>24</v>
      </c>
      <c r="O614" s="21">
        <v>2</v>
      </c>
      <c r="P614" s="21">
        <v>107</v>
      </c>
      <c r="Q614" s="21">
        <v>109</v>
      </c>
      <c r="R614" s="21" t="str">
        <f>IF(Q614&gt;=outliers!I616,"High",IF(Q614&lt;=outliers!I615,"Low","Moderate"))</f>
        <v>High</v>
      </c>
      <c r="S614" s="8" t="str">
        <f>IF(OR(Q614&lt;outliers!$I$6,Q614&gt;outliers!$I$7),"Outlier","Normal")</f>
        <v>Normal</v>
      </c>
      <c r="T614" s="8" t="str">
        <f>IF(OR(L614&lt;outliers!$J$6,L614&gt;outliers!$J$7),"Outlier","Normal")</f>
        <v>Normal</v>
      </c>
      <c r="U614" s="8" t="str">
        <f>IF(OR(M614&lt;outliers!$K$6,M614&gt;outliers!$K$7),"Outlier","Normal")</f>
        <v>Normal</v>
      </c>
    </row>
    <row r="615" spans="1:21">
      <c r="A615" s="21">
        <v>614</v>
      </c>
      <c r="B615" s="68">
        <v>40571</v>
      </c>
      <c r="C615" s="22" t="b">
        <v>0</v>
      </c>
      <c r="D615" s="21" t="str">
        <f t="shared" si="9"/>
        <v>Friday</v>
      </c>
      <c r="E615" s="23">
        <v>0.2424</v>
      </c>
      <c r="F615" s="23">
        <f>YEAR('Merged raw data'!$B615)</f>
        <v>2011</v>
      </c>
      <c r="G615" s="23" t="str">
        <f>TEXT('Merged raw data'!$B615,"mmmm")</f>
        <v>January</v>
      </c>
      <c r="H615" s="37" t="str">
        <f>TEXT(TIME('Merged raw data'!F615,0,0),"h AM/PM")</f>
        <v>7 PM</v>
      </c>
      <c r="I615" s="23" t="str">
        <f>IF(OR('Merged raw data'!H615=1,'Merged raw data'!H615=2,'Merged raw data'!H615=3,'Merged raw data'!H615=4,'Merged raw data'!H615=5),"weekday","weekend")</f>
        <v>weekday</v>
      </c>
      <c r="J615" s="23" t="s">
        <v>23</v>
      </c>
      <c r="K615" s="23" t="str">
        <f>IF('Merged raw data'!I615=1,"Clear",IF('Merged raw data'!I615=2,"Mist",IF('Merged raw data'!I615=3,"Rain",IF('Merged raw data'!I615=4,"Storm","NA"))))</f>
        <v>Mist</v>
      </c>
      <c r="L615" s="24">
        <v>0.75</v>
      </c>
      <c r="M615" s="24">
        <v>0.1343</v>
      </c>
      <c r="N615" s="21">
        <f>'Merged raw data'!$J615*100</f>
        <v>24</v>
      </c>
      <c r="O615" s="21">
        <v>5</v>
      </c>
      <c r="P615" s="21">
        <v>84</v>
      </c>
      <c r="Q615" s="21">
        <v>89</v>
      </c>
      <c r="R615" s="21" t="str">
        <f>IF(Q615&gt;=outliers!I617,"High",IF(Q615&lt;=outliers!I616,"Low","Moderate"))</f>
        <v>High</v>
      </c>
      <c r="S615" s="8" t="str">
        <f>IF(OR(Q615&lt;outliers!$I$6,Q615&gt;outliers!$I$7),"Outlier","Normal")</f>
        <v>Normal</v>
      </c>
      <c r="T615" s="8" t="str">
        <f>IF(OR(L615&lt;outliers!$J$6,L615&gt;outliers!$J$7),"Outlier","Normal")</f>
        <v>Normal</v>
      </c>
      <c r="U615" s="8" t="str">
        <f>IF(OR(M615&lt;outliers!$K$6,M615&gt;outliers!$K$7),"Outlier","Normal")</f>
        <v>Normal</v>
      </c>
    </row>
    <row r="616" spans="1:21">
      <c r="A616" s="21">
        <v>615</v>
      </c>
      <c r="B616" s="68">
        <v>40571</v>
      </c>
      <c r="C616" s="22" t="b">
        <v>0</v>
      </c>
      <c r="D616" s="21" t="str">
        <f t="shared" si="9"/>
        <v>Friday</v>
      </c>
      <c r="E616" s="23">
        <v>0.2273</v>
      </c>
      <c r="F616" s="23">
        <f>YEAR('Merged raw data'!$B616)</f>
        <v>2011</v>
      </c>
      <c r="G616" s="23" t="str">
        <f>TEXT('Merged raw data'!$B616,"mmmm")</f>
        <v>January</v>
      </c>
      <c r="H616" s="37" t="str">
        <f>TEXT(TIME('Merged raw data'!F616,0,0),"h AM/PM")</f>
        <v>8 PM</v>
      </c>
      <c r="I616" s="23" t="str">
        <f>IF(OR('Merged raw data'!H616=1,'Merged raw data'!H616=2,'Merged raw data'!H616=3,'Merged raw data'!H616=4,'Merged raw data'!H616=5),"weekday","weekend")</f>
        <v>weekday</v>
      </c>
      <c r="J616" s="23" t="s">
        <v>23</v>
      </c>
      <c r="K616" s="23" t="str">
        <f>IF('Merged raw data'!I616=1,"Clear",IF('Merged raw data'!I616=2,"Mist",IF('Merged raw data'!I616=3,"Rain",IF('Merged raw data'!I616=4,"Storm","NA"))))</f>
        <v>Mist</v>
      </c>
      <c r="L616" s="24">
        <v>0.7</v>
      </c>
      <c r="M616" s="24">
        <v>0.19400000000000001</v>
      </c>
      <c r="N616" s="21">
        <f>'Merged raw data'!$J616*100</f>
        <v>24</v>
      </c>
      <c r="O616" s="21">
        <v>1</v>
      </c>
      <c r="P616" s="21">
        <v>61</v>
      </c>
      <c r="Q616" s="21">
        <v>62</v>
      </c>
      <c r="R616" s="21" t="str">
        <f>IF(Q616&gt;=outliers!I618,"High",IF(Q616&lt;=outliers!I617,"Low","Moderate"))</f>
        <v>High</v>
      </c>
      <c r="S616" s="8" t="str">
        <f>IF(OR(Q616&lt;outliers!$I$6,Q616&gt;outliers!$I$7),"Outlier","Normal")</f>
        <v>Normal</v>
      </c>
      <c r="T616" s="8" t="str">
        <f>IF(OR(L616&lt;outliers!$J$6,L616&gt;outliers!$J$7),"Outlier","Normal")</f>
        <v>Normal</v>
      </c>
      <c r="U616" s="8" t="str">
        <f>IF(OR(M616&lt;outliers!$K$6,M616&gt;outliers!$K$7),"Outlier","Normal")</f>
        <v>Normal</v>
      </c>
    </row>
    <row r="617" spans="1:21">
      <c r="A617" s="21">
        <v>616</v>
      </c>
      <c r="B617" s="68">
        <v>40571</v>
      </c>
      <c r="C617" s="22" t="b">
        <v>0</v>
      </c>
      <c r="D617" s="21" t="str">
        <f t="shared" si="9"/>
        <v>Friday</v>
      </c>
      <c r="E617" s="23">
        <v>0.2273</v>
      </c>
      <c r="F617" s="23">
        <f>YEAR('Merged raw data'!$B617)</f>
        <v>2011</v>
      </c>
      <c r="G617" s="23" t="str">
        <f>TEXT('Merged raw data'!$B617,"mmmm")</f>
        <v>January</v>
      </c>
      <c r="H617" s="37" t="str">
        <f>TEXT(TIME('Merged raw data'!F617,0,0),"h AM/PM")</f>
        <v>9 PM</v>
      </c>
      <c r="I617" s="23" t="str">
        <f>IF(OR('Merged raw data'!H617=1,'Merged raw data'!H617=2,'Merged raw data'!H617=3,'Merged raw data'!H617=4,'Merged raw data'!H617=5),"weekday","weekend")</f>
        <v>weekday</v>
      </c>
      <c r="J617" s="23" t="s">
        <v>23</v>
      </c>
      <c r="K617" s="23" t="str">
        <f>IF('Merged raw data'!I617=1,"Clear",IF('Merged raw data'!I617=2,"Mist",IF('Merged raw data'!I617=3,"Rain",IF('Merged raw data'!I617=4,"Storm","NA"))))</f>
        <v>Mist</v>
      </c>
      <c r="L617" s="24">
        <v>0.75</v>
      </c>
      <c r="M617" s="24">
        <v>0.1343</v>
      </c>
      <c r="N617" s="21">
        <f>'Merged raw data'!$J617*100</f>
        <v>22</v>
      </c>
      <c r="O617" s="21">
        <v>1</v>
      </c>
      <c r="P617" s="21">
        <v>57</v>
      </c>
      <c r="Q617" s="21">
        <v>58</v>
      </c>
      <c r="R617" s="21" t="str">
        <f>IF(Q617&gt;=outliers!I619,"High",IF(Q617&lt;=outliers!I618,"Low","Moderate"))</f>
        <v>High</v>
      </c>
      <c r="S617" s="8" t="str">
        <f>IF(OR(Q617&lt;outliers!$I$6,Q617&gt;outliers!$I$7),"Outlier","Normal")</f>
        <v>Normal</v>
      </c>
      <c r="T617" s="8" t="str">
        <f>IF(OR(L617&lt;outliers!$J$6,L617&gt;outliers!$J$7),"Outlier","Normal")</f>
        <v>Normal</v>
      </c>
      <c r="U617" s="8" t="str">
        <f>IF(OR(M617&lt;outliers!$K$6,M617&gt;outliers!$K$7),"Outlier","Normal")</f>
        <v>Normal</v>
      </c>
    </row>
    <row r="618" spans="1:21">
      <c r="A618" s="21">
        <v>617</v>
      </c>
      <c r="B618" s="68">
        <v>40571</v>
      </c>
      <c r="C618" s="22" t="b">
        <v>0</v>
      </c>
      <c r="D618" s="21" t="str">
        <f t="shared" si="9"/>
        <v>Friday</v>
      </c>
      <c r="E618" s="23">
        <v>0.21210000000000001</v>
      </c>
      <c r="F618" s="23">
        <f>YEAR('Merged raw data'!$B618)</f>
        <v>2011</v>
      </c>
      <c r="G618" s="23" t="str">
        <f>TEXT('Merged raw data'!$B618,"mmmm")</f>
        <v>January</v>
      </c>
      <c r="H618" s="37" t="str">
        <f>TEXT(TIME('Merged raw data'!F618,0,0),"h AM/PM")</f>
        <v>10 PM</v>
      </c>
      <c r="I618" s="23" t="str">
        <f>IF(OR('Merged raw data'!H618=1,'Merged raw data'!H618=2,'Merged raw data'!H618=3,'Merged raw data'!H618=4,'Merged raw data'!H618=5),"weekday","weekend")</f>
        <v>weekday</v>
      </c>
      <c r="J618" s="23" t="s">
        <v>23</v>
      </c>
      <c r="K618" s="23" t="str">
        <f>IF('Merged raw data'!I618=1,"Clear",IF('Merged raw data'!I618=2,"Mist",IF('Merged raw data'!I618=3,"Rain",IF('Merged raw data'!I618=4,"Storm","NA"))))</f>
        <v>Clear</v>
      </c>
      <c r="L618" s="24">
        <v>0.65</v>
      </c>
      <c r="M618" s="24">
        <v>0.35820000000000002</v>
      </c>
      <c r="N618" s="21">
        <f>'Merged raw data'!$J618*100</f>
        <v>24</v>
      </c>
      <c r="O618" s="21">
        <v>0</v>
      </c>
      <c r="P618" s="21">
        <v>26</v>
      </c>
      <c r="Q618" s="21">
        <v>26</v>
      </c>
      <c r="R618" s="21" t="str">
        <f>IF(Q618&gt;=outliers!I620,"High",IF(Q618&lt;=outliers!I619,"Low","Moderate"))</f>
        <v>High</v>
      </c>
      <c r="S618" s="8" t="str">
        <f>IF(OR(Q618&lt;outliers!$I$6,Q618&gt;outliers!$I$7),"Outlier","Normal")</f>
        <v>Normal</v>
      </c>
      <c r="T618" s="8" t="str">
        <f>IF(OR(L618&lt;outliers!$J$6,L618&gt;outliers!$J$7),"Outlier","Normal")</f>
        <v>Normal</v>
      </c>
      <c r="U618" s="8" t="str">
        <f>IF(OR(M618&lt;outliers!$K$6,M618&gt;outliers!$K$7),"Outlier","Normal")</f>
        <v>Normal</v>
      </c>
    </row>
    <row r="619" spans="1:21">
      <c r="A619" s="21">
        <v>618</v>
      </c>
      <c r="B619" s="68">
        <v>40571</v>
      </c>
      <c r="C619" s="22" t="b">
        <v>0</v>
      </c>
      <c r="D619" s="21" t="str">
        <f t="shared" si="9"/>
        <v>Friday</v>
      </c>
      <c r="E619" s="23">
        <v>0.2273</v>
      </c>
      <c r="F619" s="23">
        <f>YEAR('Merged raw data'!$B619)</f>
        <v>2011</v>
      </c>
      <c r="G619" s="23" t="str">
        <f>TEXT('Merged raw data'!$B619,"mmmm")</f>
        <v>January</v>
      </c>
      <c r="H619" s="37" t="str">
        <f>TEXT(TIME('Merged raw data'!F619,0,0),"h AM/PM")</f>
        <v>11 PM</v>
      </c>
      <c r="I619" s="23" t="str">
        <f>IF(OR('Merged raw data'!H619=1,'Merged raw data'!H619=2,'Merged raw data'!H619=3,'Merged raw data'!H619=4,'Merged raw data'!H619=5),"weekday","weekend")</f>
        <v>weekday</v>
      </c>
      <c r="J619" s="23" t="s">
        <v>23</v>
      </c>
      <c r="K619" s="23" t="str">
        <f>IF('Merged raw data'!I619=1,"Clear",IF('Merged raw data'!I619=2,"Mist",IF('Merged raw data'!I619=3,"Rain",IF('Merged raw data'!I619=4,"Storm","NA"))))</f>
        <v>Clear</v>
      </c>
      <c r="L619" s="24">
        <v>0.6</v>
      </c>
      <c r="M619" s="24">
        <v>0.22389999999999999</v>
      </c>
      <c r="N619" s="21">
        <f>'Merged raw data'!$J619*100</f>
        <v>24</v>
      </c>
      <c r="O619" s="21">
        <v>1</v>
      </c>
      <c r="P619" s="21">
        <v>22</v>
      </c>
      <c r="Q619" s="21">
        <v>23</v>
      </c>
      <c r="R619" s="21" t="str">
        <f>IF(Q619&gt;=outliers!I621,"High",IF(Q619&lt;=outliers!I620,"Low","Moderate"))</f>
        <v>High</v>
      </c>
      <c r="S619" s="8" t="str">
        <f>IF(OR(Q619&lt;outliers!$I$6,Q619&gt;outliers!$I$7),"Outlier","Normal")</f>
        <v>Normal</v>
      </c>
      <c r="T619" s="8" t="str">
        <f>IF(OR(L619&lt;outliers!$J$6,L619&gt;outliers!$J$7),"Outlier","Normal")</f>
        <v>Normal</v>
      </c>
      <c r="U619" s="8" t="str">
        <f>IF(OR(M619&lt;outliers!$K$6,M619&gt;outliers!$K$7),"Outlier","Normal")</f>
        <v>Normal</v>
      </c>
    </row>
    <row r="620" spans="1:21">
      <c r="A620" s="21">
        <v>619</v>
      </c>
      <c r="B620" s="68">
        <v>40572</v>
      </c>
      <c r="C620" s="22" t="b">
        <v>0</v>
      </c>
      <c r="D620" s="21" t="str">
        <f t="shared" si="9"/>
        <v>Saturday</v>
      </c>
      <c r="E620" s="23">
        <v>0.19700000000000001</v>
      </c>
      <c r="F620" s="23">
        <f>YEAR('Merged raw data'!$B620)</f>
        <v>2011</v>
      </c>
      <c r="G620" s="23" t="str">
        <f>TEXT('Merged raw data'!$B620,"mmmm")</f>
        <v>January</v>
      </c>
      <c r="H620" s="37" t="str">
        <f>TEXT(TIME('Merged raw data'!F620,0,0),"h AM/PM")</f>
        <v>12 AM</v>
      </c>
      <c r="I620" s="23" t="str">
        <f>IF(OR('Merged raw data'!H620=1,'Merged raw data'!H620=2,'Merged raw data'!H620=3,'Merged raw data'!H620=4,'Merged raw data'!H620=5),"weekday","weekend")</f>
        <v>weekend</v>
      </c>
      <c r="J620" s="23" t="s">
        <v>23</v>
      </c>
      <c r="K620" s="23" t="str">
        <f>IF('Merged raw data'!I620=1,"Clear",IF('Merged raw data'!I620=2,"Mist",IF('Merged raw data'!I620=3,"Rain",IF('Merged raw data'!I620=4,"Storm","NA"))))</f>
        <v>Clear</v>
      </c>
      <c r="L620" s="24">
        <v>0.64</v>
      </c>
      <c r="M620" s="24">
        <v>0.35820000000000002</v>
      </c>
      <c r="N620" s="21">
        <f>'Merged raw data'!$J620*100</f>
        <v>22</v>
      </c>
      <c r="O620" s="21">
        <v>2</v>
      </c>
      <c r="P620" s="21">
        <v>26</v>
      </c>
      <c r="Q620" s="21">
        <v>28</v>
      </c>
      <c r="R620" s="21" t="str">
        <f>IF(Q620&gt;=outliers!I622,"High",IF(Q620&lt;=outliers!I621,"Low","Moderate"))</f>
        <v>High</v>
      </c>
      <c r="S620" s="8" t="str">
        <f>IF(OR(Q620&lt;outliers!$I$6,Q620&gt;outliers!$I$7),"Outlier","Normal")</f>
        <v>Normal</v>
      </c>
      <c r="T620" s="8" t="str">
        <f>IF(OR(L620&lt;outliers!$J$6,L620&gt;outliers!$J$7),"Outlier","Normal")</f>
        <v>Normal</v>
      </c>
      <c r="U620" s="8" t="str">
        <f>IF(OR(M620&lt;outliers!$K$6,M620&gt;outliers!$K$7),"Outlier","Normal")</f>
        <v>Normal</v>
      </c>
    </row>
    <row r="621" spans="1:21">
      <c r="A621" s="21">
        <v>620</v>
      </c>
      <c r="B621" s="68">
        <v>40572</v>
      </c>
      <c r="C621" s="22" t="b">
        <v>0</v>
      </c>
      <c r="D621" s="21" t="str">
        <f t="shared" si="9"/>
        <v>Saturday</v>
      </c>
      <c r="E621" s="23">
        <v>0.2273</v>
      </c>
      <c r="F621" s="23">
        <f>YEAR('Merged raw data'!$B621)</f>
        <v>2011</v>
      </c>
      <c r="G621" s="23" t="str">
        <f>TEXT('Merged raw data'!$B621,"mmmm")</f>
        <v>January</v>
      </c>
      <c r="H621" s="37" t="str">
        <f>TEXT(TIME('Merged raw data'!F621,0,0),"h AM/PM")</f>
        <v>1 AM</v>
      </c>
      <c r="I621" s="23" t="str">
        <f>IF(OR('Merged raw data'!H621=1,'Merged raw data'!H621=2,'Merged raw data'!H621=3,'Merged raw data'!H621=4,'Merged raw data'!H621=5),"weekday","weekend")</f>
        <v>weekend</v>
      </c>
      <c r="J621" s="23" t="s">
        <v>23</v>
      </c>
      <c r="K621" s="23" t="str">
        <f>IF('Merged raw data'!I621=1,"Clear",IF('Merged raw data'!I621=2,"Mist",IF('Merged raw data'!I621=3,"Rain",IF('Merged raw data'!I621=4,"Storm","NA"))))</f>
        <v>Clear</v>
      </c>
      <c r="L621" s="24">
        <v>0.64</v>
      </c>
      <c r="M621" s="24">
        <v>0.19400000000000001</v>
      </c>
      <c r="N621" s="21">
        <f>'Merged raw data'!$J621*100</f>
        <v>22</v>
      </c>
      <c r="O621" s="21">
        <v>0</v>
      </c>
      <c r="P621" s="21">
        <v>20</v>
      </c>
      <c r="Q621" s="21">
        <v>20</v>
      </c>
      <c r="R621" s="21" t="str">
        <f>IF(Q621&gt;=outliers!I623,"High",IF(Q621&lt;=outliers!I622,"Low","Moderate"))</f>
        <v>High</v>
      </c>
      <c r="S621" s="8" t="str">
        <f>IF(OR(Q621&lt;outliers!$I$6,Q621&gt;outliers!$I$7),"Outlier","Normal")</f>
        <v>Normal</v>
      </c>
      <c r="T621" s="8" t="str">
        <f>IF(OR(L621&lt;outliers!$J$6,L621&gt;outliers!$J$7),"Outlier","Normal")</f>
        <v>Normal</v>
      </c>
      <c r="U621" s="8" t="str">
        <f>IF(OR(M621&lt;outliers!$K$6,M621&gt;outliers!$K$7),"Outlier","Normal")</f>
        <v>Normal</v>
      </c>
    </row>
    <row r="622" spans="1:21">
      <c r="A622" s="21">
        <v>621</v>
      </c>
      <c r="B622" s="68">
        <v>40572</v>
      </c>
      <c r="C622" s="22" t="b">
        <v>0</v>
      </c>
      <c r="D622" s="21" t="str">
        <f t="shared" si="9"/>
        <v>Saturday</v>
      </c>
      <c r="E622" s="23">
        <v>0.2273</v>
      </c>
      <c r="F622" s="23">
        <f>YEAR('Merged raw data'!$B622)</f>
        <v>2011</v>
      </c>
      <c r="G622" s="23" t="str">
        <f>TEXT('Merged raw data'!$B622,"mmmm")</f>
        <v>January</v>
      </c>
      <c r="H622" s="37" t="str">
        <f>TEXT(TIME('Merged raw data'!F622,0,0),"h AM/PM")</f>
        <v>2 AM</v>
      </c>
      <c r="I622" s="23" t="str">
        <f>IF(OR('Merged raw data'!H622=1,'Merged raw data'!H622=2,'Merged raw data'!H622=3,'Merged raw data'!H622=4,'Merged raw data'!H622=5),"weekday","weekend")</f>
        <v>weekend</v>
      </c>
      <c r="J622" s="23" t="s">
        <v>23</v>
      </c>
      <c r="K622" s="23" t="str">
        <f>IF('Merged raw data'!I622=1,"Clear",IF('Merged raw data'!I622=2,"Mist",IF('Merged raw data'!I622=3,"Rain",IF('Merged raw data'!I622=4,"Storm","NA"))))</f>
        <v>Clear</v>
      </c>
      <c r="L622" s="24">
        <v>0.64</v>
      </c>
      <c r="M622" s="24">
        <v>0.16420000000000001</v>
      </c>
      <c r="N622" s="21">
        <f>'Merged raw data'!$J622*100</f>
        <v>22</v>
      </c>
      <c r="O622" s="21">
        <v>0</v>
      </c>
      <c r="P622" s="21">
        <v>15</v>
      </c>
      <c r="Q622" s="21">
        <v>15</v>
      </c>
      <c r="R622" s="21" t="str">
        <f>IF(Q622&gt;=outliers!I624,"High",IF(Q622&lt;=outliers!I623,"Low","Moderate"))</f>
        <v>High</v>
      </c>
      <c r="S622" s="8" t="str">
        <f>IF(OR(Q622&lt;outliers!$I$6,Q622&gt;outliers!$I$7),"Outlier","Normal")</f>
        <v>Normal</v>
      </c>
      <c r="T622" s="8" t="str">
        <f>IF(OR(L622&lt;outliers!$J$6,L622&gt;outliers!$J$7),"Outlier","Normal")</f>
        <v>Normal</v>
      </c>
      <c r="U622" s="8" t="str">
        <f>IF(OR(M622&lt;outliers!$K$6,M622&gt;outliers!$K$7),"Outlier","Normal")</f>
        <v>Normal</v>
      </c>
    </row>
    <row r="623" spans="1:21">
      <c r="A623" s="21">
        <v>622</v>
      </c>
      <c r="B623" s="68">
        <v>40572</v>
      </c>
      <c r="C623" s="22" t="b">
        <v>0</v>
      </c>
      <c r="D623" s="21" t="str">
        <f t="shared" si="9"/>
        <v>Saturday</v>
      </c>
      <c r="E623" s="23">
        <v>0.21210000000000001</v>
      </c>
      <c r="F623" s="23">
        <f>YEAR('Merged raw data'!$B623)</f>
        <v>2011</v>
      </c>
      <c r="G623" s="23" t="str">
        <f>TEXT('Merged raw data'!$B623,"mmmm")</f>
        <v>January</v>
      </c>
      <c r="H623" s="37" t="str">
        <f>TEXT(TIME('Merged raw data'!F623,0,0),"h AM/PM")</f>
        <v>3 AM</v>
      </c>
      <c r="I623" s="23" t="str">
        <f>IF(OR('Merged raw data'!H623=1,'Merged raw data'!H623=2,'Merged raw data'!H623=3,'Merged raw data'!H623=4,'Merged raw data'!H623=5),"weekday","weekend")</f>
        <v>weekend</v>
      </c>
      <c r="J623" s="23" t="s">
        <v>23</v>
      </c>
      <c r="K623" s="23" t="str">
        <f>IF('Merged raw data'!I623=1,"Clear",IF('Merged raw data'!I623=2,"Mist",IF('Merged raw data'!I623=3,"Rain",IF('Merged raw data'!I623=4,"Storm","NA"))))</f>
        <v>Clear</v>
      </c>
      <c r="L623" s="24">
        <v>0.64</v>
      </c>
      <c r="M623" s="24">
        <v>0.1343</v>
      </c>
      <c r="N623" s="21">
        <f>'Merged raw data'!$J623*100</f>
        <v>20</v>
      </c>
      <c r="O623" s="21">
        <v>3</v>
      </c>
      <c r="P623" s="21">
        <v>5</v>
      </c>
      <c r="Q623" s="21">
        <v>8</v>
      </c>
      <c r="R623" s="21" t="str">
        <f>IF(Q623&gt;=outliers!I625,"High",IF(Q623&lt;=outliers!I624,"Low","Moderate"))</f>
        <v>High</v>
      </c>
      <c r="S623" s="8" t="str">
        <f>IF(OR(Q623&lt;outliers!$I$6,Q623&gt;outliers!$I$7),"Outlier","Normal")</f>
        <v>Normal</v>
      </c>
      <c r="T623" s="8" t="str">
        <f>IF(OR(L623&lt;outliers!$J$6,L623&gt;outliers!$J$7),"Outlier","Normal")</f>
        <v>Normal</v>
      </c>
      <c r="U623" s="8" t="str">
        <f>IF(OR(M623&lt;outliers!$K$6,M623&gt;outliers!$K$7),"Outlier","Normal")</f>
        <v>Normal</v>
      </c>
    </row>
    <row r="624" spans="1:21">
      <c r="A624" s="21">
        <v>623</v>
      </c>
      <c r="B624" s="68">
        <v>40572</v>
      </c>
      <c r="C624" s="22" t="b">
        <v>0</v>
      </c>
      <c r="D624" s="21" t="str">
        <f t="shared" si="9"/>
        <v>Saturday</v>
      </c>
      <c r="E624" s="23">
        <v>0.18179999999999999</v>
      </c>
      <c r="F624" s="23">
        <f>YEAR('Merged raw data'!$B624)</f>
        <v>2011</v>
      </c>
      <c r="G624" s="23" t="str">
        <f>TEXT('Merged raw data'!$B624,"mmmm")</f>
        <v>January</v>
      </c>
      <c r="H624" s="37" t="str">
        <f>TEXT(TIME('Merged raw data'!F624,0,0),"h AM/PM")</f>
        <v>4 AM</v>
      </c>
      <c r="I624" s="23" t="str">
        <f>IF(OR('Merged raw data'!H624=1,'Merged raw data'!H624=2,'Merged raw data'!H624=3,'Merged raw data'!H624=4,'Merged raw data'!H624=5),"weekday","weekend")</f>
        <v>weekend</v>
      </c>
      <c r="J624" s="23" t="s">
        <v>23</v>
      </c>
      <c r="K624" s="23" t="str">
        <f>IF('Merged raw data'!I624=1,"Clear",IF('Merged raw data'!I624=2,"Mist",IF('Merged raw data'!I624=3,"Rain",IF('Merged raw data'!I624=4,"Storm","NA"))))</f>
        <v>Clear</v>
      </c>
      <c r="L624" s="24">
        <v>0.69</v>
      </c>
      <c r="M624" s="24">
        <v>0.1045</v>
      </c>
      <c r="N624" s="21">
        <f>'Merged raw data'!$J624*100</f>
        <v>16</v>
      </c>
      <c r="O624" s="21">
        <v>1</v>
      </c>
      <c r="P624" s="21">
        <v>2</v>
      </c>
      <c r="Q624" s="21">
        <v>3</v>
      </c>
      <c r="R624" s="21" t="str">
        <f>IF(Q624&gt;=outliers!I626,"High",IF(Q624&lt;=outliers!I625,"Low","Moderate"))</f>
        <v>High</v>
      </c>
      <c r="S624" s="8" t="str">
        <f>IF(OR(Q624&lt;outliers!$I$6,Q624&gt;outliers!$I$7),"Outlier","Normal")</f>
        <v>Normal</v>
      </c>
      <c r="T624" s="8" t="str">
        <f>IF(OR(L624&lt;outliers!$J$6,L624&gt;outliers!$J$7),"Outlier","Normal")</f>
        <v>Normal</v>
      </c>
      <c r="U624" s="8" t="str">
        <f>IF(OR(M624&lt;outliers!$K$6,M624&gt;outliers!$K$7),"Outlier","Normal")</f>
        <v>Normal</v>
      </c>
    </row>
    <row r="625" spans="1:21">
      <c r="A625" s="21">
        <v>624</v>
      </c>
      <c r="B625" s="68">
        <v>40572</v>
      </c>
      <c r="C625" s="22" t="b">
        <v>0</v>
      </c>
      <c r="D625" s="21" t="str">
        <f t="shared" si="9"/>
        <v>Saturday</v>
      </c>
      <c r="E625" s="23">
        <v>0.18179999999999999</v>
      </c>
      <c r="F625" s="23">
        <f>YEAR('Merged raw data'!$B625)</f>
        <v>2011</v>
      </c>
      <c r="G625" s="23" t="str">
        <f>TEXT('Merged raw data'!$B625,"mmmm")</f>
        <v>January</v>
      </c>
      <c r="H625" s="37" t="str">
        <f>TEXT(TIME('Merged raw data'!F625,0,0),"h AM/PM")</f>
        <v>6 AM</v>
      </c>
      <c r="I625" s="23" t="str">
        <f>IF(OR('Merged raw data'!H625=1,'Merged raw data'!H625=2,'Merged raw data'!H625=3,'Merged raw data'!H625=4,'Merged raw data'!H625=5),"weekday","weekend")</f>
        <v>weekend</v>
      </c>
      <c r="J625" s="23" t="s">
        <v>23</v>
      </c>
      <c r="K625" s="23" t="str">
        <f>IF('Merged raw data'!I625=1,"Clear",IF('Merged raw data'!I625=2,"Mist",IF('Merged raw data'!I625=3,"Rain",IF('Merged raw data'!I625=4,"Storm","NA"))))</f>
        <v>Clear</v>
      </c>
      <c r="L625" s="24">
        <v>0.64</v>
      </c>
      <c r="M625" s="24">
        <v>0.1343</v>
      </c>
      <c r="N625" s="21">
        <f>'Merged raw data'!$J625*100</f>
        <v>16</v>
      </c>
      <c r="O625" s="21">
        <v>0</v>
      </c>
      <c r="P625" s="21">
        <v>2</v>
      </c>
      <c r="Q625" s="21">
        <v>2</v>
      </c>
      <c r="R625" s="21" t="str">
        <f>IF(Q625&gt;=outliers!I627,"High",IF(Q625&lt;=outliers!I626,"Low","Moderate"))</f>
        <v>High</v>
      </c>
      <c r="S625" s="8" t="str">
        <f>IF(OR(Q625&lt;outliers!$I$6,Q625&gt;outliers!$I$7),"Outlier","Normal")</f>
        <v>Normal</v>
      </c>
      <c r="T625" s="8" t="str">
        <f>IF(OR(L625&lt;outliers!$J$6,L625&gt;outliers!$J$7),"Outlier","Normal")</f>
        <v>Normal</v>
      </c>
      <c r="U625" s="8" t="str">
        <f>IF(OR(M625&lt;outliers!$K$6,M625&gt;outliers!$K$7),"Outlier","Normal")</f>
        <v>Normal</v>
      </c>
    </row>
    <row r="626" spans="1:21">
      <c r="A626" s="21">
        <v>625</v>
      </c>
      <c r="B626" s="68">
        <v>40572</v>
      </c>
      <c r="C626" s="22" t="b">
        <v>0</v>
      </c>
      <c r="D626" s="21" t="str">
        <f t="shared" si="9"/>
        <v>Saturday</v>
      </c>
      <c r="E626" s="23">
        <v>0.18179999999999999</v>
      </c>
      <c r="F626" s="23">
        <f>YEAR('Merged raw data'!$B626)</f>
        <v>2011</v>
      </c>
      <c r="G626" s="23" t="str">
        <f>TEXT('Merged raw data'!$B626,"mmmm")</f>
        <v>January</v>
      </c>
      <c r="H626" s="37" t="str">
        <f>TEXT(TIME('Merged raw data'!F626,0,0),"h AM/PM")</f>
        <v>7 AM</v>
      </c>
      <c r="I626" s="23" t="str">
        <f>IF(OR('Merged raw data'!H626=1,'Merged raw data'!H626=2,'Merged raw data'!H626=3,'Merged raw data'!H626=4,'Merged raw data'!H626=5),"weekday","weekend")</f>
        <v>weekend</v>
      </c>
      <c r="J626" s="23" t="s">
        <v>23</v>
      </c>
      <c r="K626" s="23" t="str">
        <f>IF('Merged raw data'!I626=1,"Clear",IF('Merged raw data'!I626=2,"Mist",IF('Merged raw data'!I626=3,"Rain",IF('Merged raw data'!I626=4,"Storm","NA"))))</f>
        <v>Clear</v>
      </c>
      <c r="L626" s="24">
        <v>0.59</v>
      </c>
      <c r="M626" s="24">
        <v>0.1045</v>
      </c>
      <c r="N626" s="21">
        <f>'Merged raw data'!$J626*100</f>
        <v>16</v>
      </c>
      <c r="O626" s="21">
        <v>1</v>
      </c>
      <c r="P626" s="21">
        <v>4</v>
      </c>
      <c r="Q626" s="21">
        <v>5</v>
      </c>
      <c r="R626" s="21" t="str">
        <f>IF(Q626&gt;=outliers!I628,"High",IF(Q626&lt;=outliers!I627,"Low","Moderate"))</f>
        <v>High</v>
      </c>
      <c r="S626" s="8" t="str">
        <f>IF(OR(Q626&lt;outliers!$I$6,Q626&gt;outliers!$I$7),"Outlier","Normal")</f>
        <v>Normal</v>
      </c>
      <c r="T626" s="8" t="str">
        <f>IF(OR(L626&lt;outliers!$J$6,L626&gt;outliers!$J$7),"Outlier","Normal")</f>
        <v>Normal</v>
      </c>
      <c r="U626" s="8" t="str">
        <f>IF(OR(M626&lt;outliers!$K$6,M626&gt;outliers!$K$7),"Outlier","Normal")</f>
        <v>Normal</v>
      </c>
    </row>
    <row r="627" spans="1:21">
      <c r="A627" s="21">
        <v>626</v>
      </c>
      <c r="B627" s="68">
        <v>40572</v>
      </c>
      <c r="C627" s="22" t="b">
        <v>0</v>
      </c>
      <c r="D627" s="21" t="str">
        <f t="shared" si="9"/>
        <v>Saturday</v>
      </c>
      <c r="E627" s="23">
        <v>0.19700000000000001</v>
      </c>
      <c r="F627" s="23">
        <f>YEAR('Merged raw data'!$B627)</f>
        <v>2011</v>
      </c>
      <c r="G627" s="23" t="str">
        <f>TEXT('Merged raw data'!$B627,"mmmm")</f>
        <v>January</v>
      </c>
      <c r="H627" s="37" t="str">
        <f>TEXT(TIME('Merged raw data'!F627,0,0),"h AM/PM")</f>
        <v>8 AM</v>
      </c>
      <c r="I627" s="23" t="str">
        <f>IF(OR('Merged raw data'!H627=1,'Merged raw data'!H627=2,'Merged raw data'!H627=3,'Merged raw data'!H627=4,'Merged raw data'!H627=5),"weekday","weekend")</f>
        <v>weekend</v>
      </c>
      <c r="J627" s="23" t="s">
        <v>23</v>
      </c>
      <c r="K627" s="23" t="str">
        <f>IF('Merged raw data'!I627=1,"Clear",IF('Merged raw data'!I627=2,"Mist",IF('Merged raw data'!I627=3,"Rain",IF('Merged raw data'!I627=4,"Storm","NA"))))</f>
        <v>Clear</v>
      </c>
      <c r="L627" s="24">
        <v>0.55000000000000004</v>
      </c>
      <c r="M627" s="24">
        <v>0.16420000000000001</v>
      </c>
      <c r="N627" s="21">
        <f>'Merged raw data'!$J627*100</f>
        <v>18</v>
      </c>
      <c r="O627" s="21">
        <v>3</v>
      </c>
      <c r="P627" s="21">
        <v>31</v>
      </c>
      <c r="Q627" s="21">
        <v>34</v>
      </c>
      <c r="R627" s="21" t="str">
        <f>IF(Q627&gt;=outliers!I629,"High",IF(Q627&lt;=outliers!I628,"Low","Moderate"))</f>
        <v>High</v>
      </c>
      <c r="S627" s="8" t="str">
        <f>IF(OR(Q627&lt;outliers!$I$6,Q627&gt;outliers!$I$7),"Outlier","Normal")</f>
        <v>Normal</v>
      </c>
      <c r="T627" s="8" t="str">
        <f>IF(OR(L627&lt;outliers!$J$6,L627&gt;outliers!$J$7),"Outlier","Normal")</f>
        <v>Normal</v>
      </c>
      <c r="U627" s="8" t="str">
        <f>IF(OR(M627&lt;outliers!$K$6,M627&gt;outliers!$K$7),"Outlier","Normal")</f>
        <v>Normal</v>
      </c>
    </row>
    <row r="628" spans="1:21">
      <c r="A628" s="21">
        <v>627</v>
      </c>
      <c r="B628" s="68">
        <v>40572</v>
      </c>
      <c r="C628" s="22" t="b">
        <v>0</v>
      </c>
      <c r="D628" s="21" t="str">
        <f t="shared" si="9"/>
        <v>Saturday</v>
      </c>
      <c r="E628" s="23">
        <v>0.21210000000000001</v>
      </c>
      <c r="F628" s="23">
        <f>YEAR('Merged raw data'!$B628)</f>
        <v>2011</v>
      </c>
      <c r="G628" s="23" t="str">
        <f>TEXT('Merged raw data'!$B628,"mmmm")</f>
        <v>January</v>
      </c>
      <c r="H628" s="37" t="str">
        <f>TEXT(TIME('Merged raw data'!F628,0,0),"h AM/PM")</f>
        <v>9 AM</v>
      </c>
      <c r="I628" s="23" t="str">
        <f>IF(OR('Merged raw data'!H628=1,'Merged raw data'!H628=2,'Merged raw data'!H628=3,'Merged raw data'!H628=4,'Merged raw data'!H628=5),"weekday","weekend")</f>
        <v>weekend</v>
      </c>
      <c r="J628" s="23" t="s">
        <v>23</v>
      </c>
      <c r="K628" s="23" t="str">
        <f>IF('Merged raw data'!I628=1,"Clear",IF('Merged raw data'!I628=2,"Mist",IF('Merged raw data'!I628=3,"Rain",IF('Merged raw data'!I628=4,"Storm","NA"))))</f>
        <v>Clear</v>
      </c>
      <c r="L628" s="24">
        <v>0.59</v>
      </c>
      <c r="M628" s="24">
        <v>8.9599999999999999E-2</v>
      </c>
      <c r="N628" s="21">
        <f>'Merged raw data'!$J628*100</f>
        <v>18</v>
      </c>
      <c r="O628" s="21">
        <v>0</v>
      </c>
      <c r="P628" s="21">
        <v>34</v>
      </c>
      <c r="Q628" s="21">
        <v>34</v>
      </c>
      <c r="R628" s="21" t="str">
        <f>IF(Q628&gt;=outliers!I630,"High",IF(Q628&lt;=outliers!I629,"Low","Moderate"))</f>
        <v>High</v>
      </c>
      <c r="S628" s="8" t="str">
        <f>IF(OR(Q628&lt;outliers!$I$6,Q628&gt;outliers!$I$7),"Outlier","Normal")</f>
        <v>Normal</v>
      </c>
      <c r="T628" s="8" t="str">
        <f>IF(OR(L628&lt;outliers!$J$6,L628&gt;outliers!$J$7),"Outlier","Normal")</f>
        <v>Normal</v>
      </c>
      <c r="U628" s="8" t="str">
        <f>IF(OR(M628&lt;outliers!$K$6,M628&gt;outliers!$K$7),"Outlier","Normal")</f>
        <v>Normal</v>
      </c>
    </row>
    <row r="629" spans="1:21">
      <c r="A629" s="21">
        <v>628</v>
      </c>
      <c r="B629" s="68">
        <v>40572</v>
      </c>
      <c r="C629" s="22" t="b">
        <v>0</v>
      </c>
      <c r="D629" s="21" t="str">
        <f t="shared" si="9"/>
        <v>Saturday</v>
      </c>
      <c r="E629" s="23">
        <v>0.21210000000000001</v>
      </c>
      <c r="F629" s="23">
        <f>YEAR('Merged raw data'!$B629)</f>
        <v>2011</v>
      </c>
      <c r="G629" s="23" t="str">
        <f>TEXT('Merged raw data'!$B629,"mmmm")</f>
        <v>January</v>
      </c>
      <c r="H629" s="37" t="str">
        <f>TEXT(TIME('Merged raw data'!F629,0,0),"h AM/PM")</f>
        <v>10 AM</v>
      </c>
      <c r="I629" s="23" t="str">
        <f>IF(OR('Merged raw data'!H629=1,'Merged raw data'!H629=2,'Merged raw data'!H629=3,'Merged raw data'!H629=4,'Merged raw data'!H629=5),"weekday","weekend")</f>
        <v>weekend</v>
      </c>
      <c r="J629" s="23" t="s">
        <v>23</v>
      </c>
      <c r="K629" s="23" t="str">
        <f>IF('Merged raw data'!I629=1,"Clear",IF('Merged raw data'!I629=2,"Mist",IF('Merged raw data'!I629=3,"Rain",IF('Merged raw data'!I629=4,"Storm","NA"))))</f>
        <v>Mist</v>
      </c>
      <c r="L629" s="24">
        <v>0.64</v>
      </c>
      <c r="M629" s="24">
        <v>0.1045</v>
      </c>
      <c r="N629" s="21">
        <f>'Merged raw data'!$J629*100</f>
        <v>18</v>
      </c>
      <c r="O629" s="21">
        <v>4</v>
      </c>
      <c r="P629" s="21">
        <v>51</v>
      </c>
      <c r="Q629" s="21">
        <v>55</v>
      </c>
      <c r="R629" s="21" t="str">
        <f>IF(Q629&gt;=outliers!I631,"High",IF(Q629&lt;=outliers!I630,"Low","Moderate"))</f>
        <v>High</v>
      </c>
      <c r="S629" s="8" t="str">
        <f>IF(OR(Q629&lt;outliers!$I$6,Q629&gt;outliers!$I$7),"Outlier","Normal")</f>
        <v>Normal</v>
      </c>
      <c r="T629" s="8" t="str">
        <f>IF(OR(L629&lt;outliers!$J$6,L629&gt;outliers!$J$7),"Outlier","Normal")</f>
        <v>Normal</v>
      </c>
      <c r="U629" s="8" t="str">
        <f>IF(OR(M629&lt;outliers!$K$6,M629&gt;outliers!$K$7),"Outlier","Normal")</f>
        <v>Normal</v>
      </c>
    </row>
    <row r="630" spans="1:21">
      <c r="A630" s="21">
        <v>629</v>
      </c>
      <c r="B630" s="68">
        <v>40572</v>
      </c>
      <c r="C630" s="22" t="b">
        <v>0</v>
      </c>
      <c r="D630" s="21" t="str">
        <f t="shared" si="9"/>
        <v>Saturday</v>
      </c>
      <c r="E630" s="23">
        <v>0.19700000000000001</v>
      </c>
      <c r="F630" s="23">
        <f>YEAR('Merged raw data'!$B630)</f>
        <v>2011</v>
      </c>
      <c r="G630" s="23" t="str">
        <f>TEXT('Merged raw data'!$B630,"mmmm")</f>
        <v>January</v>
      </c>
      <c r="H630" s="37" t="str">
        <f>TEXT(TIME('Merged raw data'!F630,0,0),"h AM/PM")</f>
        <v>11 AM</v>
      </c>
      <c r="I630" s="23" t="str">
        <f>IF(OR('Merged raw data'!H630=1,'Merged raw data'!H630=2,'Merged raw data'!H630=3,'Merged raw data'!H630=4,'Merged raw data'!H630=5),"weekday","weekend")</f>
        <v>weekend</v>
      </c>
      <c r="J630" s="23" t="s">
        <v>23</v>
      </c>
      <c r="K630" s="23" t="str">
        <f>IF('Merged raw data'!I630=1,"Clear",IF('Merged raw data'!I630=2,"Mist",IF('Merged raw data'!I630=3,"Rain",IF('Merged raw data'!I630=4,"Storm","NA"))))</f>
        <v>Mist</v>
      </c>
      <c r="L630" s="24">
        <v>0.64</v>
      </c>
      <c r="M630" s="24">
        <v>0.1343</v>
      </c>
      <c r="N630" s="21">
        <f>'Merged raw data'!$J630*100</f>
        <v>18</v>
      </c>
      <c r="O630" s="21">
        <v>4</v>
      </c>
      <c r="P630" s="21">
        <v>60</v>
      </c>
      <c r="Q630" s="21">
        <v>64</v>
      </c>
      <c r="R630" s="21" t="str">
        <f>IF(Q630&gt;=outliers!I632,"High",IF(Q630&lt;=outliers!I631,"Low","Moderate"))</f>
        <v>High</v>
      </c>
      <c r="S630" s="8" t="str">
        <f>IF(OR(Q630&lt;outliers!$I$6,Q630&gt;outliers!$I$7),"Outlier","Normal")</f>
        <v>Normal</v>
      </c>
      <c r="T630" s="8" t="str">
        <f>IF(OR(L630&lt;outliers!$J$6,L630&gt;outliers!$J$7),"Outlier","Normal")</f>
        <v>Normal</v>
      </c>
      <c r="U630" s="8" t="str">
        <f>IF(OR(M630&lt;outliers!$K$6,M630&gt;outliers!$K$7),"Outlier","Normal")</f>
        <v>Normal</v>
      </c>
    </row>
    <row r="631" spans="1:21">
      <c r="A631" s="21">
        <v>630</v>
      </c>
      <c r="B631" s="68">
        <v>40572</v>
      </c>
      <c r="C631" s="22" t="b">
        <v>0</v>
      </c>
      <c r="D631" s="21" t="str">
        <f t="shared" si="9"/>
        <v>Saturday</v>
      </c>
      <c r="E631" s="23">
        <v>0.19700000000000001</v>
      </c>
      <c r="F631" s="23">
        <f>YEAR('Merged raw data'!$B631)</f>
        <v>2011</v>
      </c>
      <c r="G631" s="23" t="str">
        <f>TEXT('Merged raw data'!$B631,"mmmm")</f>
        <v>January</v>
      </c>
      <c r="H631" s="37" t="str">
        <f>TEXT(TIME('Merged raw data'!F631,0,0),"h AM/PM")</f>
        <v>12 PM</v>
      </c>
      <c r="I631" s="23" t="str">
        <f>IF(OR('Merged raw data'!H631=1,'Merged raw data'!H631=2,'Merged raw data'!H631=3,'Merged raw data'!H631=4,'Merged raw data'!H631=5),"weekday","weekend")</f>
        <v>weekend</v>
      </c>
      <c r="J631" s="23" t="s">
        <v>23</v>
      </c>
      <c r="K631" s="23" t="str">
        <f>IF('Merged raw data'!I631=1,"Clear",IF('Merged raw data'!I631=2,"Mist",IF('Merged raw data'!I631=3,"Rain",IF('Merged raw data'!I631=4,"Storm","NA"))))</f>
        <v>Mist</v>
      </c>
      <c r="L631" s="24">
        <v>0.59</v>
      </c>
      <c r="M631" s="24">
        <v>0.19400000000000001</v>
      </c>
      <c r="N631" s="21">
        <f>'Merged raw data'!$J631*100</f>
        <v>20</v>
      </c>
      <c r="O631" s="21">
        <v>12</v>
      </c>
      <c r="P631" s="21">
        <v>66</v>
      </c>
      <c r="Q631" s="21">
        <v>78</v>
      </c>
      <c r="R631" s="21" t="str">
        <f>IF(Q631&gt;=outliers!I633,"High",IF(Q631&lt;=outliers!I632,"Low","Moderate"))</f>
        <v>High</v>
      </c>
      <c r="S631" s="8" t="str">
        <f>IF(OR(Q631&lt;outliers!$I$6,Q631&gt;outliers!$I$7),"Outlier","Normal")</f>
        <v>Normal</v>
      </c>
      <c r="T631" s="8" t="str">
        <f>IF(OR(L631&lt;outliers!$J$6,L631&gt;outliers!$J$7),"Outlier","Normal")</f>
        <v>Normal</v>
      </c>
      <c r="U631" s="8" t="str">
        <f>IF(OR(M631&lt;outliers!$K$6,M631&gt;outliers!$K$7),"Outlier","Normal")</f>
        <v>Normal</v>
      </c>
    </row>
    <row r="632" spans="1:21">
      <c r="A632" s="21">
        <v>631</v>
      </c>
      <c r="B632" s="68">
        <v>40572</v>
      </c>
      <c r="C632" s="22" t="b">
        <v>0</v>
      </c>
      <c r="D632" s="21" t="str">
        <f t="shared" si="9"/>
        <v>Saturday</v>
      </c>
      <c r="E632" s="23">
        <v>0.2273</v>
      </c>
      <c r="F632" s="23">
        <f>YEAR('Merged raw data'!$B632)</f>
        <v>2011</v>
      </c>
      <c r="G632" s="23" t="str">
        <f>TEXT('Merged raw data'!$B632,"mmmm")</f>
        <v>January</v>
      </c>
      <c r="H632" s="37" t="str">
        <f>TEXT(TIME('Merged raw data'!F632,0,0),"h AM/PM")</f>
        <v>1 PM</v>
      </c>
      <c r="I632" s="23" t="str">
        <f>IF(OR('Merged raw data'!H632=1,'Merged raw data'!H632=2,'Merged raw data'!H632=3,'Merged raw data'!H632=4,'Merged raw data'!H632=5),"weekday","weekend")</f>
        <v>weekend</v>
      </c>
      <c r="J632" s="23" t="s">
        <v>23</v>
      </c>
      <c r="K632" s="23" t="str">
        <f>IF('Merged raw data'!I632=1,"Clear",IF('Merged raw data'!I632=2,"Mist",IF('Merged raw data'!I632=3,"Rain",IF('Merged raw data'!I632=4,"Storm","NA"))))</f>
        <v>Mist</v>
      </c>
      <c r="L632" s="24">
        <v>0.55000000000000004</v>
      </c>
      <c r="M632" s="24">
        <v>0.16420000000000001</v>
      </c>
      <c r="N632" s="21">
        <f>'Merged raw data'!$J632*100</f>
        <v>22</v>
      </c>
      <c r="O632" s="21">
        <v>9</v>
      </c>
      <c r="P632" s="21">
        <v>56</v>
      </c>
      <c r="Q632" s="21">
        <v>65</v>
      </c>
      <c r="R632" s="21" t="str">
        <f>IF(Q632&gt;=outliers!I634,"High",IF(Q632&lt;=outliers!I633,"Low","Moderate"))</f>
        <v>High</v>
      </c>
      <c r="S632" s="8" t="str">
        <f>IF(OR(Q632&lt;outliers!$I$6,Q632&gt;outliers!$I$7),"Outlier","Normal")</f>
        <v>Normal</v>
      </c>
      <c r="T632" s="8" t="str">
        <f>IF(OR(L632&lt;outliers!$J$6,L632&gt;outliers!$J$7),"Outlier","Normal")</f>
        <v>Normal</v>
      </c>
      <c r="U632" s="8" t="str">
        <f>IF(OR(M632&lt;outliers!$K$6,M632&gt;outliers!$K$7),"Outlier","Normal")</f>
        <v>Normal</v>
      </c>
    </row>
    <row r="633" spans="1:21">
      <c r="A633" s="21">
        <v>632</v>
      </c>
      <c r="B633" s="68">
        <v>40572</v>
      </c>
      <c r="C633" s="22" t="b">
        <v>0</v>
      </c>
      <c r="D633" s="21" t="str">
        <f t="shared" si="9"/>
        <v>Saturday</v>
      </c>
      <c r="E633" s="23">
        <v>0.2273</v>
      </c>
      <c r="F633" s="23">
        <f>YEAR('Merged raw data'!$B633)</f>
        <v>2011</v>
      </c>
      <c r="G633" s="23" t="str">
        <f>TEXT('Merged raw data'!$B633,"mmmm")</f>
        <v>January</v>
      </c>
      <c r="H633" s="37" t="str">
        <f>TEXT(TIME('Merged raw data'!F633,0,0),"h AM/PM")</f>
        <v>2 PM</v>
      </c>
      <c r="I633" s="23" t="str">
        <f>IF(OR('Merged raw data'!H633=1,'Merged raw data'!H633=2,'Merged raw data'!H633=3,'Merged raw data'!H633=4,'Merged raw data'!H633=5),"weekday","weekend")</f>
        <v>weekend</v>
      </c>
      <c r="J633" s="23" t="s">
        <v>23</v>
      </c>
      <c r="K633" s="23" t="str">
        <f>IF('Merged raw data'!I633=1,"Clear",IF('Merged raw data'!I633=2,"Mist",IF('Merged raw data'!I633=3,"Rain",IF('Merged raw data'!I633=4,"Storm","NA"))))</f>
        <v>Mist</v>
      </c>
      <c r="L633" s="24">
        <v>0.6</v>
      </c>
      <c r="M633" s="24">
        <v>0.1343</v>
      </c>
      <c r="N633" s="21">
        <f>'Merged raw data'!$J633*100</f>
        <v>22</v>
      </c>
      <c r="O633" s="21">
        <v>10</v>
      </c>
      <c r="P633" s="21">
        <v>89</v>
      </c>
      <c r="Q633" s="21">
        <v>99</v>
      </c>
      <c r="R633" s="21" t="str">
        <f>IF(Q633&gt;=outliers!I635,"High",IF(Q633&lt;=outliers!I634,"Low","Moderate"))</f>
        <v>High</v>
      </c>
      <c r="S633" s="8" t="str">
        <f>IF(OR(Q633&lt;outliers!$I$6,Q633&gt;outliers!$I$7),"Outlier","Normal")</f>
        <v>Normal</v>
      </c>
      <c r="T633" s="8" t="str">
        <f>IF(OR(L633&lt;outliers!$J$6,L633&gt;outliers!$J$7),"Outlier","Normal")</f>
        <v>Normal</v>
      </c>
      <c r="U633" s="8" t="str">
        <f>IF(OR(M633&lt;outliers!$K$6,M633&gt;outliers!$K$7),"Outlier","Normal")</f>
        <v>Normal</v>
      </c>
    </row>
    <row r="634" spans="1:21">
      <c r="A634" s="21">
        <v>633</v>
      </c>
      <c r="B634" s="68">
        <v>40572</v>
      </c>
      <c r="C634" s="22" t="b">
        <v>0</v>
      </c>
      <c r="D634" s="21" t="str">
        <f t="shared" si="9"/>
        <v>Saturday</v>
      </c>
      <c r="E634" s="23">
        <v>0.21210000000000001</v>
      </c>
      <c r="F634" s="23">
        <f>YEAR('Merged raw data'!$B634)</f>
        <v>2011</v>
      </c>
      <c r="G634" s="23" t="str">
        <f>TEXT('Merged raw data'!$B634,"mmmm")</f>
        <v>January</v>
      </c>
      <c r="H634" s="37" t="str">
        <f>TEXT(TIME('Merged raw data'!F634,0,0),"h AM/PM")</f>
        <v>3 PM</v>
      </c>
      <c r="I634" s="23" t="str">
        <f>IF(OR('Merged raw data'!H634=1,'Merged raw data'!H634=2,'Merged raw data'!H634=3,'Merged raw data'!H634=4,'Merged raw data'!H634=5),"weekday","weekend")</f>
        <v>weekend</v>
      </c>
      <c r="J634" s="23" t="s">
        <v>23</v>
      </c>
      <c r="K634" s="23" t="str">
        <f>IF('Merged raw data'!I634=1,"Clear",IF('Merged raw data'!I634=2,"Mist",IF('Merged raw data'!I634=3,"Rain",IF('Merged raw data'!I634=4,"Storm","NA"))))</f>
        <v>Clear</v>
      </c>
      <c r="L634" s="24">
        <v>0.69</v>
      </c>
      <c r="M634" s="24">
        <v>0.25369999999999998</v>
      </c>
      <c r="N634" s="21">
        <f>'Merged raw data'!$J634*100</f>
        <v>22</v>
      </c>
      <c r="O634" s="21">
        <v>22</v>
      </c>
      <c r="P634" s="21">
        <v>98</v>
      </c>
      <c r="Q634" s="21">
        <v>120</v>
      </c>
      <c r="R634" s="21" t="str">
        <f>IF(Q634&gt;=outliers!I636,"High",IF(Q634&lt;=outliers!I635,"Low","Moderate"))</f>
        <v>High</v>
      </c>
      <c r="S634" s="8" t="str">
        <f>IF(OR(Q634&lt;outliers!$I$6,Q634&gt;outliers!$I$7),"Outlier","Normal")</f>
        <v>Normal</v>
      </c>
      <c r="T634" s="8" t="str">
        <f>IF(OR(L634&lt;outliers!$J$6,L634&gt;outliers!$J$7),"Outlier","Normal")</f>
        <v>Normal</v>
      </c>
      <c r="U634" s="8" t="str">
        <f>IF(OR(M634&lt;outliers!$K$6,M634&gt;outliers!$K$7),"Outlier","Normal")</f>
        <v>Normal</v>
      </c>
    </row>
    <row r="635" spans="1:21">
      <c r="A635" s="21">
        <v>634</v>
      </c>
      <c r="B635" s="68">
        <v>40572</v>
      </c>
      <c r="C635" s="22" t="b">
        <v>0</v>
      </c>
      <c r="D635" s="21" t="str">
        <f t="shared" si="9"/>
        <v>Saturday</v>
      </c>
      <c r="E635" s="23">
        <v>0.2424</v>
      </c>
      <c r="F635" s="23">
        <f>YEAR('Merged raw data'!$B635)</f>
        <v>2011</v>
      </c>
      <c r="G635" s="23" t="str">
        <f>TEXT('Merged raw data'!$B635,"mmmm")</f>
        <v>January</v>
      </c>
      <c r="H635" s="37" t="str">
        <f>TEXT(TIME('Merged raw data'!F635,0,0),"h AM/PM")</f>
        <v>4 PM</v>
      </c>
      <c r="I635" s="23" t="str">
        <f>IF(OR('Merged raw data'!H635=1,'Merged raw data'!H635=2,'Merged raw data'!H635=3,'Merged raw data'!H635=4,'Merged raw data'!H635=5),"weekday","weekend")</f>
        <v>weekend</v>
      </c>
      <c r="J635" s="23" t="s">
        <v>23</v>
      </c>
      <c r="K635" s="23" t="str">
        <f>IF('Merged raw data'!I635=1,"Clear",IF('Merged raw data'!I635=2,"Mist",IF('Merged raw data'!I635=3,"Rain",IF('Merged raw data'!I635=4,"Storm","NA"))))</f>
        <v>Clear</v>
      </c>
      <c r="L635" s="24">
        <v>0.6</v>
      </c>
      <c r="M635" s="24">
        <v>0.16420000000000001</v>
      </c>
      <c r="N635" s="21">
        <f>'Merged raw data'!$J635*100</f>
        <v>24</v>
      </c>
      <c r="O635" s="21">
        <v>19</v>
      </c>
      <c r="P635" s="21">
        <v>88</v>
      </c>
      <c r="Q635" s="21">
        <v>107</v>
      </c>
      <c r="R635" s="21" t="str">
        <f>IF(Q635&gt;=outliers!I637,"High",IF(Q635&lt;=outliers!I636,"Low","Moderate"))</f>
        <v>High</v>
      </c>
      <c r="S635" s="8" t="str">
        <f>IF(OR(Q635&lt;outliers!$I$6,Q635&gt;outliers!$I$7),"Outlier","Normal")</f>
        <v>Normal</v>
      </c>
      <c r="T635" s="8" t="str">
        <f>IF(OR(L635&lt;outliers!$J$6,L635&gt;outliers!$J$7),"Outlier","Normal")</f>
        <v>Normal</v>
      </c>
      <c r="U635" s="8" t="str">
        <f>IF(OR(M635&lt;outliers!$K$6,M635&gt;outliers!$K$7),"Outlier","Normal")</f>
        <v>Normal</v>
      </c>
    </row>
    <row r="636" spans="1:21">
      <c r="A636" s="21">
        <v>635</v>
      </c>
      <c r="B636" s="68">
        <v>40572</v>
      </c>
      <c r="C636" s="22" t="b">
        <v>0</v>
      </c>
      <c r="D636" s="21" t="str">
        <f t="shared" si="9"/>
        <v>Saturday</v>
      </c>
      <c r="E636" s="23">
        <v>0.28789999999999999</v>
      </c>
      <c r="F636" s="23">
        <f>YEAR('Merged raw data'!$B636)</f>
        <v>2011</v>
      </c>
      <c r="G636" s="23" t="str">
        <f>TEXT('Merged raw data'!$B636,"mmmm")</f>
        <v>January</v>
      </c>
      <c r="H636" s="37" t="str">
        <f>TEXT(TIME('Merged raw data'!F636,0,0),"h AM/PM")</f>
        <v>5 PM</v>
      </c>
      <c r="I636" s="23" t="str">
        <f>IF(OR('Merged raw data'!H636=1,'Merged raw data'!H636=2,'Merged raw data'!H636=3,'Merged raw data'!H636=4,'Merged raw data'!H636=5),"weekday","weekend")</f>
        <v>weekend</v>
      </c>
      <c r="J636" s="23" t="s">
        <v>23</v>
      </c>
      <c r="K636" s="23" t="str">
        <f>IF('Merged raw data'!I636=1,"Clear",IF('Merged raw data'!I636=2,"Mist",IF('Merged raw data'!I636=3,"Rain",IF('Merged raw data'!I636=4,"Storm","NA"))))</f>
        <v>Clear</v>
      </c>
      <c r="L636" s="24">
        <v>0.6</v>
      </c>
      <c r="M636" s="24">
        <v>0.23</v>
      </c>
      <c r="N636" s="21">
        <f>'Merged raw data'!$J636*100</f>
        <v>24</v>
      </c>
      <c r="O636" s="21">
        <v>9</v>
      </c>
      <c r="P636" s="21">
        <v>82</v>
      </c>
      <c r="Q636" s="21">
        <v>91</v>
      </c>
      <c r="R636" s="21" t="str">
        <f>IF(Q636&gt;=outliers!I638,"High",IF(Q636&lt;=outliers!I637,"Low","Moderate"))</f>
        <v>High</v>
      </c>
      <c r="S636" s="8" t="str">
        <f>IF(OR(Q636&lt;outliers!$I$6,Q636&gt;outliers!$I$7),"Outlier","Normal")</f>
        <v>Normal</v>
      </c>
      <c r="T636" s="8" t="str">
        <f>IF(OR(L636&lt;outliers!$J$6,L636&gt;outliers!$J$7),"Outlier","Normal")</f>
        <v>Normal</v>
      </c>
      <c r="U636" s="8" t="str">
        <f>IF(OR(M636&lt;outliers!$K$6,M636&gt;outliers!$K$7),"Outlier","Normal")</f>
        <v>Normal</v>
      </c>
    </row>
    <row r="637" spans="1:21">
      <c r="A637" s="21">
        <v>636</v>
      </c>
      <c r="B637" s="68">
        <v>40572</v>
      </c>
      <c r="C637" s="22" t="b">
        <v>0</v>
      </c>
      <c r="D637" s="21" t="str">
        <f t="shared" si="9"/>
        <v>Saturday</v>
      </c>
      <c r="E637" s="23">
        <v>0.2273</v>
      </c>
      <c r="F637" s="23">
        <f>YEAR('Merged raw data'!$B637)</f>
        <v>2011</v>
      </c>
      <c r="G637" s="23" t="str">
        <f>TEXT('Merged raw data'!$B637,"mmmm")</f>
        <v>January</v>
      </c>
      <c r="H637" s="37" t="str">
        <f>TEXT(TIME('Merged raw data'!F637,0,0),"h AM/PM")</f>
        <v>6 PM</v>
      </c>
      <c r="I637" s="23" t="str">
        <f>IF(OR('Merged raw data'!H637=1,'Merged raw data'!H637=2,'Merged raw data'!H637=3,'Merged raw data'!H637=4,'Merged raw data'!H637=5),"weekday","weekend")</f>
        <v>weekend</v>
      </c>
      <c r="J637" s="23" t="s">
        <v>23</v>
      </c>
      <c r="K637" s="23" t="str">
        <f>IF('Merged raw data'!I637=1,"Clear",IF('Merged raw data'!I637=2,"Mist",IF('Merged raw data'!I637=3,"Rain",IF('Merged raw data'!I637=4,"Storm","NA"))))</f>
        <v>Clear</v>
      </c>
      <c r="L637" s="24">
        <v>0.69</v>
      </c>
      <c r="M637" s="24">
        <v>0.1343</v>
      </c>
      <c r="N637" s="21">
        <f>'Merged raw data'!$J637*100</f>
        <v>22</v>
      </c>
      <c r="O637" s="21">
        <v>9</v>
      </c>
      <c r="P637" s="21">
        <v>59</v>
      </c>
      <c r="Q637" s="21">
        <v>68</v>
      </c>
      <c r="R637" s="21" t="str">
        <f>IF(Q637&gt;=outliers!I639,"High",IF(Q637&lt;=outliers!I638,"Low","Moderate"))</f>
        <v>High</v>
      </c>
      <c r="S637" s="8" t="str">
        <f>IF(OR(Q637&lt;outliers!$I$6,Q637&gt;outliers!$I$7),"Outlier","Normal")</f>
        <v>Normal</v>
      </c>
      <c r="T637" s="8" t="str">
        <f>IF(OR(L637&lt;outliers!$J$6,L637&gt;outliers!$J$7),"Outlier","Normal")</f>
        <v>Normal</v>
      </c>
      <c r="U637" s="8" t="str">
        <f>IF(OR(M637&lt;outliers!$K$6,M637&gt;outliers!$K$7),"Outlier","Normal")</f>
        <v>Normal</v>
      </c>
    </row>
    <row r="638" spans="1:21">
      <c r="A638" s="21">
        <v>637</v>
      </c>
      <c r="B638" s="68">
        <v>40572</v>
      </c>
      <c r="C638" s="22" t="b">
        <v>0</v>
      </c>
      <c r="D638" s="21" t="str">
        <f t="shared" si="9"/>
        <v>Saturday</v>
      </c>
      <c r="E638" s="23">
        <v>0.21210000000000001</v>
      </c>
      <c r="F638" s="23">
        <f>YEAR('Merged raw data'!$B638)</f>
        <v>2011</v>
      </c>
      <c r="G638" s="23" t="str">
        <f>TEXT('Merged raw data'!$B638,"mmmm")</f>
        <v>January</v>
      </c>
      <c r="H638" s="37" t="str">
        <f>TEXT(TIME('Merged raw data'!F638,0,0),"h AM/PM")</f>
        <v>7 PM</v>
      </c>
      <c r="I638" s="23" t="str">
        <f>IF(OR('Merged raw data'!H638=1,'Merged raw data'!H638=2,'Merged raw data'!H638=3,'Merged raw data'!H638=4,'Merged raw data'!H638=5),"weekday","weekend")</f>
        <v>weekend</v>
      </c>
      <c r="J638" s="23" t="s">
        <v>23</v>
      </c>
      <c r="K638" s="23" t="str">
        <f>IF('Merged raw data'!I638=1,"Clear",IF('Merged raw data'!I638=2,"Mist",IF('Merged raw data'!I638=3,"Rain",IF('Merged raw data'!I638=4,"Storm","NA"))))</f>
        <v>Mist</v>
      </c>
      <c r="L638" s="24">
        <v>0.69</v>
      </c>
      <c r="M638" s="24">
        <v>0.25369999999999998</v>
      </c>
      <c r="N638" s="21">
        <f>'Merged raw data'!$J638*100</f>
        <v>22</v>
      </c>
      <c r="O638" s="21">
        <v>6</v>
      </c>
      <c r="P638" s="21">
        <v>52</v>
      </c>
      <c r="Q638" s="21">
        <v>58</v>
      </c>
      <c r="R638" s="21" t="str">
        <f>IF(Q638&gt;=outliers!I640,"High",IF(Q638&lt;=outliers!I639,"Low","Moderate"))</f>
        <v>High</v>
      </c>
      <c r="S638" s="8" t="str">
        <f>IF(OR(Q638&lt;outliers!$I$6,Q638&gt;outliers!$I$7),"Outlier","Normal")</f>
        <v>Normal</v>
      </c>
      <c r="T638" s="8" t="str">
        <f>IF(OR(L638&lt;outliers!$J$6,L638&gt;outliers!$J$7),"Outlier","Normal")</f>
        <v>Normal</v>
      </c>
      <c r="U638" s="8" t="str">
        <f>IF(OR(M638&lt;outliers!$K$6,M638&gt;outliers!$K$7),"Outlier","Normal")</f>
        <v>Normal</v>
      </c>
    </row>
    <row r="639" spans="1:21">
      <c r="A639" s="21">
        <v>638</v>
      </c>
      <c r="B639" s="68">
        <v>40572</v>
      </c>
      <c r="C639" s="22" t="b">
        <v>0</v>
      </c>
      <c r="D639" s="21" t="str">
        <f t="shared" si="9"/>
        <v>Saturday</v>
      </c>
      <c r="E639" s="23">
        <v>0.21210000000000001</v>
      </c>
      <c r="F639" s="23">
        <f>YEAR('Merged raw data'!$B639)</f>
        <v>2011</v>
      </c>
      <c r="G639" s="23" t="str">
        <f>TEXT('Merged raw data'!$B639,"mmmm")</f>
        <v>January</v>
      </c>
      <c r="H639" s="37" t="str">
        <f>TEXT(TIME('Merged raw data'!F639,0,0),"h AM/PM")</f>
        <v>8 PM</v>
      </c>
      <c r="I639" s="23" t="str">
        <f>IF(OR('Merged raw data'!H639=1,'Merged raw data'!H639=2,'Merged raw data'!H639=3,'Merged raw data'!H639=4,'Merged raw data'!H639=5),"weekday","weekend")</f>
        <v>weekend</v>
      </c>
      <c r="J639" s="23" t="s">
        <v>23</v>
      </c>
      <c r="K639" s="23" t="str">
        <f>IF('Merged raw data'!I639=1,"Clear",IF('Merged raw data'!I639=2,"Mist",IF('Merged raw data'!I639=3,"Rain",IF('Merged raw data'!I639=4,"Storm","NA"))))</f>
        <v>Clear</v>
      </c>
      <c r="L639" s="24">
        <v>0.74</v>
      </c>
      <c r="M639" s="24">
        <v>8.9599999999999999E-2</v>
      </c>
      <c r="N639" s="21">
        <f>'Merged raw data'!$J639*100</f>
        <v>18</v>
      </c>
      <c r="O639" s="21">
        <v>1</v>
      </c>
      <c r="P639" s="21">
        <v>42</v>
      </c>
      <c r="Q639" s="21">
        <v>43</v>
      </c>
      <c r="R639" s="21" t="str">
        <f>IF(Q639&gt;=outliers!I641,"High",IF(Q639&lt;=outliers!I640,"Low","Moderate"))</f>
        <v>High</v>
      </c>
      <c r="S639" s="8" t="str">
        <f>IF(OR(Q639&lt;outliers!$I$6,Q639&gt;outliers!$I$7),"Outlier","Normal")</f>
        <v>Normal</v>
      </c>
      <c r="T639" s="8" t="str">
        <f>IF(OR(L639&lt;outliers!$J$6,L639&gt;outliers!$J$7),"Outlier","Normal")</f>
        <v>Normal</v>
      </c>
      <c r="U639" s="8" t="str">
        <f>IF(OR(M639&lt;outliers!$K$6,M639&gt;outliers!$K$7),"Outlier","Normal")</f>
        <v>Normal</v>
      </c>
    </row>
    <row r="640" spans="1:21">
      <c r="A640" s="21">
        <v>639</v>
      </c>
      <c r="B640" s="68">
        <v>40572</v>
      </c>
      <c r="C640" s="22" t="b">
        <v>0</v>
      </c>
      <c r="D640" s="21" t="str">
        <f t="shared" si="9"/>
        <v>Saturday</v>
      </c>
      <c r="E640" s="23">
        <v>0.21210000000000001</v>
      </c>
      <c r="F640" s="23">
        <f>YEAR('Merged raw data'!$B640)</f>
        <v>2011</v>
      </c>
      <c r="G640" s="23" t="str">
        <f>TEXT('Merged raw data'!$B640,"mmmm")</f>
        <v>January</v>
      </c>
      <c r="H640" s="37" t="str">
        <f>TEXT(TIME('Merged raw data'!F640,0,0),"h AM/PM")</f>
        <v>9 PM</v>
      </c>
      <c r="I640" s="23" t="str">
        <f>IF(OR('Merged raw data'!H640=1,'Merged raw data'!H640=2,'Merged raw data'!H640=3,'Merged raw data'!H640=4,'Merged raw data'!H640=5),"weekday","weekend")</f>
        <v>weekend</v>
      </c>
      <c r="J640" s="23" t="s">
        <v>23</v>
      </c>
      <c r="K640" s="23" t="str">
        <f>IF('Merged raw data'!I640=1,"Clear",IF('Merged raw data'!I640=2,"Mist",IF('Merged raw data'!I640=3,"Rain",IF('Merged raw data'!I640=4,"Storm","NA"))))</f>
        <v>Clear</v>
      </c>
      <c r="L640" s="24">
        <v>0.74</v>
      </c>
      <c r="M640" s="24">
        <v>8.9599999999999999E-2</v>
      </c>
      <c r="N640" s="21">
        <f>'Merged raw data'!$J640*100</f>
        <v>18</v>
      </c>
      <c r="O640" s="21">
        <v>1</v>
      </c>
      <c r="P640" s="21">
        <v>35</v>
      </c>
      <c r="Q640" s="21">
        <v>36</v>
      </c>
      <c r="R640" s="21" t="str">
        <f>IF(Q640&gt;=outliers!I642,"High",IF(Q640&lt;=outliers!I641,"Low","Moderate"))</f>
        <v>High</v>
      </c>
      <c r="S640" s="8" t="str">
        <f>IF(OR(Q640&lt;outliers!$I$6,Q640&gt;outliers!$I$7),"Outlier","Normal")</f>
        <v>Normal</v>
      </c>
      <c r="T640" s="8" t="str">
        <f>IF(OR(L640&lt;outliers!$J$6,L640&gt;outliers!$J$7),"Outlier","Normal")</f>
        <v>Normal</v>
      </c>
      <c r="U640" s="8" t="str">
        <f>IF(OR(M640&lt;outliers!$K$6,M640&gt;outliers!$K$7),"Outlier","Normal")</f>
        <v>Normal</v>
      </c>
    </row>
    <row r="641" spans="1:21">
      <c r="A641" s="21">
        <v>640</v>
      </c>
      <c r="B641" s="68">
        <v>40572</v>
      </c>
      <c r="C641" s="22" t="b">
        <v>0</v>
      </c>
      <c r="D641" s="21" t="str">
        <f t="shared" si="9"/>
        <v>Saturday</v>
      </c>
      <c r="E641" s="23">
        <v>0.19700000000000001</v>
      </c>
      <c r="F641" s="23">
        <f>YEAR('Merged raw data'!$B641)</f>
        <v>2011</v>
      </c>
      <c r="G641" s="23" t="str">
        <f>TEXT('Merged raw data'!$B641,"mmmm")</f>
        <v>January</v>
      </c>
      <c r="H641" s="37" t="str">
        <f>TEXT(TIME('Merged raw data'!F641,0,0),"h AM/PM")</f>
        <v>10 PM</v>
      </c>
      <c r="I641" s="23" t="str">
        <f>IF(OR('Merged raw data'!H641=1,'Merged raw data'!H641=2,'Merged raw data'!H641=3,'Merged raw data'!H641=4,'Merged raw data'!H641=5),"weekday","weekend")</f>
        <v>weekend</v>
      </c>
      <c r="J641" s="23" t="s">
        <v>23</v>
      </c>
      <c r="K641" s="23" t="str">
        <f>IF('Merged raw data'!I641=1,"Clear",IF('Merged raw data'!I641=2,"Mist",IF('Merged raw data'!I641=3,"Rain",IF('Merged raw data'!I641=4,"Storm","NA"))))</f>
        <v>Clear</v>
      </c>
      <c r="L641" s="24">
        <v>0.8</v>
      </c>
      <c r="M641" s="24">
        <v>8.9599999999999999E-2</v>
      </c>
      <c r="N641" s="21">
        <f>'Merged raw data'!$J641*100</f>
        <v>16</v>
      </c>
      <c r="O641" s="21">
        <v>4</v>
      </c>
      <c r="P641" s="21">
        <v>28</v>
      </c>
      <c r="Q641" s="21">
        <v>32</v>
      </c>
      <c r="R641" s="21" t="str">
        <f>IF(Q641&gt;=outliers!I643,"High",IF(Q641&lt;=outliers!I642,"Low","Moderate"))</f>
        <v>High</v>
      </c>
      <c r="S641" s="8" t="str">
        <f>IF(OR(Q641&lt;outliers!$I$6,Q641&gt;outliers!$I$7),"Outlier","Normal")</f>
        <v>Normal</v>
      </c>
      <c r="T641" s="8" t="str">
        <f>IF(OR(L641&lt;outliers!$J$6,L641&gt;outliers!$J$7),"Outlier","Normal")</f>
        <v>Normal</v>
      </c>
      <c r="U641" s="8" t="str">
        <f>IF(OR(M641&lt;outliers!$K$6,M641&gt;outliers!$K$7),"Outlier","Normal")</f>
        <v>Normal</v>
      </c>
    </row>
    <row r="642" spans="1:21">
      <c r="A642" s="21">
        <v>641</v>
      </c>
      <c r="B642" s="68">
        <v>40572</v>
      </c>
      <c r="C642" s="22" t="b">
        <v>0</v>
      </c>
      <c r="D642" s="21" t="str">
        <f t="shared" si="9"/>
        <v>Saturday</v>
      </c>
      <c r="E642" s="23">
        <v>0.19700000000000001</v>
      </c>
      <c r="F642" s="23">
        <f>YEAR('Merged raw data'!$B642)</f>
        <v>2011</v>
      </c>
      <c r="G642" s="23" t="str">
        <f>TEXT('Merged raw data'!$B642,"mmmm")</f>
        <v>January</v>
      </c>
      <c r="H642" s="37" t="str">
        <f>TEXT(TIME('Merged raw data'!F642,0,0),"h AM/PM")</f>
        <v>11 PM</v>
      </c>
      <c r="I642" s="23" t="str">
        <f>IF(OR('Merged raw data'!H642=1,'Merged raw data'!H642=2,'Merged raw data'!H642=3,'Merged raw data'!H642=4,'Merged raw data'!H642=5),"weekday","weekend")</f>
        <v>weekend</v>
      </c>
      <c r="J642" s="23" t="s">
        <v>23</v>
      </c>
      <c r="K642" s="23" t="str">
        <f>IF('Merged raw data'!I642=1,"Clear",IF('Merged raw data'!I642=2,"Mist",IF('Merged raw data'!I642=3,"Rain",IF('Merged raw data'!I642=4,"Storm","NA"))))</f>
        <v>Clear</v>
      </c>
      <c r="L642" s="24">
        <v>0.8</v>
      </c>
      <c r="M642" s="24">
        <v>8.9599999999999999E-2</v>
      </c>
      <c r="N642" s="21">
        <f>'Merged raw data'!$J642*100</f>
        <v>16</v>
      </c>
      <c r="O642" s="21">
        <v>3</v>
      </c>
      <c r="P642" s="21">
        <v>30</v>
      </c>
      <c r="Q642" s="21">
        <v>33</v>
      </c>
      <c r="R642" s="21" t="str">
        <f>IF(Q642&gt;=outliers!I644,"High",IF(Q642&lt;=outliers!I643,"Low","Moderate"))</f>
        <v>High</v>
      </c>
      <c r="S642" s="8" t="str">
        <f>IF(OR(Q642&lt;outliers!$I$6,Q642&gt;outliers!$I$7),"Outlier","Normal")</f>
        <v>Normal</v>
      </c>
      <c r="T642" s="8" t="str">
        <f>IF(OR(L642&lt;outliers!$J$6,L642&gt;outliers!$J$7),"Outlier","Normal")</f>
        <v>Normal</v>
      </c>
      <c r="U642" s="8" t="str">
        <f>IF(OR(M642&lt;outliers!$K$6,M642&gt;outliers!$K$7),"Outlier","Normal")</f>
        <v>Normal</v>
      </c>
    </row>
    <row r="643" spans="1:21">
      <c r="A643" s="21">
        <v>642</v>
      </c>
      <c r="B643" s="68">
        <v>40573</v>
      </c>
      <c r="C643" s="22" t="b">
        <v>0</v>
      </c>
      <c r="D643" s="21" t="str">
        <f t="shared" ref="D643:D706" si="10">TEXT(B643,"dddd")</f>
        <v>Sunday</v>
      </c>
      <c r="E643" s="23">
        <v>0.18179999999999999</v>
      </c>
      <c r="F643" s="23">
        <f>YEAR('Merged raw data'!$B643)</f>
        <v>2011</v>
      </c>
      <c r="G643" s="23" t="str">
        <f>TEXT('Merged raw data'!$B643,"mmmm")</f>
        <v>January</v>
      </c>
      <c r="H643" s="37" t="str">
        <f>TEXT(TIME('Merged raw data'!F643,0,0),"h AM/PM")</f>
        <v>12 AM</v>
      </c>
      <c r="I643" s="23" t="str">
        <f>IF(OR('Merged raw data'!H643=1,'Merged raw data'!H643=2,'Merged raw data'!H643=3,'Merged raw data'!H643=4,'Merged raw data'!H643=5),"weekday","weekend")</f>
        <v>weekend</v>
      </c>
      <c r="J643" s="23" t="s">
        <v>23</v>
      </c>
      <c r="K643" s="23" t="str">
        <f>IF('Merged raw data'!I643=1,"Clear",IF('Merged raw data'!I643=2,"Mist",IF('Merged raw data'!I643=3,"Rain",IF('Merged raw data'!I643=4,"Storm","NA"))))</f>
        <v>Clear</v>
      </c>
      <c r="L643" s="24">
        <v>0.8</v>
      </c>
      <c r="M643" s="24">
        <v>0.1045</v>
      </c>
      <c r="N643" s="21">
        <f>'Merged raw data'!$J643*100</f>
        <v>16</v>
      </c>
      <c r="O643" s="21">
        <v>0</v>
      </c>
      <c r="P643" s="21">
        <v>33</v>
      </c>
      <c r="Q643" s="21">
        <v>33</v>
      </c>
      <c r="R643" s="21" t="str">
        <f>IF(Q643&gt;=outliers!I645,"High",IF(Q643&lt;=outliers!I644,"Low","Moderate"))</f>
        <v>High</v>
      </c>
      <c r="S643" s="8" t="str">
        <f>IF(OR(Q643&lt;outliers!$I$6,Q643&gt;outliers!$I$7),"Outlier","Normal")</f>
        <v>Normal</v>
      </c>
      <c r="T643" s="8" t="str">
        <f>IF(OR(L643&lt;outliers!$J$6,L643&gt;outliers!$J$7),"Outlier","Normal")</f>
        <v>Normal</v>
      </c>
      <c r="U643" s="8" t="str">
        <f>IF(OR(M643&lt;outliers!$K$6,M643&gt;outliers!$K$7),"Outlier","Normal")</f>
        <v>Normal</v>
      </c>
    </row>
    <row r="644" spans="1:21">
      <c r="A644" s="21">
        <v>643</v>
      </c>
      <c r="B644" s="68">
        <v>40573</v>
      </c>
      <c r="C644" s="22" t="b">
        <v>0</v>
      </c>
      <c r="D644" s="21" t="str">
        <f t="shared" si="10"/>
        <v>Sunday</v>
      </c>
      <c r="E644" s="23">
        <v>0.21210000000000001</v>
      </c>
      <c r="F644" s="23">
        <f>YEAR('Merged raw data'!$B644)</f>
        <v>2011</v>
      </c>
      <c r="G644" s="23" t="str">
        <f>TEXT('Merged raw data'!$B644,"mmmm")</f>
        <v>January</v>
      </c>
      <c r="H644" s="37" t="str">
        <f>TEXT(TIME('Merged raw data'!F644,0,0),"h AM/PM")</f>
        <v>1 AM</v>
      </c>
      <c r="I644" s="23" t="str">
        <f>IF(OR('Merged raw data'!H644=1,'Merged raw data'!H644=2,'Merged raw data'!H644=3,'Merged raw data'!H644=4,'Merged raw data'!H644=5),"weekday","weekend")</f>
        <v>weekend</v>
      </c>
      <c r="J644" s="23" t="s">
        <v>23</v>
      </c>
      <c r="K644" s="23" t="str">
        <f>IF('Merged raw data'!I644=1,"Clear",IF('Merged raw data'!I644=2,"Mist",IF('Merged raw data'!I644=3,"Rain",IF('Merged raw data'!I644=4,"Storm","NA"))))</f>
        <v>Clear</v>
      </c>
      <c r="L644" s="24">
        <v>0.8</v>
      </c>
      <c r="M644" s="24">
        <v>0.23</v>
      </c>
      <c r="N644" s="21">
        <f>'Merged raw data'!$J644*100</f>
        <v>14.000000000000002</v>
      </c>
      <c r="O644" s="21">
        <v>7</v>
      </c>
      <c r="P644" s="21">
        <v>22</v>
      </c>
      <c r="Q644" s="21">
        <v>29</v>
      </c>
      <c r="R644" s="21" t="str">
        <f>IF(Q644&gt;=outliers!I646,"High",IF(Q644&lt;=outliers!I645,"Low","Moderate"))</f>
        <v>High</v>
      </c>
      <c r="S644" s="8" t="str">
        <f>IF(OR(Q644&lt;outliers!$I$6,Q644&gt;outliers!$I$7),"Outlier","Normal")</f>
        <v>Normal</v>
      </c>
      <c r="T644" s="8" t="str">
        <f>IF(OR(L644&lt;outliers!$J$6,L644&gt;outliers!$J$7),"Outlier","Normal")</f>
        <v>Normal</v>
      </c>
      <c r="U644" s="8" t="str">
        <f>IF(OR(M644&lt;outliers!$K$6,M644&gt;outliers!$K$7),"Outlier","Normal")</f>
        <v>Normal</v>
      </c>
    </row>
    <row r="645" spans="1:21">
      <c r="A645" s="21">
        <v>644</v>
      </c>
      <c r="B645" s="68">
        <v>40573</v>
      </c>
      <c r="C645" s="22" t="b">
        <v>0</v>
      </c>
      <c r="D645" s="21" t="str">
        <f t="shared" si="10"/>
        <v>Sunday</v>
      </c>
      <c r="E645" s="23">
        <v>0.2273</v>
      </c>
      <c r="F645" s="23">
        <f>YEAR('Merged raw data'!$B645)</f>
        <v>2011</v>
      </c>
      <c r="G645" s="23" t="str">
        <f>TEXT('Merged raw data'!$B645,"mmmm")</f>
        <v>January</v>
      </c>
      <c r="H645" s="37" t="str">
        <f>TEXT(TIME('Merged raw data'!F645,0,0),"h AM/PM")</f>
        <v>2 AM</v>
      </c>
      <c r="I645" s="23" t="str">
        <f>IF(OR('Merged raw data'!H645=1,'Merged raw data'!H645=2,'Merged raw data'!H645=3,'Merged raw data'!H645=4,'Merged raw data'!H645=5),"weekday","weekend")</f>
        <v>weekend</v>
      </c>
      <c r="J645" s="23" t="s">
        <v>23</v>
      </c>
      <c r="K645" s="23" t="str">
        <f>IF('Merged raw data'!I645=1,"Clear",IF('Merged raw data'!I645=2,"Mist",IF('Merged raw data'!I645=3,"Rain",IF('Merged raw data'!I645=4,"Storm","NA"))))</f>
        <v>Clear</v>
      </c>
      <c r="L645" s="24">
        <v>0.8</v>
      </c>
      <c r="M645" s="24">
        <v>0.23</v>
      </c>
      <c r="N645" s="21">
        <f>'Merged raw data'!$J645*100</f>
        <v>16</v>
      </c>
      <c r="O645" s="21">
        <v>1</v>
      </c>
      <c r="P645" s="21">
        <v>10</v>
      </c>
      <c r="Q645" s="21">
        <v>11</v>
      </c>
      <c r="R645" s="21" t="str">
        <f>IF(Q645&gt;=outliers!I647,"High",IF(Q645&lt;=outliers!I646,"Low","Moderate"))</f>
        <v>High</v>
      </c>
      <c r="S645" s="8" t="str">
        <f>IF(OR(Q645&lt;outliers!$I$6,Q645&gt;outliers!$I$7),"Outlier","Normal")</f>
        <v>Normal</v>
      </c>
      <c r="T645" s="8" t="str">
        <f>IF(OR(L645&lt;outliers!$J$6,L645&gt;outliers!$J$7),"Outlier","Normal")</f>
        <v>Normal</v>
      </c>
      <c r="U645" s="8" t="str">
        <f>IF(OR(M645&lt;outliers!$K$6,M645&gt;outliers!$K$7),"Outlier","Normal")</f>
        <v>Normal</v>
      </c>
    </row>
    <row r="646" spans="1:21">
      <c r="A646" s="21">
        <v>645</v>
      </c>
      <c r="B646" s="68">
        <v>40573</v>
      </c>
      <c r="C646" s="22" t="b">
        <v>0</v>
      </c>
      <c r="D646" s="21" t="str">
        <f t="shared" si="10"/>
        <v>Sunday</v>
      </c>
      <c r="E646" s="23">
        <v>0.21210000000000001</v>
      </c>
      <c r="F646" s="23">
        <f>YEAR('Merged raw data'!$B646)</f>
        <v>2011</v>
      </c>
      <c r="G646" s="23" t="str">
        <f>TEXT('Merged raw data'!$B646,"mmmm")</f>
        <v>January</v>
      </c>
      <c r="H646" s="37" t="str">
        <f>TEXT(TIME('Merged raw data'!F646,0,0),"h AM/PM")</f>
        <v>3 AM</v>
      </c>
      <c r="I646" s="23" t="str">
        <f>IF(OR('Merged raw data'!H646=1,'Merged raw data'!H646=2,'Merged raw data'!H646=3,'Merged raw data'!H646=4,'Merged raw data'!H646=5),"weekday","weekend")</f>
        <v>weekend</v>
      </c>
      <c r="J646" s="23" t="s">
        <v>23</v>
      </c>
      <c r="K646" s="23" t="str">
        <f>IF('Merged raw data'!I646=1,"Clear",IF('Merged raw data'!I646=2,"Mist",IF('Merged raw data'!I646=3,"Rain",IF('Merged raw data'!I646=4,"Storm","NA"))))</f>
        <v>Clear</v>
      </c>
      <c r="L646" s="24">
        <v>0.93</v>
      </c>
      <c r="M646" s="24">
        <v>0.23</v>
      </c>
      <c r="N646" s="21">
        <f>'Merged raw data'!$J646*100</f>
        <v>14.000000000000002</v>
      </c>
      <c r="O646" s="21">
        <v>1</v>
      </c>
      <c r="P646" s="21">
        <v>7</v>
      </c>
      <c r="Q646" s="21">
        <v>8</v>
      </c>
      <c r="R646" s="21" t="str">
        <f>IF(Q646&gt;=outliers!I648,"High",IF(Q646&lt;=outliers!I647,"Low","Moderate"))</f>
        <v>High</v>
      </c>
      <c r="S646" s="8" t="str">
        <f>IF(OR(Q646&lt;outliers!$I$6,Q646&gt;outliers!$I$7),"Outlier","Normal")</f>
        <v>Normal</v>
      </c>
      <c r="T646" s="8" t="str">
        <f>IF(OR(L646&lt;outliers!$J$6,L646&gt;outliers!$J$7),"Outlier","Normal")</f>
        <v>Normal</v>
      </c>
      <c r="U646" s="8" t="str">
        <f>IF(OR(M646&lt;outliers!$K$6,M646&gt;outliers!$K$7),"Outlier","Normal")</f>
        <v>Normal</v>
      </c>
    </row>
    <row r="647" spans="1:21">
      <c r="A647" s="21">
        <v>646</v>
      </c>
      <c r="B647" s="68">
        <v>40573</v>
      </c>
      <c r="C647" s="22" t="b">
        <v>0</v>
      </c>
      <c r="D647" s="21" t="str">
        <f t="shared" si="10"/>
        <v>Sunday</v>
      </c>
      <c r="E647" s="23">
        <v>0.21210000000000001</v>
      </c>
      <c r="F647" s="23">
        <f>YEAR('Merged raw data'!$B647)</f>
        <v>2011</v>
      </c>
      <c r="G647" s="23" t="str">
        <f>TEXT('Merged raw data'!$B647,"mmmm")</f>
        <v>January</v>
      </c>
      <c r="H647" s="37" t="str">
        <f>TEXT(TIME('Merged raw data'!F647,0,0),"h AM/PM")</f>
        <v>4 AM</v>
      </c>
      <c r="I647" s="23" t="str">
        <f>IF(OR('Merged raw data'!H647=1,'Merged raw data'!H647=2,'Merged raw data'!H647=3,'Merged raw data'!H647=4,'Merged raw data'!H647=5),"weekday","weekend")</f>
        <v>weekend</v>
      </c>
      <c r="J647" s="23" t="s">
        <v>23</v>
      </c>
      <c r="K647" s="23" t="str">
        <f>IF('Merged raw data'!I647=1,"Clear",IF('Merged raw data'!I647=2,"Mist",IF('Merged raw data'!I647=3,"Rain",IF('Merged raw data'!I647=4,"Storm","NA"))))</f>
        <v>Clear</v>
      </c>
      <c r="L647" s="24">
        <v>0.93</v>
      </c>
      <c r="M647" s="24">
        <v>0.23</v>
      </c>
      <c r="N647" s="21">
        <f>'Merged raw data'!$J647*100</f>
        <v>14.000000000000002</v>
      </c>
      <c r="O647" s="21">
        <v>0</v>
      </c>
      <c r="P647" s="21">
        <v>1</v>
      </c>
      <c r="Q647" s="21">
        <v>1</v>
      </c>
      <c r="R647" s="21" t="str">
        <f>IF(Q647&gt;=outliers!I649,"High",IF(Q647&lt;=outliers!I648,"Low","Moderate"))</f>
        <v>High</v>
      </c>
      <c r="S647" s="8" t="str">
        <f>IF(OR(Q647&lt;outliers!$I$6,Q647&gt;outliers!$I$7),"Outlier","Normal")</f>
        <v>Normal</v>
      </c>
      <c r="T647" s="8" t="str">
        <f>IF(OR(L647&lt;outliers!$J$6,L647&gt;outliers!$J$7),"Outlier","Normal")</f>
        <v>Normal</v>
      </c>
      <c r="U647" s="8" t="str">
        <f>IF(OR(M647&lt;outliers!$K$6,M647&gt;outliers!$K$7),"Outlier","Normal")</f>
        <v>Normal</v>
      </c>
    </row>
    <row r="648" spans="1:21">
      <c r="A648" s="21">
        <v>647</v>
      </c>
      <c r="B648" s="68">
        <v>40573</v>
      </c>
      <c r="C648" s="22" t="b">
        <v>0</v>
      </c>
      <c r="D648" s="21" t="str">
        <f t="shared" si="10"/>
        <v>Sunday</v>
      </c>
      <c r="E648" s="23">
        <v>0.21210000000000001</v>
      </c>
      <c r="F648" s="23">
        <f>YEAR('Merged raw data'!$B648)</f>
        <v>2011</v>
      </c>
      <c r="G648" s="23" t="str">
        <f>TEXT('Merged raw data'!$B648,"mmmm")</f>
        <v>January</v>
      </c>
      <c r="H648" s="37" t="str">
        <f>TEXT(TIME('Merged raw data'!F648,0,0),"h AM/PM")</f>
        <v>5 AM</v>
      </c>
      <c r="I648" s="23" t="str">
        <f>IF(OR('Merged raw data'!H648=1,'Merged raw data'!H648=2,'Merged raw data'!H648=3,'Merged raw data'!H648=4,'Merged raw data'!H648=5),"weekday","weekend")</f>
        <v>weekend</v>
      </c>
      <c r="J648" s="23" t="s">
        <v>23</v>
      </c>
      <c r="K648" s="23" t="str">
        <f>IF('Merged raw data'!I648=1,"Clear",IF('Merged raw data'!I648=2,"Mist",IF('Merged raw data'!I648=3,"Rain",IF('Merged raw data'!I648=4,"Storm","NA"))))</f>
        <v>Clear</v>
      </c>
      <c r="L648" s="24">
        <v>0.86</v>
      </c>
      <c r="M648" s="24">
        <v>0.23</v>
      </c>
      <c r="N648" s="21">
        <f>'Merged raw data'!$J648*100</f>
        <v>14.000000000000002</v>
      </c>
      <c r="O648" s="21">
        <v>0</v>
      </c>
      <c r="P648" s="21">
        <v>3</v>
      </c>
      <c r="Q648" s="21">
        <v>3</v>
      </c>
      <c r="R648" s="21" t="str">
        <f>IF(Q648&gt;=outliers!I650,"High",IF(Q648&lt;=outliers!I649,"Low","Moderate"))</f>
        <v>High</v>
      </c>
      <c r="S648" s="8" t="str">
        <f>IF(OR(Q648&lt;outliers!$I$6,Q648&gt;outliers!$I$7),"Outlier","Normal")</f>
        <v>Normal</v>
      </c>
      <c r="T648" s="8" t="str">
        <f>IF(OR(L648&lt;outliers!$J$6,L648&gt;outliers!$J$7),"Outlier","Normal")</f>
        <v>Normal</v>
      </c>
      <c r="U648" s="8" t="str">
        <f>IF(OR(M648&lt;outliers!$K$6,M648&gt;outliers!$K$7),"Outlier","Normal")</f>
        <v>Normal</v>
      </c>
    </row>
    <row r="649" spans="1:21">
      <c r="A649" s="21">
        <v>648</v>
      </c>
      <c r="B649" s="68">
        <v>40573</v>
      </c>
      <c r="C649" s="22" t="b">
        <v>0</v>
      </c>
      <c r="D649" s="21" t="str">
        <f t="shared" si="10"/>
        <v>Sunday</v>
      </c>
      <c r="E649" s="23">
        <v>0.21210000000000001</v>
      </c>
      <c r="F649" s="23">
        <f>YEAR('Merged raw data'!$B649)</f>
        <v>2011</v>
      </c>
      <c r="G649" s="23" t="str">
        <f>TEXT('Merged raw data'!$B649,"mmmm")</f>
        <v>January</v>
      </c>
      <c r="H649" s="37" t="str">
        <f>TEXT(TIME('Merged raw data'!F649,0,0),"h AM/PM")</f>
        <v>7 AM</v>
      </c>
      <c r="I649" s="23" t="str">
        <f>IF(OR('Merged raw data'!H649=1,'Merged raw data'!H649=2,'Merged raw data'!H649=3,'Merged raw data'!H649=4,'Merged raw data'!H649=5),"weekday","weekend")</f>
        <v>weekend</v>
      </c>
      <c r="J649" s="23" t="s">
        <v>23</v>
      </c>
      <c r="K649" s="23" t="str">
        <f>IF('Merged raw data'!I649=1,"Clear",IF('Merged raw data'!I649=2,"Mist",IF('Merged raw data'!I649=3,"Rain",IF('Merged raw data'!I649=4,"Storm","NA"))))</f>
        <v>Clear</v>
      </c>
      <c r="L649" s="24">
        <v>0.86</v>
      </c>
      <c r="M649" s="24">
        <v>0.23</v>
      </c>
      <c r="N649" s="21">
        <f>'Merged raw data'!$J649*100</f>
        <v>14.000000000000002</v>
      </c>
      <c r="O649" s="21">
        <v>0</v>
      </c>
      <c r="P649" s="21">
        <v>3</v>
      </c>
      <c r="Q649" s="21">
        <v>3</v>
      </c>
      <c r="R649" s="21" t="str">
        <f>IF(Q649&gt;=outliers!I651,"High",IF(Q649&lt;=outliers!I650,"Low","Moderate"))</f>
        <v>High</v>
      </c>
      <c r="S649" s="8" t="str">
        <f>IF(OR(Q649&lt;outliers!$I$6,Q649&gt;outliers!$I$7),"Outlier","Normal")</f>
        <v>Normal</v>
      </c>
      <c r="T649" s="8" t="str">
        <f>IF(OR(L649&lt;outliers!$J$6,L649&gt;outliers!$J$7),"Outlier","Normal")</f>
        <v>Normal</v>
      </c>
      <c r="U649" s="8" t="str">
        <f>IF(OR(M649&lt;outliers!$K$6,M649&gt;outliers!$K$7),"Outlier","Normal")</f>
        <v>Normal</v>
      </c>
    </row>
    <row r="650" spans="1:21">
      <c r="A650" s="21">
        <v>649</v>
      </c>
      <c r="B650" s="68">
        <v>40573</v>
      </c>
      <c r="C650" s="22" t="b">
        <v>0</v>
      </c>
      <c r="D650" s="21" t="str">
        <f t="shared" si="10"/>
        <v>Sunday</v>
      </c>
      <c r="E650" s="23">
        <v>0.21210000000000001</v>
      </c>
      <c r="F650" s="23">
        <f>YEAR('Merged raw data'!$B650)</f>
        <v>2011</v>
      </c>
      <c r="G650" s="23" t="str">
        <f>TEXT('Merged raw data'!$B650,"mmmm")</f>
        <v>January</v>
      </c>
      <c r="H650" s="37" t="str">
        <f>TEXT(TIME('Merged raw data'!F650,0,0),"h AM/PM")</f>
        <v>8 AM</v>
      </c>
      <c r="I650" s="23" t="str">
        <f>IF(OR('Merged raw data'!H650=1,'Merged raw data'!H650=2,'Merged raw data'!H650=3,'Merged raw data'!H650=4,'Merged raw data'!H650=5),"weekday","weekend")</f>
        <v>weekend</v>
      </c>
      <c r="J650" s="23" t="s">
        <v>23</v>
      </c>
      <c r="K650" s="23" t="str">
        <f>IF('Merged raw data'!I650=1,"Clear",IF('Merged raw data'!I650=2,"Mist",IF('Merged raw data'!I650=3,"Rain",IF('Merged raw data'!I650=4,"Storm","NA"))))</f>
        <v>Mist</v>
      </c>
      <c r="L650" s="24">
        <v>0.86</v>
      </c>
      <c r="M650" s="24">
        <v>0.23</v>
      </c>
      <c r="N650" s="21">
        <f>'Merged raw data'!$J650*100</f>
        <v>14.000000000000002</v>
      </c>
      <c r="O650" s="21">
        <v>1</v>
      </c>
      <c r="P650" s="21">
        <v>11</v>
      </c>
      <c r="Q650" s="21">
        <v>12</v>
      </c>
      <c r="R650" s="21" t="str">
        <f>IF(Q650&gt;=outliers!I652,"High",IF(Q650&lt;=outliers!I651,"Low","Moderate"))</f>
        <v>High</v>
      </c>
      <c r="S650" s="8" t="str">
        <f>IF(OR(Q650&lt;outliers!$I$6,Q650&gt;outliers!$I$7),"Outlier","Normal")</f>
        <v>Normal</v>
      </c>
      <c r="T650" s="8" t="str">
        <f>IF(OR(L650&lt;outliers!$J$6,L650&gt;outliers!$J$7),"Outlier","Normal")</f>
        <v>Normal</v>
      </c>
      <c r="U650" s="8" t="str">
        <f>IF(OR(M650&lt;outliers!$K$6,M650&gt;outliers!$K$7),"Outlier","Normal")</f>
        <v>Normal</v>
      </c>
    </row>
    <row r="651" spans="1:21">
      <c r="A651" s="21">
        <v>650</v>
      </c>
      <c r="B651" s="68">
        <v>40573</v>
      </c>
      <c r="C651" s="22" t="b">
        <v>0</v>
      </c>
      <c r="D651" s="21" t="str">
        <f t="shared" si="10"/>
        <v>Sunday</v>
      </c>
      <c r="E651" s="23">
        <v>0.2273</v>
      </c>
      <c r="F651" s="23">
        <f>YEAR('Merged raw data'!$B651)</f>
        <v>2011</v>
      </c>
      <c r="G651" s="23" t="str">
        <f>TEXT('Merged raw data'!$B651,"mmmm")</f>
        <v>January</v>
      </c>
      <c r="H651" s="37" t="str">
        <f>TEXT(TIME('Merged raw data'!F651,0,0),"h AM/PM")</f>
        <v>9 AM</v>
      </c>
      <c r="I651" s="23" t="str">
        <f>IF(OR('Merged raw data'!H651=1,'Merged raw data'!H651=2,'Merged raw data'!H651=3,'Merged raw data'!H651=4,'Merged raw data'!H651=5),"weekday","weekend")</f>
        <v>weekend</v>
      </c>
      <c r="J651" s="23" t="s">
        <v>23</v>
      </c>
      <c r="K651" s="23" t="str">
        <f>IF('Merged raw data'!I651=1,"Clear",IF('Merged raw data'!I651=2,"Mist",IF('Merged raw data'!I651=3,"Rain",IF('Merged raw data'!I651=4,"Storm","NA"))))</f>
        <v>Mist</v>
      </c>
      <c r="L651" s="24">
        <v>0.8</v>
      </c>
      <c r="M651" s="24">
        <v>0.23</v>
      </c>
      <c r="N651" s="21">
        <f>'Merged raw data'!$J651*100</f>
        <v>16</v>
      </c>
      <c r="O651" s="21">
        <v>4</v>
      </c>
      <c r="P651" s="21">
        <v>34</v>
      </c>
      <c r="Q651" s="21">
        <v>38</v>
      </c>
      <c r="R651" s="21" t="str">
        <f>IF(Q651&gt;=outliers!I653,"High",IF(Q651&lt;=outliers!I652,"Low","Moderate"))</f>
        <v>High</v>
      </c>
      <c r="S651" s="8" t="str">
        <f>IF(OR(Q651&lt;outliers!$I$6,Q651&gt;outliers!$I$7),"Outlier","Normal")</f>
        <v>Normal</v>
      </c>
      <c r="T651" s="8" t="str">
        <f>IF(OR(L651&lt;outliers!$J$6,L651&gt;outliers!$J$7),"Outlier","Normal")</f>
        <v>Normal</v>
      </c>
      <c r="U651" s="8" t="str">
        <f>IF(OR(M651&lt;outliers!$K$6,M651&gt;outliers!$K$7),"Outlier","Normal")</f>
        <v>Normal</v>
      </c>
    </row>
    <row r="652" spans="1:21">
      <c r="A652" s="21">
        <v>651</v>
      </c>
      <c r="B652" s="68">
        <v>40573</v>
      </c>
      <c r="C652" s="22" t="b">
        <v>0</v>
      </c>
      <c r="D652" s="21" t="str">
        <f t="shared" si="10"/>
        <v>Sunday</v>
      </c>
      <c r="E652" s="23">
        <v>0.2424</v>
      </c>
      <c r="F652" s="23">
        <f>YEAR('Merged raw data'!$B652)</f>
        <v>2011</v>
      </c>
      <c r="G652" s="23" t="str">
        <f>TEXT('Merged raw data'!$B652,"mmmm")</f>
        <v>January</v>
      </c>
      <c r="H652" s="37" t="str">
        <f>TEXT(TIME('Merged raw data'!F652,0,0),"h AM/PM")</f>
        <v>10 AM</v>
      </c>
      <c r="I652" s="23" t="str">
        <f>IF(OR('Merged raw data'!H652=1,'Merged raw data'!H652=2,'Merged raw data'!H652=3,'Merged raw data'!H652=4,'Merged raw data'!H652=5),"weekday","weekend")</f>
        <v>weekend</v>
      </c>
      <c r="J652" s="23" t="s">
        <v>23</v>
      </c>
      <c r="K652" s="23" t="str">
        <f>IF('Merged raw data'!I652=1,"Clear",IF('Merged raw data'!I652=2,"Mist",IF('Merged raw data'!I652=3,"Rain",IF('Merged raw data'!I652=4,"Storm","NA"))))</f>
        <v>Mist</v>
      </c>
      <c r="L652" s="24">
        <v>0.8</v>
      </c>
      <c r="M652" s="24">
        <v>0.23</v>
      </c>
      <c r="N652" s="21">
        <f>'Merged raw data'!$J652*100</f>
        <v>18</v>
      </c>
      <c r="O652" s="21">
        <v>7</v>
      </c>
      <c r="P652" s="21">
        <v>57</v>
      </c>
      <c r="Q652" s="21">
        <v>64</v>
      </c>
      <c r="R652" s="21" t="str">
        <f>IF(Q652&gt;=outliers!I654,"High",IF(Q652&lt;=outliers!I653,"Low","Moderate"))</f>
        <v>High</v>
      </c>
      <c r="S652" s="8" t="str">
        <f>IF(OR(Q652&lt;outliers!$I$6,Q652&gt;outliers!$I$7),"Outlier","Normal")</f>
        <v>Normal</v>
      </c>
      <c r="T652" s="8" t="str">
        <f>IF(OR(L652&lt;outliers!$J$6,L652&gt;outliers!$J$7),"Outlier","Normal")</f>
        <v>Normal</v>
      </c>
      <c r="U652" s="8" t="str">
        <f>IF(OR(M652&lt;outliers!$K$6,M652&gt;outliers!$K$7),"Outlier","Normal")</f>
        <v>Normal</v>
      </c>
    </row>
    <row r="653" spans="1:21">
      <c r="A653" s="21">
        <v>652</v>
      </c>
      <c r="B653" s="68">
        <v>40573</v>
      </c>
      <c r="C653" s="22" t="b">
        <v>0</v>
      </c>
      <c r="D653" s="21" t="str">
        <f t="shared" si="10"/>
        <v>Sunday</v>
      </c>
      <c r="E653" s="23">
        <v>0.2727</v>
      </c>
      <c r="F653" s="23">
        <f>YEAR('Merged raw data'!$B653)</f>
        <v>2011</v>
      </c>
      <c r="G653" s="23" t="str">
        <f>TEXT('Merged raw data'!$B653,"mmmm")</f>
        <v>January</v>
      </c>
      <c r="H653" s="37" t="str">
        <f>TEXT(TIME('Merged raw data'!F653,0,0),"h AM/PM")</f>
        <v>11 AM</v>
      </c>
      <c r="I653" s="23" t="str">
        <f>IF(OR('Merged raw data'!H653=1,'Merged raw data'!H653=2,'Merged raw data'!H653=3,'Merged raw data'!H653=4,'Merged raw data'!H653=5),"weekday","weekend")</f>
        <v>weekend</v>
      </c>
      <c r="J653" s="23" t="s">
        <v>23</v>
      </c>
      <c r="K653" s="23" t="str">
        <f>IF('Merged raw data'!I653=1,"Clear",IF('Merged raw data'!I653=2,"Mist",IF('Merged raw data'!I653=3,"Rain",IF('Merged raw data'!I653=4,"Storm","NA"))))</f>
        <v>Clear</v>
      </c>
      <c r="L653" s="24">
        <v>0.75</v>
      </c>
      <c r="M653" s="24">
        <v>0.23</v>
      </c>
      <c r="N653" s="21">
        <f>'Merged raw data'!$J653*100</f>
        <v>22</v>
      </c>
      <c r="O653" s="21">
        <v>9</v>
      </c>
      <c r="P653" s="21">
        <v>50</v>
      </c>
      <c r="Q653" s="21">
        <v>59</v>
      </c>
      <c r="R653" s="21" t="str">
        <f>IF(Q653&gt;=outliers!I655,"High",IF(Q653&lt;=outliers!I654,"Low","Moderate"))</f>
        <v>High</v>
      </c>
      <c r="S653" s="8" t="str">
        <f>IF(OR(Q653&lt;outliers!$I$6,Q653&gt;outliers!$I$7),"Outlier","Normal")</f>
        <v>Normal</v>
      </c>
      <c r="T653" s="8" t="str">
        <f>IF(OR(L653&lt;outliers!$J$6,L653&gt;outliers!$J$7),"Outlier","Normal")</f>
        <v>Normal</v>
      </c>
      <c r="U653" s="8" t="str">
        <f>IF(OR(M653&lt;outliers!$K$6,M653&gt;outliers!$K$7),"Outlier","Normal")</f>
        <v>Normal</v>
      </c>
    </row>
    <row r="654" spans="1:21">
      <c r="A654" s="21">
        <v>653</v>
      </c>
      <c r="B654" s="68">
        <v>40573</v>
      </c>
      <c r="C654" s="22" t="b">
        <v>0</v>
      </c>
      <c r="D654" s="21" t="str">
        <f t="shared" si="10"/>
        <v>Sunday</v>
      </c>
      <c r="E654" s="23">
        <v>0.31819999999999998</v>
      </c>
      <c r="F654" s="23">
        <f>YEAR('Merged raw data'!$B654)</f>
        <v>2011</v>
      </c>
      <c r="G654" s="23" t="str">
        <f>TEXT('Merged raw data'!$B654,"mmmm")</f>
        <v>January</v>
      </c>
      <c r="H654" s="37" t="str">
        <f>TEXT(TIME('Merged raw data'!F654,0,0),"h AM/PM")</f>
        <v>12 PM</v>
      </c>
      <c r="I654" s="23" t="str">
        <f>IF(OR('Merged raw data'!H654=1,'Merged raw data'!H654=2,'Merged raw data'!H654=3,'Merged raw data'!H654=4,'Merged raw data'!H654=5),"weekday","weekend")</f>
        <v>weekend</v>
      </c>
      <c r="J654" s="23" t="s">
        <v>23</v>
      </c>
      <c r="K654" s="23" t="str">
        <f>IF('Merged raw data'!I654=1,"Clear",IF('Merged raw data'!I654=2,"Mist",IF('Merged raw data'!I654=3,"Rain",IF('Merged raw data'!I654=4,"Storm","NA"))))</f>
        <v>Clear</v>
      </c>
      <c r="L654" s="24">
        <v>0.52</v>
      </c>
      <c r="M654" s="24">
        <v>0.1045</v>
      </c>
      <c r="N654" s="21">
        <f>'Merged raw data'!$J654*100</f>
        <v>30</v>
      </c>
      <c r="O654" s="21">
        <v>10</v>
      </c>
      <c r="P654" s="21">
        <v>87</v>
      </c>
      <c r="Q654" s="21">
        <v>97</v>
      </c>
      <c r="R654" s="21" t="str">
        <f>IF(Q654&gt;=outliers!I656,"High",IF(Q654&lt;=outliers!I655,"Low","Moderate"))</f>
        <v>High</v>
      </c>
      <c r="S654" s="8" t="str">
        <f>IF(OR(Q654&lt;outliers!$I$6,Q654&gt;outliers!$I$7),"Outlier","Normal")</f>
        <v>Normal</v>
      </c>
      <c r="T654" s="8" t="str">
        <f>IF(OR(L654&lt;outliers!$J$6,L654&gt;outliers!$J$7),"Outlier","Normal")</f>
        <v>Normal</v>
      </c>
      <c r="U654" s="8" t="str">
        <f>IF(OR(M654&lt;outliers!$K$6,M654&gt;outliers!$K$7),"Outlier","Normal")</f>
        <v>Normal</v>
      </c>
    </row>
    <row r="655" spans="1:21">
      <c r="A655" s="21">
        <v>654</v>
      </c>
      <c r="B655" s="68">
        <v>40573</v>
      </c>
      <c r="C655" s="22" t="b">
        <v>0</v>
      </c>
      <c r="D655" s="21" t="str">
        <f t="shared" si="10"/>
        <v>Sunday</v>
      </c>
      <c r="E655" s="23">
        <v>0.28789999999999999</v>
      </c>
      <c r="F655" s="23">
        <f>YEAR('Merged raw data'!$B655)</f>
        <v>2011</v>
      </c>
      <c r="G655" s="23" t="str">
        <f>TEXT('Merged raw data'!$B655,"mmmm")</f>
        <v>January</v>
      </c>
      <c r="H655" s="37" t="str">
        <f>TEXT(TIME('Merged raw data'!F655,0,0),"h AM/PM")</f>
        <v>1 PM</v>
      </c>
      <c r="I655" s="23" t="str">
        <f>IF(OR('Merged raw data'!H655=1,'Merged raw data'!H655=2,'Merged raw data'!H655=3,'Merged raw data'!H655=4,'Merged raw data'!H655=5),"weekday","weekend")</f>
        <v>weekend</v>
      </c>
      <c r="J655" s="23" t="s">
        <v>23</v>
      </c>
      <c r="K655" s="23" t="str">
        <f>IF('Merged raw data'!I655=1,"Clear",IF('Merged raw data'!I655=2,"Mist",IF('Merged raw data'!I655=3,"Rain",IF('Merged raw data'!I655=4,"Storm","NA"))))</f>
        <v>Clear</v>
      </c>
      <c r="L655" s="24">
        <v>0.61</v>
      </c>
      <c r="M655" s="24">
        <v>0.1045</v>
      </c>
      <c r="N655" s="21">
        <f>'Merged raw data'!$J655*100</f>
        <v>28.000000000000004</v>
      </c>
      <c r="O655" s="21">
        <v>13</v>
      </c>
      <c r="P655" s="21">
        <v>71</v>
      </c>
      <c r="Q655" s="21">
        <v>84</v>
      </c>
      <c r="R655" s="21" t="str">
        <f>IF(Q655&gt;=outliers!I657,"High",IF(Q655&lt;=outliers!I656,"Low","Moderate"))</f>
        <v>High</v>
      </c>
      <c r="S655" s="8" t="str">
        <f>IF(OR(Q655&lt;outliers!$I$6,Q655&gt;outliers!$I$7),"Outlier","Normal")</f>
        <v>Normal</v>
      </c>
      <c r="T655" s="8" t="str">
        <f>IF(OR(L655&lt;outliers!$J$6,L655&gt;outliers!$J$7),"Outlier","Normal")</f>
        <v>Normal</v>
      </c>
      <c r="U655" s="8" t="str">
        <f>IF(OR(M655&lt;outliers!$K$6,M655&gt;outliers!$K$7),"Outlier","Normal")</f>
        <v>Normal</v>
      </c>
    </row>
    <row r="656" spans="1:21">
      <c r="A656" s="21">
        <v>655</v>
      </c>
      <c r="B656" s="68">
        <v>40573</v>
      </c>
      <c r="C656" s="22" t="b">
        <v>0</v>
      </c>
      <c r="D656" s="21" t="str">
        <f t="shared" si="10"/>
        <v>Sunday</v>
      </c>
      <c r="E656" s="23">
        <v>0.30299999999999999</v>
      </c>
      <c r="F656" s="23">
        <f>YEAR('Merged raw data'!$B656)</f>
        <v>2011</v>
      </c>
      <c r="G656" s="23" t="str">
        <f>TEXT('Merged raw data'!$B656,"mmmm")</f>
        <v>January</v>
      </c>
      <c r="H656" s="37" t="str">
        <f>TEXT(TIME('Merged raw data'!F656,0,0),"h AM/PM")</f>
        <v>2 PM</v>
      </c>
      <c r="I656" s="23" t="str">
        <f>IF(OR('Merged raw data'!H656=1,'Merged raw data'!H656=2,'Merged raw data'!H656=3,'Merged raw data'!H656=4,'Merged raw data'!H656=5),"weekday","weekend")</f>
        <v>weekend</v>
      </c>
      <c r="J656" s="23" t="s">
        <v>23</v>
      </c>
      <c r="K656" s="23" t="str">
        <f>IF('Merged raw data'!I656=1,"Clear",IF('Merged raw data'!I656=2,"Mist",IF('Merged raw data'!I656=3,"Rain",IF('Merged raw data'!I656=4,"Storm","NA"))))</f>
        <v>Clear</v>
      </c>
      <c r="L656" s="24">
        <v>0.61</v>
      </c>
      <c r="M656" s="24">
        <v>8.9599999999999999E-2</v>
      </c>
      <c r="N656" s="21">
        <f>'Merged raw data'!$J656*100</f>
        <v>28.000000000000004</v>
      </c>
      <c r="O656" s="21">
        <v>18</v>
      </c>
      <c r="P656" s="21">
        <v>104</v>
      </c>
      <c r="Q656" s="21">
        <v>122</v>
      </c>
      <c r="R656" s="21" t="str">
        <f>IF(Q656&gt;=outliers!I658,"High",IF(Q656&lt;=outliers!I657,"Low","Moderate"))</f>
        <v>High</v>
      </c>
      <c r="S656" s="8" t="str">
        <f>IF(OR(Q656&lt;outliers!$I$6,Q656&gt;outliers!$I$7),"Outlier","Normal")</f>
        <v>Normal</v>
      </c>
      <c r="T656" s="8" t="str">
        <f>IF(OR(L656&lt;outliers!$J$6,L656&gt;outliers!$J$7),"Outlier","Normal")</f>
        <v>Normal</v>
      </c>
      <c r="U656" s="8" t="str">
        <f>IF(OR(M656&lt;outliers!$K$6,M656&gt;outliers!$K$7),"Outlier","Normal")</f>
        <v>Normal</v>
      </c>
    </row>
    <row r="657" spans="1:21">
      <c r="A657" s="21">
        <v>656</v>
      </c>
      <c r="B657" s="68">
        <v>40573</v>
      </c>
      <c r="C657" s="22" t="b">
        <v>0</v>
      </c>
      <c r="D657" s="21" t="str">
        <f t="shared" si="10"/>
        <v>Sunday</v>
      </c>
      <c r="E657" s="23">
        <v>0.33329999999999999</v>
      </c>
      <c r="F657" s="23">
        <f>YEAR('Merged raw data'!$B657)</f>
        <v>2011</v>
      </c>
      <c r="G657" s="23" t="str">
        <f>TEXT('Merged raw data'!$B657,"mmmm")</f>
        <v>January</v>
      </c>
      <c r="H657" s="37" t="str">
        <f>TEXT(TIME('Merged raw data'!F657,0,0),"h AM/PM")</f>
        <v>3 PM</v>
      </c>
      <c r="I657" s="23" t="str">
        <f>IF(OR('Merged raw data'!H657=1,'Merged raw data'!H657=2,'Merged raw data'!H657=3,'Merged raw data'!H657=4,'Merged raw data'!H657=5),"weekday","weekend")</f>
        <v>weekend</v>
      </c>
      <c r="J657" s="23" t="s">
        <v>23</v>
      </c>
      <c r="K657" s="23" t="str">
        <f>IF('Merged raw data'!I657=1,"Clear",IF('Merged raw data'!I657=2,"Mist",IF('Merged raw data'!I657=3,"Rain",IF('Merged raw data'!I657=4,"Storm","NA"))))</f>
        <v>Clear</v>
      </c>
      <c r="L657" s="24">
        <v>0.56000000000000005</v>
      </c>
      <c r="M657" s="24">
        <v>0.23</v>
      </c>
      <c r="N657" s="21">
        <f>'Merged raw data'!$J657*100</f>
        <v>30</v>
      </c>
      <c r="O657" s="21">
        <v>14</v>
      </c>
      <c r="P657" s="21">
        <v>95</v>
      </c>
      <c r="Q657" s="21">
        <v>109</v>
      </c>
      <c r="R657" s="21" t="str">
        <f>IF(Q657&gt;=outliers!I659,"High",IF(Q657&lt;=outliers!I658,"Low","Moderate"))</f>
        <v>High</v>
      </c>
      <c r="S657" s="8" t="str">
        <f>IF(OR(Q657&lt;outliers!$I$6,Q657&gt;outliers!$I$7),"Outlier","Normal")</f>
        <v>Normal</v>
      </c>
      <c r="T657" s="8" t="str">
        <f>IF(OR(L657&lt;outliers!$J$6,L657&gt;outliers!$J$7),"Outlier","Normal")</f>
        <v>Normal</v>
      </c>
      <c r="U657" s="8" t="str">
        <f>IF(OR(M657&lt;outliers!$K$6,M657&gt;outliers!$K$7),"Outlier","Normal")</f>
        <v>Normal</v>
      </c>
    </row>
    <row r="658" spans="1:21">
      <c r="A658" s="21">
        <v>657</v>
      </c>
      <c r="B658" s="68">
        <v>40573</v>
      </c>
      <c r="C658" s="22" t="b">
        <v>0</v>
      </c>
      <c r="D658" s="21" t="str">
        <f t="shared" si="10"/>
        <v>Sunday</v>
      </c>
      <c r="E658" s="23">
        <v>0.33329999999999999</v>
      </c>
      <c r="F658" s="23">
        <f>YEAR('Merged raw data'!$B658)</f>
        <v>2011</v>
      </c>
      <c r="G658" s="23" t="str">
        <f>TEXT('Merged raw data'!$B658,"mmmm")</f>
        <v>January</v>
      </c>
      <c r="H658" s="37" t="str">
        <f>TEXT(TIME('Merged raw data'!F658,0,0),"h AM/PM")</f>
        <v>4 PM</v>
      </c>
      <c r="I658" s="23" t="str">
        <f>IF(OR('Merged raw data'!H658=1,'Merged raw data'!H658=2,'Merged raw data'!H658=3,'Merged raw data'!H658=4,'Merged raw data'!H658=5),"weekday","weekend")</f>
        <v>weekend</v>
      </c>
      <c r="J658" s="23" t="s">
        <v>23</v>
      </c>
      <c r="K658" s="23" t="str">
        <f>IF('Merged raw data'!I658=1,"Clear",IF('Merged raw data'!I658=2,"Mist",IF('Merged raw data'!I658=3,"Rain",IF('Merged raw data'!I658=4,"Storm","NA"))))</f>
        <v>Clear</v>
      </c>
      <c r="L658" s="24">
        <v>0.56000000000000005</v>
      </c>
      <c r="M658" s="24">
        <v>0.23</v>
      </c>
      <c r="N658" s="21">
        <f>'Merged raw data'!$J658*100</f>
        <v>30</v>
      </c>
      <c r="O658" s="21">
        <v>19</v>
      </c>
      <c r="P658" s="21">
        <v>104</v>
      </c>
      <c r="Q658" s="21">
        <v>123</v>
      </c>
      <c r="R658" s="21" t="str">
        <f>IF(Q658&gt;=outliers!I660,"High",IF(Q658&lt;=outliers!I659,"Low","Moderate"))</f>
        <v>High</v>
      </c>
      <c r="S658" s="8" t="str">
        <f>IF(OR(Q658&lt;outliers!$I$6,Q658&gt;outliers!$I$7),"Outlier","Normal")</f>
        <v>Normal</v>
      </c>
      <c r="T658" s="8" t="str">
        <f>IF(OR(L658&lt;outliers!$J$6,L658&gt;outliers!$J$7),"Outlier","Normal")</f>
        <v>Normal</v>
      </c>
      <c r="U658" s="8" t="str">
        <f>IF(OR(M658&lt;outliers!$K$6,M658&gt;outliers!$K$7),"Outlier","Normal")</f>
        <v>Normal</v>
      </c>
    </row>
    <row r="659" spans="1:21">
      <c r="A659" s="21">
        <v>658</v>
      </c>
      <c r="B659" s="68">
        <v>40573</v>
      </c>
      <c r="C659" s="22" t="b">
        <v>0</v>
      </c>
      <c r="D659" s="21" t="str">
        <f t="shared" si="10"/>
        <v>Sunday</v>
      </c>
      <c r="E659" s="23">
        <v>0.28789999999999999</v>
      </c>
      <c r="F659" s="23">
        <f>YEAR('Merged raw data'!$B659)</f>
        <v>2011</v>
      </c>
      <c r="G659" s="23" t="str">
        <f>TEXT('Merged raw data'!$B659,"mmmm")</f>
        <v>January</v>
      </c>
      <c r="H659" s="37" t="str">
        <f>TEXT(TIME('Merged raw data'!F659,0,0),"h AM/PM")</f>
        <v>5 PM</v>
      </c>
      <c r="I659" s="23" t="str">
        <f>IF(OR('Merged raw data'!H659=1,'Merged raw data'!H659=2,'Merged raw data'!H659=3,'Merged raw data'!H659=4,'Merged raw data'!H659=5),"weekday","weekend")</f>
        <v>weekend</v>
      </c>
      <c r="J659" s="23" t="s">
        <v>23</v>
      </c>
      <c r="K659" s="23" t="str">
        <f>IF('Merged raw data'!I659=1,"Clear",IF('Merged raw data'!I659=2,"Mist",IF('Merged raw data'!I659=3,"Rain",IF('Merged raw data'!I659=4,"Storm","NA"))))</f>
        <v>Clear</v>
      </c>
      <c r="L659" s="24">
        <v>0.56000000000000005</v>
      </c>
      <c r="M659" s="24">
        <v>0.19400000000000001</v>
      </c>
      <c r="N659" s="21">
        <f>'Merged raw data'!$J659*100</f>
        <v>30</v>
      </c>
      <c r="O659" s="21">
        <v>6</v>
      </c>
      <c r="P659" s="21">
        <v>71</v>
      </c>
      <c r="Q659" s="21">
        <v>77</v>
      </c>
      <c r="R659" s="21" t="str">
        <f>IF(Q659&gt;=outliers!I661,"High",IF(Q659&lt;=outliers!I660,"Low","Moderate"))</f>
        <v>High</v>
      </c>
      <c r="S659" s="8" t="str">
        <f>IF(OR(Q659&lt;outliers!$I$6,Q659&gt;outliers!$I$7),"Outlier","Normal")</f>
        <v>Normal</v>
      </c>
      <c r="T659" s="8" t="str">
        <f>IF(OR(L659&lt;outliers!$J$6,L659&gt;outliers!$J$7),"Outlier","Normal")</f>
        <v>Normal</v>
      </c>
      <c r="U659" s="8" t="str">
        <f>IF(OR(M659&lt;outliers!$K$6,M659&gt;outliers!$K$7),"Outlier","Normal")</f>
        <v>Normal</v>
      </c>
    </row>
    <row r="660" spans="1:21">
      <c r="A660" s="21">
        <v>659</v>
      </c>
      <c r="B660" s="68">
        <v>40573</v>
      </c>
      <c r="C660" s="22" t="b">
        <v>0</v>
      </c>
      <c r="D660" s="21" t="str">
        <f t="shared" si="10"/>
        <v>Sunday</v>
      </c>
      <c r="E660" s="23">
        <v>0.2576</v>
      </c>
      <c r="F660" s="23">
        <f>YEAR('Merged raw data'!$B660)</f>
        <v>2011</v>
      </c>
      <c r="G660" s="23" t="str">
        <f>TEXT('Merged raw data'!$B660,"mmmm")</f>
        <v>January</v>
      </c>
      <c r="H660" s="37" t="str">
        <f>TEXT(TIME('Merged raw data'!F660,0,0),"h AM/PM")</f>
        <v>6 PM</v>
      </c>
      <c r="I660" s="23" t="str">
        <f>IF(OR('Merged raw data'!H660=1,'Merged raw data'!H660=2,'Merged raw data'!H660=3,'Merged raw data'!H660=4,'Merged raw data'!H660=5),"weekday","weekend")</f>
        <v>weekend</v>
      </c>
      <c r="J660" s="23" t="s">
        <v>23</v>
      </c>
      <c r="K660" s="23" t="str">
        <f>IF('Merged raw data'!I660=1,"Clear",IF('Merged raw data'!I660=2,"Mist",IF('Merged raw data'!I660=3,"Rain",IF('Merged raw data'!I660=4,"Storm","NA"))))</f>
        <v>Clear</v>
      </c>
      <c r="L660" s="24">
        <v>0.65</v>
      </c>
      <c r="M660" s="24">
        <v>0.16420000000000001</v>
      </c>
      <c r="N660" s="21">
        <f>'Merged raw data'!$J660*100</f>
        <v>26</v>
      </c>
      <c r="O660" s="21">
        <v>8</v>
      </c>
      <c r="P660" s="21">
        <v>57</v>
      </c>
      <c r="Q660" s="21">
        <v>65</v>
      </c>
      <c r="R660" s="21" t="str">
        <f>IF(Q660&gt;=outliers!I662,"High",IF(Q660&lt;=outliers!I661,"Low","Moderate"))</f>
        <v>High</v>
      </c>
      <c r="S660" s="8" t="str">
        <f>IF(OR(Q660&lt;outliers!$I$6,Q660&gt;outliers!$I$7),"Outlier","Normal")</f>
        <v>Normal</v>
      </c>
      <c r="T660" s="8" t="str">
        <f>IF(OR(L660&lt;outliers!$J$6,L660&gt;outliers!$J$7),"Outlier","Normal")</f>
        <v>Normal</v>
      </c>
      <c r="U660" s="8" t="str">
        <f>IF(OR(M660&lt;outliers!$K$6,M660&gt;outliers!$K$7),"Outlier","Normal")</f>
        <v>Normal</v>
      </c>
    </row>
    <row r="661" spans="1:21">
      <c r="A661" s="21">
        <v>660</v>
      </c>
      <c r="B661" s="68">
        <v>40573</v>
      </c>
      <c r="C661" s="22" t="b">
        <v>0</v>
      </c>
      <c r="D661" s="21" t="str">
        <f t="shared" si="10"/>
        <v>Sunday</v>
      </c>
      <c r="E661" s="23">
        <v>0.2576</v>
      </c>
      <c r="F661" s="23">
        <f>YEAR('Merged raw data'!$B661)</f>
        <v>2011</v>
      </c>
      <c r="G661" s="23" t="str">
        <f>TEXT('Merged raw data'!$B661,"mmmm")</f>
        <v>January</v>
      </c>
      <c r="H661" s="37" t="str">
        <f>TEXT(TIME('Merged raw data'!F661,0,0),"h AM/PM")</f>
        <v>7 PM</v>
      </c>
      <c r="I661" s="23" t="str">
        <f>IF(OR('Merged raw data'!H661=1,'Merged raw data'!H661=2,'Merged raw data'!H661=3,'Merged raw data'!H661=4,'Merged raw data'!H661=5),"weekday","weekend")</f>
        <v>weekend</v>
      </c>
      <c r="J661" s="23" t="s">
        <v>23</v>
      </c>
      <c r="K661" s="23" t="str">
        <f>IF('Merged raw data'!I661=1,"Clear",IF('Merged raw data'!I661=2,"Mist",IF('Merged raw data'!I661=3,"Rain",IF('Merged raw data'!I661=4,"Storm","NA"))))</f>
        <v>Clear</v>
      </c>
      <c r="L661" s="24">
        <v>0.65</v>
      </c>
      <c r="M661" s="24">
        <v>0.19400000000000001</v>
      </c>
      <c r="N661" s="21">
        <f>'Merged raw data'!$J661*100</f>
        <v>26</v>
      </c>
      <c r="O661" s="21">
        <v>9</v>
      </c>
      <c r="P661" s="21">
        <v>46</v>
      </c>
      <c r="Q661" s="21">
        <v>55</v>
      </c>
      <c r="R661" s="21" t="str">
        <f>IF(Q661&gt;=outliers!I663,"High",IF(Q661&lt;=outliers!I662,"Low","Moderate"))</f>
        <v>High</v>
      </c>
      <c r="S661" s="8" t="str">
        <f>IF(OR(Q661&lt;outliers!$I$6,Q661&gt;outliers!$I$7),"Outlier","Normal")</f>
        <v>Normal</v>
      </c>
      <c r="T661" s="8" t="str">
        <f>IF(OR(L661&lt;outliers!$J$6,L661&gt;outliers!$J$7),"Outlier","Normal")</f>
        <v>Normal</v>
      </c>
      <c r="U661" s="8" t="str">
        <f>IF(OR(M661&lt;outliers!$K$6,M661&gt;outliers!$K$7),"Outlier","Normal")</f>
        <v>Normal</v>
      </c>
    </row>
    <row r="662" spans="1:21">
      <c r="A662" s="21">
        <v>661</v>
      </c>
      <c r="B662" s="68">
        <v>40573</v>
      </c>
      <c r="C662" s="22" t="b">
        <v>0</v>
      </c>
      <c r="D662" s="21" t="str">
        <f t="shared" si="10"/>
        <v>Sunday</v>
      </c>
      <c r="E662" s="23">
        <v>0.2727</v>
      </c>
      <c r="F662" s="23">
        <f>YEAR('Merged raw data'!$B662)</f>
        <v>2011</v>
      </c>
      <c r="G662" s="23" t="str">
        <f>TEXT('Merged raw data'!$B662,"mmmm")</f>
        <v>January</v>
      </c>
      <c r="H662" s="37" t="str">
        <f>TEXT(TIME('Merged raw data'!F662,0,0),"h AM/PM")</f>
        <v>8 PM</v>
      </c>
      <c r="I662" s="23" t="str">
        <f>IF(OR('Merged raw data'!H662=1,'Merged raw data'!H662=2,'Merged raw data'!H662=3,'Merged raw data'!H662=4,'Merged raw data'!H662=5),"weekday","weekend")</f>
        <v>weekend</v>
      </c>
      <c r="J662" s="23" t="s">
        <v>23</v>
      </c>
      <c r="K662" s="23" t="str">
        <f>IF('Merged raw data'!I662=1,"Clear",IF('Merged raw data'!I662=2,"Mist",IF('Merged raw data'!I662=3,"Rain",IF('Merged raw data'!I662=4,"Storm","NA"))))</f>
        <v>Mist</v>
      </c>
      <c r="L662" s="24">
        <v>0.65</v>
      </c>
      <c r="M662" s="24">
        <v>0.1045</v>
      </c>
      <c r="N662" s="21">
        <f>'Merged raw data'!$J662*100</f>
        <v>26</v>
      </c>
      <c r="O662" s="21">
        <v>3</v>
      </c>
      <c r="P662" s="21">
        <v>30</v>
      </c>
      <c r="Q662" s="21">
        <v>33</v>
      </c>
      <c r="R662" s="21" t="str">
        <f>IF(Q662&gt;=outliers!I664,"High",IF(Q662&lt;=outliers!I663,"Low","Moderate"))</f>
        <v>High</v>
      </c>
      <c r="S662" s="8" t="str">
        <f>IF(OR(Q662&lt;outliers!$I$6,Q662&gt;outliers!$I$7),"Outlier","Normal")</f>
        <v>Normal</v>
      </c>
      <c r="T662" s="8" t="str">
        <f>IF(OR(L662&lt;outliers!$J$6,L662&gt;outliers!$J$7),"Outlier","Normal")</f>
        <v>Normal</v>
      </c>
      <c r="U662" s="8" t="str">
        <f>IF(OR(M662&lt;outliers!$K$6,M662&gt;outliers!$K$7),"Outlier","Normal")</f>
        <v>Normal</v>
      </c>
    </row>
    <row r="663" spans="1:21">
      <c r="A663" s="21">
        <v>662</v>
      </c>
      <c r="B663" s="68">
        <v>40573</v>
      </c>
      <c r="C663" s="22" t="b">
        <v>0</v>
      </c>
      <c r="D663" s="21" t="str">
        <f t="shared" si="10"/>
        <v>Sunday</v>
      </c>
      <c r="E663" s="23">
        <v>0.2424</v>
      </c>
      <c r="F663" s="23">
        <f>YEAR('Merged raw data'!$B663)</f>
        <v>2011</v>
      </c>
      <c r="G663" s="23" t="str">
        <f>TEXT('Merged raw data'!$B663,"mmmm")</f>
        <v>January</v>
      </c>
      <c r="H663" s="37" t="str">
        <f>TEXT(TIME('Merged raw data'!F663,0,0),"h AM/PM")</f>
        <v>9 PM</v>
      </c>
      <c r="I663" s="23" t="str">
        <f>IF(OR('Merged raw data'!H663=1,'Merged raw data'!H663=2,'Merged raw data'!H663=3,'Merged raw data'!H663=4,'Merged raw data'!H663=5),"weekday","weekend")</f>
        <v>weekend</v>
      </c>
      <c r="J663" s="23" t="s">
        <v>23</v>
      </c>
      <c r="K663" s="23" t="str">
        <f>IF('Merged raw data'!I663=1,"Clear",IF('Merged raw data'!I663=2,"Mist",IF('Merged raw data'!I663=3,"Rain",IF('Merged raw data'!I663=4,"Storm","NA"))))</f>
        <v>Mist</v>
      </c>
      <c r="L663" s="24">
        <v>0.7</v>
      </c>
      <c r="M663" s="24">
        <v>0.16420000000000001</v>
      </c>
      <c r="N663" s="21">
        <f>'Merged raw data'!$J663*100</f>
        <v>24</v>
      </c>
      <c r="O663" s="21">
        <v>3</v>
      </c>
      <c r="P663" s="21">
        <v>25</v>
      </c>
      <c r="Q663" s="21">
        <v>28</v>
      </c>
      <c r="R663" s="21" t="str">
        <f>IF(Q663&gt;=outliers!I665,"High",IF(Q663&lt;=outliers!I664,"Low","Moderate"))</f>
        <v>High</v>
      </c>
      <c r="S663" s="8" t="str">
        <f>IF(OR(Q663&lt;outliers!$I$6,Q663&gt;outliers!$I$7),"Outlier","Normal")</f>
        <v>Normal</v>
      </c>
      <c r="T663" s="8" t="str">
        <f>IF(OR(L663&lt;outliers!$J$6,L663&gt;outliers!$J$7),"Outlier","Normal")</f>
        <v>Normal</v>
      </c>
      <c r="U663" s="8" t="str">
        <f>IF(OR(M663&lt;outliers!$K$6,M663&gt;outliers!$K$7),"Outlier","Normal")</f>
        <v>Normal</v>
      </c>
    </row>
    <row r="664" spans="1:21">
      <c r="A664" s="21">
        <v>663</v>
      </c>
      <c r="B664" s="68">
        <v>40573</v>
      </c>
      <c r="C664" s="22" t="b">
        <v>0</v>
      </c>
      <c r="D664" s="21" t="str">
        <f t="shared" si="10"/>
        <v>Sunday</v>
      </c>
      <c r="E664" s="23">
        <v>0.2273</v>
      </c>
      <c r="F664" s="23">
        <f>YEAR('Merged raw data'!$B664)</f>
        <v>2011</v>
      </c>
      <c r="G664" s="23" t="str">
        <f>TEXT('Merged raw data'!$B664,"mmmm")</f>
        <v>January</v>
      </c>
      <c r="H664" s="37" t="str">
        <f>TEXT(TIME('Merged raw data'!F664,0,0),"h AM/PM")</f>
        <v>10 PM</v>
      </c>
      <c r="I664" s="23" t="str">
        <f>IF(OR('Merged raw data'!H664=1,'Merged raw data'!H664=2,'Merged raw data'!H664=3,'Merged raw data'!H664=4,'Merged raw data'!H664=5),"weekday","weekend")</f>
        <v>weekend</v>
      </c>
      <c r="J664" s="23" t="s">
        <v>23</v>
      </c>
      <c r="K664" s="23" t="str">
        <f>IF('Merged raw data'!I664=1,"Clear",IF('Merged raw data'!I664=2,"Mist",IF('Merged raw data'!I664=3,"Rain",IF('Merged raw data'!I664=4,"Storm","NA"))))</f>
        <v>Mist</v>
      </c>
      <c r="L664" s="24">
        <v>0.7</v>
      </c>
      <c r="M664" s="24">
        <v>0.19400000000000001</v>
      </c>
      <c r="N664" s="21">
        <f>'Merged raw data'!$J664*100</f>
        <v>24</v>
      </c>
      <c r="O664" s="21">
        <v>2</v>
      </c>
      <c r="P664" s="21">
        <v>19</v>
      </c>
      <c r="Q664" s="21">
        <v>21</v>
      </c>
      <c r="R664" s="21" t="str">
        <f>IF(Q664&gt;=outliers!I666,"High",IF(Q664&lt;=outliers!I665,"Low","Moderate"))</f>
        <v>High</v>
      </c>
      <c r="S664" s="8" t="str">
        <f>IF(OR(Q664&lt;outliers!$I$6,Q664&gt;outliers!$I$7),"Outlier","Normal")</f>
        <v>Normal</v>
      </c>
      <c r="T664" s="8" t="str">
        <f>IF(OR(L664&lt;outliers!$J$6,L664&gt;outliers!$J$7),"Outlier","Normal")</f>
        <v>Normal</v>
      </c>
      <c r="U664" s="8" t="str">
        <f>IF(OR(M664&lt;outliers!$K$6,M664&gt;outliers!$K$7),"Outlier","Normal")</f>
        <v>Normal</v>
      </c>
    </row>
    <row r="665" spans="1:21">
      <c r="A665" s="21">
        <v>664</v>
      </c>
      <c r="B665" s="68">
        <v>40573</v>
      </c>
      <c r="C665" s="22" t="b">
        <v>0</v>
      </c>
      <c r="D665" s="21" t="str">
        <f t="shared" si="10"/>
        <v>Sunday</v>
      </c>
      <c r="E665" s="23">
        <v>0.21210000000000001</v>
      </c>
      <c r="F665" s="23">
        <f>YEAR('Merged raw data'!$B665)</f>
        <v>2011</v>
      </c>
      <c r="G665" s="23" t="str">
        <f>TEXT('Merged raw data'!$B665,"mmmm")</f>
        <v>January</v>
      </c>
      <c r="H665" s="37" t="str">
        <f>TEXT(TIME('Merged raw data'!F665,0,0),"h AM/PM")</f>
        <v>11 PM</v>
      </c>
      <c r="I665" s="23" t="str">
        <f>IF(OR('Merged raw data'!H665=1,'Merged raw data'!H665=2,'Merged raw data'!H665=3,'Merged raw data'!H665=4,'Merged raw data'!H665=5),"weekday","weekend")</f>
        <v>weekend</v>
      </c>
      <c r="J665" s="23" t="s">
        <v>23</v>
      </c>
      <c r="K665" s="23" t="str">
        <f>IF('Merged raw data'!I665=1,"Clear",IF('Merged raw data'!I665=2,"Mist",IF('Merged raw data'!I665=3,"Rain",IF('Merged raw data'!I665=4,"Storm","NA"))))</f>
        <v>Mist</v>
      </c>
      <c r="L665" s="24">
        <v>0.65</v>
      </c>
      <c r="M665" s="24">
        <v>0.28360000000000002</v>
      </c>
      <c r="N665" s="21">
        <f>'Merged raw data'!$J665*100</f>
        <v>24</v>
      </c>
      <c r="O665" s="21">
        <v>5</v>
      </c>
      <c r="P665" s="21">
        <v>16</v>
      </c>
      <c r="Q665" s="21">
        <v>21</v>
      </c>
      <c r="R665" s="21" t="str">
        <f>IF(Q665&gt;=outliers!I667,"High",IF(Q665&lt;=outliers!I666,"Low","Moderate"))</f>
        <v>High</v>
      </c>
      <c r="S665" s="8" t="str">
        <f>IF(OR(Q665&lt;outliers!$I$6,Q665&gt;outliers!$I$7),"Outlier","Normal")</f>
        <v>Normal</v>
      </c>
      <c r="T665" s="8" t="str">
        <f>IF(OR(L665&lt;outliers!$J$6,L665&gt;outliers!$J$7),"Outlier","Normal")</f>
        <v>Normal</v>
      </c>
      <c r="U665" s="8" t="str">
        <f>IF(OR(M665&lt;outliers!$K$6,M665&gt;outliers!$K$7),"Outlier","Normal")</f>
        <v>Normal</v>
      </c>
    </row>
    <row r="666" spans="1:21">
      <c r="A666" s="21">
        <v>665</v>
      </c>
      <c r="B666" s="68">
        <v>40574</v>
      </c>
      <c r="C666" s="22" t="b">
        <v>0</v>
      </c>
      <c r="D666" s="21" t="str">
        <f t="shared" si="10"/>
        <v>Monday</v>
      </c>
      <c r="E666" s="23">
        <v>0.2273</v>
      </c>
      <c r="F666" s="23">
        <f>YEAR('Merged raw data'!$B666)</f>
        <v>2011</v>
      </c>
      <c r="G666" s="23" t="str">
        <f>TEXT('Merged raw data'!$B666,"mmmm")</f>
        <v>January</v>
      </c>
      <c r="H666" s="37" t="str">
        <f>TEXT(TIME('Merged raw data'!F666,0,0),"h AM/PM")</f>
        <v>12 AM</v>
      </c>
      <c r="I666" s="23" t="str">
        <f>IF(OR('Merged raw data'!H666=1,'Merged raw data'!H666=2,'Merged raw data'!H666=3,'Merged raw data'!H666=4,'Merged raw data'!H666=5),"weekday","weekend")</f>
        <v>weekday</v>
      </c>
      <c r="J666" s="23" t="s">
        <v>23</v>
      </c>
      <c r="K666" s="23" t="str">
        <f>IF('Merged raw data'!I666=1,"Clear",IF('Merged raw data'!I666=2,"Mist",IF('Merged raw data'!I666=3,"Rain",IF('Merged raw data'!I666=4,"Storm","NA"))))</f>
        <v>Mist</v>
      </c>
      <c r="L666" s="24">
        <v>0.65</v>
      </c>
      <c r="M666" s="24">
        <v>0.22389999999999999</v>
      </c>
      <c r="N666" s="21">
        <f>'Merged raw data'!$J666*100</f>
        <v>24</v>
      </c>
      <c r="O666" s="21">
        <v>1</v>
      </c>
      <c r="P666" s="21">
        <v>6</v>
      </c>
      <c r="Q666" s="21">
        <v>7</v>
      </c>
      <c r="R666" s="21" t="str">
        <f>IF(Q666&gt;=outliers!I668,"High",IF(Q666&lt;=outliers!I667,"Low","Moderate"))</f>
        <v>High</v>
      </c>
      <c r="S666" s="8" t="str">
        <f>IF(OR(Q666&lt;outliers!$I$6,Q666&gt;outliers!$I$7),"Outlier","Normal")</f>
        <v>Normal</v>
      </c>
      <c r="T666" s="8" t="str">
        <f>IF(OR(L666&lt;outliers!$J$6,L666&gt;outliers!$J$7),"Outlier","Normal")</f>
        <v>Normal</v>
      </c>
      <c r="U666" s="8" t="str">
        <f>IF(OR(M666&lt;outliers!$K$6,M666&gt;outliers!$K$7),"Outlier","Normal")</f>
        <v>Normal</v>
      </c>
    </row>
    <row r="667" spans="1:21">
      <c r="A667" s="21">
        <v>666</v>
      </c>
      <c r="B667" s="68">
        <v>40574</v>
      </c>
      <c r="C667" s="22" t="b">
        <v>0</v>
      </c>
      <c r="D667" s="21" t="str">
        <f t="shared" si="10"/>
        <v>Monday</v>
      </c>
      <c r="E667" s="23">
        <v>0.21210000000000001</v>
      </c>
      <c r="F667" s="23">
        <f>YEAR('Merged raw data'!$B667)</f>
        <v>2011</v>
      </c>
      <c r="G667" s="23" t="str">
        <f>TEXT('Merged raw data'!$B667,"mmmm")</f>
        <v>January</v>
      </c>
      <c r="H667" s="37" t="str">
        <f>TEXT(TIME('Merged raw data'!F667,0,0),"h AM/PM")</f>
        <v>1 AM</v>
      </c>
      <c r="I667" s="23" t="str">
        <f>IF(OR('Merged raw data'!H667=1,'Merged raw data'!H667=2,'Merged raw data'!H667=3,'Merged raw data'!H667=4,'Merged raw data'!H667=5),"weekday","weekend")</f>
        <v>weekday</v>
      </c>
      <c r="J667" s="23" t="s">
        <v>23</v>
      </c>
      <c r="K667" s="23" t="str">
        <f>IF('Merged raw data'!I667=1,"Clear",IF('Merged raw data'!I667=2,"Mist",IF('Merged raw data'!I667=3,"Rain",IF('Merged raw data'!I667=4,"Storm","NA"))))</f>
        <v>Clear</v>
      </c>
      <c r="L667" s="24">
        <v>0.64</v>
      </c>
      <c r="M667" s="24">
        <v>0.25369999999999998</v>
      </c>
      <c r="N667" s="21">
        <f>'Merged raw data'!$J667*100</f>
        <v>22</v>
      </c>
      <c r="O667" s="21">
        <v>2</v>
      </c>
      <c r="P667" s="21">
        <v>5</v>
      </c>
      <c r="Q667" s="21">
        <v>7</v>
      </c>
      <c r="R667" s="21" t="str">
        <f>IF(Q667&gt;=outliers!I669,"High",IF(Q667&lt;=outliers!I668,"Low","Moderate"))</f>
        <v>High</v>
      </c>
      <c r="S667" s="8" t="str">
        <f>IF(OR(Q667&lt;outliers!$I$6,Q667&gt;outliers!$I$7),"Outlier","Normal")</f>
        <v>Normal</v>
      </c>
      <c r="T667" s="8" t="str">
        <f>IF(OR(L667&lt;outliers!$J$6,L667&gt;outliers!$J$7),"Outlier","Normal")</f>
        <v>Normal</v>
      </c>
      <c r="U667" s="8" t="str">
        <f>IF(OR(M667&lt;outliers!$K$6,M667&gt;outliers!$K$7),"Outlier","Normal")</f>
        <v>Normal</v>
      </c>
    </row>
    <row r="668" spans="1:21">
      <c r="A668" s="21">
        <v>667</v>
      </c>
      <c r="B668" s="68">
        <v>40574</v>
      </c>
      <c r="C668" s="22" t="b">
        <v>0</v>
      </c>
      <c r="D668" s="21" t="str">
        <f t="shared" si="10"/>
        <v>Monday</v>
      </c>
      <c r="E668" s="23">
        <v>0.2273</v>
      </c>
      <c r="F668" s="23">
        <f>YEAR('Merged raw data'!$B668)</f>
        <v>2011</v>
      </c>
      <c r="G668" s="23" t="str">
        <f>TEXT('Merged raw data'!$B668,"mmmm")</f>
        <v>January</v>
      </c>
      <c r="H668" s="37" t="str">
        <f>TEXT(TIME('Merged raw data'!F668,0,0),"h AM/PM")</f>
        <v>2 AM</v>
      </c>
      <c r="I668" s="23" t="str">
        <f>IF(OR('Merged raw data'!H668=1,'Merged raw data'!H668=2,'Merged raw data'!H668=3,'Merged raw data'!H668=4,'Merged raw data'!H668=5),"weekday","weekend")</f>
        <v>weekday</v>
      </c>
      <c r="J668" s="23" t="s">
        <v>23</v>
      </c>
      <c r="K668" s="23" t="str">
        <f>IF('Merged raw data'!I668=1,"Clear",IF('Merged raw data'!I668=2,"Mist",IF('Merged raw data'!I668=3,"Rain",IF('Merged raw data'!I668=4,"Storm","NA"))))</f>
        <v>Clear</v>
      </c>
      <c r="L668" s="24">
        <v>0.64</v>
      </c>
      <c r="M668" s="24">
        <v>0.19400000000000001</v>
      </c>
      <c r="N668" s="21">
        <f>'Merged raw data'!$J668*100</f>
        <v>22</v>
      </c>
      <c r="O668" s="21">
        <v>0</v>
      </c>
      <c r="P668" s="21">
        <v>1</v>
      </c>
      <c r="Q668" s="21">
        <v>1</v>
      </c>
      <c r="R668" s="21" t="str">
        <f>IF(Q668&gt;=outliers!I670,"High",IF(Q668&lt;=outliers!I669,"Low","Moderate"))</f>
        <v>High</v>
      </c>
      <c r="S668" s="8" t="str">
        <f>IF(OR(Q668&lt;outliers!$I$6,Q668&gt;outliers!$I$7),"Outlier","Normal")</f>
        <v>Normal</v>
      </c>
      <c r="T668" s="8" t="str">
        <f>IF(OR(L668&lt;outliers!$J$6,L668&gt;outliers!$J$7),"Outlier","Normal")</f>
        <v>Normal</v>
      </c>
      <c r="U668" s="8" t="str">
        <f>IF(OR(M668&lt;outliers!$K$6,M668&gt;outliers!$K$7),"Outlier","Normal")</f>
        <v>Normal</v>
      </c>
    </row>
    <row r="669" spans="1:21">
      <c r="A669" s="21">
        <v>668</v>
      </c>
      <c r="B669" s="68">
        <v>40574</v>
      </c>
      <c r="C669" s="22" t="b">
        <v>0</v>
      </c>
      <c r="D669" s="21" t="str">
        <f t="shared" si="10"/>
        <v>Monday</v>
      </c>
      <c r="E669" s="23">
        <v>0.2273</v>
      </c>
      <c r="F669" s="23">
        <f>YEAR('Merged raw data'!$B669)</f>
        <v>2011</v>
      </c>
      <c r="G669" s="23" t="str">
        <f>TEXT('Merged raw data'!$B669,"mmmm")</f>
        <v>January</v>
      </c>
      <c r="H669" s="37" t="str">
        <f>TEXT(TIME('Merged raw data'!F669,0,0),"h AM/PM")</f>
        <v>3 AM</v>
      </c>
      <c r="I669" s="23" t="str">
        <f>IF(OR('Merged raw data'!H669=1,'Merged raw data'!H669=2,'Merged raw data'!H669=3,'Merged raw data'!H669=4,'Merged raw data'!H669=5),"weekday","weekend")</f>
        <v>weekday</v>
      </c>
      <c r="J669" s="23" t="s">
        <v>23</v>
      </c>
      <c r="K669" s="23" t="str">
        <f>IF('Merged raw data'!I669=1,"Clear",IF('Merged raw data'!I669=2,"Mist",IF('Merged raw data'!I669=3,"Rain",IF('Merged raw data'!I669=4,"Storm","NA"))))</f>
        <v>Clear</v>
      </c>
      <c r="L669" s="24">
        <v>0.64</v>
      </c>
      <c r="M669" s="24">
        <v>0.19400000000000001</v>
      </c>
      <c r="N669" s="21">
        <f>'Merged raw data'!$J669*100</f>
        <v>22</v>
      </c>
      <c r="O669" s="21">
        <v>0</v>
      </c>
      <c r="P669" s="21">
        <v>2</v>
      </c>
      <c r="Q669" s="21">
        <v>2</v>
      </c>
      <c r="R669" s="21" t="str">
        <f>IF(Q669&gt;=outliers!I671,"High",IF(Q669&lt;=outliers!I670,"Low","Moderate"))</f>
        <v>High</v>
      </c>
      <c r="S669" s="8" t="str">
        <f>IF(OR(Q669&lt;outliers!$I$6,Q669&gt;outliers!$I$7),"Outlier","Normal")</f>
        <v>Normal</v>
      </c>
      <c r="T669" s="8" t="str">
        <f>IF(OR(L669&lt;outliers!$J$6,L669&gt;outliers!$J$7),"Outlier","Normal")</f>
        <v>Normal</v>
      </c>
      <c r="U669" s="8" t="str">
        <f>IF(OR(M669&lt;outliers!$K$6,M669&gt;outliers!$K$7),"Outlier","Normal")</f>
        <v>Normal</v>
      </c>
    </row>
    <row r="670" spans="1:21">
      <c r="A670" s="21">
        <v>669</v>
      </c>
      <c r="B670" s="68">
        <v>40574</v>
      </c>
      <c r="C670" s="22" t="b">
        <v>0</v>
      </c>
      <c r="D670" s="21" t="str">
        <f t="shared" si="10"/>
        <v>Monday</v>
      </c>
      <c r="E670" s="23">
        <v>0.19700000000000001</v>
      </c>
      <c r="F670" s="23">
        <f>YEAR('Merged raw data'!$B670)</f>
        <v>2011</v>
      </c>
      <c r="G670" s="23" t="str">
        <f>TEXT('Merged raw data'!$B670,"mmmm")</f>
        <v>January</v>
      </c>
      <c r="H670" s="37" t="str">
        <f>TEXT(TIME('Merged raw data'!F670,0,0),"h AM/PM")</f>
        <v>4 AM</v>
      </c>
      <c r="I670" s="23" t="str">
        <f>IF(OR('Merged raw data'!H670=1,'Merged raw data'!H670=2,'Merged raw data'!H670=3,'Merged raw data'!H670=4,'Merged raw data'!H670=5),"weekday","weekend")</f>
        <v>weekday</v>
      </c>
      <c r="J670" s="23" t="s">
        <v>23</v>
      </c>
      <c r="K670" s="23" t="str">
        <f>IF('Merged raw data'!I670=1,"Clear",IF('Merged raw data'!I670=2,"Mist",IF('Merged raw data'!I670=3,"Rain",IF('Merged raw data'!I670=4,"Storm","NA"))))</f>
        <v>Clear</v>
      </c>
      <c r="L670" s="24">
        <v>0.59</v>
      </c>
      <c r="M670" s="24">
        <v>0.22389999999999999</v>
      </c>
      <c r="N670" s="21">
        <f>'Merged raw data'!$J670*100</f>
        <v>20</v>
      </c>
      <c r="O670" s="21">
        <v>0</v>
      </c>
      <c r="P670" s="21">
        <v>2</v>
      </c>
      <c r="Q670" s="21">
        <v>2</v>
      </c>
      <c r="R670" s="21" t="str">
        <f>IF(Q670&gt;=outliers!I672,"High",IF(Q670&lt;=outliers!I671,"Low","Moderate"))</f>
        <v>High</v>
      </c>
      <c r="S670" s="8" t="str">
        <f>IF(OR(Q670&lt;outliers!$I$6,Q670&gt;outliers!$I$7),"Outlier","Normal")</f>
        <v>Normal</v>
      </c>
      <c r="T670" s="8" t="str">
        <f>IF(OR(L670&lt;outliers!$J$6,L670&gt;outliers!$J$7),"Outlier","Normal")</f>
        <v>Normal</v>
      </c>
      <c r="U670" s="8" t="str">
        <f>IF(OR(M670&lt;outliers!$K$6,M670&gt;outliers!$K$7),"Outlier","Normal")</f>
        <v>Normal</v>
      </c>
    </row>
    <row r="671" spans="1:21">
      <c r="A671" s="21">
        <v>670</v>
      </c>
      <c r="B671" s="68">
        <v>40574</v>
      </c>
      <c r="C671" s="22" t="b">
        <v>0</v>
      </c>
      <c r="D671" s="21" t="str">
        <f t="shared" si="10"/>
        <v>Monday</v>
      </c>
      <c r="E671" s="23">
        <v>0.16669999999999999</v>
      </c>
      <c r="F671" s="23">
        <f>YEAR('Merged raw data'!$B671)</f>
        <v>2011</v>
      </c>
      <c r="G671" s="23" t="str">
        <f>TEXT('Merged raw data'!$B671,"mmmm")</f>
        <v>January</v>
      </c>
      <c r="H671" s="37" t="str">
        <f>TEXT(TIME('Merged raw data'!F671,0,0),"h AM/PM")</f>
        <v>5 AM</v>
      </c>
      <c r="I671" s="23" t="str">
        <f>IF(OR('Merged raw data'!H671=1,'Merged raw data'!H671=2,'Merged raw data'!H671=3,'Merged raw data'!H671=4,'Merged raw data'!H671=5),"weekday","weekend")</f>
        <v>weekday</v>
      </c>
      <c r="J671" s="23" t="s">
        <v>23</v>
      </c>
      <c r="K671" s="23" t="str">
        <f>IF('Merged raw data'!I671=1,"Clear",IF('Merged raw data'!I671=2,"Mist",IF('Merged raw data'!I671=3,"Rain",IF('Merged raw data'!I671=4,"Storm","NA"))))</f>
        <v>Clear</v>
      </c>
      <c r="L671" s="24">
        <v>0.64</v>
      </c>
      <c r="M671" s="24">
        <v>0.28360000000000002</v>
      </c>
      <c r="N671" s="21">
        <f>'Merged raw data'!$J671*100</f>
        <v>18</v>
      </c>
      <c r="O671" s="21">
        <v>0</v>
      </c>
      <c r="P671" s="21">
        <v>8</v>
      </c>
      <c r="Q671" s="21">
        <v>8</v>
      </c>
      <c r="R671" s="21" t="str">
        <f>IF(Q671&gt;=outliers!I673,"High",IF(Q671&lt;=outliers!I672,"Low","Moderate"))</f>
        <v>High</v>
      </c>
      <c r="S671" s="8" t="str">
        <f>IF(OR(Q671&lt;outliers!$I$6,Q671&gt;outliers!$I$7),"Outlier","Normal")</f>
        <v>Normal</v>
      </c>
      <c r="T671" s="8" t="str">
        <f>IF(OR(L671&lt;outliers!$J$6,L671&gt;outliers!$J$7),"Outlier","Normal")</f>
        <v>Normal</v>
      </c>
      <c r="U671" s="8" t="str">
        <f>IF(OR(M671&lt;outliers!$K$6,M671&gt;outliers!$K$7),"Outlier","Normal")</f>
        <v>Normal</v>
      </c>
    </row>
    <row r="672" spans="1:21">
      <c r="A672" s="21">
        <v>671</v>
      </c>
      <c r="B672" s="68">
        <v>40574</v>
      </c>
      <c r="C672" s="22" t="b">
        <v>0</v>
      </c>
      <c r="D672" s="21" t="str">
        <f t="shared" si="10"/>
        <v>Monday</v>
      </c>
      <c r="E672" s="23">
        <v>0.13639999999999999</v>
      </c>
      <c r="F672" s="23">
        <f>YEAR('Merged raw data'!$B672)</f>
        <v>2011</v>
      </c>
      <c r="G672" s="23" t="str">
        <f>TEXT('Merged raw data'!$B672,"mmmm")</f>
        <v>January</v>
      </c>
      <c r="H672" s="37" t="str">
        <f>TEXT(TIME('Merged raw data'!F672,0,0),"h AM/PM")</f>
        <v>6 AM</v>
      </c>
      <c r="I672" s="23" t="str">
        <f>IF(OR('Merged raw data'!H672=1,'Merged raw data'!H672=2,'Merged raw data'!H672=3,'Merged raw data'!H672=4,'Merged raw data'!H672=5),"weekday","weekend")</f>
        <v>weekday</v>
      </c>
      <c r="J672" s="23" t="s">
        <v>23</v>
      </c>
      <c r="K672" s="23" t="str">
        <f>IF('Merged raw data'!I672=1,"Clear",IF('Merged raw data'!I672=2,"Mist",IF('Merged raw data'!I672=3,"Rain",IF('Merged raw data'!I672=4,"Storm","NA"))))</f>
        <v>Clear</v>
      </c>
      <c r="L672" s="24">
        <v>0.69</v>
      </c>
      <c r="M672" s="24">
        <v>0.32840000000000003</v>
      </c>
      <c r="N672" s="21">
        <f>'Merged raw data'!$J672*100</f>
        <v>16</v>
      </c>
      <c r="O672" s="21">
        <v>0</v>
      </c>
      <c r="P672" s="21">
        <v>37</v>
      </c>
      <c r="Q672" s="21">
        <v>37</v>
      </c>
      <c r="R672" s="21" t="str">
        <f>IF(Q672&gt;=outliers!I674,"High",IF(Q672&lt;=outliers!I673,"Low","Moderate"))</f>
        <v>High</v>
      </c>
      <c r="S672" s="8" t="str">
        <f>IF(OR(Q672&lt;outliers!$I$6,Q672&gt;outliers!$I$7),"Outlier","Normal")</f>
        <v>Normal</v>
      </c>
      <c r="T672" s="8" t="str">
        <f>IF(OR(L672&lt;outliers!$J$6,L672&gt;outliers!$J$7),"Outlier","Normal")</f>
        <v>Normal</v>
      </c>
      <c r="U672" s="8" t="str">
        <f>IF(OR(M672&lt;outliers!$K$6,M672&gt;outliers!$K$7),"Outlier","Normal")</f>
        <v>Normal</v>
      </c>
    </row>
    <row r="673" spans="1:21">
      <c r="A673" s="21">
        <v>672</v>
      </c>
      <c r="B673" s="68">
        <v>40574</v>
      </c>
      <c r="C673" s="22" t="b">
        <v>0</v>
      </c>
      <c r="D673" s="21" t="str">
        <f t="shared" si="10"/>
        <v>Monday</v>
      </c>
      <c r="E673" s="23">
        <v>0.13639999999999999</v>
      </c>
      <c r="F673" s="23">
        <f>YEAR('Merged raw data'!$B673)</f>
        <v>2011</v>
      </c>
      <c r="G673" s="23" t="str">
        <f>TEXT('Merged raw data'!$B673,"mmmm")</f>
        <v>January</v>
      </c>
      <c r="H673" s="37" t="str">
        <f>TEXT(TIME('Merged raw data'!F673,0,0),"h AM/PM")</f>
        <v>7 AM</v>
      </c>
      <c r="I673" s="23" t="str">
        <f>IF(OR('Merged raw data'!H673=1,'Merged raw data'!H673=2,'Merged raw data'!H673=3,'Merged raw data'!H673=4,'Merged raw data'!H673=5),"weekday","weekend")</f>
        <v>weekday</v>
      </c>
      <c r="J673" s="23" t="s">
        <v>23</v>
      </c>
      <c r="K673" s="23" t="str">
        <f>IF('Merged raw data'!I673=1,"Clear",IF('Merged raw data'!I673=2,"Mist",IF('Merged raw data'!I673=3,"Rain",IF('Merged raw data'!I673=4,"Storm","NA"))))</f>
        <v>Mist</v>
      </c>
      <c r="L673" s="24">
        <v>0.64</v>
      </c>
      <c r="M673" s="24">
        <v>0.28360000000000002</v>
      </c>
      <c r="N673" s="21">
        <f>'Merged raw data'!$J673*100</f>
        <v>16</v>
      </c>
      <c r="O673" s="21">
        <v>1</v>
      </c>
      <c r="P673" s="21">
        <v>71</v>
      </c>
      <c r="Q673" s="21">
        <v>72</v>
      </c>
      <c r="R673" s="21" t="str">
        <f>IF(Q673&gt;=outliers!I675,"High",IF(Q673&lt;=outliers!I674,"Low","Moderate"))</f>
        <v>High</v>
      </c>
      <c r="S673" s="8" t="str">
        <f>IF(OR(Q673&lt;outliers!$I$6,Q673&gt;outliers!$I$7),"Outlier","Normal")</f>
        <v>Normal</v>
      </c>
      <c r="T673" s="8" t="str">
        <f>IF(OR(L673&lt;outliers!$J$6,L673&gt;outliers!$J$7),"Outlier","Normal")</f>
        <v>Normal</v>
      </c>
      <c r="U673" s="8" t="str">
        <f>IF(OR(M673&lt;outliers!$K$6,M673&gt;outliers!$K$7),"Outlier","Normal")</f>
        <v>Normal</v>
      </c>
    </row>
    <row r="674" spans="1:21">
      <c r="A674" s="21">
        <v>673</v>
      </c>
      <c r="B674" s="68">
        <v>40574</v>
      </c>
      <c r="C674" s="22" t="b">
        <v>0</v>
      </c>
      <c r="D674" s="21" t="str">
        <f t="shared" si="10"/>
        <v>Monday</v>
      </c>
      <c r="E674" s="23">
        <v>0.13639999999999999</v>
      </c>
      <c r="F674" s="23">
        <f>YEAR('Merged raw data'!$B674)</f>
        <v>2011</v>
      </c>
      <c r="G674" s="23" t="str">
        <f>TEXT('Merged raw data'!$B674,"mmmm")</f>
        <v>January</v>
      </c>
      <c r="H674" s="37" t="str">
        <f>TEXT(TIME('Merged raw data'!F674,0,0),"h AM/PM")</f>
        <v>8 AM</v>
      </c>
      <c r="I674" s="23" t="str">
        <f>IF(OR('Merged raw data'!H674=1,'Merged raw data'!H674=2,'Merged raw data'!H674=3,'Merged raw data'!H674=4,'Merged raw data'!H674=5),"weekday","weekend")</f>
        <v>weekday</v>
      </c>
      <c r="J674" s="23" t="s">
        <v>23</v>
      </c>
      <c r="K674" s="23" t="str">
        <f>IF('Merged raw data'!I674=1,"Clear",IF('Merged raw data'!I674=2,"Mist",IF('Merged raw data'!I674=3,"Rain",IF('Merged raw data'!I674=4,"Storm","NA"))))</f>
        <v>Mist</v>
      </c>
      <c r="L674" s="24">
        <v>0.59</v>
      </c>
      <c r="M674" s="24">
        <v>0.28360000000000002</v>
      </c>
      <c r="N674" s="21">
        <f>'Merged raw data'!$J674*100</f>
        <v>16</v>
      </c>
      <c r="O674" s="21">
        <v>3</v>
      </c>
      <c r="P674" s="21">
        <v>182</v>
      </c>
      <c r="Q674" s="21">
        <v>185</v>
      </c>
      <c r="R674" s="21" t="str">
        <f>IF(Q674&gt;=outliers!I676,"High",IF(Q674&lt;=outliers!I675,"Low","Moderate"))</f>
        <v>High</v>
      </c>
      <c r="S674" s="8" t="str">
        <f>IF(OR(Q674&lt;outliers!$I$6,Q674&gt;outliers!$I$7),"Outlier","Normal")</f>
        <v>Outlier</v>
      </c>
      <c r="T674" s="8" t="str">
        <f>IF(OR(L674&lt;outliers!$J$6,L674&gt;outliers!$J$7),"Outlier","Normal")</f>
        <v>Normal</v>
      </c>
      <c r="U674" s="8" t="str">
        <f>IF(OR(M674&lt;outliers!$K$6,M674&gt;outliers!$K$7),"Outlier","Normal")</f>
        <v>Normal</v>
      </c>
    </row>
    <row r="675" spans="1:21">
      <c r="A675" s="21">
        <v>674</v>
      </c>
      <c r="B675" s="68">
        <v>40574</v>
      </c>
      <c r="C675" s="22" t="b">
        <v>0</v>
      </c>
      <c r="D675" s="21" t="str">
        <f t="shared" si="10"/>
        <v>Monday</v>
      </c>
      <c r="E675" s="23">
        <v>0.13639999999999999</v>
      </c>
      <c r="F675" s="23">
        <f>YEAR('Merged raw data'!$B675)</f>
        <v>2011</v>
      </c>
      <c r="G675" s="23" t="str">
        <f>TEXT('Merged raw data'!$B675,"mmmm")</f>
        <v>January</v>
      </c>
      <c r="H675" s="37" t="str">
        <f>TEXT(TIME('Merged raw data'!F675,0,0),"h AM/PM")</f>
        <v>9 AM</v>
      </c>
      <c r="I675" s="23" t="str">
        <f>IF(OR('Merged raw data'!H675=1,'Merged raw data'!H675=2,'Merged raw data'!H675=3,'Merged raw data'!H675=4,'Merged raw data'!H675=5),"weekday","weekend")</f>
        <v>weekday</v>
      </c>
      <c r="J675" s="23" t="s">
        <v>23</v>
      </c>
      <c r="K675" s="23" t="str">
        <f>IF('Merged raw data'!I675=1,"Clear",IF('Merged raw data'!I675=2,"Mist",IF('Merged raw data'!I675=3,"Rain",IF('Merged raw data'!I675=4,"Storm","NA"))))</f>
        <v>Mist</v>
      </c>
      <c r="L675" s="24">
        <v>0.59</v>
      </c>
      <c r="M675" s="24">
        <v>0.29849999999999999</v>
      </c>
      <c r="N675" s="21">
        <f>'Merged raw data'!$J675*100</f>
        <v>16</v>
      </c>
      <c r="O675" s="21">
        <v>0</v>
      </c>
      <c r="P675" s="21">
        <v>112</v>
      </c>
      <c r="Q675" s="21">
        <v>112</v>
      </c>
      <c r="R675" s="21" t="str">
        <f>IF(Q675&gt;=outliers!I677,"High",IF(Q675&lt;=outliers!I676,"Low","Moderate"))</f>
        <v>High</v>
      </c>
      <c r="S675" s="8" t="str">
        <f>IF(OR(Q675&lt;outliers!$I$6,Q675&gt;outliers!$I$7),"Outlier","Normal")</f>
        <v>Normal</v>
      </c>
      <c r="T675" s="8" t="str">
        <f>IF(OR(L675&lt;outliers!$J$6,L675&gt;outliers!$J$7),"Outlier","Normal")</f>
        <v>Normal</v>
      </c>
      <c r="U675" s="8" t="str">
        <f>IF(OR(M675&lt;outliers!$K$6,M675&gt;outliers!$K$7),"Outlier","Normal")</f>
        <v>Normal</v>
      </c>
    </row>
    <row r="676" spans="1:21">
      <c r="A676" s="21">
        <v>675</v>
      </c>
      <c r="B676" s="68">
        <v>40574</v>
      </c>
      <c r="C676" s="22" t="b">
        <v>0</v>
      </c>
      <c r="D676" s="21" t="str">
        <f t="shared" si="10"/>
        <v>Monday</v>
      </c>
      <c r="E676" s="23">
        <v>0.1515</v>
      </c>
      <c r="F676" s="23">
        <f>YEAR('Merged raw data'!$B676)</f>
        <v>2011</v>
      </c>
      <c r="G676" s="23" t="str">
        <f>TEXT('Merged raw data'!$B676,"mmmm")</f>
        <v>January</v>
      </c>
      <c r="H676" s="37" t="str">
        <f>TEXT(TIME('Merged raw data'!F676,0,0),"h AM/PM")</f>
        <v>10 AM</v>
      </c>
      <c r="I676" s="23" t="str">
        <f>IF(OR('Merged raw data'!H676=1,'Merged raw data'!H676=2,'Merged raw data'!H676=3,'Merged raw data'!H676=4,'Merged raw data'!H676=5),"weekday","weekend")</f>
        <v>weekday</v>
      </c>
      <c r="J676" s="23" t="s">
        <v>23</v>
      </c>
      <c r="K676" s="23" t="str">
        <f>IF('Merged raw data'!I676=1,"Clear",IF('Merged raw data'!I676=2,"Mist",IF('Merged raw data'!I676=3,"Rain",IF('Merged raw data'!I676=4,"Storm","NA"))))</f>
        <v>Mist</v>
      </c>
      <c r="L676" s="24">
        <v>0.59</v>
      </c>
      <c r="M676" s="24">
        <v>0.19400000000000001</v>
      </c>
      <c r="N676" s="21">
        <f>'Merged raw data'!$J676*100</f>
        <v>16</v>
      </c>
      <c r="O676" s="21">
        <v>1</v>
      </c>
      <c r="P676" s="21">
        <v>68</v>
      </c>
      <c r="Q676" s="21">
        <v>69</v>
      </c>
      <c r="R676" s="21" t="str">
        <f>IF(Q676&gt;=outliers!I678,"High",IF(Q676&lt;=outliers!I677,"Low","Moderate"))</f>
        <v>High</v>
      </c>
      <c r="S676" s="8" t="str">
        <f>IF(OR(Q676&lt;outliers!$I$6,Q676&gt;outliers!$I$7),"Outlier","Normal")</f>
        <v>Normal</v>
      </c>
      <c r="T676" s="8" t="str">
        <f>IF(OR(L676&lt;outliers!$J$6,L676&gt;outliers!$J$7),"Outlier","Normal")</f>
        <v>Normal</v>
      </c>
      <c r="U676" s="8" t="str">
        <f>IF(OR(M676&lt;outliers!$K$6,M676&gt;outliers!$K$7),"Outlier","Normal")</f>
        <v>Normal</v>
      </c>
    </row>
    <row r="677" spans="1:21">
      <c r="A677" s="21">
        <v>676</v>
      </c>
      <c r="B677" s="68">
        <v>40574</v>
      </c>
      <c r="C677" s="22" t="b">
        <v>0</v>
      </c>
      <c r="D677" s="21" t="str">
        <f t="shared" si="10"/>
        <v>Monday</v>
      </c>
      <c r="E677" s="23">
        <v>0.1515</v>
      </c>
      <c r="F677" s="23">
        <f>YEAR('Merged raw data'!$B677)</f>
        <v>2011</v>
      </c>
      <c r="G677" s="23" t="str">
        <f>TEXT('Merged raw data'!$B677,"mmmm")</f>
        <v>January</v>
      </c>
      <c r="H677" s="37" t="str">
        <f>TEXT(TIME('Merged raw data'!F677,0,0),"h AM/PM")</f>
        <v>11 AM</v>
      </c>
      <c r="I677" s="23" t="str">
        <f>IF(OR('Merged raw data'!H677=1,'Merged raw data'!H677=2,'Merged raw data'!H677=3,'Merged raw data'!H677=4,'Merged raw data'!H677=5),"weekday","weekend")</f>
        <v>weekday</v>
      </c>
      <c r="J677" s="23" t="s">
        <v>23</v>
      </c>
      <c r="K677" s="23" t="str">
        <f>IF('Merged raw data'!I677=1,"Clear",IF('Merged raw data'!I677=2,"Mist",IF('Merged raw data'!I677=3,"Rain",IF('Merged raw data'!I677=4,"Storm","NA"))))</f>
        <v>Mist</v>
      </c>
      <c r="L677" s="24">
        <v>0.59</v>
      </c>
      <c r="M677" s="24">
        <v>0.19400000000000001</v>
      </c>
      <c r="N677" s="21">
        <f>'Merged raw data'!$J677*100</f>
        <v>16</v>
      </c>
      <c r="O677" s="21">
        <v>2</v>
      </c>
      <c r="P677" s="21">
        <v>46</v>
      </c>
      <c r="Q677" s="21">
        <v>48</v>
      </c>
      <c r="R677" s="21" t="str">
        <f>IF(Q677&gt;=outliers!I679,"High",IF(Q677&lt;=outliers!I678,"Low","Moderate"))</f>
        <v>High</v>
      </c>
      <c r="S677" s="8" t="str">
        <f>IF(OR(Q677&lt;outliers!$I$6,Q677&gt;outliers!$I$7),"Outlier","Normal")</f>
        <v>Normal</v>
      </c>
      <c r="T677" s="8" t="str">
        <f>IF(OR(L677&lt;outliers!$J$6,L677&gt;outliers!$J$7),"Outlier","Normal")</f>
        <v>Normal</v>
      </c>
      <c r="U677" s="8" t="str">
        <f>IF(OR(M677&lt;outliers!$K$6,M677&gt;outliers!$K$7),"Outlier","Normal")</f>
        <v>Normal</v>
      </c>
    </row>
    <row r="678" spans="1:21">
      <c r="A678" s="21">
        <v>677</v>
      </c>
      <c r="B678" s="68">
        <v>40574</v>
      </c>
      <c r="C678" s="22" t="b">
        <v>0</v>
      </c>
      <c r="D678" s="21" t="str">
        <f t="shared" si="10"/>
        <v>Monday</v>
      </c>
      <c r="E678" s="23">
        <v>0.21210000000000001</v>
      </c>
      <c r="F678" s="23">
        <f>YEAR('Merged raw data'!$B678)</f>
        <v>2011</v>
      </c>
      <c r="G678" s="23" t="str">
        <f>TEXT('Merged raw data'!$B678,"mmmm")</f>
        <v>January</v>
      </c>
      <c r="H678" s="37" t="str">
        <f>TEXT(TIME('Merged raw data'!F678,0,0),"h AM/PM")</f>
        <v>12 PM</v>
      </c>
      <c r="I678" s="23" t="str">
        <f>IF(OR('Merged raw data'!H678=1,'Merged raw data'!H678=2,'Merged raw data'!H678=3,'Merged raw data'!H678=4,'Merged raw data'!H678=5),"weekday","weekend")</f>
        <v>weekday</v>
      </c>
      <c r="J678" s="23" t="s">
        <v>23</v>
      </c>
      <c r="K678" s="23" t="str">
        <f>IF('Merged raw data'!I678=1,"Clear",IF('Merged raw data'!I678=2,"Mist",IF('Merged raw data'!I678=3,"Rain",IF('Merged raw data'!I678=4,"Storm","NA"))))</f>
        <v>Mist</v>
      </c>
      <c r="L678" s="24">
        <v>0.55000000000000004</v>
      </c>
      <c r="M678" s="24">
        <v>0.1045</v>
      </c>
      <c r="N678" s="21">
        <f>'Merged raw data'!$J678*100</f>
        <v>18</v>
      </c>
      <c r="O678" s="21">
        <v>6</v>
      </c>
      <c r="P678" s="21">
        <v>62</v>
      </c>
      <c r="Q678" s="21">
        <v>68</v>
      </c>
      <c r="R678" s="21" t="str">
        <f>IF(Q678&gt;=outliers!I680,"High",IF(Q678&lt;=outliers!I679,"Low","Moderate"))</f>
        <v>High</v>
      </c>
      <c r="S678" s="8" t="str">
        <f>IF(OR(Q678&lt;outliers!$I$6,Q678&gt;outliers!$I$7),"Outlier","Normal")</f>
        <v>Normal</v>
      </c>
      <c r="T678" s="8" t="str">
        <f>IF(OR(L678&lt;outliers!$J$6,L678&gt;outliers!$J$7),"Outlier","Normal")</f>
        <v>Normal</v>
      </c>
      <c r="U678" s="8" t="str">
        <f>IF(OR(M678&lt;outliers!$K$6,M678&gt;outliers!$K$7),"Outlier","Normal")</f>
        <v>Normal</v>
      </c>
    </row>
    <row r="679" spans="1:21">
      <c r="A679" s="21">
        <v>678</v>
      </c>
      <c r="B679" s="68">
        <v>40574</v>
      </c>
      <c r="C679" s="22" t="b">
        <v>0</v>
      </c>
      <c r="D679" s="21" t="str">
        <f t="shared" si="10"/>
        <v>Monday</v>
      </c>
      <c r="E679" s="23">
        <v>0.2273</v>
      </c>
      <c r="F679" s="23">
        <f>YEAR('Merged raw data'!$B679)</f>
        <v>2011</v>
      </c>
      <c r="G679" s="23" t="str">
        <f>TEXT('Merged raw data'!$B679,"mmmm")</f>
        <v>January</v>
      </c>
      <c r="H679" s="37" t="str">
        <f>TEXT(TIME('Merged raw data'!F679,0,0),"h AM/PM")</f>
        <v>1 PM</v>
      </c>
      <c r="I679" s="23" t="str">
        <f>IF(OR('Merged raw data'!H679=1,'Merged raw data'!H679=2,'Merged raw data'!H679=3,'Merged raw data'!H679=4,'Merged raw data'!H679=5),"weekday","weekend")</f>
        <v>weekday</v>
      </c>
      <c r="J679" s="23" t="s">
        <v>23</v>
      </c>
      <c r="K679" s="23" t="str">
        <f>IF('Merged raw data'!I679=1,"Clear",IF('Merged raw data'!I679=2,"Mist",IF('Merged raw data'!I679=3,"Rain",IF('Merged raw data'!I679=4,"Storm","NA"))))</f>
        <v>Mist</v>
      </c>
      <c r="L679" s="24">
        <v>0.59</v>
      </c>
      <c r="M679" s="24">
        <v>0.23</v>
      </c>
      <c r="N679" s="21">
        <f>'Merged raw data'!$J679*100</f>
        <v>16</v>
      </c>
      <c r="O679" s="21">
        <v>2</v>
      </c>
      <c r="P679" s="21">
        <v>52</v>
      </c>
      <c r="Q679" s="21">
        <v>54</v>
      </c>
      <c r="R679" s="21" t="str">
        <f>IF(Q679&gt;=outliers!I681,"High",IF(Q679&lt;=outliers!I680,"Low","Moderate"))</f>
        <v>High</v>
      </c>
      <c r="S679" s="8" t="str">
        <f>IF(OR(Q679&lt;outliers!$I$6,Q679&gt;outliers!$I$7),"Outlier","Normal")</f>
        <v>Normal</v>
      </c>
      <c r="T679" s="8" t="str">
        <f>IF(OR(L679&lt;outliers!$J$6,L679&gt;outliers!$J$7),"Outlier","Normal")</f>
        <v>Normal</v>
      </c>
      <c r="U679" s="8" t="str">
        <f>IF(OR(M679&lt;outliers!$K$6,M679&gt;outliers!$K$7),"Outlier","Normal")</f>
        <v>Normal</v>
      </c>
    </row>
    <row r="680" spans="1:21">
      <c r="A680" s="21">
        <v>679</v>
      </c>
      <c r="B680" s="68">
        <v>40574</v>
      </c>
      <c r="C680" s="22" t="b">
        <v>0</v>
      </c>
      <c r="D680" s="21" t="str">
        <f t="shared" si="10"/>
        <v>Monday</v>
      </c>
      <c r="E680" s="23">
        <v>0.19700000000000001</v>
      </c>
      <c r="F680" s="23">
        <f>YEAR('Merged raw data'!$B680)</f>
        <v>2011</v>
      </c>
      <c r="G680" s="23" t="str">
        <f>TEXT('Merged raw data'!$B680,"mmmm")</f>
        <v>January</v>
      </c>
      <c r="H680" s="37" t="str">
        <f>TEXT(TIME('Merged raw data'!F680,0,0),"h AM/PM")</f>
        <v>2 PM</v>
      </c>
      <c r="I680" s="23" t="str">
        <f>IF(OR('Merged raw data'!H680=1,'Merged raw data'!H680=2,'Merged raw data'!H680=3,'Merged raw data'!H680=4,'Merged raw data'!H680=5),"weekday","weekend")</f>
        <v>weekday</v>
      </c>
      <c r="J680" s="23" t="s">
        <v>23</v>
      </c>
      <c r="K680" s="23" t="str">
        <f>IF('Merged raw data'!I680=1,"Clear",IF('Merged raw data'!I680=2,"Mist",IF('Merged raw data'!I680=3,"Rain",IF('Merged raw data'!I680=4,"Storm","NA"))))</f>
        <v>Mist</v>
      </c>
      <c r="L680" s="24">
        <v>0.55000000000000004</v>
      </c>
      <c r="M680" s="24">
        <v>0.1343</v>
      </c>
      <c r="N680" s="21">
        <f>'Merged raw data'!$J680*100</f>
        <v>18</v>
      </c>
      <c r="O680" s="21">
        <v>1</v>
      </c>
      <c r="P680" s="21">
        <v>85</v>
      </c>
      <c r="Q680" s="21">
        <v>86</v>
      </c>
      <c r="R680" s="21" t="str">
        <f>IF(Q680&gt;=outliers!I682,"High",IF(Q680&lt;=outliers!I681,"Low","Moderate"))</f>
        <v>High</v>
      </c>
      <c r="S680" s="8" t="str">
        <f>IF(OR(Q680&lt;outliers!$I$6,Q680&gt;outliers!$I$7),"Outlier","Normal")</f>
        <v>Normal</v>
      </c>
      <c r="T680" s="8" t="str">
        <f>IF(OR(L680&lt;outliers!$J$6,L680&gt;outliers!$J$7),"Outlier","Normal")</f>
        <v>Normal</v>
      </c>
      <c r="U680" s="8" t="str">
        <f>IF(OR(M680&lt;outliers!$K$6,M680&gt;outliers!$K$7),"Outlier","Normal")</f>
        <v>Normal</v>
      </c>
    </row>
    <row r="681" spans="1:21">
      <c r="A681" s="21">
        <v>680</v>
      </c>
      <c r="B681" s="68">
        <v>40574</v>
      </c>
      <c r="C681" s="22" t="b">
        <v>0</v>
      </c>
      <c r="D681" s="21" t="str">
        <f t="shared" si="10"/>
        <v>Monday</v>
      </c>
      <c r="E681" s="23">
        <v>0.18179999999999999</v>
      </c>
      <c r="F681" s="23">
        <f>YEAR('Merged raw data'!$B681)</f>
        <v>2011</v>
      </c>
      <c r="G681" s="23" t="str">
        <f>TEXT('Merged raw data'!$B681,"mmmm")</f>
        <v>January</v>
      </c>
      <c r="H681" s="37" t="str">
        <f>TEXT(TIME('Merged raw data'!F681,0,0),"h AM/PM")</f>
        <v>3 PM</v>
      </c>
      <c r="I681" s="23" t="str">
        <f>IF(OR('Merged raw data'!H681=1,'Merged raw data'!H681=2,'Merged raw data'!H681=3,'Merged raw data'!H681=4,'Merged raw data'!H681=5),"weekday","weekend")</f>
        <v>weekday</v>
      </c>
      <c r="J681" s="23" t="s">
        <v>23</v>
      </c>
      <c r="K681" s="23" t="str">
        <f>IF('Merged raw data'!I681=1,"Clear",IF('Merged raw data'!I681=2,"Mist",IF('Merged raw data'!I681=3,"Rain",IF('Merged raw data'!I681=4,"Storm","NA"))))</f>
        <v>Mist</v>
      </c>
      <c r="L681" s="24">
        <v>0.59</v>
      </c>
      <c r="M681" s="24">
        <v>0.1343</v>
      </c>
      <c r="N681" s="21">
        <f>'Merged raw data'!$J681*100</f>
        <v>16</v>
      </c>
      <c r="O681" s="21">
        <v>3</v>
      </c>
      <c r="P681" s="21">
        <v>41</v>
      </c>
      <c r="Q681" s="21">
        <v>44</v>
      </c>
      <c r="R681" s="21" t="str">
        <f>IF(Q681&gt;=outliers!I683,"High",IF(Q681&lt;=outliers!I682,"Low","Moderate"))</f>
        <v>High</v>
      </c>
      <c r="S681" s="8" t="str">
        <f>IF(OR(Q681&lt;outliers!$I$6,Q681&gt;outliers!$I$7),"Outlier","Normal")</f>
        <v>Normal</v>
      </c>
      <c r="T681" s="8" t="str">
        <f>IF(OR(L681&lt;outliers!$J$6,L681&gt;outliers!$J$7),"Outlier","Normal")</f>
        <v>Normal</v>
      </c>
      <c r="U681" s="8" t="str">
        <f>IF(OR(M681&lt;outliers!$K$6,M681&gt;outliers!$K$7),"Outlier","Normal")</f>
        <v>Normal</v>
      </c>
    </row>
    <row r="682" spans="1:21">
      <c r="A682" s="21">
        <v>681</v>
      </c>
      <c r="B682" s="68">
        <v>40574</v>
      </c>
      <c r="C682" s="22" t="b">
        <v>0</v>
      </c>
      <c r="D682" s="21" t="str">
        <f t="shared" si="10"/>
        <v>Monday</v>
      </c>
      <c r="E682" s="23">
        <v>0.18179999999999999</v>
      </c>
      <c r="F682" s="23">
        <f>YEAR('Merged raw data'!$B682)</f>
        <v>2011</v>
      </c>
      <c r="G682" s="23" t="str">
        <f>TEXT('Merged raw data'!$B682,"mmmm")</f>
        <v>January</v>
      </c>
      <c r="H682" s="37" t="str">
        <f>TEXT(TIME('Merged raw data'!F682,0,0),"h AM/PM")</f>
        <v>4 PM</v>
      </c>
      <c r="I682" s="23" t="str">
        <f>IF(OR('Merged raw data'!H682=1,'Merged raw data'!H682=2,'Merged raw data'!H682=3,'Merged raw data'!H682=4,'Merged raw data'!H682=5),"weekday","weekend")</f>
        <v>weekday</v>
      </c>
      <c r="J682" s="23" t="s">
        <v>23</v>
      </c>
      <c r="K682" s="23" t="str">
        <f>IF('Merged raw data'!I682=1,"Clear",IF('Merged raw data'!I682=2,"Mist",IF('Merged raw data'!I682=3,"Rain",IF('Merged raw data'!I682=4,"Storm","NA"))))</f>
        <v>Mist</v>
      </c>
      <c r="L682" s="24">
        <v>0.56000000000000005</v>
      </c>
      <c r="M682" s="24">
        <v>0.19400000000000001</v>
      </c>
      <c r="N682" s="21">
        <f>'Merged raw data'!$J682*100</f>
        <v>16</v>
      </c>
      <c r="O682" s="21">
        <v>3</v>
      </c>
      <c r="P682" s="21">
        <v>83</v>
      </c>
      <c r="Q682" s="21">
        <v>86</v>
      </c>
      <c r="R682" s="21" t="str">
        <f>IF(Q682&gt;=outliers!I684,"High",IF(Q682&lt;=outliers!I683,"Low","Moderate"))</f>
        <v>High</v>
      </c>
      <c r="S682" s="8" t="str">
        <f>IF(OR(Q682&lt;outliers!$I$6,Q682&gt;outliers!$I$7),"Outlier","Normal")</f>
        <v>Normal</v>
      </c>
      <c r="T682" s="8" t="str">
        <f>IF(OR(L682&lt;outliers!$J$6,L682&gt;outliers!$J$7),"Outlier","Normal")</f>
        <v>Normal</v>
      </c>
      <c r="U682" s="8" t="str">
        <f>IF(OR(M682&lt;outliers!$K$6,M682&gt;outliers!$K$7),"Outlier","Normal")</f>
        <v>Normal</v>
      </c>
    </row>
    <row r="683" spans="1:21">
      <c r="A683" s="21">
        <v>682</v>
      </c>
      <c r="B683" s="68">
        <v>40574</v>
      </c>
      <c r="C683" s="22" t="b">
        <v>0</v>
      </c>
      <c r="D683" s="21" t="str">
        <f t="shared" si="10"/>
        <v>Monday</v>
      </c>
      <c r="E683" s="23">
        <v>0.1515</v>
      </c>
      <c r="F683" s="23">
        <f>YEAR('Merged raw data'!$B683)</f>
        <v>2011</v>
      </c>
      <c r="G683" s="23" t="str">
        <f>TEXT('Merged raw data'!$B683,"mmmm")</f>
        <v>January</v>
      </c>
      <c r="H683" s="37" t="str">
        <f>TEXT(TIME('Merged raw data'!F683,0,0),"h AM/PM")</f>
        <v>5 PM</v>
      </c>
      <c r="I683" s="23" t="str">
        <f>IF(OR('Merged raw data'!H683=1,'Merged raw data'!H683=2,'Merged raw data'!H683=3,'Merged raw data'!H683=4,'Merged raw data'!H683=5),"weekday","weekend")</f>
        <v>weekday</v>
      </c>
      <c r="J683" s="23" t="s">
        <v>23</v>
      </c>
      <c r="K683" s="23" t="str">
        <f>IF('Merged raw data'!I683=1,"Clear",IF('Merged raw data'!I683=2,"Mist",IF('Merged raw data'!I683=3,"Rain",IF('Merged raw data'!I683=4,"Storm","NA"))))</f>
        <v>Mist</v>
      </c>
      <c r="L683" s="24">
        <v>0.59</v>
      </c>
      <c r="M683" s="24">
        <v>0.19400000000000001</v>
      </c>
      <c r="N683" s="21">
        <f>'Merged raw data'!$J683*100</f>
        <v>16</v>
      </c>
      <c r="O683" s="21">
        <v>6</v>
      </c>
      <c r="P683" s="21">
        <v>155</v>
      </c>
      <c r="Q683" s="21">
        <v>161</v>
      </c>
      <c r="R683" s="21" t="str">
        <f>IF(Q683&gt;=outliers!I685,"High",IF(Q683&lt;=outliers!I684,"Low","Moderate"))</f>
        <v>High</v>
      </c>
      <c r="S683" s="8" t="str">
        <f>IF(OR(Q683&lt;outliers!$I$6,Q683&gt;outliers!$I$7),"Outlier","Normal")</f>
        <v>Normal</v>
      </c>
      <c r="T683" s="8" t="str">
        <f>IF(OR(L683&lt;outliers!$J$6,L683&gt;outliers!$J$7),"Outlier","Normal")</f>
        <v>Normal</v>
      </c>
      <c r="U683" s="8" t="str">
        <f>IF(OR(M683&lt;outliers!$K$6,M683&gt;outliers!$K$7),"Outlier","Normal")</f>
        <v>Normal</v>
      </c>
    </row>
    <row r="684" spans="1:21">
      <c r="A684" s="21">
        <v>683</v>
      </c>
      <c r="B684" s="68">
        <v>40574</v>
      </c>
      <c r="C684" s="22" t="b">
        <v>0</v>
      </c>
      <c r="D684" s="21" t="str">
        <f t="shared" si="10"/>
        <v>Monday</v>
      </c>
      <c r="E684" s="23">
        <v>0.1515</v>
      </c>
      <c r="F684" s="23">
        <f>YEAR('Merged raw data'!$B684)</f>
        <v>2011</v>
      </c>
      <c r="G684" s="23" t="str">
        <f>TEXT('Merged raw data'!$B684,"mmmm")</f>
        <v>January</v>
      </c>
      <c r="H684" s="37" t="str">
        <f>TEXT(TIME('Merged raw data'!F684,0,0),"h AM/PM")</f>
        <v>6 PM</v>
      </c>
      <c r="I684" s="23" t="str">
        <f>IF(OR('Merged raw data'!H684=1,'Merged raw data'!H684=2,'Merged raw data'!H684=3,'Merged raw data'!H684=4,'Merged raw data'!H684=5),"weekday","weekend")</f>
        <v>weekday</v>
      </c>
      <c r="J684" s="23" t="s">
        <v>23</v>
      </c>
      <c r="K684" s="23" t="str">
        <f>IF('Merged raw data'!I684=1,"Clear",IF('Merged raw data'!I684=2,"Mist",IF('Merged raw data'!I684=3,"Rain",IF('Merged raw data'!I684=4,"Storm","NA"))))</f>
        <v>Mist</v>
      </c>
      <c r="L684" s="24">
        <v>0.55000000000000004</v>
      </c>
      <c r="M684" s="24">
        <v>0.22389999999999999</v>
      </c>
      <c r="N684" s="21">
        <f>'Merged raw data'!$J684*100</f>
        <v>16</v>
      </c>
      <c r="O684" s="21">
        <v>3</v>
      </c>
      <c r="P684" s="21">
        <v>153</v>
      </c>
      <c r="Q684" s="21">
        <v>156</v>
      </c>
      <c r="R684" s="21" t="str">
        <f>IF(Q684&gt;=outliers!I686,"High",IF(Q684&lt;=outliers!I685,"Low","Moderate"))</f>
        <v>High</v>
      </c>
      <c r="S684" s="8" t="str">
        <f>IF(OR(Q684&lt;outliers!$I$6,Q684&gt;outliers!$I$7),"Outlier","Normal")</f>
        <v>Normal</v>
      </c>
      <c r="T684" s="8" t="str">
        <f>IF(OR(L684&lt;outliers!$J$6,L684&gt;outliers!$J$7),"Outlier","Normal")</f>
        <v>Normal</v>
      </c>
      <c r="U684" s="8" t="str">
        <f>IF(OR(M684&lt;outliers!$K$6,M684&gt;outliers!$K$7),"Outlier","Normal")</f>
        <v>Normal</v>
      </c>
    </row>
    <row r="685" spans="1:21">
      <c r="A685" s="21">
        <v>684</v>
      </c>
      <c r="B685" s="68">
        <v>40574</v>
      </c>
      <c r="C685" s="22" t="b">
        <v>0</v>
      </c>
      <c r="D685" s="21" t="str">
        <f t="shared" si="10"/>
        <v>Monday</v>
      </c>
      <c r="E685" s="23">
        <v>0.31819999999999998</v>
      </c>
      <c r="F685" s="23">
        <f>YEAR('Merged raw data'!$B685)</f>
        <v>2011</v>
      </c>
      <c r="G685" s="23" t="str">
        <f>TEXT('Merged raw data'!$B685,"mmmm")</f>
        <v>January</v>
      </c>
      <c r="H685" s="37" t="str">
        <f>TEXT(TIME('Merged raw data'!F685,0,0),"h AM/PM")</f>
        <v>7 PM</v>
      </c>
      <c r="I685" s="23" t="str">
        <f>IF(OR('Merged raw data'!H685=1,'Merged raw data'!H685=2,'Merged raw data'!H685=3,'Merged raw data'!H685=4,'Merged raw data'!H685=5),"weekday","weekend")</f>
        <v>weekday</v>
      </c>
      <c r="J685" s="23" t="s">
        <v>23</v>
      </c>
      <c r="K685" s="23" t="str">
        <f>IF('Merged raw data'!I685=1,"Clear",IF('Merged raw data'!I685=2,"Mist",IF('Merged raw data'!I685=3,"Rain",IF('Merged raw data'!I685=4,"Storm","NA"))))</f>
        <v>Clear</v>
      </c>
      <c r="L685" s="24">
        <v>0.61</v>
      </c>
      <c r="M685" s="24">
        <v>0.1045</v>
      </c>
      <c r="N685" s="21">
        <f>'Merged raw data'!$J685*100</f>
        <v>30</v>
      </c>
      <c r="O685" s="21">
        <v>3</v>
      </c>
      <c r="P685" s="21">
        <v>108</v>
      </c>
      <c r="Q685" s="21">
        <v>111</v>
      </c>
      <c r="R685" s="21" t="str">
        <f>IF(Q685&gt;=outliers!I687,"High",IF(Q685&lt;=outliers!I686,"Low","Moderate"))</f>
        <v>High</v>
      </c>
      <c r="S685" s="8" t="str">
        <f>IF(OR(Q685&lt;outliers!$I$6,Q685&gt;outliers!$I$7),"Outlier","Normal")</f>
        <v>Normal</v>
      </c>
      <c r="T685" s="8" t="str">
        <f>IF(OR(L685&lt;outliers!$J$6,L685&gt;outliers!$J$7),"Outlier","Normal")</f>
        <v>Normal</v>
      </c>
      <c r="U685" s="8" t="str">
        <f>IF(OR(M685&lt;outliers!$K$6,M685&gt;outliers!$K$7),"Outlier","Normal")</f>
        <v>Normal</v>
      </c>
    </row>
    <row r="686" spans="1:21">
      <c r="A686" s="21">
        <v>685</v>
      </c>
      <c r="B686" s="68">
        <v>40574</v>
      </c>
      <c r="C686" s="22" t="b">
        <v>0</v>
      </c>
      <c r="D686" s="21" t="str">
        <f t="shared" si="10"/>
        <v>Monday</v>
      </c>
      <c r="E686" s="23">
        <v>0.16669999999999999</v>
      </c>
      <c r="F686" s="23">
        <f>YEAR('Merged raw data'!$B686)</f>
        <v>2011</v>
      </c>
      <c r="G686" s="23" t="str">
        <f>TEXT('Merged raw data'!$B686,"mmmm")</f>
        <v>January</v>
      </c>
      <c r="H686" s="37" t="str">
        <f>TEXT(TIME('Merged raw data'!F686,0,0),"h AM/PM")</f>
        <v>8 PM</v>
      </c>
      <c r="I686" s="23" t="str">
        <f>IF(OR('Merged raw data'!H686=1,'Merged raw data'!H686=2,'Merged raw data'!H686=3,'Merged raw data'!H686=4,'Merged raw data'!H686=5),"weekday","weekend")</f>
        <v>weekday</v>
      </c>
      <c r="J686" s="23" t="s">
        <v>23</v>
      </c>
      <c r="K686" s="23" t="str">
        <f>IF('Merged raw data'!I686=1,"Clear",IF('Merged raw data'!I686=2,"Mist",IF('Merged raw data'!I686=3,"Rain",IF('Merged raw data'!I686=4,"Storm","NA"))))</f>
        <v>Rain</v>
      </c>
      <c r="L686" s="24">
        <v>0.59</v>
      </c>
      <c r="M686" s="24">
        <v>0.16420000000000001</v>
      </c>
      <c r="N686" s="21">
        <f>'Merged raw data'!$J686*100</f>
        <v>16</v>
      </c>
      <c r="O686" s="21">
        <v>0</v>
      </c>
      <c r="P686" s="21">
        <v>78</v>
      </c>
      <c r="Q686" s="21">
        <v>78</v>
      </c>
      <c r="R686" s="21" t="str">
        <f>IF(Q686&gt;=outliers!I688,"High",IF(Q686&lt;=outliers!I687,"Low","Moderate"))</f>
        <v>High</v>
      </c>
      <c r="S686" s="8" t="str">
        <f>IF(OR(Q686&lt;outliers!$I$6,Q686&gt;outliers!$I$7),"Outlier","Normal")</f>
        <v>Normal</v>
      </c>
      <c r="T686" s="8" t="str">
        <f>IF(OR(L686&lt;outliers!$J$6,L686&gt;outliers!$J$7),"Outlier","Normal")</f>
        <v>Normal</v>
      </c>
      <c r="U686" s="8" t="str">
        <f>IF(OR(M686&lt;outliers!$K$6,M686&gt;outliers!$K$7),"Outlier","Normal")</f>
        <v>Normal</v>
      </c>
    </row>
    <row r="687" spans="1:21">
      <c r="A687" s="21">
        <v>686</v>
      </c>
      <c r="B687" s="68">
        <v>40574</v>
      </c>
      <c r="C687" s="22" t="b">
        <v>0</v>
      </c>
      <c r="D687" s="21" t="str">
        <f t="shared" si="10"/>
        <v>Monday</v>
      </c>
      <c r="E687" s="23">
        <v>0.19700000000000001</v>
      </c>
      <c r="F687" s="23">
        <f>YEAR('Merged raw data'!$B687)</f>
        <v>2011</v>
      </c>
      <c r="G687" s="23" t="str">
        <f>TEXT('Merged raw data'!$B687,"mmmm")</f>
        <v>January</v>
      </c>
      <c r="H687" s="37" t="str">
        <f>TEXT(TIME('Merged raw data'!F687,0,0),"h AM/PM")</f>
        <v>9 PM</v>
      </c>
      <c r="I687" s="23" t="str">
        <f>IF(OR('Merged raw data'!H687=1,'Merged raw data'!H687=2,'Merged raw data'!H687=3,'Merged raw data'!H687=4,'Merged raw data'!H687=5),"weekday","weekend")</f>
        <v>weekday</v>
      </c>
      <c r="J687" s="23" t="s">
        <v>23</v>
      </c>
      <c r="K687" s="23" t="str">
        <f>IF('Merged raw data'!I687=1,"Clear",IF('Merged raw data'!I687=2,"Mist",IF('Merged raw data'!I687=3,"Rain",IF('Merged raw data'!I687=4,"Storm","NA"))))</f>
        <v>Rain</v>
      </c>
      <c r="L687" s="24">
        <v>0.59</v>
      </c>
      <c r="M687" s="24">
        <v>8.9599999999999999E-2</v>
      </c>
      <c r="N687" s="21">
        <f>'Merged raw data'!$J687*100</f>
        <v>16</v>
      </c>
      <c r="O687" s="21">
        <v>3</v>
      </c>
      <c r="P687" s="21">
        <v>53</v>
      </c>
      <c r="Q687" s="21">
        <v>56</v>
      </c>
      <c r="R687" s="21" t="str">
        <f>IF(Q687&gt;=outliers!I689,"High",IF(Q687&lt;=outliers!I688,"Low","Moderate"))</f>
        <v>High</v>
      </c>
      <c r="S687" s="8" t="str">
        <f>IF(OR(Q687&lt;outliers!$I$6,Q687&gt;outliers!$I$7),"Outlier","Normal")</f>
        <v>Normal</v>
      </c>
      <c r="T687" s="8" t="str">
        <f>IF(OR(L687&lt;outliers!$J$6,L687&gt;outliers!$J$7),"Outlier","Normal")</f>
        <v>Normal</v>
      </c>
      <c r="U687" s="8" t="str">
        <f>IF(OR(M687&lt;outliers!$K$6,M687&gt;outliers!$K$7),"Outlier","Normal")</f>
        <v>Normal</v>
      </c>
    </row>
    <row r="688" spans="1:21">
      <c r="A688" s="21">
        <v>687</v>
      </c>
      <c r="B688" s="68">
        <v>40574</v>
      </c>
      <c r="C688" s="22" t="b">
        <v>0</v>
      </c>
      <c r="D688" s="21" t="str">
        <f t="shared" si="10"/>
        <v>Monday</v>
      </c>
      <c r="E688" s="23">
        <v>0.18179999999999999</v>
      </c>
      <c r="F688" s="23">
        <f>YEAR('Merged raw data'!$B688)</f>
        <v>2011</v>
      </c>
      <c r="G688" s="23" t="str">
        <f>TEXT('Merged raw data'!$B688,"mmmm")</f>
        <v>January</v>
      </c>
      <c r="H688" s="37" t="str">
        <f>TEXT(TIME('Merged raw data'!F688,0,0),"h AM/PM")</f>
        <v>10 PM</v>
      </c>
      <c r="I688" s="23" t="str">
        <f>IF(OR('Merged raw data'!H688=1,'Merged raw data'!H688=2,'Merged raw data'!H688=3,'Merged raw data'!H688=4,'Merged raw data'!H688=5),"weekday","weekend")</f>
        <v>weekday</v>
      </c>
      <c r="J688" s="23" t="s">
        <v>23</v>
      </c>
      <c r="K688" s="23" t="str">
        <f>IF('Merged raw data'!I688=1,"Clear",IF('Merged raw data'!I688=2,"Mist",IF('Merged raw data'!I688=3,"Rain",IF('Merged raw data'!I688=4,"Storm","NA"))))</f>
        <v>Mist</v>
      </c>
      <c r="L688" s="24">
        <v>0.59</v>
      </c>
      <c r="M688" s="24">
        <v>0.1045</v>
      </c>
      <c r="N688" s="21">
        <f>'Merged raw data'!$J688*100</f>
        <v>16</v>
      </c>
      <c r="O688" s="21">
        <v>0</v>
      </c>
      <c r="P688" s="21">
        <v>34</v>
      </c>
      <c r="Q688" s="21">
        <v>34</v>
      </c>
      <c r="R688" s="21" t="str">
        <f>IF(Q688&gt;=outliers!I690,"High",IF(Q688&lt;=outliers!I689,"Low","Moderate"))</f>
        <v>High</v>
      </c>
      <c r="S688" s="8" t="str">
        <f>IF(OR(Q688&lt;outliers!$I$6,Q688&gt;outliers!$I$7),"Outlier","Normal")</f>
        <v>Normal</v>
      </c>
      <c r="T688" s="8" t="str">
        <f>IF(OR(L688&lt;outliers!$J$6,L688&gt;outliers!$J$7),"Outlier","Normal")</f>
        <v>Normal</v>
      </c>
      <c r="U688" s="8" t="str">
        <f>IF(OR(M688&lt;outliers!$K$6,M688&gt;outliers!$K$7),"Outlier","Normal")</f>
        <v>Normal</v>
      </c>
    </row>
    <row r="689" spans="1:21">
      <c r="A689" s="21">
        <v>688</v>
      </c>
      <c r="B689" s="68">
        <v>40574</v>
      </c>
      <c r="C689" s="22" t="b">
        <v>0</v>
      </c>
      <c r="D689" s="21" t="str">
        <f t="shared" si="10"/>
        <v>Monday</v>
      </c>
      <c r="E689" s="23">
        <v>0.19700000000000001</v>
      </c>
      <c r="F689" s="23">
        <f>YEAR('Merged raw data'!$B689)</f>
        <v>2011</v>
      </c>
      <c r="G689" s="23" t="str">
        <f>TEXT('Merged raw data'!$B689,"mmmm")</f>
        <v>January</v>
      </c>
      <c r="H689" s="37" t="str">
        <f>TEXT(TIME('Merged raw data'!F689,0,0),"h AM/PM")</f>
        <v>11 PM</v>
      </c>
      <c r="I689" s="23" t="str">
        <f>IF(OR('Merged raw data'!H689=1,'Merged raw data'!H689=2,'Merged raw data'!H689=3,'Merged raw data'!H689=4,'Merged raw data'!H689=5),"weekday","weekend")</f>
        <v>weekday</v>
      </c>
      <c r="J689" s="23" t="s">
        <v>23</v>
      </c>
      <c r="K689" s="23" t="str">
        <f>IF('Merged raw data'!I689=1,"Clear",IF('Merged raw data'!I689=2,"Mist",IF('Merged raw data'!I689=3,"Rain",IF('Merged raw data'!I689=4,"Storm","NA"))))</f>
        <v>Mist</v>
      </c>
      <c r="L689" s="24">
        <v>0.64</v>
      </c>
      <c r="M689" s="24">
        <v>8.9599999999999999E-2</v>
      </c>
      <c r="N689" s="21">
        <f>'Merged raw data'!$J689*100</f>
        <v>16</v>
      </c>
      <c r="O689" s="21">
        <v>2</v>
      </c>
      <c r="P689" s="21">
        <v>15</v>
      </c>
      <c r="Q689" s="21">
        <v>17</v>
      </c>
      <c r="R689" s="21" t="str">
        <f>IF(Q689&gt;=outliers!I691,"High",IF(Q689&lt;=outliers!I690,"Low","Moderate"))</f>
        <v>High</v>
      </c>
      <c r="S689" s="8" t="str">
        <f>IF(OR(Q689&lt;outliers!$I$6,Q689&gt;outliers!$I$7),"Outlier","Normal")</f>
        <v>Normal</v>
      </c>
      <c r="T689" s="8" t="str">
        <f>IF(OR(L689&lt;outliers!$J$6,L689&gt;outliers!$J$7),"Outlier","Normal")</f>
        <v>Normal</v>
      </c>
      <c r="U689" s="8" t="str">
        <f>IF(OR(M689&lt;outliers!$K$6,M689&gt;outliers!$K$7),"Outlier","Normal")</f>
        <v>Normal</v>
      </c>
    </row>
    <row r="690" spans="1:21">
      <c r="A690" s="21">
        <v>689</v>
      </c>
      <c r="B690" s="68">
        <v>40575</v>
      </c>
      <c r="C690" s="22" t="b">
        <v>0</v>
      </c>
      <c r="D690" s="21" t="str">
        <f t="shared" si="10"/>
        <v>Tuesday</v>
      </c>
      <c r="E690" s="23">
        <v>0.18179999999999999</v>
      </c>
      <c r="F690" s="23">
        <f>YEAR('Merged raw data'!$B690)</f>
        <v>2011</v>
      </c>
      <c r="G690" s="23" t="str">
        <f>TEXT('Merged raw data'!$B690,"mmmm")</f>
        <v>February</v>
      </c>
      <c r="H690" s="37" t="str">
        <f>TEXT(TIME('Merged raw data'!F690,0,0),"h AM/PM")</f>
        <v>12 AM</v>
      </c>
      <c r="I690" s="23" t="str">
        <f>IF(OR('Merged raw data'!H690=1,'Merged raw data'!H690=2,'Merged raw data'!H690=3,'Merged raw data'!H690=4,'Merged raw data'!H690=5),"weekday","weekend")</f>
        <v>weekday</v>
      </c>
      <c r="J690" s="23" t="s">
        <v>23</v>
      </c>
      <c r="K690" s="23" t="str">
        <f>IF('Merged raw data'!I690=1,"Clear",IF('Merged raw data'!I690=2,"Mist",IF('Merged raw data'!I690=3,"Rain",IF('Merged raw data'!I690=4,"Storm","NA"))))</f>
        <v>Mist</v>
      </c>
      <c r="L690" s="24">
        <v>0.64</v>
      </c>
      <c r="M690" s="24">
        <v>0.1045</v>
      </c>
      <c r="N690" s="21">
        <f>'Merged raw data'!$J690*100</f>
        <v>16</v>
      </c>
      <c r="O690" s="21">
        <v>2</v>
      </c>
      <c r="P690" s="21">
        <v>6</v>
      </c>
      <c r="Q690" s="21">
        <v>8</v>
      </c>
      <c r="R690" s="21" t="str">
        <f>IF(Q690&gt;=outliers!I692,"High",IF(Q690&lt;=outliers!I691,"Low","Moderate"))</f>
        <v>High</v>
      </c>
      <c r="S690" s="8" t="str">
        <f>IF(OR(Q690&lt;outliers!$I$6,Q690&gt;outliers!$I$7),"Outlier","Normal")</f>
        <v>Normal</v>
      </c>
      <c r="T690" s="8" t="str">
        <f>IF(OR(L690&lt;outliers!$J$6,L690&gt;outliers!$J$7),"Outlier","Normal")</f>
        <v>Normal</v>
      </c>
      <c r="U690" s="8" t="str">
        <f>IF(OR(M690&lt;outliers!$K$6,M690&gt;outliers!$K$7),"Outlier","Normal")</f>
        <v>Normal</v>
      </c>
    </row>
    <row r="691" spans="1:21">
      <c r="A691" s="21">
        <v>690</v>
      </c>
      <c r="B691" s="68">
        <v>40575</v>
      </c>
      <c r="C691" s="22" t="b">
        <v>0</v>
      </c>
      <c r="D691" s="21" t="str">
        <f t="shared" si="10"/>
        <v>Tuesday</v>
      </c>
      <c r="E691" s="23">
        <v>0.18179999999999999</v>
      </c>
      <c r="F691" s="23">
        <f>YEAR('Merged raw data'!$B691)</f>
        <v>2011</v>
      </c>
      <c r="G691" s="23" t="str">
        <f>TEXT('Merged raw data'!$B691,"mmmm")</f>
        <v>February</v>
      </c>
      <c r="H691" s="37" t="str">
        <f>TEXT(TIME('Merged raw data'!F691,0,0),"h AM/PM")</f>
        <v>1 AM</v>
      </c>
      <c r="I691" s="23" t="str">
        <f>IF(OR('Merged raw data'!H691=1,'Merged raw data'!H691=2,'Merged raw data'!H691=3,'Merged raw data'!H691=4,'Merged raw data'!H691=5),"weekday","weekend")</f>
        <v>weekday</v>
      </c>
      <c r="J691" s="23" t="s">
        <v>23</v>
      </c>
      <c r="K691" s="23" t="str">
        <f>IF('Merged raw data'!I691=1,"Clear",IF('Merged raw data'!I691=2,"Mist",IF('Merged raw data'!I691=3,"Rain",IF('Merged raw data'!I691=4,"Storm","NA"))))</f>
        <v>Mist</v>
      </c>
      <c r="L691" s="24">
        <v>0.69</v>
      </c>
      <c r="M691" s="24">
        <v>0.1045</v>
      </c>
      <c r="N691" s="21">
        <f>'Merged raw data'!$J691*100</f>
        <v>16</v>
      </c>
      <c r="O691" s="21">
        <v>0</v>
      </c>
      <c r="P691" s="21">
        <v>3</v>
      </c>
      <c r="Q691" s="21">
        <v>3</v>
      </c>
      <c r="R691" s="21" t="str">
        <f>IF(Q691&gt;=outliers!I693,"High",IF(Q691&lt;=outliers!I692,"Low","Moderate"))</f>
        <v>High</v>
      </c>
      <c r="S691" s="8" t="str">
        <f>IF(OR(Q691&lt;outliers!$I$6,Q691&gt;outliers!$I$7),"Outlier","Normal")</f>
        <v>Normal</v>
      </c>
      <c r="T691" s="8" t="str">
        <f>IF(OR(L691&lt;outliers!$J$6,L691&gt;outliers!$J$7),"Outlier","Normal")</f>
        <v>Normal</v>
      </c>
      <c r="U691" s="8" t="str">
        <f>IF(OR(M691&lt;outliers!$K$6,M691&gt;outliers!$K$7),"Outlier","Normal")</f>
        <v>Normal</v>
      </c>
    </row>
    <row r="692" spans="1:21">
      <c r="A692" s="21">
        <v>691</v>
      </c>
      <c r="B692" s="68">
        <v>40575</v>
      </c>
      <c r="C692" s="22" t="b">
        <v>0</v>
      </c>
      <c r="D692" s="21" t="str">
        <f t="shared" si="10"/>
        <v>Tuesday</v>
      </c>
      <c r="E692" s="23">
        <v>0.2273</v>
      </c>
      <c r="F692" s="23">
        <f>YEAR('Merged raw data'!$B692)</f>
        <v>2011</v>
      </c>
      <c r="G692" s="23" t="str">
        <f>TEXT('Merged raw data'!$B692,"mmmm")</f>
        <v>February</v>
      </c>
      <c r="H692" s="37" t="str">
        <f>TEXT(TIME('Merged raw data'!F692,0,0),"h AM/PM")</f>
        <v>2 AM</v>
      </c>
      <c r="I692" s="23" t="str">
        <f>IF(OR('Merged raw data'!H692=1,'Merged raw data'!H692=2,'Merged raw data'!H692=3,'Merged raw data'!H692=4,'Merged raw data'!H692=5),"weekday","weekend")</f>
        <v>weekday</v>
      </c>
      <c r="J692" s="23" t="s">
        <v>23</v>
      </c>
      <c r="K692" s="23" t="str">
        <f>IF('Merged raw data'!I692=1,"Clear",IF('Merged raw data'!I692=2,"Mist",IF('Merged raw data'!I692=3,"Rain",IF('Merged raw data'!I692=4,"Storm","NA"))))</f>
        <v>Mist</v>
      </c>
      <c r="L692" s="24">
        <v>0.69</v>
      </c>
      <c r="M692" s="24">
        <v>0.23</v>
      </c>
      <c r="N692" s="21">
        <f>'Merged raw data'!$J692*100</f>
        <v>16</v>
      </c>
      <c r="O692" s="21">
        <v>0</v>
      </c>
      <c r="P692" s="21">
        <v>2</v>
      </c>
      <c r="Q692" s="21">
        <v>2</v>
      </c>
      <c r="R692" s="21" t="str">
        <f>IF(Q692&gt;=outliers!I694,"High",IF(Q692&lt;=outliers!I693,"Low","Moderate"))</f>
        <v>High</v>
      </c>
      <c r="S692" s="8" t="str">
        <f>IF(OR(Q692&lt;outliers!$I$6,Q692&gt;outliers!$I$7),"Outlier","Normal")</f>
        <v>Normal</v>
      </c>
      <c r="T692" s="8" t="str">
        <f>IF(OR(L692&lt;outliers!$J$6,L692&gt;outliers!$J$7),"Outlier","Normal")</f>
        <v>Normal</v>
      </c>
      <c r="U692" s="8" t="str">
        <f>IF(OR(M692&lt;outliers!$K$6,M692&gt;outliers!$K$7),"Outlier","Normal")</f>
        <v>Normal</v>
      </c>
    </row>
    <row r="693" spans="1:21">
      <c r="A693" s="21">
        <v>692</v>
      </c>
      <c r="B693" s="68">
        <v>40575</v>
      </c>
      <c r="C693" s="22" t="b">
        <v>0</v>
      </c>
      <c r="D693" s="21" t="str">
        <f t="shared" si="10"/>
        <v>Tuesday</v>
      </c>
      <c r="E693" s="23">
        <v>0.2273</v>
      </c>
      <c r="F693" s="23">
        <f>YEAR('Merged raw data'!$B693)</f>
        <v>2011</v>
      </c>
      <c r="G693" s="23" t="str">
        <f>TEXT('Merged raw data'!$B693,"mmmm")</f>
        <v>February</v>
      </c>
      <c r="H693" s="37" t="str">
        <f>TEXT(TIME('Merged raw data'!F693,0,0),"h AM/PM")</f>
        <v>3 AM</v>
      </c>
      <c r="I693" s="23" t="str">
        <f>IF(OR('Merged raw data'!H693=1,'Merged raw data'!H693=2,'Merged raw data'!H693=3,'Merged raw data'!H693=4,'Merged raw data'!H693=5),"weekday","weekend")</f>
        <v>weekday</v>
      </c>
      <c r="J693" s="23" t="s">
        <v>23</v>
      </c>
      <c r="K693" s="23" t="str">
        <f>IF('Merged raw data'!I693=1,"Clear",IF('Merged raw data'!I693=2,"Mist",IF('Merged raw data'!I693=3,"Rain",IF('Merged raw data'!I693=4,"Storm","NA"))))</f>
        <v>Mist</v>
      </c>
      <c r="L693" s="24">
        <v>0.69</v>
      </c>
      <c r="M693" s="24">
        <v>0.23</v>
      </c>
      <c r="N693" s="21">
        <f>'Merged raw data'!$J693*100</f>
        <v>16</v>
      </c>
      <c r="O693" s="21">
        <v>0</v>
      </c>
      <c r="P693" s="21">
        <v>2</v>
      </c>
      <c r="Q693" s="21">
        <v>2</v>
      </c>
      <c r="R693" s="21" t="str">
        <f>IF(Q693&gt;=outliers!I695,"High",IF(Q693&lt;=outliers!I694,"Low","Moderate"))</f>
        <v>High</v>
      </c>
      <c r="S693" s="8" t="str">
        <f>IF(OR(Q693&lt;outliers!$I$6,Q693&gt;outliers!$I$7),"Outlier","Normal")</f>
        <v>Normal</v>
      </c>
      <c r="T693" s="8" t="str">
        <f>IF(OR(L693&lt;outliers!$J$6,L693&gt;outliers!$J$7),"Outlier","Normal")</f>
        <v>Normal</v>
      </c>
      <c r="U693" s="8" t="str">
        <f>IF(OR(M693&lt;outliers!$K$6,M693&gt;outliers!$K$7),"Outlier","Normal")</f>
        <v>Normal</v>
      </c>
    </row>
    <row r="694" spans="1:21">
      <c r="A694" s="21">
        <v>693</v>
      </c>
      <c r="B694" s="68">
        <v>40575</v>
      </c>
      <c r="C694" s="22" t="b">
        <v>0</v>
      </c>
      <c r="D694" s="21" t="str">
        <f t="shared" si="10"/>
        <v>Tuesday</v>
      </c>
      <c r="E694" s="23">
        <v>0.21210000000000001</v>
      </c>
      <c r="F694" s="23">
        <f>YEAR('Merged raw data'!$B694)</f>
        <v>2011</v>
      </c>
      <c r="G694" s="23" t="str">
        <f>TEXT('Merged raw data'!$B694,"mmmm")</f>
        <v>February</v>
      </c>
      <c r="H694" s="37" t="str">
        <f>TEXT(TIME('Merged raw data'!F694,0,0),"h AM/PM")</f>
        <v>5 AM</v>
      </c>
      <c r="I694" s="23" t="str">
        <f>IF(OR('Merged raw data'!H694=1,'Merged raw data'!H694=2,'Merged raw data'!H694=3,'Merged raw data'!H694=4,'Merged raw data'!H694=5),"weekday","weekend")</f>
        <v>weekday</v>
      </c>
      <c r="J694" s="23" t="s">
        <v>23</v>
      </c>
      <c r="K694" s="23" t="str">
        <f>IF('Merged raw data'!I694=1,"Clear",IF('Merged raw data'!I694=2,"Mist",IF('Merged raw data'!I694=3,"Rain",IF('Merged raw data'!I694=4,"Storm","NA"))))</f>
        <v>Rain</v>
      </c>
      <c r="L694" s="24">
        <v>0.93</v>
      </c>
      <c r="M694" s="24">
        <v>0.23</v>
      </c>
      <c r="N694" s="21">
        <f>'Merged raw data'!$J694*100</f>
        <v>14.000000000000002</v>
      </c>
      <c r="O694" s="21">
        <v>0</v>
      </c>
      <c r="P694" s="21">
        <v>3</v>
      </c>
      <c r="Q694" s="21">
        <v>3</v>
      </c>
      <c r="R694" s="21" t="str">
        <f>IF(Q694&gt;=outliers!I696,"High",IF(Q694&lt;=outliers!I695,"Low","Moderate"))</f>
        <v>High</v>
      </c>
      <c r="S694" s="8" t="str">
        <f>IF(OR(Q694&lt;outliers!$I$6,Q694&gt;outliers!$I$7),"Outlier","Normal")</f>
        <v>Normal</v>
      </c>
      <c r="T694" s="8" t="str">
        <f>IF(OR(L694&lt;outliers!$J$6,L694&gt;outliers!$J$7),"Outlier","Normal")</f>
        <v>Normal</v>
      </c>
      <c r="U694" s="8" t="str">
        <f>IF(OR(M694&lt;outliers!$K$6,M694&gt;outliers!$K$7),"Outlier","Normal")</f>
        <v>Normal</v>
      </c>
    </row>
    <row r="695" spans="1:21">
      <c r="A695" s="21">
        <v>694</v>
      </c>
      <c r="B695" s="68">
        <v>40575</v>
      </c>
      <c r="C695" s="22" t="b">
        <v>0</v>
      </c>
      <c r="D695" s="21" t="str">
        <f t="shared" si="10"/>
        <v>Tuesday</v>
      </c>
      <c r="E695" s="23">
        <v>0.21210000000000001</v>
      </c>
      <c r="F695" s="23">
        <f>YEAR('Merged raw data'!$B695)</f>
        <v>2011</v>
      </c>
      <c r="G695" s="23" t="str">
        <f>TEXT('Merged raw data'!$B695,"mmmm")</f>
        <v>February</v>
      </c>
      <c r="H695" s="37" t="str">
        <f>TEXT(TIME('Merged raw data'!F695,0,0),"h AM/PM")</f>
        <v>6 AM</v>
      </c>
      <c r="I695" s="23" t="str">
        <f>IF(OR('Merged raw data'!H695=1,'Merged raw data'!H695=2,'Merged raw data'!H695=3,'Merged raw data'!H695=4,'Merged raw data'!H695=5),"weekday","weekend")</f>
        <v>weekday</v>
      </c>
      <c r="J695" s="23" t="s">
        <v>23</v>
      </c>
      <c r="K695" s="23" t="str">
        <f>IF('Merged raw data'!I695=1,"Clear",IF('Merged raw data'!I695=2,"Mist",IF('Merged raw data'!I695=3,"Rain",IF('Merged raw data'!I695=4,"Storm","NA"))))</f>
        <v>Rain</v>
      </c>
      <c r="L695" s="24">
        <v>0.93</v>
      </c>
      <c r="M695" s="24">
        <v>0.23</v>
      </c>
      <c r="N695" s="21">
        <f>'Merged raw data'!$J695*100</f>
        <v>14.000000000000002</v>
      </c>
      <c r="O695" s="21">
        <v>0</v>
      </c>
      <c r="P695" s="21">
        <v>22</v>
      </c>
      <c r="Q695" s="21">
        <v>22</v>
      </c>
      <c r="R695" s="21" t="str">
        <f>IF(Q695&gt;=outliers!I697,"High",IF(Q695&lt;=outliers!I696,"Low","Moderate"))</f>
        <v>High</v>
      </c>
      <c r="S695" s="8" t="str">
        <f>IF(OR(Q695&lt;outliers!$I$6,Q695&gt;outliers!$I$7),"Outlier","Normal")</f>
        <v>Normal</v>
      </c>
      <c r="T695" s="8" t="str">
        <f>IF(OR(L695&lt;outliers!$J$6,L695&gt;outliers!$J$7),"Outlier","Normal")</f>
        <v>Normal</v>
      </c>
      <c r="U695" s="8" t="str">
        <f>IF(OR(M695&lt;outliers!$K$6,M695&gt;outliers!$K$7),"Outlier","Normal")</f>
        <v>Normal</v>
      </c>
    </row>
    <row r="696" spans="1:21">
      <c r="A696" s="21">
        <v>695</v>
      </c>
      <c r="B696" s="68">
        <v>40575</v>
      </c>
      <c r="C696" s="22" t="b">
        <v>0</v>
      </c>
      <c r="D696" s="21" t="str">
        <f t="shared" si="10"/>
        <v>Tuesday</v>
      </c>
      <c r="E696" s="23">
        <v>0.2273</v>
      </c>
      <c r="F696" s="23">
        <f>YEAR('Merged raw data'!$B696)</f>
        <v>2011</v>
      </c>
      <c r="G696" s="23" t="str">
        <f>TEXT('Merged raw data'!$B696,"mmmm")</f>
        <v>February</v>
      </c>
      <c r="H696" s="37" t="str">
        <f>TEXT(TIME('Merged raw data'!F696,0,0),"h AM/PM")</f>
        <v>7 AM</v>
      </c>
      <c r="I696" s="23" t="str">
        <f>IF(OR('Merged raw data'!H696=1,'Merged raw data'!H696=2,'Merged raw data'!H696=3,'Merged raw data'!H696=4,'Merged raw data'!H696=5),"weekday","weekend")</f>
        <v>weekday</v>
      </c>
      <c r="J696" s="23" t="s">
        <v>23</v>
      </c>
      <c r="K696" s="23" t="str">
        <f>IF('Merged raw data'!I696=1,"Clear",IF('Merged raw data'!I696=2,"Mist",IF('Merged raw data'!I696=3,"Rain",IF('Merged raw data'!I696=4,"Storm","NA"))))</f>
        <v>Rain</v>
      </c>
      <c r="L696" s="24">
        <v>0.93</v>
      </c>
      <c r="M696" s="24">
        <v>0.23</v>
      </c>
      <c r="N696" s="21">
        <f>'Merged raw data'!$J696*100</f>
        <v>16</v>
      </c>
      <c r="O696" s="21">
        <v>0</v>
      </c>
      <c r="P696" s="21">
        <v>52</v>
      </c>
      <c r="Q696" s="21">
        <v>52</v>
      </c>
      <c r="R696" s="21" t="str">
        <f>IF(Q696&gt;=outliers!I698,"High",IF(Q696&lt;=outliers!I697,"Low","Moderate"))</f>
        <v>High</v>
      </c>
      <c r="S696" s="8" t="str">
        <f>IF(OR(Q696&lt;outliers!$I$6,Q696&gt;outliers!$I$7),"Outlier","Normal")</f>
        <v>Normal</v>
      </c>
      <c r="T696" s="8" t="str">
        <f>IF(OR(L696&lt;outliers!$J$6,L696&gt;outliers!$J$7),"Outlier","Normal")</f>
        <v>Normal</v>
      </c>
      <c r="U696" s="8" t="str">
        <f>IF(OR(M696&lt;outliers!$K$6,M696&gt;outliers!$K$7),"Outlier","Normal")</f>
        <v>Normal</v>
      </c>
    </row>
    <row r="697" spans="1:21">
      <c r="A697" s="21">
        <v>696</v>
      </c>
      <c r="B697" s="68">
        <v>40575</v>
      </c>
      <c r="C697" s="22" t="b">
        <v>0</v>
      </c>
      <c r="D697" s="21" t="str">
        <f t="shared" si="10"/>
        <v>Tuesday</v>
      </c>
      <c r="E697" s="23">
        <v>0.2273</v>
      </c>
      <c r="F697" s="23">
        <f>YEAR('Merged raw data'!$B697)</f>
        <v>2011</v>
      </c>
      <c r="G697" s="23" t="str">
        <f>TEXT('Merged raw data'!$B697,"mmmm")</f>
        <v>February</v>
      </c>
      <c r="H697" s="37" t="str">
        <f>TEXT(TIME('Merged raw data'!F697,0,0),"h AM/PM")</f>
        <v>8 AM</v>
      </c>
      <c r="I697" s="23" t="str">
        <f>IF(OR('Merged raw data'!H697=1,'Merged raw data'!H697=2,'Merged raw data'!H697=3,'Merged raw data'!H697=4,'Merged raw data'!H697=5),"weekday","weekend")</f>
        <v>weekday</v>
      </c>
      <c r="J697" s="23" t="s">
        <v>23</v>
      </c>
      <c r="K697" s="23" t="str">
        <f>IF('Merged raw data'!I697=1,"Clear",IF('Merged raw data'!I697=2,"Mist",IF('Merged raw data'!I697=3,"Rain",IF('Merged raw data'!I697=4,"Storm","NA"))))</f>
        <v>Rain</v>
      </c>
      <c r="L697" s="24">
        <v>0.93</v>
      </c>
      <c r="M697" s="24">
        <v>0.23</v>
      </c>
      <c r="N697" s="21">
        <f>'Merged raw data'!$J697*100</f>
        <v>16</v>
      </c>
      <c r="O697" s="21">
        <v>3</v>
      </c>
      <c r="P697" s="21">
        <v>132</v>
      </c>
      <c r="Q697" s="21">
        <v>135</v>
      </c>
      <c r="R697" s="21" t="str">
        <f>IF(Q697&gt;=outliers!I699,"High",IF(Q697&lt;=outliers!I698,"Low","Moderate"))</f>
        <v>High</v>
      </c>
      <c r="S697" s="8" t="str">
        <f>IF(OR(Q697&lt;outliers!$I$6,Q697&gt;outliers!$I$7),"Outlier","Normal")</f>
        <v>Normal</v>
      </c>
      <c r="T697" s="8" t="str">
        <f>IF(OR(L697&lt;outliers!$J$6,L697&gt;outliers!$J$7),"Outlier","Normal")</f>
        <v>Normal</v>
      </c>
      <c r="U697" s="8" t="str">
        <f>IF(OR(M697&lt;outliers!$K$6,M697&gt;outliers!$K$7),"Outlier","Normal")</f>
        <v>Normal</v>
      </c>
    </row>
    <row r="698" spans="1:21">
      <c r="A698" s="21">
        <v>697</v>
      </c>
      <c r="B698" s="68">
        <v>40575</v>
      </c>
      <c r="C698" s="22" t="b">
        <v>0</v>
      </c>
      <c r="D698" s="21" t="str">
        <f t="shared" si="10"/>
        <v>Tuesday</v>
      </c>
      <c r="E698" s="23">
        <v>0.2273</v>
      </c>
      <c r="F698" s="23">
        <f>YEAR('Merged raw data'!$B698)</f>
        <v>2011</v>
      </c>
      <c r="G698" s="23" t="str">
        <f>TEXT('Merged raw data'!$B698,"mmmm")</f>
        <v>February</v>
      </c>
      <c r="H698" s="37" t="str">
        <f>TEXT(TIME('Merged raw data'!F698,0,0),"h AM/PM")</f>
        <v>9 AM</v>
      </c>
      <c r="I698" s="23" t="str">
        <f>IF(OR('Merged raw data'!H698=1,'Merged raw data'!H698=2,'Merged raw data'!H698=3,'Merged raw data'!H698=4,'Merged raw data'!H698=5),"weekday","weekend")</f>
        <v>weekday</v>
      </c>
      <c r="J698" s="23" t="s">
        <v>23</v>
      </c>
      <c r="K698" s="23" t="str">
        <f>IF('Merged raw data'!I698=1,"Clear",IF('Merged raw data'!I698=2,"Mist",IF('Merged raw data'!I698=3,"Rain",IF('Merged raw data'!I698=4,"Storm","NA"))))</f>
        <v>Mist</v>
      </c>
      <c r="L698" s="24">
        <v>0.93</v>
      </c>
      <c r="M698" s="24">
        <v>0.23</v>
      </c>
      <c r="N698" s="21">
        <f>'Merged raw data'!$J698*100</f>
        <v>16</v>
      </c>
      <c r="O698" s="21">
        <v>2</v>
      </c>
      <c r="P698" s="21">
        <v>114</v>
      </c>
      <c r="Q698" s="21">
        <v>116</v>
      </c>
      <c r="R698" s="21" t="str">
        <f>IF(Q698&gt;=outliers!I700,"High",IF(Q698&lt;=outliers!I699,"Low","Moderate"))</f>
        <v>High</v>
      </c>
      <c r="S698" s="8" t="str">
        <f>IF(OR(Q698&lt;outliers!$I$6,Q698&gt;outliers!$I$7),"Outlier","Normal")</f>
        <v>Normal</v>
      </c>
      <c r="T698" s="8" t="str">
        <f>IF(OR(L698&lt;outliers!$J$6,L698&gt;outliers!$J$7),"Outlier","Normal")</f>
        <v>Normal</v>
      </c>
      <c r="U698" s="8" t="str">
        <f>IF(OR(M698&lt;outliers!$K$6,M698&gt;outliers!$K$7),"Outlier","Normal")</f>
        <v>Normal</v>
      </c>
    </row>
    <row r="699" spans="1:21">
      <c r="A699" s="21">
        <v>698</v>
      </c>
      <c r="B699" s="68">
        <v>40575</v>
      </c>
      <c r="C699" s="22" t="b">
        <v>0</v>
      </c>
      <c r="D699" s="21" t="str">
        <f t="shared" si="10"/>
        <v>Tuesday</v>
      </c>
      <c r="E699" s="23">
        <v>0.2273</v>
      </c>
      <c r="F699" s="23">
        <f>YEAR('Merged raw data'!$B699)</f>
        <v>2011</v>
      </c>
      <c r="G699" s="23" t="str">
        <f>TEXT('Merged raw data'!$B699,"mmmm")</f>
        <v>February</v>
      </c>
      <c r="H699" s="37" t="str">
        <f>TEXT(TIME('Merged raw data'!F699,0,0),"h AM/PM")</f>
        <v>10 AM</v>
      </c>
      <c r="I699" s="23" t="str">
        <f>IF(OR('Merged raw data'!H699=1,'Merged raw data'!H699=2,'Merged raw data'!H699=3,'Merged raw data'!H699=4,'Merged raw data'!H699=5),"weekday","weekend")</f>
        <v>weekday</v>
      </c>
      <c r="J699" s="23" t="s">
        <v>23</v>
      </c>
      <c r="K699" s="23" t="str">
        <f>IF('Merged raw data'!I699=1,"Clear",IF('Merged raw data'!I699=2,"Mist",IF('Merged raw data'!I699=3,"Rain",IF('Merged raw data'!I699=4,"Storm","NA"))))</f>
        <v>Mist</v>
      </c>
      <c r="L699" s="24">
        <v>0.93</v>
      </c>
      <c r="M699" s="24">
        <v>0.23</v>
      </c>
      <c r="N699" s="21">
        <f>'Merged raw data'!$J699*100</f>
        <v>16</v>
      </c>
      <c r="O699" s="21">
        <v>0</v>
      </c>
      <c r="P699" s="21">
        <v>47</v>
      </c>
      <c r="Q699" s="21">
        <v>47</v>
      </c>
      <c r="R699" s="21" t="str">
        <f>IF(Q699&gt;=outliers!I701,"High",IF(Q699&lt;=outliers!I700,"Low","Moderate"))</f>
        <v>High</v>
      </c>
      <c r="S699" s="8" t="str">
        <f>IF(OR(Q699&lt;outliers!$I$6,Q699&gt;outliers!$I$7),"Outlier","Normal")</f>
        <v>Normal</v>
      </c>
      <c r="T699" s="8" t="str">
        <f>IF(OR(L699&lt;outliers!$J$6,L699&gt;outliers!$J$7),"Outlier","Normal")</f>
        <v>Normal</v>
      </c>
      <c r="U699" s="8" t="str">
        <f>IF(OR(M699&lt;outliers!$K$6,M699&gt;outliers!$K$7),"Outlier","Normal")</f>
        <v>Normal</v>
      </c>
    </row>
    <row r="700" spans="1:21">
      <c r="A700" s="21">
        <v>699</v>
      </c>
      <c r="B700" s="68">
        <v>40575</v>
      </c>
      <c r="C700" s="22" t="b">
        <v>0</v>
      </c>
      <c r="D700" s="21" t="str">
        <f t="shared" si="10"/>
        <v>Tuesday</v>
      </c>
      <c r="E700" s="23">
        <v>0.2424</v>
      </c>
      <c r="F700" s="23">
        <f>YEAR('Merged raw data'!$B700)</f>
        <v>2011</v>
      </c>
      <c r="G700" s="23" t="str">
        <f>TEXT('Merged raw data'!$B700,"mmmm")</f>
        <v>February</v>
      </c>
      <c r="H700" s="37" t="str">
        <f>TEXT(TIME('Merged raw data'!F700,0,0),"h AM/PM")</f>
        <v>11 AM</v>
      </c>
      <c r="I700" s="23" t="str">
        <f>IF(OR('Merged raw data'!H700=1,'Merged raw data'!H700=2,'Merged raw data'!H700=3,'Merged raw data'!H700=4,'Merged raw data'!H700=5),"weekday","weekend")</f>
        <v>weekday</v>
      </c>
      <c r="J700" s="23" t="s">
        <v>23</v>
      </c>
      <c r="K700" s="23" t="str">
        <f>IF('Merged raw data'!I700=1,"Clear",IF('Merged raw data'!I700=2,"Mist",IF('Merged raw data'!I700=3,"Rain",IF('Merged raw data'!I700=4,"Storm","NA"))))</f>
        <v>Mist</v>
      </c>
      <c r="L700" s="24">
        <v>0.86</v>
      </c>
      <c r="M700" s="24">
        <v>0.23</v>
      </c>
      <c r="N700" s="21">
        <f>'Merged raw data'!$J700*100</f>
        <v>18</v>
      </c>
      <c r="O700" s="21">
        <v>2</v>
      </c>
      <c r="P700" s="21">
        <v>49</v>
      </c>
      <c r="Q700" s="21">
        <v>51</v>
      </c>
      <c r="R700" s="21" t="str">
        <f>IF(Q700&gt;=outliers!I702,"High",IF(Q700&lt;=outliers!I701,"Low","Moderate"))</f>
        <v>High</v>
      </c>
      <c r="S700" s="8" t="str">
        <f>IF(OR(Q700&lt;outliers!$I$6,Q700&gt;outliers!$I$7),"Outlier","Normal")</f>
        <v>Normal</v>
      </c>
      <c r="T700" s="8" t="str">
        <f>IF(OR(L700&lt;outliers!$J$6,L700&gt;outliers!$J$7),"Outlier","Normal")</f>
        <v>Normal</v>
      </c>
      <c r="U700" s="8" t="str">
        <f>IF(OR(M700&lt;outliers!$K$6,M700&gt;outliers!$K$7),"Outlier","Normal")</f>
        <v>Normal</v>
      </c>
    </row>
    <row r="701" spans="1:21">
      <c r="A701" s="21">
        <v>700</v>
      </c>
      <c r="B701" s="68">
        <v>40575</v>
      </c>
      <c r="C701" s="22" t="b">
        <v>0</v>
      </c>
      <c r="D701" s="21" t="str">
        <f t="shared" si="10"/>
        <v>Tuesday</v>
      </c>
      <c r="E701" s="23">
        <v>0.2576</v>
      </c>
      <c r="F701" s="23">
        <f>YEAR('Merged raw data'!$B701)</f>
        <v>2011</v>
      </c>
      <c r="G701" s="23" t="str">
        <f>TEXT('Merged raw data'!$B701,"mmmm")</f>
        <v>February</v>
      </c>
      <c r="H701" s="37" t="str">
        <f>TEXT(TIME('Merged raw data'!F701,0,0),"h AM/PM")</f>
        <v>12 PM</v>
      </c>
      <c r="I701" s="23" t="str">
        <f>IF(OR('Merged raw data'!H701=1,'Merged raw data'!H701=2,'Merged raw data'!H701=3,'Merged raw data'!H701=4,'Merged raw data'!H701=5),"weekday","weekend")</f>
        <v>weekday</v>
      </c>
      <c r="J701" s="23" t="s">
        <v>23</v>
      </c>
      <c r="K701" s="23" t="str">
        <f>IF('Merged raw data'!I701=1,"Clear",IF('Merged raw data'!I701=2,"Mist",IF('Merged raw data'!I701=3,"Rain",IF('Merged raw data'!I701=4,"Storm","NA"))))</f>
        <v>Mist</v>
      </c>
      <c r="L701" s="24">
        <v>0.86</v>
      </c>
      <c r="M701" s="24">
        <v>0.23</v>
      </c>
      <c r="N701" s="21">
        <f>'Merged raw data'!$J701*100</f>
        <v>20</v>
      </c>
      <c r="O701" s="21">
        <v>2</v>
      </c>
      <c r="P701" s="21">
        <v>53</v>
      </c>
      <c r="Q701" s="21">
        <v>55</v>
      </c>
      <c r="R701" s="21" t="str">
        <f>IF(Q701&gt;=outliers!I703,"High",IF(Q701&lt;=outliers!I702,"Low","Moderate"))</f>
        <v>High</v>
      </c>
      <c r="S701" s="8" t="str">
        <f>IF(OR(Q701&lt;outliers!$I$6,Q701&gt;outliers!$I$7),"Outlier","Normal")</f>
        <v>Normal</v>
      </c>
      <c r="T701" s="8" t="str">
        <f>IF(OR(L701&lt;outliers!$J$6,L701&gt;outliers!$J$7),"Outlier","Normal")</f>
        <v>Normal</v>
      </c>
      <c r="U701" s="8" t="str">
        <f>IF(OR(M701&lt;outliers!$K$6,M701&gt;outliers!$K$7),"Outlier","Normal")</f>
        <v>Normal</v>
      </c>
    </row>
    <row r="702" spans="1:21">
      <c r="A702" s="21">
        <v>701</v>
      </c>
      <c r="B702" s="68">
        <v>40575</v>
      </c>
      <c r="C702" s="22" t="b">
        <v>0</v>
      </c>
      <c r="D702" s="21" t="str">
        <f t="shared" si="10"/>
        <v>Tuesday</v>
      </c>
      <c r="E702" s="23">
        <v>0.2576</v>
      </c>
      <c r="F702" s="23">
        <f>YEAR('Merged raw data'!$B702)</f>
        <v>2011</v>
      </c>
      <c r="G702" s="23" t="str">
        <f>TEXT('Merged raw data'!$B702,"mmmm")</f>
        <v>February</v>
      </c>
      <c r="H702" s="37" t="str">
        <f>TEXT(TIME('Merged raw data'!F702,0,0),"h AM/PM")</f>
        <v>1 PM</v>
      </c>
      <c r="I702" s="23" t="str">
        <f>IF(OR('Merged raw data'!H702=1,'Merged raw data'!H702=2,'Merged raw data'!H702=3,'Merged raw data'!H702=4,'Merged raw data'!H702=5),"weekday","weekend")</f>
        <v>weekday</v>
      </c>
      <c r="J702" s="23" t="s">
        <v>23</v>
      </c>
      <c r="K702" s="23" t="str">
        <f>IF('Merged raw data'!I702=1,"Clear",IF('Merged raw data'!I702=2,"Mist",IF('Merged raw data'!I702=3,"Rain",IF('Merged raw data'!I702=4,"Storm","NA"))))</f>
        <v>Mist</v>
      </c>
      <c r="L702" s="24">
        <v>0.86</v>
      </c>
      <c r="M702" s="24">
        <v>0.23</v>
      </c>
      <c r="N702" s="21">
        <f>'Merged raw data'!$J702*100</f>
        <v>20</v>
      </c>
      <c r="O702" s="21">
        <v>3</v>
      </c>
      <c r="P702" s="21">
        <v>49</v>
      </c>
      <c r="Q702" s="21">
        <v>52</v>
      </c>
      <c r="R702" s="21" t="str">
        <f>IF(Q702&gt;=outliers!I704,"High",IF(Q702&lt;=outliers!I703,"Low","Moderate"))</f>
        <v>High</v>
      </c>
      <c r="S702" s="8" t="str">
        <f>IF(OR(Q702&lt;outliers!$I$6,Q702&gt;outliers!$I$7),"Outlier","Normal")</f>
        <v>Normal</v>
      </c>
      <c r="T702" s="8" t="str">
        <f>IF(OR(L702&lt;outliers!$J$6,L702&gt;outliers!$J$7),"Outlier","Normal")</f>
        <v>Normal</v>
      </c>
      <c r="U702" s="8" t="str">
        <f>IF(OR(M702&lt;outliers!$K$6,M702&gt;outliers!$K$7),"Outlier","Normal")</f>
        <v>Normal</v>
      </c>
    </row>
    <row r="703" spans="1:21">
      <c r="A703" s="21">
        <v>702</v>
      </c>
      <c r="B703" s="68">
        <v>40575</v>
      </c>
      <c r="C703" s="22" t="b">
        <v>0</v>
      </c>
      <c r="D703" s="21" t="str">
        <f t="shared" si="10"/>
        <v>Tuesday</v>
      </c>
      <c r="E703" s="23">
        <v>0.2576</v>
      </c>
      <c r="F703" s="23">
        <f>YEAR('Merged raw data'!$B703)</f>
        <v>2011</v>
      </c>
      <c r="G703" s="23" t="str">
        <f>TEXT('Merged raw data'!$B703,"mmmm")</f>
        <v>February</v>
      </c>
      <c r="H703" s="37" t="str">
        <f>TEXT(TIME('Merged raw data'!F703,0,0),"h AM/PM")</f>
        <v>2 PM</v>
      </c>
      <c r="I703" s="23" t="str">
        <f>IF(OR('Merged raw data'!H703=1,'Merged raw data'!H703=2,'Merged raw data'!H703=3,'Merged raw data'!H703=4,'Merged raw data'!H703=5),"weekday","weekend")</f>
        <v>weekday</v>
      </c>
      <c r="J703" s="23" t="s">
        <v>23</v>
      </c>
      <c r="K703" s="23" t="str">
        <f>IF('Merged raw data'!I703=1,"Clear",IF('Merged raw data'!I703=2,"Mist",IF('Merged raw data'!I703=3,"Rain",IF('Merged raw data'!I703=4,"Storm","NA"))))</f>
        <v>Mist</v>
      </c>
      <c r="L703" s="24">
        <v>0.8</v>
      </c>
      <c r="M703" s="24">
        <v>8.9599999999999999E-2</v>
      </c>
      <c r="N703" s="21">
        <f>'Merged raw data'!$J703*100</f>
        <v>22</v>
      </c>
      <c r="O703" s="21">
        <v>5</v>
      </c>
      <c r="P703" s="21">
        <v>49</v>
      </c>
      <c r="Q703" s="21">
        <v>54</v>
      </c>
      <c r="R703" s="21" t="str">
        <f>IF(Q703&gt;=outliers!I705,"High",IF(Q703&lt;=outliers!I704,"Low","Moderate"))</f>
        <v>High</v>
      </c>
      <c r="S703" s="8" t="str">
        <f>IF(OR(Q703&lt;outliers!$I$6,Q703&gt;outliers!$I$7),"Outlier","Normal")</f>
        <v>Normal</v>
      </c>
      <c r="T703" s="8" t="str">
        <f>IF(OR(L703&lt;outliers!$J$6,L703&gt;outliers!$J$7),"Outlier","Normal")</f>
        <v>Normal</v>
      </c>
      <c r="U703" s="8" t="str">
        <f>IF(OR(M703&lt;outliers!$K$6,M703&gt;outliers!$K$7),"Outlier","Normal")</f>
        <v>Normal</v>
      </c>
    </row>
    <row r="704" spans="1:21">
      <c r="A704" s="21">
        <v>703</v>
      </c>
      <c r="B704" s="68">
        <v>40575</v>
      </c>
      <c r="C704" s="22" t="b">
        <v>0</v>
      </c>
      <c r="D704" s="21" t="str">
        <f t="shared" si="10"/>
        <v>Tuesday</v>
      </c>
      <c r="E704" s="23">
        <v>0.28789999999999999</v>
      </c>
      <c r="F704" s="23">
        <f>YEAR('Merged raw data'!$B704)</f>
        <v>2011</v>
      </c>
      <c r="G704" s="23" t="str">
        <f>TEXT('Merged raw data'!$B704,"mmmm")</f>
        <v>February</v>
      </c>
      <c r="H704" s="37" t="str">
        <f>TEXT(TIME('Merged raw data'!F704,0,0),"h AM/PM")</f>
        <v>3 PM</v>
      </c>
      <c r="I704" s="23" t="str">
        <f>IF(OR('Merged raw data'!H704=1,'Merged raw data'!H704=2,'Merged raw data'!H704=3,'Merged raw data'!H704=4,'Merged raw data'!H704=5),"weekday","weekend")</f>
        <v>weekday</v>
      </c>
      <c r="J704" s="23" t="s">
        <v>23</v>
      </c>
      <c r="K704" s="23" t="str">
        <f>IF('Merged raw data'!I704=1,"Clear",IF('Merged raw data'!I704=2,"Mist",IF('Merged raw data'!I704=3,"Rain",IF('Merged raw data'!I704=4,"Storm","NA"))))</f>
        <v>Mist</v>
      </c>
      <c r="L704" s="24">
        <v>0.75</v>
      </c>
      <c r="M704" s="24">
        <v>0.23</v>
      </c>
      <c r="N704" s="21">
        <f>'Merged raw data'!$J704*100</f>
        <v>24</v>
      </c>
      <c r="O704" s="21">
        <v>7</v>
      </c>
      <c r="P704" s="21">
        <v>45</v>
      </c>
      <c r="Q704" s="21">
        <v>52</v>
      </c>
      <c r="R704" s="21" t="str">
        <f>IF(Q704&gt;=outliers!I706,"High",IF(Q704&lt;=outliers!I705,"Low","Moderate"))</f>
        <v>High</v>
      </c>
      <c r="S704" s="8" t="str">
        <f>IF(OR(Q704&lt;outliers!$I$6,Q704&gt;outliers!$I$7),"Outlier","Normal")</f>
        <v>Normal</v>
      </c>
      <c r="T704" s="8" t="str">
        <f>IF(OR(L704&lt;outliers!$J$6,L704&gt;outliers!$J$7),"Outlier","Normal")</f>
        <v>Normal</v>
      </c>
      <c r="U704" s="8" t="str">
        <f>IF(OR(M704&lt;outliers!$K$6,M704&gt;outliers!$K$7),"Outlier","Normal")</f>
        <v>Normal</v>
      </c>
    </row>
    <row r="705" spans="1:21">
      <c r="A705" s="21">
        <v>704</v>
      </c>
      <c r="B705" s="68">
        <v>40575</v>
      </c>
      <c r="C705" s="22" t="b">
        <v>0</v>
      </c>
      <c r="D705" s="21" t="str">
        <f t="shared" si="10"/>
        <v>Tuesday</v>
      </c>
      <c r="E705" s="23">
        <v>0.2424</v>
      </c>
      <c r="F705" s="23">
        <f>YEAR('Merged raw data'!$B705)</f>
        <v>2011</v>
      </c>
      <c r="G705" s="23" t="str">
        <f>TEXT('Merged raw data'!$B705,"mmmm")</f>
        <v>February</v>
      </c>
      <c r="H705" s="37" t="str">
        <f>TEXT(TIME('Merged raw data'!F705,0,0),"h AM/PM")</f>
        <v>4 PM</v>
      </c>
      <c r="I705" s="23" t="str">
        <f>IF(OR('Merged raw data'!H705=1,'Merged raw data'!H705=2,'Merged raw data'!H705=3,'Merged raw data'!H705=4,'Merged raw data'!H705=5),"weekday","weekend")</f>
        <v>weekday</v>
      </c>
      <c r="J705" s="23" t="s">
        <v>23</v>
      </c>
      <c r="K705" s="23" t="str">
        <f>IF('Merged raw data'!I705=1,"Clear",IF('Merged raw data'!I705=2,"Mist",IF('Merged raw data'!I705=3,"Rain",IF('Merged raw data'!I705=4,"Storm","NA"))))</f>
        <v>Mist</v>
      </c>
      <c r="L705" s="24">
        <v>0.75</v>
      </c>
      <c r="M705" s="24">
        <v>0.1343</v>
      </c>
      <c r="N705" s="21">
        <f>'Merged raw data'!$J705*100</f>
        <v>24</v>
      </c>
      <c r="O705" s="21">
        <v>3</v>
      </c>
      <c r="P705" s="21">
        <v>61</v>
      </c>
      <c r="Q705" s="21">
        <v>64</v>
      </c>
      <c r="R705" s="21" t="str">
        <f>IF(Q705&gt;=outliers!I707,"High",IF(Q705&lt;=outliers!I706,"Low","Moderate"))</f>
        <v>High</v>
      </c>
      <c r="S705" s="8" t="str">
        <f>IF(OR(Q705&lt;outliers!$I$6,Q705&gt;outliers!$I$7),"Outlier","Normal")</f>
        <v>Normal</v>
      </c>
      <c r="T705" s="8" t="str">
        <f>IF(OR(L705&lt;outliers!$J$6,L705&gt;outliers!$J$7),"Outlier","Normal")</f>
        <v>Normal</v>
      </c>
      <c r="U705" s="8" t="str">
        <f>IF(OR(M705&lt;outliers!$K$6,M705&gt;outliers!$K$7),"Outlier","Normal")</f>
        <v>Normal</v>
      </c>
    </row>
    <row r="706" spans="1:21">
      <c r="A706" s="21">
        <v>705</v>
      </c>
      <c r="B706" s="68">
        <v>40575</v>
      </c>
      <c r="C706" s="22" t="b">
        <v>0</v>
      </c>
      <c r="D706" s="21" t="str">
        <f t="shared" si="10"/>
        <v>Tuesday</v>
      </c>
      <c r="E706" s="23">
        <v>0.28789999999999999</v>
      </c>
      <c r="F706" s="23">
        <f>YEAR('Merged raw data'!$B706)</f>
        <v>2011</v>
      </c>
      <c r="G706" s="23" t="str">
        <f>TEXT('Merged raw data'!$B706,"mmmm")</f>
        <v>February</v>
      </c>
      <c r="H706" s="37" t="str">
        <f>TEXT(TIME('Merged raw data'!F706,0,0),"h AM/PM")</f>
        <v>5 PM</v>
      </c>
      <c r="I706" s="23" t="str">
        <f>IF(OR('Merged raw data'!H706=1,'Merged raw data'!H706=2,'Merged raw data'!H706=3,'Merged raw data'!H706=4,'Merged raw data'!H706=5),"weekday","weekend")</f>
        <v>weekday</v>
      </c>
      <c r="J706" s="23" t="s">
        <v>23</v>
      </c>
      <c r="K706" s="23" t="str">
        <f>IF('Merged raw data'!I706=1,"Clear",IF('Merged raw data'!I706=2,"Mist",IF('Merged raw data'!I706=3,"Rain",IF('Merged raw data'!I706=4,"Storm","NA"))))</f>
        <v>Mist</v>
      </c>
      <c r="L706" s="24">
        <v>0.75</v>
      </c>
      <c r="M706" s="24">
        <v>0.23</v>
      </c>
      <c r="N706" s="21">
        <f>'Merged raw data'!$J706*100</f>
        <v>24</v>
      </c>
      <c r="O706" s="21">
        <v>4</v>
      </c>
      <c r="P706" s="21">
        <v>172</v>
      </c>
      <c r="Q706" s="21">
        <v>176</v>
      </c>
      <c r="R706" s="21" t="str">
        <f>IF(Q706&gt;=outliers!I708,"High",IF(Q706&lt;=outliers!I707,"Low","Moderate"))</f>
        <v>High</v>
      </c>
      <c r="S706" s="8" t="str">
        <f>IF(OR(Q706&lt;outliers!$I$6,Q706&gt;outliers!$I$7),"Outlier","Normal")</f>
        <v>Normal</v>
      </c>
      <c r="T706" s="8" t="str">
        <f>IF(OR(L706&lt;outliers!$J$6,L706&gt;outliers!$J$7),"Outlier","Normal")</f>
        <v>Normal</v>
      </c>
      <c r="U706" s="8" t="str">
        <f>IF(OR(M706&lt;outliers!$K$6,M706&gt;outliers!$K$7),"Outlier","Normal")</f>
        <v>Normal</v>
      </c>
    </row>
    <row r="707" spans="1:21">
      <c r="A707" s="21">
        <v>706</v>
      </c>
      <c r="B707" s="68">
        <v>40575</v>
      </c>
      <c r="C707" s="22" t="b">
        <v>0</v>
      </c>
      <c r="D707" s="21" t="str">
        <f t="shared" ref="D707:D770" si="11">TEXT(B707,"dddd")</f>
        <v>Tuesday</v>
      </c>
      <c r="E707" s="23">
        <v>0.2576</v>
      </c>
      <c r="F707" s="23">
        <f>YEAR('Merged raw data'!$B707)</f>
        <v>2011</v>
      </c>
      <c r="G707" s="23" t="str">
        <f>TEXT('Merged raw data'!$B707,"mmmm")</f>
        <v>February</v>
      </c>
      <c r="H707" s="37" t="str">
        <f>TEXT(TIME('Merged raw data'!F707,0,0),"h AM/PM")</f>
        <v>6 PM</v>
      </c>
      <c r="I707" s="23" t="str">
        <f>IF(OR('Merged raw data'!H707=1,'Merged raw data'!H707=2,'Merged raw data'!H707=3,'Merged raw data'!H707=4,'Merged raw data'!H707=5),"weekday","weekend")</f>
        <v>weekday</v>
      </c>
      <c r="J707" s="23" t="s">
        <v>23</v>
      </c>
      <c r="K707" s="23" t="str">
        <f>IF('Merged raw data'!I707=1,"Clear",IF('Merged raw data'!I707=2,"Mist",IF('Merged raw data'!I707=3,"Rain",IF('Merged raw data'!I707=4,"Storm","NA"))))</f>
        <v>Mist</v>
      </c>
      <c r="L707" s="24">
        <v>0.81</v>
      </c>
      <c r="M707" s="24">
        <v>0.1045</v>
      </c>
      <c r="N707" s="21">
        <f>'Merged raw data'!$J707*100</f>
        <v>24</v>
      </c>
      <c r="O707" s="21">
        <v>3</v>
      </c>
      <c r="P707" s="21">
        <v>165</v>
      </c>
      <c r="Q707" s="21">
        <v>168</v>
      </c>
      <c r="R707" s="21" t="str">
        <f>IF(Q707&gt;=outliers!I709,"High",IF(Q707&lt;=outliers!I708,"Low","Moderate"))</f>
        <v>High</v>
      </c>
      <c r="S707" s="8" t="str">
        <f>IF(OR(Q707&lt;outliers!$I$6,Q707&gt;outliers!$I$7),"Outlier","Normal")</f>
        <v>Normal</v>
      </c>
      <c r="T707" s="8" t="str">
        <f>IF(OR(L707&lt;outliers!$J$6,L707&gt;outliers!$J$7),"Outlier","Normal")</f>
        <v>Normal</v>
      </c>
      <c r="U707" s="8" t="str">
        <f>IF(OR(M707&lt;outliers!$K$6,M707&gt;outliers!$K$7),"Outlier","Normal")</f>
        <v>Normal</v>
      </c>
    </row>
    <row r="708" spans="1:21">
      <c r="A708" s="21">
        <v>707</v>
      </c>
      <c r="B708" s="68">
        <v>40575</v>
      </c>
      <c r="C708" s="22" t="b">
        <v>0</v>
      </c>
      <c r="D708" s="21" t="str">
        <f t="shared" si="11"/>
        <v>Tuesday</v>
      </c>
      <c r="E708" s="23">
        <v>0.2424</v>
      </c>
      <c r="F708" s="23">
        <f>YEAR('Merged raw data'!$B708)</f>
        <v>2011</v>
      </c>
      <c r="G708" s="23" t="str">
        <f>TEXT('Merged raw data'!$B708,"mmmm")</f>
        <v>February</v>
      </c>
      <c r="H708" s="37" t="str">
        <f>TEXT(TIME('Merged raw data'!F708,0,0),"h AM/PM")</f>
        <v>7 PM</v>
      </c>
      <c r="I708" s="23" t="str">
        <f>IF(OR('Merged raw data'!H708=1,'Merged raw data'!H708=2,'Merged raw data'!H708=3,'Merged raw data'!H708=4,'Merged raw data'!H708=5),"weekday","weekend")</f>
        <v>weekday</v>
      </c>
      <c r="J708" s="23" t="s">
        <v>23</v>
      </c>
      <c r="K708" s="23" t="str">
        <f>IF('Merged raw data'!I708=1,"Clear",IF('Merged raw data'!I708=2,"Mist",IF('Merged raw data'!I708=3,"Rain",IF('Merged raw data'!I708=4,"Storm","NA"))))</f>
        <v>Mist</v>
      </c>
      <c r="L708" s="24">
        <v>0.81</v>
      </c>
      <c r="M708" s="24">
        <v>0.1343</v>
      </c>
      <c r="N708" s="21">
        <f>'Merged raw data'!$J708*100</f>
        <v>24</v>
      </c>
      <c r="O708" s="21">
        <v>3</v>
      </c>
      <c r="P708" s="21">
        <v>105</v>
      </c>
      <c r="Q708" s="21">
        <v>108</v>
      </c>
      <c r="R708" s="21" t="str">
        <f>IF(Q708&gt;=outliers!I710,"High",IF(Q708&lt;=outliers!I709,"Low","Moderate"))</f>
        <v>High</v>
      </c>
      <c r="S708" s="8" t="str">
        <f>IF(OR(Q708&lt;outliers!$I$6,Q708&gt;outliers!$I$7),"Outlier","Normal")</f>
        <v>Normal</v>
      </c>
      <c r="T708" s="8" t="str">
        <f>IF(OR(L708&lt;outliers!$J$6,L708&gt;outliers!$J$7),"Outlier","Normal")</f>
        <v>Normal</v>
      </c>
      <c r="U708" s="8" t="str">
        <f>IF(OR(M708&lt;outliers!$K$6,M708&gt;outliers!$K$7),"Outlier","Normal")</f>
        <v>Normal</v>
      </c>
    </row>
    <row r="709" spans="1:21">
      <c r="A709" s="21">
        <v>708</v>
      </c>
      <c r="B709" s="68">
        <v>40575</v>
      </c>
      <c r="C709" s="22" t="b">
        <v>0</v>
      </c>
      <c r="D709" s="21" t="str">
        <f t="shared" si="11"/>
        <v>Tuesday</v>
      </c>
      <c r="E709" s="23">
        <v>0.2273</v>
      </c>
      <c r="F709" s="23">
        <f>YEAR('Merged raw data'!$B709)</f>
        <v>2011</v>
      </c>
      <c r="G709" s="23" t="str">
        <f>TEXT('Merged raw data'!$B709,"mmmm")</f>
        <v>February</v>
      </c>
      <c r="H709" s="37" t="str">
        <f>TEXT(TIME('Merged raw data'!F709,0,0),"h AM/PM")</f>
        <v>8 PM</v>
      </c>
      <c r="I709" s="23" t="str">
        <f>IF(OR('Merged raw data'!H709=1,'Merged raw data'!H709=2,'Merged raw data'!H709=3,'Merged raw data'!H709=4,'Merged raw data'!H709=5),"weekday","weekend")</f>
        <v>weekday</v>
      </c>
      <c r="J709" s="23" t="s">
        <v>23</v>
      </c>
      <c r="K709" s="23" t="str">
        <f>IF('Merged raw data'!I709=1,"Clear",IF('Merged raw data'!I709=2,"Mist",IF('Merged raw data'!I709=3,"Rain",IF('Merged raw data'!I709=4,"Storm","NA"))))</f>
        <v>Mist</v>
      </c>
      <c r="L709" s="24">
        <v>0.87</v>
      </c>
      <c r="M709" s="24">
        <v>0.1343</v>
      </c>
      <c r="N709" s="21">
        <f>'Merged raw data'!$J709*100</f>
        <v>22</v>
      </c>
      <c r="O709" s="21">
        <v>5</v>
      </c>
      <c r="P709" s="21">
        <v>69</v>
      </c>
      <c r="Q709" s="21">
        <v>74</v>
      </c>
      <c r="R709" s="21" t="str">
        <f>IF(Q709&gt;=outliers!I711,"High",IF(Q709&lt;=outliers!I710,"Low","Moderate"))</f>
        <v>High</v>
      </c>
      <c r="S709" s="8" t="str">
        <f>IF(OR(Q709&lt;outliers!$I$6,Q709&gt;outliers!$I$7),"Outlier","Normal")</f>
        <v>Normal</v>
      </c>
      <c r="T709" s="8" t="str">
        <f>IF(OR(L709&lt;outliers!$J$6,L709&gt;outliers!$J$7),"Outlier","Normal")</f>
        <v>Normal</v>
      </c>
      <c r="U709" s="8" t="str">
        <f>IF(OR(M709&lt;outliers!$K$6,M709&gt;outliers!$K$7),"Outlier","Normal")</f>
        <v>Normal</v>
      </c>
    </row>
    <row r="710" spans="1:21">
      <c r="A710" s="21">
        <v>709</v>
      </c>
      <c r="B710" s="68">
        <v>40575</v>
      </c>
      <c r="C710" s="22" t="b">
        <v>0</v>
      </c>
      <c r="D710" s="21" t="str">
        <f t="shared" si="11"/>
        <v>Tuesday</v>
      </c>
      <c r="E710" s="23">
        <v>0.2273</v>
      </c>
      <c r="F710" s="23">
        <f>YEAR('Merged raw data'!$B710)</f>
        <v>2011</v>
      </c>
      <c r="G710" s="23" t="str">
        <f>TEXT('Merged raw data'!$B710,"mmmm")</f>
        <v>February</v>
      </c>
      <c r="H710" s="37" t="str">
        <f>TEXT(TIME('Merged raw data'!F710,0,0),"h AM/PM")</f>
        <v>9 PM</v>
      </c>
      <c r="I710" s="23" t="str">
        <f>IF(OR('Merged raw data'!H710=1,'Merged raw data'!H710=2,'Merged raw data'!H710=3,'Merged raw data'!H710=4,'Merged raw data'!H710=5),"weekday","weekend")</f>
        <v>weekday</v>
      </c>
      <c r="J710" s="23" t="s">
        <v>23</v>
      </c>
      <c r="K710" s="23" t="str">
        <f>IF('Merged raw data'!I710=1,"Clear",IF('Merged raw data'!I710=2,"Mist",IF('Merged raw data'!I710=3,"Rain",IF('Merged raw data'!I710=4,"Storm","NA"))))</f>
        <v>Mist</v>
      </c>
      <c r="L710" s="24">
        <v>0.87</v>
      </c>
      <c r="M710" s="24">
        <v>0.1343</v>
      </c>
      <c r="N710" s="21">
        <f>'Merged raw data'!$J710*100</f>
        <v>22</v>
      </c>
      <c r="O710" s="21">
        <v>0</v>
      </c>
      <c r="P710" s="21">
        <v>64</v>
      </c>
      <c r="Q710" s="21">
        <v>64</v>
      </c>
      <c r="R710" s="21" t="str">
        <f>IF(Q710&gt;=outliers!I712,"High",IF(Q710&lt;=outliers!I711,"Low","Moderate"))</f>
        <v>High</v>
      </c>
      <c r="S710" s="8" t="str">
        <f>IF(OR(Q710&lt;outliers!$I$6,Q710&gt;outliers!$I$7),"Outlier","Normal")</f>
        <v>Normal</v>
      </c>
      <c r="T710" s="8" t="str">
        <f>IF(OR(L710&lt;outliers!$J$6,L710&gt;outliers!$J$7),"Outlier","Normal")</f>
        <v>Normal</v>
      </c>
      <c r="U710" s="8" t="str">
        <f>IF(OR(M710&lt;outliers!$K$6,M710&gt;outliers!$K$7),"Outlier","Normal")</f>
        <v>Normal</v>
      </c>
    </row>
    <row r="711" spans="1:21">
      <c r="A711" s="21">
        <v>710</v>
      </c>
      <c r="B711" s="68">
        <v>40575</v>
      </c>
      <c r="C711" s="22" t="b">
        <v>0</v>
      </c>
      <c r="D711" s="21" t="str">
        <f t="shared" si="11"/>
        <v>Tuesday</v>
      </c>
      <c r="E711" s="23">
        <v>0.2576</v>
      </c>
      <c r="F711" s="23">
        <f>YEAR('Merged raw data'!$B711)</f>
        <v>2011</v>
      </c>
      <c r="G711" s="23" t="str">
        <f>TEXT('Merged raw data'!$B711,"mmmm")</f>
        <v>February</v>
      </c>
      <c r="H711" s="37" t="str">
        <f>TEXT(TIME('Merged raw data'!F711,0,0),"h AM/PM")</f>
        <v>10 PM</v>
      </c>
      <c r="I711" s="23" t="str">
        <f>IF(OR('Merged raw data'!H711=1,'Merged raw data'!H711=2,'Merged raw data'!H711=3,'Merged raw data'!H711=4,'Merged raw data'!H711=5),"weekday","weekend")</f>
        <v>weekday</v>
      </c>
      <c r="J711" s="23" t="s">
        <v>23</v>
      </c>
      <c r="K711" s="23" t="str">
        <f>IF('Merged raw data'!I711=1,"Clear",IF('Merged raw data'!I711=2,"Mist",IF('Merged raw data'!I711=3,"Rain",IF('Merged raw data'!I711=4,"Storm","NA"))))</f>
        <v>Mist</v>
      </c>
      <c r="L711" s="24">
        <v>0.87</v>
      </c>
      <c r="M711" s="24">
        <v>8.9599999999999999E-2</v>
      </c>
      <c r="N711" s="21">
        <f>'Merged raw data'!$J711*100</f>
        <v>22</v>
      </c>
      <c r="O711" s="21">
        <v>2</v>
      </c>
      <c r="P711" s="21">
        <v>34</v>
      </c>
      <c r="Q711" s="21">
        <v>36</v>
      </c>
      <c r="R711" s="21" t="str">
        <f>IF(Q711&gt;=outliers!I713,"High",IF(Q711&lt;=outliers!I712,"Low","Moderate"))</f>
        <v>High</v>
      </c>
      <c r="S711" s="8" t="str">
        <f>IF(OR(Q711&lt;outliers!$I$6,Q711&gt;outliers!$I$7),"Outlier","Normal")</f>
        <v>Normal</v>
      </c>
      <c r="T711" s="8" t="str">
        <f>IF(OR(L711&lt;outliers!$J$6,L711&gt;outliers!$J$7),"Outlier","Normal")</f>
        <v>Normal</v>
      </c>
      <c r="U711" s="8" t="str">
        <f>IF(OR(M711&lt;outliers!$K$6,M711&gt;outliers!$K$7),"Outlier","Normal")</f>
        <v>Normal</v>
      </c>
    </row>
    <row r="712" spans="1:21">
      <c r="A712" s="21">
        <v>711</v>
      </c>
      <c r="B712" s="68">
        <v>40575</v>
      </c>
      <c r="C712" s="22" t="b">
        <v>0</v>
      </c>
      <c r="D712" s="21" t="str">
        <f t="shared" si="11"/>
        <v>Tuesday</v>
      </c>
      <c r="E712" s="23">
        <v>0.19700000000000001</v>
      </c>
      <c r="F712" s="23">
        <f>YEAR('Merged raw data'!$B712)</f>
        <v>2011</v>
      </c>
      <c r="G712" s="23" t="str">
        <f>TEXT('Merged raw data'!$B712,"mmmm")</f>
        <v>February</v>
      </c>
      <c r="H712" s="37" t="str">
        <f>TEXT(TIME('Merged raw data'!F712,0,0),"h AM/PM")</f>
        <v>11 PM</v>
      </c>
      <c r="I712" s="23" t="str">
        <f>IF(OR('Merged raw data'!H712=1,'Merged raw data'!H712=2,'Merged raw data'!H712=3,'Merged raw data'!H712=4,'Merged raw data'!H712=5),"weekday","weekend")</f>
        <v>weekday</v>
      </c>
      <c r="J712" s="23" t="s">
        <v>23</v>
      </c>
      <c r="K712" s="23" t="str">
        <f>IF('Merged raw data'!I712=1,"Clear",IF('Merged raw data'!I712=2,"Mist",IF('Merged raw data'!I712=3,"Rain",IF('Merged raw data'!I712=4,"Storm","NA"))))</f>
        <v>Rain</v>
      </c>
      <c r="L712" s="24">
        <v>0.93</v>
      </c>
      <c r="M712" s="24">
        <v>0.19400000000000001</v>
      </c>
      <c r="N712" s="21">
        <f>'Merged raw data'!$J712*100</f>
        <v>20</v>
      </c>
      <c r="O712" s="21">
        <v>1</v>
      </c>
      <c r="P712" s="21">
        <v>15</v>
      </c>
      <c r="Q712" s="21">
        <v>16</v>
      </c>
      <c r="R712" s="21" t="str">
        <f>IF(Q712&gt;=outliers!I714,"High",IF(Q712&lt;=outliers!I713,"Low","Moderate"))</f>
        <v>High</v>
      </c>
      <c r="S712" s="8" t="str">
        <f>IF(OR(Q712&lt;outliers!$I$6,Q712&gt;outliers!$I$7),"Outlier","Normal")</f>
        <v>Normal</v>
      </c>
      <c r="T712" s="8" t="str">
        <f>IF(OR(L712&lt;outliers!$J$6,L712&gt;outliers!$J$7),"Outlier","Normal")</f>
        <v>Normal</v>
      </c>
      <c r="U712" s="8" t="str">
        <f>IF(OR(M712&lt;outliers!$K$6,M712&gt;outliers!$K$7),"Outlier","Normal")</f>
        <v>Normal</v>
      </c>
    </row>
    <row r="713" spans="1:21">
      <c r="A713" s="21">
        <v>712</v>
      </c>
      <c r="B713" s="68">
        <v>40576</v>
      </c>
      <c r="C713" s="22" t="b">
        <v>0</v>
      </c>
      <c r="D713" s="21" t="str">
        <f t="shared" si="11"/>
        <v>Wednesday</v>
      </c>
      <c r="E713" s="23">
        <v>0.2424</v>
      </c>
      <c r="F713" s="23">
        <f>YEAR('Merged raw data'!$B713)</f>
        <v>2011</v>
      </c>
      <c r="G713" s="23" t="str">
        <f>TEXT('Merged raw data'!$B713,"mmmm")</f>
        <v>February</v>
      </c>
      <c r="H713" s="37" t="str">
        <f>TEXT(TIME('Merged raw data'!F713,0,0),"h AM/PM")</f>
        <v>12 AM</v>
      </c>
      <c r="I713" s="23" t="str">
        <f>IF(OR('Merged raw data'!H713=1,'Merged raw data'!H713=2,'Merged raw data'!H713=3,'Merged raw data'!H713=4,'Merged raw data'!H713=5),"weekday","weekend")</f>
        <v>weekday</v>
      </c>
      <c r="J713" s="23" t="s">
        <v>23</v>
      </c>
      <c r="K713" s="23" t="str">
        <f>IF('Merged raw data'!I713=1,"Clear",IF('Merged raw data'!I713=2,"Mist",IF('Merged raw data'!I713=3,"Rain",IF('Merged raw data'!I713=4,"Storm","NA"))))</f>
        <v>Rain</v>
      </c>
      <c r="L713" s="24">
        <v>0.93</v>
      </c>
      <c r="M713" s="24">
        <v>0.1045</v>
      </c>
      <c r="N713" s="21">
        <f>'Merged raw data'!$J713*100</f>
        <v>22</v>
      </c>
      <c r="O713" s="21">
        <v>0</v>
      </c>
      <c r="P713" s="21">
        <v>2</v>
      </c>
      <c r="Q713" s="21">
        <v>2</v>
      </c>
      <c r="R713" s="21" t="str">
        <f>IF(Q713&gt;=outliers!I715,"High",IF(Q713&lt;=outliers!I714,"Low","Moderate"))</f>
        <v>High</v>
      </c>
      <c r="S713" s="8" t="str">
        <f>IF(OR(Q713&lt;outliers!$I$6,Q713&gt;outliers!$I$7),"Outlier","Normal")</f>
        <v>Normal</v>
      </c>
      <c r="T713" s="8" t="str">
        <f>IF(OR(L713&lt;outliers!$J$6,L713&gt;outliers!$J$7),"Outlier","Normal")</f>
        <v>Normal</v>
      </c>
      <c r="U713" s="8" t="str">
        <f>IF(OR(M713&lt;outliers!$K$6,M713&gt;outliers!$K$7),"Outlier","Normal")</f>
        <v>Normal</v>
      </c>
    </row>
    <row r="714" spans="1:21">
      <c r="A714" s="21">
        <v>713</v>
      </c>
      <c r="B714" s="68">
        <v>40576</v>
      </c>
      <c r="C714" s="22" t="b">
        <v>0</v>
      </c>
      <c r="D714" s="21" t="str">
        <f t="shared" si="11"/>
        <v>Wednesday</v>
      </c>
      <c r="E714" s="23">
        <v>0.2273</v>
      </c>
      <c r="F714" s="23">
        <f>YEAR('Merged raw data'!$B714)</f>
        <v>2011</v>
      </c>
      <c r="G714" s="23" t="str">
        <f>TEXT('Merged raw data'!$B714,"mmmm")</f>
        <v>February</v>
      </c>
      <c r="H714" s="37" t="str">
        <f>TEXT(TIME('Merged raw data'!F714,0,0),"h AM/PM")</f>
        <v>1 AM</v>
      </c>
      <c r="I714" s="23" t="str">
        <f>IF(OR('Merged raw data'!H714=1,'Merged raw data'!H714=2,'Merged raw data'!H714=3,'Merged raw data'!H714=4,'Merged raw data'!H714=5),"weekday","weekend")</f>
        <v>weekday</v>
      </c>
      <c r="J714" s="23" t="s">
        <v>23</v>
      </c>
      <c r="K714" s="23" t="str">
        <f>IF('Merged raw data'!I714=1,"Clear",IF('Merged raw data'!I714=2,"Mist",IF('Merged raw data'!I714=3,"Rain",IF('Merged raw data'!I714=4,"Storm","NA"))))</f>
        <v>Rain</v>
      </c>
      <c r="L714" s="24">
        <v>0.93</v>
      </c>
      <c r="M714" s="24">
        <v>0.19400000000000001</v>
      </c>
      <c r="N714" s="21">
        <f>'Merged raw data'!$J714*100</f>
        <v>22</v>
      </c>
      <c r="O714" s="21">
        <v>0</v>
      </c>
      <c r="P714" s="21">
        <v>3</v>
      </c>
      <c r="Q714" s="21">
        <v>3</v>
      </c>
      <c r="R714" s="21" t="str">
        <f>IF(Q714&gt;=outliers!I716,"High",IF(Q714&lt;=outliers!I715,"Low","Moderate"))</f>
        <v>High</v>
      </c>
      <c r="S714" s="8" t="str">
        <f>IF(OR(Q714&lt;outliers!$I$6,Q714&gt;outliers!$I$7),"Outlier","Normal")</f>
        <v>Normal</v>
      </c>
      <c r="T714" s="8" t="str">
        <f>IF(OR(L714&lt;outliers!$J$6,L714&gt;outliers!$J$7),"Outlier","Normal")</f>
        <v>Normal</v>
      </c>
      <c r="U714" s="8" t="str">
        <f>IF(OR(M714&lt;outliers!$K$6,M714&gt;outliers!$K$7),"Outlier","Normal")</f>
        <v>Normal</v>
      </c>
    </row>
    <row r="715" spans="1:21">
      <c r="A715" s="21">
        <v>714</v>
      </c>
      <c r="B715" s="68">
        <v>40576</v>
      </c>
      <c r="C715" s="22" t="b">
        <v>0</v>
      </c>
      <c r="D715" s="21" t="str">
        <f t="shared" si="11"/>
        <v>Wednesday</v>
      </c>
      <c r="E715" s="23">
        <v>0.2273</v>
      </c>
      <c r="F715" s="23">
        <f>YEAR('Merged raw data'!$B715)</f>
        <v>2011</v>
      </c>
      <c r="G715" s="23" t="str">
        <f>TEXT('Merged raw data'!$B715,"mmmm")</f>
        <v>February</v>
      </c>
      <c r="H715" s="37" t="str">
        <f>TEXT(TIME('Merged raw data'!F715,0,0),"h AM/PM")</f>
        <v>2 AM</v>
      </c>
      <c r="I715" s="23" t="str">
        <f>IF(OR('Merged raw data'!H715=1,'Merged raw data'!H715=2,'Merged raw data'!H715=3,'Merged raw data'!H715=4,'Merged raw data'!H715=5),"weekday","weekend")</f>
        <v>weekday</v>
      </c>
      <c r="J715" s="23" t="s">
        <v>23</v>
      </c>
      <c r="K715" s="23" t="str">
        <f>IF('Merged raw data'!I715=1,"Clear",IF('Merged raw data'!I715=2,"Mist",IF('Merged raw data'!I715=3,"Rain",IF('Merged raw data'!I715=4,"Storm","NA"))))</f>
        <v>Rain</v>
      </c>
      <c r="L715" s="24">
        <v>0.93</v>
      </c>
      <c r="M715" s="24">
        <v>0.1343</v>
      </c>
      <c r="N715" s="21">
        <f>'Merged raw data'!$J715*100</f>
        <v>22</v>
      </c>
      <c r="O715" s="21">
        <v>4</v>
      </c>
      <c r="P715" s="21">
        <v>0</v>
      </c>
      <c r="Q715" s="21">
        <v>4</v>
      </c>
      <c r="R715" s="21" t="str">
        <f>IF(Q715&gt;=outliers!I717,"High",IF(Q715&lt;=outliers!I716,"Low","Moderate"))</f>
        <v>High</v>
      </c>
      <c r="S715" s="8" t="str">
        <f>IF(OR(Q715&lt;outliers!$I$6,Q715&gt;outliers!$I$7),"Outlier","Normal")</f>
        <v>Normal</v>
      </c>
      <c r="T715" s="8" t="str">
        <f>IF(OR(L715&lt;outliers!$J$6,L715&gt;outliers!$J$7),"Outlier","Normal")</f>
        <v>Normal</v>
      </c>
      <c r="U715" s="8" t="str">
        <f>IF(OR(M715&lt;outliers!$K$6,M715&gt;outliers!$K$7),"Outlier","Normal")</f>
        <v>Normal</v>
      </c>
    </row>
    <row r="716" spans="1:21">
      <c r="A716" s="21">
        <v>715</v>
      </c>
      <c r="B716" s="68">
        <v>40576</v>
      </c>
      <c r="C716" s="22" t="b">
        <v>0</v>
      </c>
      <c r="D716" s="21" t="str">
        <f t="shared" si="11"/>
        <v>Wednesday</v>
      </c>
      <c r="E716" s="23">
        <v>0.2273</v>
      </c>
      <c r="F716" s="23">
        <f>YEAR('Merged raw data'!$B716)</f>
        <v>2011</v>
      </c>
      <c r="G716" s="23" t="str">
        <f>TEXT('Merged raw data'!$B716,"mmmm")</f>
        <v>February</v>
      </c>
      <c r="H716" s="37" t="str">
        <f>TEXT(TIME('Merged raw data'!F716,0,0),"h AM/PM")</f>
        <v>3 AM</v>
      </c>
      <c r="I716" s="23" t="str">
        <f>IF(OR('Merged raw data'!H716=1,'Merged raw data'!H716=2,'Merged raw data'!H716=3,'Merged raw data'!H716=4,'Merged raw data'!H716=5),"weekday","weekend")</f>
        <v>weekday</v>
      </c>
      <c r="J716" s="23" t="s">
        <v>23</v>
      </c>
      <c r="K716" s="23" t="str">
        <f>IF('Merged raw data'!I716=1,"Clear",IF('Merged raw data'!I716=2,"Mist",IF('Merged raw data'!I716=3,"Rain",IF('Merged raw data'!I716=4,"Storm","NA"))))</f>
        <v>Rain</v>
      </c>
      <c r="L716" s="24">
        <v>0.93</v>
      </c>
      <c r="M716" s="24">
        <v>0.1343</v>
      </c>
      <c r="N716" s="21">
        <f>'Merged raw data'!$J716*100</f>
        <v>22</v>
      </c>
      <c r="O716" s="21">
        <v>0</v>
      </c>
      <c r="P716" s="21">
        <v>1</v>
      </c>
      <c r="Q716" s="21">
        <v>1</v>
      </c>
      <c r="R716" s="21" t="str">
        <f>IF(Q716&gt;=outliers!I718,"High",IF(Q716&lt;=outliers!I717,"Low","Moderate"))</f>
        <v>High</v>
      </c>
      <c r="S716" s="8" t="str">
        <f>IF(OR(Q716&lt;outliers!$I$6,Q716&gt;outliers!$I$7),"Outlier","Normal")</f>
        <v>Normal</v>
      </c>
      <c r="T716" s="8" t="str">
        <f>IF(OR(L716&lt;outliers!$J$6,L716&gt;outliers!$J$7),"Outlier","Normal")</f>
        <v>Normal</v>
      </c>
      <c r="U716" s="8" t="str">
        <f>IF(OR(M716&lt;outliers!$K$6,M716&gt;outliers!$K$7),"Outlier","Normal")</f>
        <v>Normal</v>
      </c>
    </row>
    <row r="717" spans="1:21">
      <c r="A717" s="21">
        <v>716</v>
      </c>
      <c r="B717" s="68">
        <v>40576</v>
      </c>
      <c r="C717" s="22" t="b">
        <v>0</v>
      </c>
      <c r="D717" s="21" t="str">
        <f t="shared" si="11"/>
        <v>Wednesday</v>
      </c>
      <c r="E717" s="23">
        <v>0.21210000000000001</v>
      </c>
      <c r="F717" s="23">
        <f>YEAR('Merged raw data'!$B717)</f>
        <v>2011</v>
      </c>
      <c r="G717" s="23" t="str">
        <f>TEXT('Merged raw data'!$B717,"mmmm")</f>
        <v>February</v>
      </c>
      <c r="H717" s="37" t="str">
        <f>TEXT(TIME('Merged raw data'!F717,0,0),"h AM/PM")</f>
        <v>4 AM</v>
      </c>
      <c r="I717" s="23" t="str">
        <f>IF(OR('Merged raw data'!H717=1,'Merged raw data'!H717=2,'Merged raw data'!H717=3,'Merged raw data'!H717=4,'Merged raw data'!H717=5),"weekday","weekend")</f>
        <v>weekday</v>
      </c>
      <c r="J717" s="23" t="s">
        <v>23</v>
      </c>
      <c r="K717" s="23" t="str">
        <f>IF('Merged raw data'!I717=1,"Clear",IF('Merged raw data'!I717=2,"Mist",IF('Merged raw data'!I717=3,"Rain",IF('Merged raw data'!I717=4,"Storm","NA"))))</f>
        <v>Rain</v>
      </c>
      <c r="L717" s="24">
        <v>0.93</v>
      </c>
      <c r="M717" s="24">
        <v>0.28360000000000002</v>
      </c>
      <c r="N717" s="21">
        <f>'Merged raw data'!$J717*100</f>
        <v>22</v>
      </c>
      <c r="O717" s="21">
        <v>0</v>
      </c>
      <c r="P717" s="21">
        <v>1</v>
      </c>
      <c r="Q717" s="21">
        <v>1</v>
      </c>
      <c r="R717" s="21" t="str">
        <f>IF(Q717&gt;=outliers!I719,"High",IF(Q717&lt;=outliers!I718,"Low","Moderate"))</f>
        <v>High</v>
      </c>
      <c r="S717" s="8" t="str">
        <f>IF(OR(Q717&lt;outliers!$I$6,Q717&gt;outliers!$I$7),"Outlier","Normal")</f>
        <v>Normal</v>
      </c>
      <c r="T717" s="8" t="str">
        <f>IF(OR(L717&lt;outliers!$J$6,L717&gt;outliers!$J$7),"Outlier","Normal")</f>
        <v>Normal</v>
      </c>
      <c r="U717" s="8" t="str">
        <f>IF(OR(M717&lt;outliers!$K$6,M717&gt;outliers!$K$7),"Outlier","Normal")</f>
        <v>Normal</v>
      </c>
    </row>
    <row r="718" spans="1:21">
      <c r="A718" s="21">
        <v>717</v>
      </c>
      <c r="B718" s="68">
        <v>40576</v>
      </c>
      <c r="C718" s="22" t="b">
        <v>0</v>
      </c>
      <c r="D718" s="21" t="str">
        <f t="shared" si="11"/>
        <v>Wednesday</v>
      </c>
      <c r="E718" s="23">
        <v>0.2424</v>
      </c>
      <c r="F718" s="23">
        <f>YEAR('Merged raw data'!$B718)</f>
        <v>2011</v>
      </c>
      <c r="G718" s="23" t="str">
        <f>TEXT('Merged raw data'!$B718,"mmmm")</f>
        <v>February</v>
      </c>
      <c r="H718" s="37" t="str">
        <f>TEXT(TIME('Merged raw data'!F718,0,0),"h AM/PM")</f>
        <v>5 AM</v>
      </c>
      <c r="I718" s="23" t="str">
        <f>IF(OR('Merged raw data'!H718=1,'Merged raw data'!H718=2,'Merged raw data'!H718=3,'Merged raw data'!H718=4,'Merged raw data'!H718=5),"weekday","weekend")</f>
        <v>weekday</v>
      </c>
      <c r="J718" s="23" t="s">
        <v>23</v>
      </c>
      <c r="K718" s="23" t="str">
        <f>IF('Merged raw data'!I718=1,"Clear",IF('Merged raw data'!I718=2,"Mist",IF('Merged raw data'!I718=3,"Rain",IF('Merged raw data'!I718=4,"Storm","NA"))))</f>
        <v>Rain</v>
      </c>
      <c r="L718" s="24">
        <v>0.93</v>
      </c>
      <c r="M718" s="24">
        <v>0.1045</v>
      </c>
      <c r="N718" s="21">
        <f>'Merged raw data'!$J718*100</f>
        <v>22</v>
      </c>
      <c r="O718" s="21">
        <v>0</v>
      </c>
      <c r="P718" s="21">
        <v>3</v>
      </c>
      <c r="Q718" s="21">
        <v>3</v>
      </c>
      <c r="R718" s="21" t="str">
        <f>IF(Q718&gt;=outliers!I720,"High",IF(Q718&lt;=outliers!I719,"Low","Moderate"))</f>
        <v>High</v>
      </c>
      <c r="S718" s="8" t="str">
        <f>IF(OR(Q718&lt;outliers!$I$6,Q718&gt;outliers!$I$7),"Outlier","Normal")</f>
        <v>Normal</v>
      </c>
      <c r="T718" s="8" t="str">
        <f>IF(OR(L718&lt;outliers!$J$6,L718&gt;outliers!$J$7),"Outlier","Normal")</f>
        <v>Normal</v>
      </c>
      <c r="U718" s="8" t="str">
        <f>IF(OR(M718&lt;outliers!$K$6,M718&gt;outliers!$K$7),"Outlier","Normal")</f>
        <v>Normal</v>
      </c>
    </row>
    <row r="719" spans="1:21">
      <c r="A719" s="21">
        <v>718</v>
      </c>
      <c r="B719" s="68">
        <v>40576</v>
      </c>
      <c r="C719" s="22" t="b">
        <v>0</v>
      </c>
      <c r="D719" s="21" t="str">
        <f t="shared" si="11"/>
        <v>Wednesday</v>
      </c>
      <c r="E719" s="23">
        <v>0.2424</v>
      </c>
      <c r="F719" s="23">
        <f>YEAR('Merged raw data'!$B719)</f>
        <v>2011</v>
      </c>
      <c r="G719" s="23" t="str">
        <f>TEXT('Merged raw data'!$B719,"mmmm")</f>
        <v>February</v>
      </c>
      <c r="H719" s="37" t="str">
        <f>TEXT(TIME('Merged raw data'!F719,0,0),"h AM/PM")</f>
        <v>6 AM</v>
      </c>
      <c r="I719" s="23" t="str">
        <f>IF(OR('Merged raw data'!H719=1,'Merged raw data'!H719=2,'Merged raw data'!H719=3,'Merged raw data'!H719=4,'Merged raw data'!H719=5),"weekday","weekend")</f>
        <v>weekday</v>
      </c>
      <c r="J719" s="23" t="s">
        <v>23</v>
      </c>
      <c r="K719" s="23" t="str">
        <f>IF('Merged raw data'!I719=1,"Clear",IF('Merged raw data'!I719=2,"Mist",IF('Merged raw data'!I719=3,"Rain",IF('Merged raw data'!I719=4,"Storm","NA"))))</f>
        <v>Rain</v>
      </c>
      <c r="L719" s="24">
        <v>0.93</v>
      </c>
      <c r="M719" s="24">
        <v>0.1045</v>
      </c>
      <c r="N719" s="21">
        <f>'Merged raw data'!$J719*100</f>
        <v>22</v>
      </c>
      <c r="O719" s="21">
        <v>1</v>
      </c>
      <c r="P719" s="21">
        <v>17</v>
      </c>
      <c r="Q719" s="21">
        <v>18</v>
      </c>
      <c r="R719" s="21" t="str">
        <f>IF(Q719&gt;=outliers!I721,"High",IF(Q719&lt;=outliers!I720,"Low","Moderate"))</f>
        <v>High</v>
      </c>
      <c r="S719" s="8" t="str">
        <f>IF(OR(Q719&lt;outliers!$I$6,Q719&gt;outliers!$I$7),"Outlier","Normal")</f>
        <v>Normal</v>
      </c>
      <c r="T719" s="8" t="str">
        <f>IF(OR(L719&lt;outliers!$J$6,L719&gt;outliers!$J$7),"Outlier","Normal")</f>
        <v>Normal</v>
      </c>
      <c r="U719" s="8" t="str">
        <f>IF(OR(M719&lt;outliers!$K$6,M719&gt;outliers!$K$7),"Outlier","Normal")</f>
        <v>Normal</v>
      </c>
    </row>
    <row r="720" spans="1:21">
      <c r="A720" s="21">
        <v>719</v>
      </c>
      <c r="B720" s="68">
        <v>40576</v>
      </c>
      <c r="C720" s="22" t="b">
        <v>0</v>
      </c>
      <c r="D720" s="21" t="str">
        <f t="shared" si="11"/>
        <v>Wednesday</v>
      </c>
      <c r="E720" s="23">
        <v>0.21210000000000001</v>
      </c>
      <c r="F720" s="23">
        <f>YEAR('Merged raw data'!$B720)</f>
        <v>2011</v>
      </c>
      <c r="G720" s="23" t="str">
        <f>TEXT('Merged raw data'!$B720,"mmmm")</f>
        <v>February</v>
      </c>
      <c r="H720" s="37" t="str">
        <f>TEXT(TIME('Merged raw data'!F720,0,0),"h AM/PM")</f>
        <v>7 AM</v>
      </c>
      <c r="I720" s="23" t="str">
        <f>IF(OR('Merged raw data'!H720=1,'Merged raw data'!H720=2,'Merged raw data'!H720=3,'Merged raw data'!H720=4,'Merged raw data'!H720=5),"weekday","weekend")</f>
        <v>weekday</v>
      </c>
      <c r="J720" s="23" t="s">
        <v>23</v>
      </c>
      <c r="K720" s="23" t="str">
        <f>IF('Merged raw data'!I720=1,"Clear",IF('Merged raw data'!I720=2,"Mist",IF('Merged raw data'!I720=3,"Rain",IF('Merged raw data'!I720=4,"Storm","NA"))))</f>
        <v>Rain</v>
      </c>
      <c r="L720" s="24">
        <v>0.93</v>
      </c>
      <c r="M720" s="24">
        <v>0.22389999999999999</v>
      </c>
      <c r="N720" s="21">
        <f>'Merged raw data'!$J720*100</f>
        <v>22</v>
      </c>
      <c r="O720" s="21">
        <v>1</v>
      </c>
      <c r="P720" s="21">
        <v>48</v>
      </c>
      <c r="Q720" s="21">
        <v>49</v>
      </c>
      <c r="R720" s="21" t="str">
        <f>IF(Q720&gt;=outliers!I722,"High",IF(Q720&lt;=outliers!I721,"Low","Moderate"))</f>
        <v>High</v>
      </c>
      <c r="S720" s="8" t="str">
        <f>IF(OR(Q720&lt;outliers!$I$6,Q720&gt;outliers!$I$7),"Outlier","Normal")</f>
        <v>Normal</v>
      </c>
      <c r="T720" s="8" t="str">
        <f>IF(OR(L720&lt;outliers!$J$6,L720&gt;outliers!$J$7),"Outlier","Normal")</f>
        <v>Normal</v>
      </c>
      <c r="U720" s="8" t="str">
        <f>IF(OR(M720&lt;outliers!$K$6,M720&gt;outliers!$K$7),"Outlier","Normal")</f>
        <v>Normal</v>
      </c>
    </row>
    <row r="721" spans="1:21">
      <c r="A721" s="21">
        <v>720</v>
      </c>
      <c r="B721" s="68">
        <v>40576</v>
      </c>
      <c r="C721" s="22" t="b">
        <v>0</v>
      </c>
      <c r="D721" s="21" t="str">
        <f t="shared" si="11"/>
        <v>Wednesday</v>
      </c>
      <c r="E721" s="23">
        <v>0.21210000000000001</v>
      </c>
      <c r="F721" s="23">
        <f>YEAR('Merged raw data'!$B721)</f>
        <v>2011</v>
      </c>
      <c r="G721" s="23" t="str">
        <f>TEXT('Merged raw data'!$B721,"mmmm")</f>
        <v>February</v>
      </c>
      <c r="H721" s="37" t="str">
        <f>TEXT(TIME('Merged raw data'!F721,0,0),"h AM/PM")</f>
        <v>8 AM</v>
      </c>
      <c r="I721" s="23" t="str">
        <f>IF(OR('Merged raw data'!H721=1,'Merged raw data'!H721=2,'Merged raw data'!H721=3,'Merged raw data'!H721=4,'Merged raw data'!H721=5),"weekday","weekend")</f>
        <v>weekday</v>
      </c>
      <c r="J721" s="23" t="s">
        <v>23</v>
      </c>
      <c r="K721" s="23" t="str">
        <f>IF('Merged raw data'!I721=1,"Clear",IF('Merged raw data'!I721=2,"Mist",IF('Merged raw data'!I721=3,"Rain",IF('Merged raw data'!I721=4,"Storm","NA"))))</f>
        <v>Rain</v>
      </c>
      <c r="L721" s="24">
        <v>0.93</v>
      </c>
      <c r="M721" s="24">
        <v>0.22389999999999999</v>
      </c>
      <c r="N721" s="21">
        <f>'Merged raw data'!$J721*100</f>
        <v>22</v>
      </c>
      <c r="O721" s="21">
        <v>1</v>
      </c>
      <c r="P721" s="21">
        <v>154</v>
      </c>
      <c r="Q721" s="21">
        <v>155</v>
      </c>
      <c r="R721" s="21" t="str">
        <f>IF(Q721&gt;=outliers!I723,"High",IF(Q721&lt;=outliers!I722,"Low","Moderate"))</f>
        <v>High</v>
      </c>
      <c r="S721" s="8" t="str">
        <f>IF(OR(Q721&lt;outliers!$I$6,Q721&gt;outliers!$I$7),"Outlier","Normal")</f>
        <v>Normal</v>
      </c>
      <c r="T721" s="8" t="str">
        <f>IF(OR(L721&lt;outliers!$J$6,L721&gt;outliers!$J$7),"Outlier","Normal")</f>
        <v>Normal</v>
      </c>
      <c r="U721" s="8" t="str">
        <f>IF(OR(M721&lt;outliers!$K$6,M721&gt;outliers!$K$7),"Outlier","Normal")</f>
        <v>Normal</v>
      </c>
    </row>
    <row r="722" spans="1:21">
      <c r="A722" s="21">
        <v>721</v>
      </c>
      <c r="B722" s="68">
        <v>40576</v>
      </c>
      <c r="C722" s="22" t="b">
        <v>0</v>
      </c>
      <c r="D722" s="21" t="str">
        <f t="shared" si="11"/>
        <v>Wednesday</v>
      </c>
      <c r="E722" s="23">
        <v>0.2576</v>
      </c>
      <c r="F722" s="23">
        <f>YEAR('Merged raw data'!$B722)</f>
        <v>2011</v>
      </c>
      <c r="G722" s="23" t="str">
        <f>TEXT('Merged raw data'!$B722,"mmmm")</f>
        <v>February</v>
      </c>
      <c r="H722" s="37" t="str">
        <f>TEXT(TIME('Merged raw data'!F722,0,0),"h AM/PM")</f>
        <v>9 AM</v>
      </c>
      <c r="I722" s="23" t="str">
        <f>IF(OR('Merged raw data'!H722=1,'Merged raw data'!H722=2,'Merged raw data'!H722=3,'Merged raw data'!H722=4,'Merged raw data'!H722=5),"weekday","weekend")</f>
        <v>weekday</v>
      </c>
      <c r="J722" s="23" t="s">
        <v>23</v>
      </c>
      <c r="K722" s="23" t="str">
        <f>IF('Merged raw data'!I722=1,"Clear",IF('Merged raw data'!I722=2,"Mist",IF('Merged raw data'!I722=3,"Rain",IF('Merged raw data'!I722=4,"Storm","NA"))))</f>
        <v>Mist</v>
      </c>
      <c r="L722" s="24">
        <v>0.93</v>
      </c>
      <c r="M722" s="24">
        <v>8.9599999999999999E-2</v>
      </c>
      <c r="N722" s="21">
        <f>'Merged raw data'!$J722*100</f>
        <v>24</v>
      </c>
      <c r="O722" s="21">
        <v>4</v>
      </c>
      <c r="P722" s="21">
        <v>119</v>
      </c>
      <c r="Q722" s="21">
        <v>123</v>
      </c>
      <c r="R722" s="21" t="str">
        <f>IF(Q722&gt;=outliers!I724,"High",IF(Q722&lt;=outliers!I723,"Low","Moderate"))</f>
        <v>High</v>
      </c>
      <c r="S722" s="8" t="str">
        <f>IF(OR(Q722&lt;outliers!$I$6,Q722&gt;outliers!$I$7),"Outlier","Normal")</f>
        <v>Normal</v>
      </c>
      <c r="T722" s="8" t="str">
        <f>IF(OR(L722&lt;outliers!$J$6,L722&gt;outliers!$J$7),"Outlier","Normal")</f>
        <v>Normal</v>
      </c>
      <c r="U722" s="8" t="str">
        <f>IF(OR(M722&lt;outliers!$K$6,M722&gt;outliers!$K$7),"Outlier","Normal")</f>
        <v>Normal</v>
      </c>
    </row>
    <row r="723" spans="1:21">
      <c r="A723" s="21">
        <v>722</v>
      </c>
      <c r="B723" s="68">
        <v>40576</v>
      </c>
      <c r="C723" s="22" t="b">
        <v>0</v>
      </c>
      <c r="D723" s="21" t="str">
        <f t="shared" si="11"/>
        <v>Wednesday</v>
      </c>
      <c r="E723" s="23">
        <v>0.2727</v>
      </c>
      <c r="F723" s="23">
        <f>YEAR('Merged raw data'!$B723)</f>
        <v>2011</v>
      </c>
      <c r="G723" s="23" t="str">
        <f>TEXT('Merged raw data'!$B723,"mmmm")</f>
        <v>February</v>
      </c>
      <c r="H723" s="37" t="str">
        <f>TEXT(TIME('Merged raw data'!F723,0,0),"h AM/PM")</f>
        <v>10 AM</v>
      </c>
      <c r="I723" s="23" t="str">
        <f>IF(OR('Merged raw data'!H723=1,'Merged raw data'!H723=2,'Merged raw data'!H723=3,'Merged raw data'!H723=4,'Merged raw data'!H723=5),"weekday","weekend")</f>
        <v>weekday</v>
      </c>
      <c r="J723" s="23" t="s">
        <v>23</v>
      </c>
      <c r="K723" s="23" t="str">
        <f>IF('Merged raw data'!I723=1,"Clear",IF('Merged raw data'!I723=2,"Mist",IF('Merged raw data'!I723=3,"Rain",IF('Merged raw data'!I723=4,"Storm","NA"))))</f>
        <v>Mist</v>
      </c>
      <c r="L723" s="24">
        <v>1</v>
      </c>
      <c r="M723" s="24">
        <v>0.23</v>
      </c>
      <c r="N723" s="21">
        <f>'Merged raw data'!$J723*100</f>
        <v>22</v>
      </c>
      <c r="O723" s="21">
        <v>2</v>
      </c>
      <c r="P723" s="21">
        <v>59</v>
      </c>
      <c r="Q723" s="21">
        <v>61</v>
      </c>
      <c r="R723" s="21" t="str">
        <f>IF(Q723&gt;=outliers!I725,"High",IF(Q723&lt;=outliers!I724,"Low","Moderate"))</f>
        <v>High</v>
      </c>
      <c r="S723" s="8" t="str">
        <f>IF(OR(Q723&lt;outliers!$I$6,Q723&gt;outliers!$I$7),"Outlier","Normal")</f>
        <v>Normal</v>
      </c>
      <c r="T723" s="8" t="str">
        <f>IF(OR(L723&lt;outliers!$J$6,L723&gt;outliers!$J$7),"Outlier","Normal")</f>
        <v>Normal</v>
      </c>
      <c r="U723" s="8" t="str">
        <f>IF(OR(M723&lt;outliers!$K$6,M723&gt;outliers!$K$7),"Outlier","Normal")</f>
        <v>Normal</v>
      </c>
    </row>
    <row r="724" spans="1:21">
      <c r="A724" s="21">
        <v>723</v>
      </c>
      <c r="B724" s="68">
        <v>40576</v>
      </c>
      <c r="C724" s="22" t="b">
        <v>0</v>
      </c>
      <c r="D724" s="21" t="str">
        <f t="shared" si="11"/>
        <v>Wednesday</v>
      </c>
      <c r="E724" s="23">
        <v>0.2273</v>
      </c>
      <c r="F724" s="23">
        <f>YEAR('Merged raw data'!$B724)</f>
        <v>2011</v>
      </c>
      <c r="G724" s="23" t="str">
        <f>TEXT('Merged raw data'!$B724,"mmmm")</f>
        <v>February</v>
      </c>
      <c r="H724" s="37" t="str">
        <f>TEXT(TIME('Merged raw data'!F724,0,0),"h AM/PM")</f>
        <v>11 AM</v>
      </c>
      <c r="I724" s="23" t="str">
        <f>IF(OR('Merged raw data'!H724=1,'Merged raw data'!H724=2,'Merged raw data'!H724=3,'Merged raw data'!H724=4,'Merged raw data'!H724=5),"weekday","weekend")</f>
        <v>weekday</v>
      </c>
      <c r="J724" s="23" t="s">
        <v>23</v>
      </c>
      <c r="K724" s="23" t="str">
        <f>IF('Merged raw data'!I724=1,"Clear",IF('Merged raw data'!I724=2,"Mist",IF('Merged raw data'!I724=3,"Rain",IF('Merged raw data'!I724=4,"Storm","NA"))))</f>
        <v>Mist</v>
      </c>
      <c r="L724" s="24">
        <v>0.93</v>
      </c>
      <c r="M724" s="24">
        <v>0.19400000000000001</v>
      </c>
      <c r="N724" s="21">
        <f>'Merged raw data'!$J724*100</f>
        <v>24</v>
      </c>
      <c r="O724" s="21">
        <v>5</v>
      </c>
      <c r="P724" s="21">
        <v>47</v>
      </c>
      <c r="Q724" s="21">
        <v>52</v>
      </c>
      <c r="R724" s="21" t="str">
        <f>IF(Q724&gt;=outliers!I726,"High",IF(Q724&lt;=outliers!I725,"Low","Moderate"))</f>
        <v>High</v>
      </c>
      <c r="S724" s="8" t="str">
        <f>IF(OR(Q724&lt;outliers!$I$6,Q724&gt;outliers!$I$7),"Outlier","Normal")</f>
        <v>Normal</v>
      </c>
      <c r="T724" s="8" t="str">
        <f>IF(OR(L724&lt;outliers!$J$6,L724&gt;outliers!$J$7),"Outlier","Normal")</f>
        <v>Normal</v>
      </c>
      <c r="U724" s="8" t="str">
        <f>IF(OR(M724&lt;outliers!$K$6,M724&gt;outliers!$K$7),"Outlier","Normal")</f>
        <v>Normal</v>
      </c>
    </row>
    <row r="725" spans="1:21">
      <c r="A725" s="21">
        <v>724</v>
      </c>
      <c r="B725" s="68">
        <v>40576</v>
      </c>
      <c r="C725" s="22" t="b">
        <v>0</v>
      </c>
      <c r="D725" s="21" t="str">
        <f t="shared" si="11"/>
        <v>Wednesday</v>
      </c>
      <c r="E725" s="23">
        <v>0.2273</v>
      </c>
      <c r="F725" s="23">
        <f>YEAR('Merged raw data'!$B725)</f>
        <v>2011</v>
      </c>
      <c r="G725" s="23" t="str">
        <f>TEXT('Merged raw data'!$B725,"mmmm")</f>
        <v>February</v>
      </c>
      <c r="H725" s="37" t="str">
        <f>TEXT(TIME('Merged raw data'!F725,0,0),"h AM/PM")</f>
        <v>12 PM</v>
      </c>
      <c r="I725" s="23" t="str">
        <f>IF(OR('Merged raw data'!H725=1,'Merged raw data'!H725=2,'Merged raw data'!H725=3,'Merged raw data'!H725=4,'Merged raw data'!H725=5),"weekday","weekend")</f>
        <v>weekday</v>
      </c>
      <c r="J725" s="23" t="s">
        <v>23</v>
      </c>
      <c r="K725" s="23" t="str">
        <f>IF('Merged raw data'!I725=1,"Clear",IF('Merged raw data'!I725=2,"Mist",IF('Merged raw data'!I725=3,"Rain",IF('Merged raw data'!I725=4,"Storm","NA"))))</f>
        <v>Mist</v>
      </c>
      <c r="L725" s="24">
        <v>0.93</v>
      </c>
      <c r="M725" s="24">
        <v>0.22389999999999999</v>
      </c>
      <c r="N725" s="21">
        <f>'Merged raw data'!$J725*100</f>
        <v>24</v>
      </c>
      <c r="O725" s="21">
        <v>3</v>
      </c>
      <c r="P725" s="21">
        <v>61</v>
      </c>
      <c r="Q725" s="21">
        <v>64</v>
      </c>
      <c r="R725" s="21" t="str">
        <f>IF(Q725&gt;=outliers!I727,"High",IF(Q725&lt;=outliers!I726,"Low","Moderate"))</f>
        <v>High</v>
      </c>
      <c r="S725" s="8" t="str">
        <f>IF(OR(Q725&lt;outliers!$I$6,Q725&gt;outliers!$I$7),"Outlier","Normal")</f>
        <v>Normal</v>
      </c>
      <c r="T725" s="8" t="str">
        <f>IF(OR(L725&lt;outliers!$J$6,L725&gt;outliers!$J$7),"Outlier","Normal")</f>
        <v>Normal</v>
      </c>
      <c r="U725" s="8" t="str">
        <f>IF(OR(M725&lt;outliers!$K$6,M725&gt;outliers!$K$7),"Outlier","Normal")</f>
        <v>Normal</v>
      </c>
    </row>
    <row r="726" spans="1:21">
      <c r="A726" s="21">
        <v>725</v>
      </c>
      <c r="B726" s="68">
        <v>40576</v>
      </c>
      <c r="C726" s="22" t="b">
        <v>0</v>
      </c>
      <c r="D726" s="21" t="str">
        <f t="shared" si="11"/>
        <v>Wednesday</v>
      </c>
      <c r="E726" s="23">
        <v>0.33329999999999999</v>
      </c>
      <c r="F726" s="23">
        <f>YEAR('Merged raw data'!$B726)</f>
        <v>2011</v>
      </c>
      <c r="G726" s="23" t="str">
        <f>TEXT('Merged raw data'!$B726,"mmmm")</f>
        <v>February</v>
      </c>
      <c r="H726" s="37" t="str">
        <f>TEXT(TIME('Merged raw data'!F726,0,0),"h AM/PM")</f>
        <v>1 PM</v>
      </c>
      <c r="I726" s="23" t="str">
        <f>IF(OR('Merged raw data'!H726=1,'Merged raw data'!H726=2,'Merged raw data'!H726=3,'Merged raw data'!H726=4,'Merged raw data'!H726=5),"weekday","weekend")</f>
        <v>weekday</v>
      </c>
      <c r="J726" s="23" t="s">
        <v>23</v>
      </c>
      <c r="K726" s="23" t="str">
        <f>IF('Merged raw data'!I726=1,"Clear",IF('Merged raw data'!I726=2,"Mist",IF('Merged raw data'!I726=3,"Rain",IF('Merged raw data'!I726=4,"Storm","NA"))))</f>
        <v>Clear</v>
      </c>
      <c r="L726" s="24">
        <v>0.93</v>
      </c>
      <c r="M726" s="24">
        <v>0.16420000000000001</v>
      </c>
      <c r="N726" s="21">
        <f>'Merged raw data'!$J726*100</f>
        <v>34</v>
      </c>
      <c r="O726" s="21">
        <v>1</v>
      </c>
      <c r="P726" s="21">
        <v>74</v>
      </c>
      <c r="Q726" s="21">
        <v>75</v>
      </c>
      <c r="R726" s="21" t="str">
        <f>IF(Q726&gt;=outliers!I728,"High",IF(Q726&lt;=outliers!I727,"Low","Moderate"))</f>
        <v>High</v>
      </c>
      <c r="S726" s="8" t="str">
        <f>IF(OR(Q726&lt;outliers!$I$6,Q726&gt;outliers!$I$7),"Outlier","Normal")</f>
        <v>Normal</v>
      </c>
      <c r="T726" s="8" t="str">
        <f>IF(OR(L726&lt;outliers!$J$6,L726&gt;outliers!$J$7),"Outlier","Normal")</f>
        <v>Normal</v>
      </c>
      <c r="U726" s="8" t="str">
        <f>IF(OR(M726&lt;outliers!$K$6,M726&gt;outliers!$K$7),"Outlier","Normal")</f>
        <v>Normal</v>
      </c>
    </row>
    <row r="727" spans="1:21">
      <c r="A727" s="21">
        <v>726</v>
      </c>
      <c r="B727" s="68">
        <v>40576</v>
      </c>
      <c r="C727" s="22" t="b">
        <v>0</v>
      </c>
      <c r="D727" s="21" t="str">
        <f t="shared" si="11"/>
        <v>Wednesday</v>
      </c>
      <c r="E727" s="23">
        <v>0.39389999999999997</v>
      </c>
      <c r="F727" s="23">
        <f>YEAR('Merged raw data'!$B727)</f>
        <v>2011</v>
      </c>
      <c r="G727" s="23" t="str">
        <f>TEXT('Merged raw data'!$B727,"mmmm")</f>
        <v>February</v>
      </c>
      <c r="H727" s="37" t="str">
        <f>TEXT(TIME('Merged raw data'!F727,0,0),"h AM/PM")</f>
        <v>2 PM</v>
      </c>
      <c r="I727" s="23" t="str">
        <f>IF(OR('Merged raw data'!H727=1,'Merged raw data'!H727=2,'Merged raw data'!H727=3,'Merged raw data'!H727=4,'Merged raw data'!H727=5),"weekday","weekend")</f>
        <v>weekday</v>
      </c>
      <c r="J727" s="23" t="s">
        <v>23</v>
      </c>
      <c r="K727" s="23" t="str">
        <f>IF('Merged raw data'!I727=1,"Clear",IF('Merged raw data'!I727=2,"Mist",IF('Merged raw data'!I727=3,"Rain",IF('Merged raw data'!I727=4,"Storm","NA"))))</f>
        <v>Clear</v>
      </c>
      <c r="L727" s="24">
        <v>0.82</v>
      </c>
      <c r="M727" s="24">
        <v>0.3881</v>
      </c>
      <c r="N727" s="21">
        <f>'Merged raw data'!$J727*100</f>
        <v>38</v>
      </c>
      <c r="O727" s="21">
        <v>2</v>
      </c>
      <c r="P727" s="21">
        <v>61</v>
      </c>
      <c r="Q727" s="21">
        <v>63</v>
      </c>
      <c r="R727" s="21" t="str">
        <f>IF(Q727&gt;=outliers!I729,"High",IF(Q727&lt;=outliers!I728,"Low","Moderate"))</f>
        <v>High</v>
      </c>
      <c r="S727" s="8" t="str">
        <f>IF(OR(Q727&lt;outliers!$I$6,Q727&gt;outliers!$I$7),"Outlier","Normal")</f>
        <v>Normal</v>
      </c>
      <c r="T727" s="8" t="str">
        <f>IF(OR(L727&lt;outliers!$J$6,L727&gt;outliers!$J$7),"Outlier","Normal")</f>
        <v>Normal</v>
      </c>
      <c r="U727" s="8" t="str">
        <f>IF(OR(M727&lt;outliers!$K$6,M727&gt;outliers!$K$7),"Outlier","Normal")</f>
        <v>Normal</v>
      </c>
    </row>
    <row r="728" spans="1:21">
      <c r="A728" s="21">
        <v>727</v>
      </c>
      <c r="B728" s="68">
        <v>40576</v>
      </c>
      <c r="C728" s="22" t="b">
        <v>0</v>
      </c>
      <c r="D728" s="21" t="str">
        <f t="shared" si="11"/>
        <v>Wednesday</v>
      </c>
      <c r="E728" s="23">
        <v>0.39389999999999997</v>
      </c>
      <c r="F728" s="23">
        <f>YEAR('Merged raw data'!$B728)</f>
        <v>2011</v>
      </c>
      <c r="G728" s="23" t="str">
        <f>TEXT('Merged raw data'!$B728,"mmmm")</f>
        <v>February</v>
      </c>
      <c r="H728" s="37" t="str">
        <f>TEXT(TIME('Merged raw data'!F728,0,0),"h AM/PM")</f>
        <v>3 PM</v>
      </c>
      <c r="I728" s="23" t="str">
        <f>IF(OR('Merged raw data'!H728=1,'Merged raw data'!H728=2,'Merged raw data'!H728=3,'Merged raw data'!H728=4,'Merged raw data'!H728=5),"weekday","weekend")</f>
        <v>weekday</v>
      </c>
      <c r="J728" s="23" t="s">
        <v>23</v>
      </c>
      <c r="K728" s="23" t="str">
        <f>IF('Merged raw data'!I728=1,"Clear",IF('Merged raw data'!I728=2,"Mist",IF('Merged raw data'!I728=3,"Rain",IF('Merged raw data'!I728=4,"Storm","NA"))))</f>
        <v>Clear</v>
      </c>
      <c r="L728" s="24">
        <v>0.76</v>
      </c>
      <c r="M728" s="24">
        <v>0.32840000000000003</v>
      </c>
      <c r="N728" s="21">
        <f>'Merged raw data'!$J728*100</f>
        <v>38</v>
      </c>
      <c r="O728" s="21">
        <v>10</v>
      </c>
      <c r="P728" s="21">
        <v>66</v>
      </c>
      <c r="Q728" s="21">
        <v>76</v>
      </c>
      <c r="R728" s="21" t="str">
        <f>IF(Q728&gt;=outliers!I730,"High",IF(Q728&lt;=outliers!I729,"Low","Moderate"))</f>
        <v>High</v>
      </c>
      <c r="S728" s="8" t="str">
        <f>IF(OR(Q728&lt;outliers!$I$6,Q728&gt;outliers!$I$7),"Outlier","Normal")</f>
        <v>Normal</v>
      </c>
      <c r="T728" s="8" t="str">
        <f>IF(OR(L728&lt;outliers!$J$6,L728&gt;outliers!$J$7),"Outlier","Normal")</f>
        <v>Normal</v>
      </c>
      <c r="U728" s="8" t="str">
        <f>IF(OR(M728&lt;outliers!$K$6,M728&gt;outliers!$K$7),"Outlier","Normal")</f>
        <v>Normal</v>
      </c>
    </row>
    <row r="729" spans="1:21">
      <c r="A729" s="21">
        <v>728</v>
      </c>
      <c r="B729" s="68">
        <v>40576</v>
      </c>
      <c r="C729" s="22" t="b">
        <v>0</v>
      </c>
      <c r="D729" s="21" t="str">
        <f t="shared" si="11"/>
        <v>Wednesday</v>
      </c>
      <c r="E729" s="23">
        <v>0.33329999999999999</v>
      </c>
      <c r="F729" s="23">
        <f>YEAR('Merged raw data'!$B729)</f>
        <v>2011</v>
      </c>
      <c r="G729" s="23" t="str">
        <f>TEXT('Merged raw data'!$B729,"mmmm")</f>
        <v>February</v>
      </c>
      <c r="H729" s="37" t="str">
        <f>TEXT(TIME('Merged raw data'!F729,0,0),"h AM/PM")</f>
        <v>4 PM</v>
      </c>
      <c r="I729" s="23" t="str">
        <f>IF(OR('Merged raw data'!H729=1,'Merged raw data'!H729=2,'Merged raw data'!H729=3,'Merged raw data'!H729=4,'Merged raw data'!H729=5),"weekday","weekend")</f>
        <v>weekday</v>
      </c>
      <c r="J729" s="23" t="s">
        <v>23</v>
      </c>
      <c r="K729" s="23" t="str">
        <f>IF('Merged raw data'!I729=1,"Clear",IF('Merged raw data'!I729=2,"Mist",IF('Merged raw data'!I729=3,"Rain",IF('Merged raw data'!I729=4,"Storm","NA"))))</f>
        <v>Clear</v>
      </c>
      <c r="L729" s="24">
        <v>0.71</v>
      </c>
      <c r="M729" s="24">
        <v>0.29849999999999999</v>
      </c>
      <c r="N729" s="21">
        <f>'Merged raw data'!$J729*100</f>
        <v>36</v>
      </c>
      <c r="O729" s="21">
        <v>8</v>
      </c>
      <c r="P729" s="21">
        <v>95</v>
      </c>
      <c r="Q729" s="21">
        <v>103</v>
      </c>
      <c r="R729" s="21" t="str">
        <f>IF(Q729&gt;=outliers!I731,"High",IF(Q729&lt;=outliers!I730,"Low","Moderate"))</f>
        <v>High</v>
      </c>
      <c r="S729" s="8" t="str">
        <f>IF(OR(Q729&lt;outliers!$I$6,Q729&gt;outliers!$I$7),"Outlier","Normal")</f>
        <v>Normal</v>
      </c>
      <c r="T729" s="8" t="str">
        <f>IF(OR(L729&lt;outliers!$J$6,L729&gt;outliers!$J$7),"Outlier","Normal")</f>
        <v>Normal</v>
      </c>
      <c r="U729" s="8" t="str">
        <f>IF(OR(M729&lt;outliers!$K$6,M729&gt;outliers!$K$7),"Outlier","Normal")</f>
        <v>Normal</v>
      </c>
    </row>
    <row r="730" spans="1:21">
      <c r="A730" s="21">
        <v>729</v>
      </c>
      <c r="B730" s="68">
        <v>40576</v>
      </c>
      <c r="C730" s="22" t="b">
        <v>0</v>
      </c>
      <c r="D730" s="21" t="str">
        <f t="shared" si="11"/>
        <v>Wednesday</v>
      </c>
      <c r="E730" s="23">
        <v>0.31819999999999998</v>
      </c>
      <c r="F730" s="23">
        <f>YEAR('Merged raw data'!$B730)</f>
        <v>2011</v>
      </c>
      <c r="G730" s="23" t="str">
        <f>TEXT('Merged raw data'!$B730,"mmmm")</f>
        <v>February</v>
      </c>
      <c r="H730" s="37" t="str">
        <f>TEXT(TIME('Merged raw data'!F730,0,0),"h AM/PM")</f>
        <v>5 PM</v>
      </c>
      <c r="I730" s="23" t="str">
        <f>IF(OR('Merged raw data'!H730=1,'Merged raw data'!H730=2,'Merged raw data'!H730=3,'Merged raw data'!H730=4,'Merged raw data'!H730=5),"weekday","weekend")</f>
        <v>weekday</v>
      </c>
      <c r="J730" s="23" t="s">
        <v>23</v>
      </c>
      <c r="K730" s="23" t="str">
        <f>IF('Merged raw data'!I730=1,"Clear",IF('Merged raw data'!I730=2,"Mist",IF('Merged raw data'!I730=3,"Rain",IF('Merged raw data'!I730=4,"Storm","NA"))))</f>
        <v>Clear</v>
      </c>
      <c r="L730" s="24">
        <v>0.53</v>
      </c>
      <c r="M730" s="24">
        <v>0.52239999999999998</v>
      </c>
      <c r="N730" s="21">
        <f>'Merged raw data'!$J730*100</f>
        <v>36</v>
      </c>
      <c r="O730" s="21">
        <v>7</v>
      </c>
      <c r="P730" s="21">
        <v>183</v>
      </c>
      <c r="Q730" s="21">
        <v>190</v>
      </c>
      <c r="R730" s="21" t="str">
        <f>IF(Q730&gt;=outliers!I732,"High",IF(Q730&lt;=outliers!I731,"Low","Moderate"))</f>
        <v>High</v>
      </c>
      <c r="S730" s="8" t="str">
        <f>IF(OR(Q730&lt;outliers!$I$6,Q730&gt;outliers!$I$7),"Outlier","Normal")</f>
        <v>Outlier</v>
      </c>
      <c r="T730" s="8" t="str">
        <f>IF(OR(L730&lt;outliers!$J$6,L730&gt;outliers!$J$7),"Outlier","Normal")</f>
        <v>Normal</v>
      </c>
      <c r="U730" s="8" t="str">
        <f>IF(OR(M730&lt;outliers!$K$6,M730&gt;outliers!$K$7),"Outlier","Normal")</f>
        <v>Outlier</v>
      </c>
    </row>
    <row r="731" spans="1:21">
      <c r="A731" s="21">
        <v>730</v>
      </c>
      <c r="B731" s="68">
        <v>40576</v>
      </c>
      <c r="C731" s="22" t="b">
        <v>0</v>
      </c>
      <c r="D731" s="21" t="str">
        <f t="shared" si="11"/>
        <v>Wednesday</v>
      </c>
      <c r="E731" s="23">
        <v>0.28789999999999999</v>
      </c>
      <c r="F731" s="23">
        <f>YEAR('Merged raw data'!$B731)</f>
        <v>2011</v>
      </c>
      <c r="G731" s="23" t="str">
        <f>TEXT('Merged raw data'!$B731,"mmmm")</f>
        <v>February</v>
      </c>
      <c r="H731" s="37" t="str">
        <f>TEXT(TIME('Merged raw data'!F731,0,0),"h AM/PM")</f>
        <v>6 PM</v>
      </c>
      <c r="I731" s="23" t="str">
        <f>IF(OR('Merged raw data'!H731=1,'Merged raw data'!H731=2,'Merged raw data'!H731=3,'Merged raw data'!H731=4,'Merged raw data'!H731=5),"weekday","weekend")</f>
        <v>weekday</v>
      </c>
      <c r="J731" s="23" t="s">
        <v>23</v>
      </c>
      <c r="K731" s="23" t="str">
        <f>IF('Merged raw data'!I731=1,"Clear",IF('Merged raw data'!I731=2,"Mist",IF('Merged raw data'!I731=3,"Rain",IF('Merged raw data'!I731=4,"Storm","NA"))))</f>
        <v>Clear</v>
      </c>
      <c r="L731" s="24">
        <v>0.42</v>
      </c>
      <c r="M731" s="24">
        <v>0.55220000000000002</v>
      </c>
      <c r="N731" s="21">
        <f>'Merged raw data'!$J731*100</f>
        <v>34</v>
      </c>
      <c r="O731" s="21">
        <v>7</v>
      </c>
      <c r="P731" s="21">
        <v>175</v>
      </c>
      <c r="Q731" s="21">
        <v>182</v>
      </c>
      <c r="R731" s="21" t="str">
        <f>IF(Q731&gt;=outliers!I733,"High",IF(Q731&lt;=outliers!I732,"Low","Moderate"))</f>
        <v>High</v>
      </c>
      <c r="S731" s="8" t="str">
        <f>IF(OR(Q731&lt;outliers!$I$6,Q731&gt;outliers!$I$7),"Outlier","Normal")</f>
        <v>Normal</v>
      </c>
      <c r="T731" s="8" t="str">
        <f>IF(OR(L731&lt;outliers!$J$6,L731&gt;outliers!$J$7),"Outlier","Normal")</f>
        <v>Normal</v>
      </c>
      <c r="U731" s="8" t="str">
        <f>IF(OR(M731&lt;outliers!$K$6,M731&gt;outliers!$K$7),"Outlier","Normal")</f>
        <v>Outlier</v>
      </c>
    </row>
    <row r="732" spans="1:21">
      <c r="A732" s="21">
        <v>731</v>
      </c>
      <c r="B732" s="68">
        <v>40576</v>
      </c>
      <c r="C732" s="22" t="b">
        <v>0</v>
      </c>
      <c r="D732" s="21" t="str">
        <f t="shared" si="11"/>
        <v>Wednesday</v>
      </c>
      <c r="E732" s="23">
        <v>0.2424</v>
      </c>
      <c r="F732" s="23">
        <f>YEAR('Merged raw data'!$B732)</f>
        <v>2011</v>
      </c>
      <c r="G732" s="23" t="str">
        <f>TEXT('Merged raw data'!$B732,"mmmm")</f>
        <v>February</v>
      </c>
      <c r="H732" s="37" t="str">
        <f>TEXT(TIME('Merged raw data'!F732,0,0),"h AM/PM")</f>
        <v>7 PM</v>
      </c>
      <c r="I732" s="23" t="str">
        <f>IF(OR('Merged raw data'!H732=1,'Merged raw data'!H732=2,'Merged raw data'!H732=3,'Merged raw data'!H732=4,'Merged raw data'!H732=5),"weekday","weekend")</f>
        <v>weekday</v>
      </c>
      <c r="J732" s="23" t="s">
        <v>23</v>
      </c>
      <c r="K732" s="23" t="str">
        <f>IF('Merged raw data'!I732=1,"Clear",IF('Merged raw data'!I732=2,"Mist",IF('Merged raw data'!I732=3,"Rain",IF('Merged raw data'!I732=4,"Storm","NA"))))</f>
        <v>Clear</v>
      </c>
      <c r="L732" s="24">
        <v>0.45</v>
      </c>
      <c r="M732" s="24">
        <v>0.49249999999999999</v>
      </c>
      <c r="N732" s="21">
        <f>'Merged raw data'!$J732*100</f>
        <v>28.000000000000004</v>
      </c>
      <c r="O732" s="21">
        <v>3</v>
      </c>
      <c r="P732" s="21">
        <v>88</v>
      </c>
      <c r="Q732" s="21">
        <v>91</v>
      </c>
      <c r="R732" s="21" t="str">
        <f>IF(Q732&gt;=outliers!I734,"High",IF(Q732&lt;=outliers!I733,"Low","Moderate"))</f>
        <v>High</v>
      </c>
      <c r="S732" s="8" t="str">
        <f>IF(OR(Q732&lt;outliers!$I$6,Q732&gt;outliers!$I$7),"Outlier","Normal")</f>
        <v>Normal</v>
      </c>
      <c r="T732" s="8" t="str">
        <f>IF(OR(L732&lt;outliers!$J$6,L732&gt;outliers!$J$7),"Outlier","Normal")</f>
        <v>Normal</v>
      </c>
      <c r="U732" s="8" t="str">
        <f>IF(OR(M732&lt;outliers!$K$6,M732&gt;outliers!$K$7),"Outlier","Normal")</f>
        <v>Normal</v>
      </c>
    </row>
    <row r="733" spans="1:21">
      <c r="A733" s="21">
        <v>732</v>
      </c>
      <c r="B733" s="68">
        <v>40576</v>
      </c>
      <c r="C733" s="22" t="b">
        <v>0</v>
      </c>
      <c r="D733" s="21" t="str">
        <f t="shared" si="11"/>
        <v>Wednesday</v>
      </c>
      <c r="E733" s="23">
        <v>0.19700000000000001</v>
      </c>
      <c r="F733" s="23">
        <f>YEAR('Merged raw data'!$B733)</f>
        <v>2011</v>
      </c>
      <c r="G733" s="23" t="str">
        <f>TEXT('Merged raw data'!$B733,"mmmm")</f>
        <v>February</v>
      </c>
      <c r="H733" s="37" t="str">
        <f>TEXT(TIME('Merged raw data'!F733,0,0),"h AM/PM")</f>
        <v>8 PM</v>
      </c>
      <c r="I733" s="23" t="str">
        <f>IF(OR('Merged raw data'!H733=1,'Merged raw data'!H733=2,'Merged raw data'!H733=3,'Merged raw data'!H733=4,'Merged raw data'!H733=5),"weekday","weekend")</f>
        <v>weekday</v>
      </c>
      <c r="J733" s="23" t="s">
        <v>23</v>
      </c>
      <c r="K733" s="23" t="str">
        <f>IF('Merged raw data'!I733=1,"Clear",IF('Merged raw data'!I733=2,"Mist",IF('Merged raw data'!I733=3,"Rain",IF('Merged raw data'!I733=4,"Storm","NA"))))</f>
        <v>Clear</v>
      </c>
      <c r="L733" s="24">
        <v>0.48</v>
      </c>
      <c r="M733" s="24">
        <v>0.55220000000000002</v>
      </c>
      <c r="N733" s="21">
        <f>'Merged raw data'!$J733*100</f>
        <v>24</v>
      </c>
      <c r="O733" s="21">
        <v>4</v>
      </c>
      <c r="P733" s="21">
        <v>71</v>
      </c>
      <c r="Q733" s="21">
        <v>75</v>
      </c>
      <c r="R733" s="21" t="str">
        <f>IF(Q733&gt;=outliers!I735,"High",IF(Q733&lt;=outliers!I734,"Low","Moderate"))</f>
        <v>High</v>
      </c>
      <c r="S733" s="8" t="str">
        <f>IF(OR(Q733&lt;outliers!$I$6,Q733&gt;outliers!$I$7),"Outlier","Normal")</f>
        <v>Normal</v>
      </c>
      <c r="T733" s="8" t="str">
        <f>IF(OR(L733&lt;outliers!$J$6,L733&gt;outliers!$J$7),"Outlier","Normal")</f>
        <v>Normal</v>
      </c>
      <c r="U733" s="8" t="str">
        <f>IF(OR(M733&lt;outliers!$K$6,M733&gt;outliers!$K$7),"Outlier","Normal")</f>
        <v>Outlier</v>
      </c>
    </row>
    <row r="734" spans="1:21">
      <c r="A734" s="21">
        <v>733</v>
      </c>
      <c r="B734" s="68">
        <v>40576</v>
      </c>
      <c r="C734" s="22" t="b">
        <v>0</v>
      </c>
      <c r="D734" s="21" t="str">
        <f t="shared" si="11"/>
        <v>Wednesday</v>
      </c>
      <c r="E734" s="23">
        <v>0.19700000000000001</v>
      </c>
      <c r="F734" s="23">
        <f>YEAR('Merged raw data'!$B734)</f>
        <v>2011</v>
      </c>
      <c r="G734" s="23" t="str">
        <f>TEXT('Merged raw data'!$B734,"mmmm")</f>
        <v>February</v>
      </c>
      <c r="H734" s="37" t="str">
        <f>TEXT(TIME('Merged raw data'!F734,0,0),"h AM/PM")</f>
        <v>9 PM</v>
      </c>
      <c r="I734" s="23" t="str">
        <f>IF(OR('Merged raw data'!H734=1,'Merged raw data'!H734=2,'Merged raw data'!H734=3,'Merged raw data'!H734=4,'Merged raw data'!H734=5),"weekday","weekend")</f>
        <v>weekday</v>
      </c>
      <c r="J734" s="23" t="s">
        <v>23</v>
      </c>
      <c r="K734" s="23" t="str">
        <f>IF('Merged raw data'!I734=1,"Clear",IF('Merged raw data'!I734=2,"Mist",IF('Merged raw data'!I734=3,"Rain",IF('Merged raw data'!I734=4,"Storm","NA"))))</f>
        <v>Clear</v>
      </c>
      <c r="L734" s="24">
        <v>0.47</v>
      </c>
      <c r="M734" s="24">
        <v>0.32840000000000003</v>
      </c>
      <c r="N734" s="21">
        <f>'Merged raw data'!$J734*100</f>
        <v>22</v>
      </c>
      <c r="O734" s="21">
        <v>1</v>
      </c>
      <c r="P734" s="21">
        <v>62</v>
      </c>
      <c r="Q734" s="21">
        <v>63</v>
      </c>
      <c r="R734" s="21" t="str">
        <f>IF(Q734&gt;=outliers!I736,"High",IF(Q734&lt;=outliers!I735,"Low","Moderate"))</f>
        <v>High</v>
      </c>
      <c r="S734" s="8" t="str">
        <f>IF(OR(Q734&lt;outliers!$I$6,Q734&gt;outliers!$I$7),"Outlier","Normal")</f>
        <v>Normal</v>
      </c>
      <c r="T734" s="8" t="str">
        <f>IF(OR(L734&lt;outliers!$J$6,L734&gt;outliers!$J$7),"Outlier","Normal")</f>
        <v>Normal</v>
      </c>
      <c r="U734" s="8" t="str">
        <f>IF(OR(M734&lt;outliers!$K$6,M734&gt;outliers!$K$7),"Outlier","Normal")</f>
        <v>Normal</v>
      </c>
    </row>
    <row r="735" spans="1:21">
      <c r="A735" s="21">
        <v>734</v>
      </c>
      <c r="B735" s="68">
        <v>40576</v>
      </c>
      <c r="C735" s="22" t="b">
        <v>0</v>
      </c>
      <c r="D735" s="21" t="str">
        <f t="shared" si="11"/>
        <v>Wednesday</v>
      </c>
      <c r="E735" s="23">
        <v>0.21210000000000001</v>
      </c>
      <c r="F735" s="23">
        <f>YEAR('Merged raw data'!$B735)</f>
        <v>2011</v>
      </c>
      <c r="G735" s="23" t="str">
        <f>TEXT('Merged raw data'!$B735,"mmmm")</f>
        <v>February</v>
      </c>
      <c r="H735" s="37" t="str">
        <f>TEXT(TIME('Merged raw data'!F735,0,0),"h AM/PM")</f>
        <v>10 PM</v>
      </c>
      <c r="I735" s="23" t="str">
        <f>IF(OR('Merged raw data'!H735=1,'Merged raw data'!H735=2,'Merged raw data'!H735=3,'Merged raw data'!H735=4,'Merged raw data'!H735=5),"weekday","weekend")</f>
        <v>weekday</v>
      </c>
      <c r="J735" s="23" t="s">
        <v>23</v>
      </c>
      <c r="K735" s="23" t="str">
        <f>IF('Merged raw data'!I735=1,"Clear",IF('Merged raw data'!I735=2,"Mist",IF('Merged raw data'!I735=3,"Rain",IF('Merged raw data'!I735=4,"Storm","NA"))))</f>
        <v>Clear</v>
      </c>
      <c r="L735" s="24">
        <v>0.44</v>
      </c>
      <c r="M735" s="24">
        <v>0.25369999999999998</v>
      </c>
      <c r="N735" s="21">
        <f>'Merged raw data'!$J735*100</f>
        <v>22</v>
      </c>
      <c r="O735" s="21">
        <v>5</v>
      </c>
      <c r="P735" s="21">
        <v>35</v>
      </c>
      <c r="Q735" s="21">
        <v>40</v>
      </c>
      <c r="R735" s="21" t="str">
        <f>IF(Q735&gt;=outliers!I737,"High",IF(Q735&lt;=outliers!I736,"Low","Moderate"))</f>
        <v>High</v>
      </c>
      <c r="S735" s="8" t="str">
        <f>IF(OR(Q735&lt;outliers!$I$6,Q735&gt;outliers!$I$7),"Outlier","Normal")</f>
        <v>Normal</v>
      </c>
      <c r="T735" s="8" t="str">
        <f>IF(OR(L735&lt;outliers!$J$6,L735&gt;outliers!$J$7),"Outlier","Normal")</f>
        <v>Normal</v>
      </c>
      <c r="U735" s="8" t="str">
        <f>IF(OR(M735&lt;outliers!$K$6,M735&gt;outliers!$K$7),"Outlier","Normal")</f>
        <v>Normal</v>
      </c>
    </row>
    <row r="736" spans="1:21">
      <c r="A736" s="21">
        <v>735</v>
      </c>
      <c r="B736" s="68">
        <v>40576</v>
      </c>
      <c r="C736" s="22" t="b">
        <v>0</v>
      </c>
      <c r="D736" s="21" t="str">
        <f t="shared" si="11"/>
        <v>Wednesday</v>
      </c>
      <c r="E736" s="23">
        <v>0.16669999999999999</v>
      </c>
      <c r="F736" s="23">
        <f>YEAR('Merged raw data'!$B736)</f>
        <v>2011</v>
      </c>
      <c r="G736" s="23" t="str">
        <f>TEXT('Merged raw data'!$B736,"mmmm")</f>
        <v>February</v>
      </c>
      <c r="H736" s="37" t="str">
        <f>TEXT(TIME('Merged raw data'!F736,0,0),"h AM/PM")</f>
        <v>11 PM</v>
      </c>
      <c r="I736" s="23" t="str">
        <f>IF(OR('Merged raw data'!H736=1,'Merged raw data'!H736=2,'Merged raw data'!H736=3,'Merged raw data'!H736=4,'Merged raw data'!H736=5),"weekday","weekend")</f>
        <v>weekday</v>
      </c>
      <c r="J736" s="23" t="s">
        <v>23</v>
      </c>
      <c r="K736" s="23" t="str">
        <f>IF('Merged raw data'!I736=1,"Clear",IF('Merged raw data'!I736=2,"Mist",IF('Merged raw data'!I736=3,"Rain",IF('Merged raw data'!I736=4,"Storm","NA"))))</f>
        <v>Clear</v>
      </c>
      <c r="L736" s="24">
        <v>0.44</v>
      </c>
      <c r="M736" s="24">
        <v>0.44779999999999998</v>
      </c>
      <c r="N736" s="21">
        <f>'Merged raw data'!$J736*100</f>
        <v>20</v>
      </c>
      <c r="O736" s="21">
        <v>3</v>
      </c>
      <c r="P736" s="21">
        <v>29</v>
      </c>
      <c r="Q736" s="21">
        <v>32</v>
      </c>
      <c r="R736" s="21" t="str">
        <f>IF(Q736&gt;=outliers!I738,"High",IF(Q736&lt;=outliers!I737,"Low","Moderate"))</f>
        <v>High</v>
      </c>
      <c r="S736" s="8" t="str">
        <f>IF(OR(Q736&lt;outliers!$I$6,Q736&gt;outliers!$I$7),"Outlier","Normal")</f>
        <v>Normal</v>
      </c>
      <c r="T736" s="8" t="str">
        <f>IF(OR(L736&lt;outliers!$J$6,L736&gt;outliers!$J$7),"Outlier","Normal")</f>
        <v>Normal</v>
      </c>
      <c r="U736" s="8" t="str">
        <f>IF(OR(M736&lt;outliers!$K$6,M736&gt;outliers!$K$7),"Outlier","Normal")</f>
        <v>Normal</v>
      </c>
    </row>
    <row r="737" spans="1:21">
      <c r="A737" s="21">
        <v>736</v>
      </c>
      <c r="B737" s="68">
        <v>40577</v>
      </c>
      <c r="C737" s="22" t="b">
        <v>0</v>
      </c>
      <c r="D737" s="21" t="str">
        <f t="shared" si="11"/>
        <v>Thursday</v>
      </c>
      <c r="E737" s="23">
        <v>0.16669999999999999</v>
      </c>
      <c r="F737" s="23">
        <f>YEAR('Merged raw data'!$B737)</f>
        <v>2011</v>
      </c>
      <c r="G737" s="23" t="str">
        <f>TEXT('Merged raw data'!$B737,"mmmm")</f>
        <v>February</v>
      </c>
      <c r="H737" s="37" t="str">
        <f>TEXT(TIME('Merged raw data'!F737,0,0),"h AM/PM")</f>
        <v>12 AM</v>
      </c>
      <c r="I737" s="23" t="str">
        <f>IF(OR('Merged raw data'!H737=1,'Merged raw data'!H737=2,'Merged raw data'!H737=3,'Merged raw data'!H737=4,'Merged raw data'!H737=5),"weekday","weekend")</f>
        <v>weekday</v>
      </c>
      <c r="J737" s="23" t="s">
        <v>23</v>
      </c>
      <c r="K737" s="23" t="str">
        <f>IF('Merged raw data'!I737=1,"Clear",IF('Merged raw data'!I737=2,"Mist",IF('Merged raw data'!I737=3,"Rain",IF('Merged raw data'!I737=4,"Storm","NA"))))</f>
        <v>Clear</v>
      </c>
      <c r="L737" s="24">
        <v>0.4</v>
      </c>
      <c r="M737" s="24">
        <v>0.44779999999999998</v>
      </c>
      <c r="N737" s="21">
        <f>'Merged raw data'!$J737*100</f>
        <v>20</v>
      </c>
      <c r="O737" s="21">
        <v>1</v>
      </c>
      <c r="P737" s="21">
        <v>11</v>
      </c>
      <c r="Q737" s="21">
        <v>12</v>
      </c>
      <c r="R737" s="21" t="str">
        <f>IF(Q737&gt;=outliers!I739,"High",IF(Q737&lt;=outliers!I738,"Low","Moderate"))</f>
        <v>High</v>
      </c>
      <c r="S737" s="8" t="str">
        <f>IF(OR(Q737&lt;outliers!$I$6,Q737&gt;outliers!$I$7),"Outlier","Normal")</f>
        <v>Normal</v>
      </c>
      <c r="T737" s="8" t="str">
        <f>IF(OR(L737&lt;outliers!$J$6,L737&gt;outliers!$J$7),"Outlier","Normal")</f>
        <v>Normal</v>
      </c>
      <c r="U737" s="8" t="str">
        <f>IF(OR(M737&lt;outliers!$K$6,M737&gt;outliers!$K$7),"Outlier","Normal")</f>
        <v>Normal</v>
      </c>
    </row>
    <row r="738" spans="1:21">
      <c r="A738" s="21">
        <v>737</v>
      </c>
      <c r="B738" s="68">
        <v>40577</v>
      </c>
      <c r="C738" s="22" t="b">
        <v>0</v>
      </c>
      <c r="D738" s="21" t="str">
        <f t="shared" si="11"/>
        <v>Thursday</v>
      </c>
      <c r="E738" s="23">
        <v>0.1515</v>
      </c>
      <c r="F738" s="23">
        <f>YEAR('Merged raw data'!$B738)</f>
        <v>2011</v>
      </c>
      <c r="G738" s="23" t="str">
        <f>TEXT('Merged raw data'!$B738,"mmmm")</f>
        <v>February</v>
      </c>
      <c r="H738" s="37" t="str">
        <f>TEXT(TIME('Merged raw data'!F738,0,0),"h AM/PM")</f>
        <v>1 AM</v>
      </c>
      <c r="I738" s="23" t="str">
        <f>IF(OR('Merged raw data'!H738=1,'Merged raw data'!H738=2,'Merged raw data'!H738=3,'Merged raw data'!H738=4,'Merged raw data'!H738=5),"weekday","weekend")</f>
        <v>weekday</v>
      </c>
      <c r="J738" s="23" t="s">
        <v>23</v>
      </c>
      <c r="K738" s="23" t="str">
        <f>IF('Merged raw data'!I738=1,"Clear",IF('Merged raw data'!I738=2,"Mist",IF('Merged raw data'!I738=3,"Rain",IF('Merged raw data'!I738=4,"Storm","NA"))))</f>
        <v>Clear</v>
      </c>
      <c r="L738" s="24">
        <v>0.44</v>
      </c>
      <c r="M738" s="24">
        <v>0.52239999999999998</v>
      </c>
      <c r="N738" s="21">
        <f>'Merged raw data'!$J738*100</f>
        <v>20</v>
      </c>
      <c r="O738" s="21">
        <v>0</v>
      </c>
      <c r="P738" s="21">
        <v>5</v>
      </c>
      <c r="Q738" s="21">
        <v>5</v>
      </c>
      <c r="R738" s="21" t="str">
        <f>IF(Q738&gt;=outliers!I740,"High",IF(Q738&lt;=outliers!I739,"Low","Moderate"))</f>
        <v>High</v>
      </c>
      <c r="S738" s="8" t="str">
        <f>IF(OR(Q738&lt;outliers!$I$6,Q738&gt;outliers!$I$7),"Outlier","Normal")</f>
        <v>Normal</v>
      </c>
      <c r="T738" s="8" t="str">
        <f>IF(OR(L738&lt;outliers!$J$6,L738&gt;outliers!$J$7),"Outlier","Normal")</f>
        <v>Normal</v>
      </c>
      <c r="U738" s="8" t="str">
        <f>IF(OR(M738&lt;outliers!$K$6,M738&gt;outliers!$K$7),"Outlier","Normal")</f>
        <v>Outlier</v>
      </c>
    </row>
    <row r="739" spans="1:21">
      <c r="A739" s="21">
        <v>738</v>
      </c>
      <c r="B739" s="68">
        <v>40577</v>
      </c>
      <c r="C739" s="22" t="b">
        <v>0</v>
      </c>
      <c r="D739" s="21" t="str">
        <f t="shared" si="11"/>
        <v>Thursday</v>
      </c>
      <c r="E739" s="23">
        <v>0.16669999999999999</v>
      </c>
      <c r="F739" s="23">
        <f>YEAR('Merged raw data'!$B739)</f>
        <v>2011</v>
      </c>
      <c r="G739" s="23" t="str">
        <f>TEXT('Merged raw data'!$B739,"mmmm")</f>
        <v>February</v>
      </c>
      <c r="H739" s="37" t="str">
        <f>TEXT(TIME('Merged raw data'!F739,0,0),"h AM/PM")</f>
        <v>2 AM</v>
      </c>
      <c r="I739" s="23" t="str">
        <f>IF(OR('Merged raw data'!H739=1,'Merged raw data'!H739=2,'Merged raw data'!H739=3,'Merged raw data'!H739=4,'Merged raw data'!H739=5),"weekday","weekend")</f>
        <v>weekday</v>
      </c>
      <c r="J739" s="23" t="s">
        <v>23</v>
      </c>
      <c r="K739" s="23" t="str">
        <f>IF('Merged raw data'!I739=1,"Clear",IF('Merged raw data'!I739=2,"Mist",IF('Merged raw data'!I739=3,"Rain",IF('Merged raw data'!I739=4,"Storm","NA"))))</f>
        <v>Clear</v>
      </c>
      <c r="L739" s="24">
        <v>0.43</v>
      </c>
      <c r="M739" s="24">
        <v>0.25369999999999998</v>
      </c>
      <c r="N739" s="21">
        <f>'Merged raw data'!$J739*100</f>
        <v>18</v>
      </c>
      <c r="O739" s="21">
        <v>0</v>
      </c>
      <c r="P739" s="21">
        <v>2</v>
      </c>
      <c r="Q739" s="21">
        <v>2</v>
      </c>
      <c r="R739" s="21" t="str">
        <f>IF(Q739&gt;=outliers!I741,"High",IF(Q739&lt;=outliers!I740,"Low","Moderate"))</f>
        <v>High</v>
      </c>
      <c r="S739" s="8" t="str">
        <f>IF(OR(Q739&lt;outliers!$I$6,Q739&gt;outliers!$I$7),"Outlier","Normal")</f>
        <v>Normal</v>
      </c>
      <c r="T739" s="8" t="str">
        <f>IF(OR(L739&lt;outliers!$J$6,L739&gt;outliers!$J$7),"Outlier","Normal")</f>
        <v>Normal</v>
      </c>
      <c r="U739" s="8" t="str">
        <f>IF(OR(M739&lt;outliers!$K$6,M739&gt;outliers!$K$7),"Outlier","Normal")</f>
        <v>Normal</v>
      </c>
    </row>
    <row r="740" spans="1:21">
      <c r="A740" s="21">
        <v>739</v>
      </c>
      <c r="B740" s="68">
        <v>40577</v>
      </c>
      <c r="C740" s="22" t="b">
        <v>0</v>
      </c>
      <c r="D740" s="21" t="str">
        <f t="shared" si="11"/>
        <v>Thursday</v>
      </c>
      <c r="E740" s="23">
        <v>0.16669999999999999</v>
      </c>
      <c r="F740" s="23">
        <f>YEAR('Merged raw data'!$B740)</f>
        <v>2011</v>
      </c>
      <c r="G740" s="23" t="str">
        <f>TEXT('Merged raw data'!$B740,"mmmm")</f>
        <v>February</v>
      </c>
      <c r="H740" s="37" t="str">
        <f>TEXT(TIME('Merged raw data'!F740,0,0),"h AM/PM")</f>
        <v>3 AM</v>
      </c>
      <c r="I740" s="23" t="str">
        <f>IF(OR('Merged raw data'!H740=1,'Merged raw data'!H740=2,'Merged raw data'!H740=3,'Merged raw data'!H740=4,'Merged raw data'!H740=5),"weekday","weekend")</f>
        <v>weekday</v>
      </c>
      <c r="J740" s="23" t="s">
        <v>23</v>
      </c>
      <c r="K740" s="23" t="str">
        <f>IF('Merged raw data'!I740=1,"Clear",IF('Merged raw data'!I740=2,"Mist",IF('Merged raw data'!I740=3,"Rain",IF('Merged raw data'!I740=4,"Storm","NA"))))</f>
        <v>Clear</v>
      </c>
      <c r="L740" s="24">
        <v>0.43</v>
      </c>
      <c r="M740" s="24">
        <v>0.25369999999999998</v>
      </c>
      <c r="N740" s="21">
        <f>'Merged raw data'!$J740*100</f>
        <v>18</v>
      </c>
      <c r="O740" s="21">
        <v>0</v>
      </c>
      <c r="P740" s="21">
        <v>1</v>
      </c>
      <c r="Q740" s="21">
        <v>1</v>
      </c>
      <c r="R740" s="21" t="str">
        <f>IF(Q740&gt;=outliers!I742,"High",IF(Q740&lt;=outliers!I741,"Low","Moderate"))</f>
        <v>High</v>
      </c>
      <c r="S740" s="8" t="str">
        <f>IF(OR(Q740&lt;outliers!$I$6,Q740&gt;outliers!$I$7),"Outlier","Normal")</f>
        <v>Normal</v>
      </c>
      <c r="T740" s="8" t="str">
        <f>IF(OR(L740&lt;outliers!$J$6,L740&gt;outliers!$J$7),"Outlier","Normal")</f>
        <v>Normal</v>
      </c>
      <c r="U740" s="8" t="str">
        <f>IF(OR(M740&lt;outliers!$K$6,M740&gt;outliers!$K$7),"Outlier","Normal")</f>
        <v>Normal</v>
      </c>
    </row>
    <row r="741" spans="1:21">
      <c r="A741" s="21">
        <v>740</v>
      </c>
      <c r="B741" s="68">
        <v>40577</v>
      </c>
      <c r="C741" s="22" t="b">
        <v>0</v>
      </c>
      <c r="D741" s="21" t="str">
        <f t="shared" si="11"/>
        <v>Thursday</v>
      </c>
      <c r="E741" s="23">
        <v>0.13639999999999999</v>
      </c>
      <c r="F741" s="23">
        <f>YEAR('Merged raw data'!$B741)</f>
        <v>2011</v>
      </c>
      <c r="G741" s="23" t="str">
        <f>TEXT('Merged raw data'!$B741,"mmmm")</f>
        <v>February</v>
      </c>
      <c r="H741" s="37" t="str">
        <f>TEXT(TIME('Merged raw data'!F741,0,0),"h AM/PM")</f>
        <v>5 AM</v>
      </c>
      <c r="I741" s="23" t="str">
        <f>IF(OR('Merged raw data'!H741=1,'Merged raw data'!H741=2,'Merged raw data'!H741=3,'Merged raw data'!H741=4,'Merged raw data'!H741=5),"weekday","weekend")</f>
        <v>weekday</v>
      </c>
      <c r="J741" s="23" t="s">
        <v>23</v>
      </c>
      <c r="K741" s="23" t="str">
        <f>IF('Merged raw data'!I741=1,"Clear",IF('Merged raw data'!I741=2,"Mist",IF('Merged raw data'!I741=3,"Rain",IF('Merged raw data'!I741=4,"Storm","NA"))))</f>
        <v>Clear</v>
      </c>
      <c r="L741" s="24">
        <v>0.5</v>
      </c>
      <c r="M741" s="24">
        <v>0.29849999999999999</v>
      </c>
      <c r="N741" s="21">
        <f>'Merged raw data'!$J741*100</f>
        <v>16</v>
      </c>
      <c r="O741" s="21">
        <v>0</v>
      </c>
      <c r="P741" s="21">
        <v>2</v>
      </c>
      <c r="Q741" s="21">
        <v>2</v>
      </c>
      <c r="R741" s="21" t="str">
        <f>IF(Q741&gt;=outliers!I743,"High",IF(Q741&lt;=outliers!I742,"Low","Moderate"))</f>
        <v>High</v>
      </c>
      <c r="S741" s="8" t="str">
        <f>IF(OR(Q741&lt;outliers!$I$6,Q741&gt;outliers!$I$7),"Outlier","Normal")</f>
        <v>Normal</v>
      </c>
      <c r="T741" s="8" t="str">
        <f>IF(OR(L741&lt;outliers!$J$6,L741&gt;outliers!$J$7),"Outlier","Normal")</f>
        <v>Normal</v>
      </c>
      <c r="U741" s="8" t="str">
        <f>IF(OR(M741&lt;outliers!$K$6,M741&gt;outliers!$K$7),"Outlier","Normal")</f>
        <v>Normal</v>
      </c>
    </row>
    <row r="742" spans="1:21">
      <c r="A742" s="21">
        <v>741</v>
      </c>
      <c r="B742" s="68">
        <v>40577</v>
      </c>
      <c r="C742" s="22" t="b">
        <v>0</v>
      </c>
      <c r="D742" s="21" t="str">
        <f t="shared" si="11"/>
        <v>Thursday</v>
      </c>
      <c r="E742" s="23">
        <v>0.13639999999999999</v>
      </c>
      <c r="F742" s="23">
        <f>YEAR('Merged raw data'!$B742)</f>
        <v>2011</v>
      </c>
      <c r="G742" s="23" t="str">
        <f>TEXT('Merged raw data'!$B742,"mmmm")</f>
        <v>February</v>
      </c>
      <c r="H742" s="37" t="str">
        <f>TEXT(TIME('Merged raw data'!F742,0,0),"h AM/PM")</f>
        <v>6 AM</v>
      </c>
      <c r="I742" s="23" t="str">
        <f>IF(OR('Merged raw data'!H742=1,'Merged raw data'!H742=2,'Merged raw data'!H742=3,'Merged raw data'!H742=4,'Merged raw data'!H742=5),"weekday","weekend")</f>
        <v>weekday</v>
      </c>
      <c r="J742" s="23" t="s">
        <v>23</v>
      </c>
      <c r="K742" s="23" t="str">
        <f>IF('Merged raw data'!I742=1,"Clear",IF('Merged raw data'!I742=2,"Mist",IF('Merged raw data'!I742=3,"Rain",IF('Merged raw data'!I742=4,"Storm","NA"))))</f>
        <v>Clear</v>
      </c>
      <c r="L742" s="24">
        <v>0.43</v>
      </c>
      <c r="M742" s="24">
        <v>0.35820000000000002</v>
      </c>
      <c r="N742" s="21">
        <f>'Merged raw data'!$J742*100</f>
        <v>16</v>
      </c>
      <c r="O742" s="21">
        <v>0</v>
      </c>
      <c r="P742" s="21">
        <v>39</v>
      </c>
      <c r="Q742" s="21">
        <v>39</v>
      </c>
      <c r="R742" s="21" t="str">
        <f>IF(Q742&gt;=outliers!I744,"High",IF(Q742&lt;=outliers!I743,"Low","Moderate"))</f>
        <v>High</v>
      </c>
      <c r="S742" s="8" t="str">
        <f>IF(OR(Q742&lt;outliers!$I$6,Q742&gt;outliers!$I$7),"Outlier","Normal")</f>
        <v>Normal</v>
      </c>
      <c r="T742" s="8" t="str">
        <f>IF(OR(L742&lt;outliers!$J$6,L742&gt;outliers!$J$7),"Outlier","Normal")</f>
        <v>Normal</v>
      </c>
      <c r="U742" s="8" t="str">
        <f>IF(OR(M742&lt;outliers!$K$6,M742&gt;outliers!$K$7),"Outlier","Normal")</f>
        <v>Normal</v>
      </c>
    </row>
    <row r="743" spans="1:21">
      <c r="A743" s="21">
        <v>742</v>
      </c>
      <c r="B743" s="68">
        <v>40577</v>
      </c>
      <c r="C743" s="22" t="b">
        <v>0</v>
      </c>
      <c r="D743" s="21" t="str">
        <f t="shared" si="11"/>
        <v>Thursday</v>
      </c>
      <c r="E743" s="23">
        <v>0.1212</v>
      </c>
      <c r="F743" s="23">
        <f>YEAR('Merged raw data'!$B743)</f>
        <v>2011</v>
      </c>
      <c r="G743" s="23" t="str">
        <f>TEXT('Merged raw data'!$B743,"mmmm")</f>
        <v>February</v>
      </c>
      <c r="H743" s="37" t="str">
        <f>TEXT(TIME('Merged raw data'!F743,0,0),"h AM/PM")</f>
        <v>7 AM</v>
      </c>
      <c r="I743" s="23" t="str">
        <f>IF(OR('Merged raw data'!H743=1,'Merged raw data'!H743=2,'Merged raw data'!H743=3,'Merged raw data'!H743=4,'Merged raw data'!H743=5),"weekday","weekend")</f>
        <v>weekday</v>
      </c>
      <c r="J743" s="23" t="s">
        <v>23</v>
      </c>
      <c r="K743" s="23" t="str">
        <f>IF('Merged raw data'!I743=1,"Clear",IF('Merged raw data'!I743=2,"Mist",IF('Merged raw data'!I743=3,"Rain",IF('Merged raw data'!I743=4,"Storm","NA"))))</f>
        <v>Clear</v>
      </c>
      <c r="L743" s="24">
        <v>0.5</v>
      </c>
      <c r="M743" s="24">
        <v>0.32840000000000003</v>
      </c>
      <c r="N743" s="21">
        <f>'Merged raw data'!$J743*100</f>
        <v>14.000000000000002</v>
      </c>
      <c r="O743" s="21">
        <v>1</v>
      </c>
      <c r="P743" s="21">
        <v>86</v>
      </c>
      <c r="Q743" s="21">
        <v>87</v>
      </c>
      <c r="R743" s="21" t="str">
        <f>IF(Q743&gt;=outliers!I745,"High",IF(Q743&lt;=outliers!I744,"Low","Moderate"))</f>
        <v>High</v>
      </c>
      <c r="S743" s="8" t="str">
        <f>IF(OR(Q743&lt;outliers!$I$6,Q743&gt;outliers!$I$7),"Outlier","Normal")</f>
        <v>Normal</v>
      </c>
      <c r="T743" s="8" t="str">
        <f>IF(OR(L743&lt;outliers!$J$6,L743&gt;outliers!$J$7),"Outlier","Normal")</f>
        <v>Normal</v>
      </c>
      <c r="U743" s="8" t="str">
        <f>IF(OR(M743&lt;outliers!$K$6,M743&gt;outliers!$K$7),"Outlier","Normal")</f>
        <v>Normal</v>
      </c>
    </row>
    <row r="744" spans="1:21">
      <c r="A744" s="21">
        <v>743</v>
      </c>
      <c r="B744" s="68">
        <v>40577</v>
      </c>
      <c r="C744" s="22" t="b">
        <v>0</v>
      </c>
      <c r="D744" s="21" t="str">
        <f t="shared" si="11"/>
        <v>Thursday</v>
      </c>
      <c r="E744" s="23">
        <v>0.1212</v>
      </c>
      <c r="F744" s="23">
        <f>YEAR('Merged raw data'!$B744)</f>
        <v>2011</v>
      </c>
      <c r="G744" s="23" t="str">
        <f>TEXT('Merged raw data'!$B744,"mmmm")</f>
        <v>February</v>
      </c>
      <c r="H744" s="37" t="str">
        <f>TEXT(TIME('Merged raw data'!F744,0,0),"h AM/PM")</f>
        <v>8 AM</v>
      </c>
      <c r="I744" s="23" t="str">
        <f>IF(OR('Merged raw data'!H744=1,'Merged raw data'!H744=2,'Merged raw data'!H744=3,'Merged raw data'!H744=4,'Merged raw data'!H744=5),"weekday","weekend")</f>
        <v>weekday</v>
      </c>
      <c r="J744" s="23" t="s">
        <v>23</v>
      </c>
      <c r="K744" s="23" t="str">
        <f>IF('Merged raw data'!I744=1,"Clear",IF('Merged raw data'!I744=2,"Mist",IF('Merged raw data'!I744=3,"Rain",IF('Merged raw data'!I744=4,"Storm","NA"))))</f>
        <v>Clear</v>
      </c>
      <c r="L744" s="24">
        <v>0.5</v>
      </c>
      <c r="M744" s="24">
        <v>0.35820000000000002</v>
      </c>
      <c r="N744" s="21">
        <f>'Merged raw data'!$J744*100</f>
        <v>14.000000000000002</v>
      </c>
      <c r="O744" s="21">
        <v>4</v>
      </c>
      <c r="P744" s="21">
        <v>184</v>
      </c>
      <c r="Q744" s="21">
        <v>188</v>
      </c>
      <c r="R744" s="21" t="str">
        <f>IF(Q744&gt;=outliers!I746,"High",IF(Q744&lt;=outliers!I745,"Low","Moderate"))</f>
        <v>High</v>
      </c>
      <c r="S744" s="8" t="str">
        <f>IF(OR(Q744&lt;outliers!$I$6,Q744&gt;outliers!$I$7),"Outlier","Normal")</f>
        <v>Outlier</v>
      </c>
      <c r="T744" s="8" t="str">
        <f>IF(OR(L744&lt;outliers!$J$6,L744&gt;outliers!$J$7),"Outlier","Normal")</f>
        <v>Normal</v>
      </c>
      <c r="U744" s="8" t="str">
        <f>IF(OR(M744&lt;outliers!$K$6,M744&gt;outliers!$K$7),"Outlier","Normal")</f>
        <v>Normal</v>
      </c>
    </row>
    <row r="745" spans="1:21">
      <c r="A745" s="21">
        <v>744</v>
      </c>
      <c r="B745" s="68">
        <v>40577</v>
      </c>
      <c r="C745" s="22" t="b">
        <v>0</v>
      </c>
      <c r="D745" s="21" t="str">
        <f t="shared" si="11"/>
        <v>Thursday</v>
      </c>
      <c r="E745" s="23">
        <v>0.13639999999999999</v>
      </c>
      <c r="F745" s="23">
        <f>YEAR('Merged raw data'!$B745)</f>
        <v>2011</v>
      </c>
      <c r="G745" s="23" t="str">
        <f>TEXT('Merged raw data'!$B745,"mmmm")</f>
        <v>February</v>
      </c>
      <c r="H745" s="37" t="str">
        <f>TEXT(TIME('Merged raw data'!F745,0,0),"h AM/PM")</f>
        <v>9 AM</v>
      </c>
      <c r="I745" s="23" t="str">
        <f>IF(OR('Merged raw data'!H745=1,'Merged raw data'!H745=2,'Merged raw data'!H745=3,'Merged raw data'!H745=4,'Merged raw data'!H745=5),"weekday","weekend")</f>
        <v>weekday</v>
      </c>
      <c r="J745" s="23" t="s">
        <v>23</v>
      </c>
      <c r="K745" s="23" t="str">
        <f>IF('Merged raw data'!I745=1,"Clear",IF('Merged raw data'!I745=2,"Mist",IF('Merged raw data'!I745=3,"Rain",IF('Merged raw data'!I745=4,"Storm","NA"))))</f>
        <v>Clear</v>
      </c>
      <c r="L745" s="24">
        <v>0.47</v>
      </c>
      <c r="M745" s="24">
        <v>0.29849999999999999</v>
      </c>
      <c r="N745" s="21">
        <f>'Merged raw data'!$J745*100</f>
        <v>16</v>
      </c>
      <c r="O745" s="21">
        <v>6</v>
      </c>
      <c r="P745" s="21">
        <v>127</v>
      </c>
      <c r="Q745" s="21">
        <v>133</v>
      </c>
      <c r="R745" s="21" t="str">
        <f>IF(Q745&gt;=outliers!I747,"High",IF(Q745&lt;=outliers!I746,"Low","Moderate"))</f>
        <v>High</v>
      </c>
      <c r="S745" s="8" t="str">
        <f>IF(OR(Q745&lt;outliers!$I$6,Q745&gt;outliers!$I$7),"Outlier","Normal")</f>
        <v>Normal</v>
      </c>
      <c r="T745" s="8" t="str">
        <f>IF(OR(L745&lt;outliers!$J$6,L745&gt;outliers!$J$7),"Outlier","Normal")</f>
        <v>Normal</v>
      </c>
      <c r="U745" s="8" t="str">
        <f>IF(OR(M745&lt;outliers!$K$6,M745&gt;outliers!$K$7),"Outlier","Normal")</f>
        <v>Normal</v>
      </c>
    </row>
    <row r="746" spans="1:21">
      <c r="A746" s="21">
        <v>745</v>
      </c>
      <c r="B746" s="68">
        <v>40577</v>
      </c>
      <c r="C746" s="22" t="b">
        <v>0</v>
      </c>
      <c r="D746" s="21" t="str">
        <f t="shared" si="11"/>
        <v>Thursday</v>
      </c>
      <c r="E746" s="23">
        <v>0.1515</v>
      </c>
      <c r="F746" s="23">
        <f>YEAR('Merged raw data'!$B746)</f>
        <v>2011</v>
      </c>
      <c r="G746" s="23" t="str">
        <f>TEXT('Merged raw data'!$B746,"mmmm")</f>
        <v>February</v>
      </c>
      <c r="H746" s="37" t="str">
        <f>TEXT(TIME('Merged raw data'!F746,0,0),"h AM/PM")</f>
        <v>10 AM</v>
      </c>
      <c r="I746" s="23" t="str">
        <f>IF(OR('Merged raw data'!H746=1,'Merged raw data'!H746=2,'Merged raw data'!H746=3,'Merged raw data'!H746=4,'Merged raw data'!H746=5),"weekday","weekend")</f>
        <v>weekday</v>
      </c>
      <c r="J746" s="23" t="s">
        <v>23</v>
      </c>
      <c r="K746" s="23" t="str">
        <f>IF('Merged raw data'!I746=1,"Clear",IF('Merged raw data'!I746=2,"Mist",IF('Merged raw data'!I746=3,"Rain",IF('Merged raw data'!I746=4,"Storm","NA"))))</f>
        <v>Clear</v>
      </c>
      <c r="L746" s="24">
        <v>0.43</v>
      </c>
      <c r="M746" s="24">
        <v>0.32840000000000003</v>
      </c>
      <c r="N746" s="21">
        <f>'Merged raw data'!$J746*100</f>
        <v>18</v>
      </c>
      <c r="O746" s="21">
        <v>2</v>
      </c>
      <c r="P746" s="21">
        <v>50</v>
      </c>
      <c r="Q746" s="21">
        <v>52</v>
      </c>
      <c r="R746" s="21" t="str">
        <f>IF(Q746&gt;=outliers!I748,"High",IF(Q746&lt;=outliers!I747,"Low","Moderate"))</f>
        <v>High</v>
      </c>
      <c r="S746" s="8" t="str">
        <f>IF(OR(Q746&lt;outliers!$I$6,Q746&gt;outliers!$I$7),"Outlier","Normal")</f>
        <v>Normal</v>
      </c>
      <c r="T746" s="8" t="str">
        <f>IF(OR(L746&lt;outliers!$J$6,L746&gt;outliers!$J$7),"Outlier","Normal")</f>
        <v>Normal</v>
      </c>
      <c r="U746" s="8" t="str">
        <f>IF(OR(M746&lt;outliers!$K$6,M746&gt;outliers!$K$7),"Outlier","Normal")</f>
        <v>Normal</v>
      </c>
    </row>
    <row r="747" spans="1:21">
      <c r="A747" s="21">
        <v>746</v>
      </c>
      <c r="B747" s="68">
        <v>40577</v>
      </c>
      <c r="C747" s="22" t="b">
        <v>0</v>
      </c>
      <c r="D747" s="21" t="str">
        <f t="shared" si="11"/>
        <v>Thursday</v>
      </c>
      <c r="E747" s="23">
        <v>0.13639999999999999</v>
      </c>
      <c r="F747" s="23">
        <f>YEAR('Merged raw data'!$B747)</f>
        <v>2011</v>
      </c>
      <c r="G747" s="23" t="str">
        <f>TEXT('Merged raw data'!$B747,"mmmm")</f>
        <v>February</v>
      </c>
      <c r="H747" s="37" t="str">
        <f>TEXT(TIME('Merged raw data'!F747,0,0),"h AM/PM")</f>
        <v>11 AM</v>
      </c>
      <c r="I747" s="23" t="str">
        <f>IF(OR('Merged raw data'!H747=1,'Merged raw data'!H747=2,'Merged raw data'!H747=3,'Merged raw data'!H747=4,'Merged raw data'!H747=5),"weekday","weekend")</f>
        <v>weekday</v>
      </c>
      <c r="J747" s="23" t="s">
        <v>23</v>
      </c>
      <c r="K747" s="23" t="str">
        <f>IF('Merged raw data'!I747=1,"Clear",IF('Merged raw data'!I747=2,"Mist",IF('Merged raw data'!I747=3,"Rain",IF('Merged raw data'!I747=4,"Storm","NA"))))</f>
        <v>Clear</v>
      </c>
      <c r="L747" s="24">
        <v>0.43</v>
      </c>
      <c r="M747" s="24">
        <v>0.44779999999999998</v>
      </c>
      <c r="N747" s="21">
        <f>'Merged raw data'!$J747*100</f>
        <v>18</v>
      </c>
      <c r="O747" s="21">
        <v>9</v>
      </c>
      <c r="P747" s="21">
        <v>55</v>
      </c>
      <c r="Q747" s="21">
        <v>64</v>
      </c>
      <c r="R747" s="21" t="str">
        <f>IF(Q747&gt;=outliers!I749,"High",IF(Q747&lt;=outliers!I748,"Low","Moderate"))</f>
        <v>High</v>
      </c>
      <c r="S747" s="8" t="str">
        <f>IF(OR(Q747&lt;outliers!$I$6,Q747&gt;outliers!$I$7),"Outlier","Normal")</f>
        <v>Normal</v>
      </c>
      <c r="T747" s="8" t="str">
        <f>IF(OR(L747&lt;outliers!$J$6,L747&gt;outliers!$J$7),"Outlier","Normal")</f>
        <v>Normal</v>
      </c>
      <c r="U747" s="8" t="str">
        <f>IF(OR(M747&lt;outliers!$K$6,M747&gt;outliers!$K$7),"Outlier","Normal")</f>
        <v>Normal</v>
      </c>
    </row>
    <row r="748" spans="1:21">
      <c r="A748" s="21">
        <v>747</v>
      </c>
      <c r="B748" s="68">
        <v>40577</v>
      </c>
      <c r="C748" s="22" t="b">
        <v>0</v>
      </c>
      <c r="D748" s="21" t="str">
        <f t="shared" si="11"/>
        <v>Thursday</v>
      </c>
      <c r="E748" s="23">
        <v>0.18179999999999999</v>
      </c>
      <c r="F748" s="23">
        <f>YEAR('Merged raw data'!$B748)</f>
        <v>2011</v>
      </c>
      <c r="G748" s="23" t="str">
        <f>TEXT('Merged raw data'!$B748,"mmmm")</f>
        <v>February</v>
      </c>
      <c r="H748" s="37" t="str">
        <f>TEXT(TIME('Merged raw data'!F748,0,0),"h AM/PM")</f>
        <v>12 PM</v>
      </c>
      <c r="I748" s="23" t="str">
        <f>IF(OR('Merged raw data'!H748=1,'Merged raw data'!H748=2,'Merged raw data'!H748=3,'Merged raw data'!H748=4,'Merged raw data'!H748=5),"weekday","weekend")</f>
        <v>weekday</v>
      </c>
      <c r="J748" s="23" t="s">
        <v>23</v>
      </c>
      <c r="K748" s="23" t="str">
        <f>IF('Merged raw data'!I748=1,"Clear",IF('Merged raw data'!I748=2,"Mist",IF('Merged raw data'!I748=3,"Rain",IF('Merged raw data'!I748=4,"Storm","NA"))))</f>
        <v>Clear</v>
      </c>
      <c r="L748" s="24">
        <v>0.4</v>
      </c>
      <c r="M748" s="24">
        <v>0.35820000000000002</v>
      </c>
      <c r="N748" s="21">
        <f>'Merged raw data'!$J748*100</f>
        <v>20</v>
      </c>
      <c r="O748" s="21">
        <v>2</v>
      </c>
      <c r="P748" s="21">
        <v>67</v>
      </c>
      <c r="Q748" s="21">
        <v>69</v>
      </c>
      <c r="R748" s="21" t="str">
        <f>IF(Q748&gt;=outliers!I750,"High",IF(Q748&lt;=outliers!I749,"Low","Moderate"))</f>
        <v>High</v>
      </c>
      <c r="S748" s="8" t="str">
        <f>IF(OR(Q748&lt;outliers!$I$6,Q748&gt;outliers!$I$7),"Outlier","Normal")</f>
        <v>Normal</v>
      </c>
      <c r="T748" s="8" t="str">
        <f>IF(OR(L748&lt;outliers!$J$6,L748&gt;outliers!$J$7),"Outlier","Normal")</f>
        <v>Normal</v>
      </c>
      <c r="U748" s="8" t="str">
        <f>IF(OR(M748&lt;outliers!$K$6,M748&gt;outliers!$K$7),"Outlier","Normal")</f>
        <v>Normal</v>
      </c>
    </row>
    <row r="749" spans="1:21">
      <c r="A749" s="21">
        <v>748</v>
      </c>
      <c r="B749" s="68">
        <v>40577</v>
      </c>
      <c r="C749" s="22" t="b">
        <v>0</v>
      </c>
      <c r="D749" s="21" t="str">
        <f t="shared" si="11"/>
        <v>Thursday</v>
      </c>
      <c r="E749" s="23">
        <v>0.16669999999999999</v>
      </c>
      <c r="F749" s="23">
        <f>YEAR('Merged raw data'!$B749)</f>
        <v>2011</v>
      </c>
      <c r="G749" s="23" t="str">
        <f>TEXT('Merged raw data'!$B749,"mmmm")</f>
        <v>February</v>
      </c>
      <c r="H749" s="37" t="str">
        <f>TEXT(TIME('Merged raw data'!F749,0,0),"h AM/PM")</f>
        <v>1 PM</v>
      </c>
      <c r="I749" s="23" t="str">
        <f>IF(OR('Merged raw data'!H749=1,'Merged raw data'!H749=2,'Merged raw data'!H749=3,'Merged raw data'!H749=4,'Merged raw data'!H749=5),"weekday","weekend")</f>
        <v>weekday</v>
      </c>
      <c r="J749" s="23" t="s">
        <v>23</v>
      </c>
      <c r="K749" s="23" t="str">
        <f>IF('Merged raw data'!I749=1,"Clear",IF('Merged raw data'!I749=2,"Mist",IF('Merged raw data'!I749=3,"Rain",IF('Merged raw data'!I749=4,"Storm","NA"))))</f>
        <v>Clear</v>
      </c>
      <c r="L749" s="24">
        <v>0.4</v>
      </c>
      <c r="M749" s="24">
        <v>0.41789999999999999</v>
      </c>
      <c r="N749" s="21">
        <f>'Merged raw data'!$J749*100</f>
        <v>20</v>
      </c>
      <c r="O749" s="21">
        <v>4</v>
      </c>
      <c r="P749" s="21">
        <v>47</v>
      </c>
      <c r="Q749" s="21">
        <v>51</v>
      </c>
      <c r="R749" s="21" t="str">
        <f>IF(Q749&gt;=outliers!I751,"High",IF(Q749&lt;=outliers!I750,"Low","Moderate"))</f>
        <v>High</v>
      </c>
      <c r="S749" s="8" t="str">
        <f>IF(OR(Q749&lt;outliers!$I$6,Q749&gt;outliers!$I$7),"Outlier","Normal")</f>
        <v>Normal</v>
      </c>
      <c r="T749" s="8" t="str">
        <f>IF(OR(L749&lt;outliers!$J$6,L749&gt;outliers!$J$7),"Outlier","Normal")</f>
        <v>Normal</v>
      </c>
      <c r="U749" s="8" t="str">
        <f>IF(OR(M749&lt;outliers!$K$6,M749&gt;outliers!$K$7),"Outlier","Normal")</f>
        <v>Normal</v>
      </c>
    </row>
    <row r="750" spans="1:21">
      <c r="A750" s="21">
        <v>749</v>
      </c>
      <c r="B750" s="68">
        <v>40577</v>
      </c>
      <c r="C750" s="22" t="b">
        <v>0</v>
      </c>
      <c r="D750" s="21" t="str">
        <f t="shared" si="11"/>
        <v>Thursday</v>
      </c>
      <c r="E750" s="23">
        <v>0.19700000000000001</v>
      </c>
      <c r="F750" s="23">
        <f>YEAR('Merged raw data'!$B750)</f>
        <v>2011</v>
      </c>
      <c r="G750" s="23" t="str">
        <f>TEXT('Merged raw data'!$B750,"mmmm")</f>
        <v>February</v>
      </c>
      <c r="H750" s="37" t="str">
        <f>TEXT(TIME('Merged raw data'!F750,0,0),"h AM/PM")</f>
        <v>2 PM</v>
      </c>
      <c r="I750" s="23" t="str">
        <f>IF(OR('Merged raw data'!H750=1,'Merged raw data'!H750=2,'Merged raw data'!H750=3,'Merged raw data'!H750=4,'Merged raw data'!H750=5),"weekday","weekend")</f>
        <v>weekday</v>
      </c>
      <c r="J750" s="23" t="s">
        <v>23</v>
      </c>
      <c r="K750" s="23" t="str">
        <f>IF('Merged raw data'!I750=1,"Clear",IF('Merged raw data'!I750=2,"Mist",IF('Merged raw data'!I750=3,"Rain",IF('Merged raw data'!I750=4,"Storm","NA"))))</f>
        <v>Clear</v>
      </c>
      <c r="L750" s="24">
        <v>0.37</v>
      </c>
      <c r="M750" s="24">
        <v>0.3881</v>
      </c>
      <c r="N750" s="21">
        <f>'Merged raw data'!$J750*100</f>
        <v>22</v>
      </c>
      <c r="O750" s="21">
        <v>4</v>
      </c>
      <c r="P750" s="21">
        <v>43</v>
      </c>
      <c r="Q750" s="21">
        <v>47</v>
      </c>
      <c r="R750" s="21" t="str">
        <f>IF(Q750&gt;=outliers!I752,"High",IF(Q750&lt;=outliers!I751,"Low","Moderate"))</f>
        <v>High</v>
      </c>
      <c r="S750" s="8" t="str">
        <f>IF(OR(Q750&lt;outliers!$I$6,Q750&gt;outliers!$I$7),"Outlier","Normal")</f>
        <v>Normal</v>
      </c>
      <c r="T750" s="8" t="str">
        <f>IF(OR(L750&lt;outliers!$J$6,L750&gt;outliers!$J$7),"Outlier","Normal")</f>
        <v>Normal</v>
      </c>
      <c r="U750" s="8" t="str">
        <f>IF(OR(M750&lt;outliers!$K$6,M750&gt;outliers!$K$7),"Outlier","Normal")</f>
        <v>Normal</v>
      </c>
    </row>
    <row r="751" spans="1:21">
      <c r="A751" s="21">
        <v>750</v>
      </c>
      <c r="B751" s="68">
        <v>40577</v>
      </c>
      <c r="C751" s="22" t="b">
        <v>0</v>
      </c>
      <c r="D751" s="21" t="str">
        <f t="shared" si="11"/>
        <v>Thursday</v>
      </c>
      <c r="E751" s="23">
        <v>0.19700000000000001</v>
      </c>
      <c r="F751" s="23">
        <f>YEAR('Merged raw data'!$B751)</f>
        <v>2011</v>
      </c>
      <c r="G751" s="23" t="str">
        <f>TEXT('Merged raw data'!$B751,"mmmm")</f>
        <v>February</v>
      </c>
      <c r="H751" s="37" t="str">
        <f>TEXT(TIME('Merged raw data'!F751,0,0),"h AM/PM")</f>
        <v>3 PM</v>
      </c>
      <c r="I751" s="23" t="str">
        <f>IF(OR('Merged raw data'!H751=1,'Merged raw data'!H751=2,'Merged raw data'!H751=3,'Merged raw data'!H751=4,'Merged raw data'!H751=5),"weekday","weekend")</f>
        <v>weekday</v>
      </c>
      <c r="J751" s="23" t="s">
        <v>23</v>
      </c>
      <c r="K751" s="23" t="str">
        <f>IF('Merged raw data'!I751=1,"Clear",IF('Merged raw data'!I751=2,"Mist",IF('Merged raw data'!I751=3,"Rain",IF('Merged raw data'!I751=4,"Storm","NA"))))</f>
        <v>Clear</v>
      </c>
      <c r="L751" s="24">
        <v>0.37</v>
      </c>
      <c r="M751" s="24">
        <v>0.32840000000000003</v>
      </c>
      <c r="N751" s="21">
        <f>'Merged raw data'!$J751*100</f>
        <v>22</v>
      </c>
      <c r="O751" s="21">
        <v>4</v>
      </c>
      <c r="P751" s="21">
        <v>56</v>
      </c>
      <c r="Q751" s="21">
        <v>60</v>
      </c>
      <c r="R751" s="21" t="str">
        <f>IF(Q751&gt;=outliers!I753,"High",IF(Q751&lt;=outliers!I752,"Low","Moderate"))</f>
        <v>High</v>
      </c>
      <c r="S751" s="8" t="str">
        <f>IF(OR(Q751&lt;outliers!$I$6,Q751&gt;outliers!$I$7),"Outlier","Normal")</f>
        <v>Normal</v>
      </c>
      <c r="T751" s="8" t="str">
        <f>IF(OR(L751&lt;outliers!$J$6,L751&gt;outliers!$J$7),"Outlier","Normal")</f>
        <v>Normal</v>
      </c>
      <c r="U751" s="8" t="str">
        <f>IF(OR(M751&lt;outliers!$K$6,M751&gt;outliers!$K$7),"Outlier","Normal")</f>
        <v>Normal</v>
      </c>
    </row>
    <row r="752" spans="1:21">
      <c r="A752" s="21">
        <v>751</v>
      </c>
      <c r="B752" s="68">
        <v>40577</v>
      </c>
      <c r="C752" s="22" t="b">
        <v>0</v>
      </c>
      <c r="D752" s="21" t="str">
        <f t="shared" si="11"/>
        <v>Thursday</v>
      </c>
      <c r="E752" s="23">
        <v>0.21210000000000001</v>
      </c>
      <c r="F752" s="23">
        <f>YEAR('Merged raw data'!$B752)</f>
        <v>2011</v>
      </c>
      <c r="G752" s="23" t="str">
        <f>TEXT('Merged raw data'!$B752,"mmmm")</f>
        <v>February</v>
      </c>
      <c r="H752" s="37" t="str">
        <f>TEXT(TIME('Merged raw data'!F752,0,0),"h AM/PM")</f>
        <v>4 PM</v>
      </c>
      <c r="I752" s="23" t="str">
        <f>IF(OR('Merged raw data'!H752=1,'Merged raw data'!H752=2,'Merged raw data'!H752=3,'Merged raw data'!H752=4,'Merged raw data'!H752=5),"weekday","weekend")</f>
        <v>weekday</v>
      </c>
      <c r="J752" s="23" t="s">
        <v>23</v>
      </c>
      <c r="K752" s="23" t="str">
        <f>IF('Merged raw data'!I752=1,"Clear",IF('Merged raw data'!I752=2,"Mist",IF('Merged raw data'!I752=3,"Rain",IF('Merged raw data'!I752=4,"Storm","NA"))))</f>
        <v>Clear</v>
      </c>
      <c r="L752" s="24">
        <v>0.37</v>
      </c>
      <c r="M752" s="24">
        <v>0.25369999999999998</v>
      </c>
      <c r="N752" s="21">
        <f>'Merged raw data'!$J752*100</f>
        <v>22</v>
      </c>
      <c r="O752" s="21">
        <v>5</v>
      </c>
      <c r="P752" s="21">
        <v>73</v>
      </c>
      <c r="Q752" s="21">
        <v>78</v>
      </c>
      <c r="R752" s="21" t="str">
        <f>IF(Q752&gt;=outliers!I754,"High",IF(Q752&lt;=outliers!I753,"Low","Moderate"))</f>
        <v>High</v>
      </c>
      <c r="S752" s="8" t="str">
        <f>IF(OR(Q752&lt;outliers!$I$6,Q752&gt;outliers!$I$7),"Outlier","Normal")</f>
        <v>Normal</v>
      </c>
      <c r="T752" s="8" t="str">
        <f>IF(OR(L752&lt;outliers!$J$6,L752&gt;outliers!$J$7),"Outlier","Normal")</f>
        <v>Normal</v>
      </c>
      <c r="U752" s="8" t="str">
        <f>IF(OR(M752&lt;outliers!$K$6,M752&gt;outliers!$K$7),"Outlier","Normal")</f>
        <v>Normal</v>
      </c>
    </row>
    <row r="753" spans="1:21">
      <c r="A753" s="21">
        <v>752</v>
      </c>
      <c r="B753" s="68">
        <v>40577</v>
      </c>
      <c r="C753" s="22" t="b">
        <v>0</v>
      </c>
      <c r="D753" s="21" t="str">
        <f t="shared" si="11"/>
        <v>Thursday</v>
      </c>
      <c r="E753" s="23">
        <v>0.19700000000000001</v>
      </c>
      <c r="F753" s="23">
        <f>YEAR('Merged raw data'!$B753)</f>
        <v>2011</v>
      </c>
      <c r="G753" s="23" t="str">
        <f>TEXT('Merged raw data'!$B753,"mmmm")</f>
        <v>February</v>
      </c>
      <c r="H753" s="37" t="str">
        <f>TEXT(TIME('Merged raw data'!F753,0,0),"h AM/PM")</f>
        <v>5 PM</v>
      </c>
      <c r="I753" s="23" t="str">
        <f>IF(OR('Merged raw data'!H753=1,'Merged raw data'!H753=2,'Merged raw data'!H753=3,'Merged raw data'!H753=4,'Merged raw data'!H753=5),"weekday","weekend")</f>
        <v>weekday</v>
      </c>
      <c r="J753" s="23" t="s">
        <v>23</v>
      </c>
      <c r="K753" s="23" t="str">
        <f>IF('Merged raw data'!I753=1,"Clear",IF('Merged raw data'!I753=2,"Mist",IF('Merged raw data'!I753=3,"Rain",IF('Merged raw data'!I753=4,"Storm","NA"))))</f>
        <v>Clear</v>
      </c>
      <c r="L753" s="24">
        <v>0.4</v>
      </c>
      <c r="M753" s="24">
        <v>0.19400000000000001</v>
      </c>
      <c r="N753" s="21">
        <f>'Merged raw data'!$J753*100</f>
        <v>20</v>
      </c>
      <c r="O753" s="21">
        <v>5</v>
      </c>
      <c r="P753" s="21">
        <v>170</v>
      </c>
      <c r="Q753" s="21">
        <v>175</v>
      </c>
      <c r="R753" s="21" t="str">
        <f>IF(Q753&gt;=outliers!I755,"High",IF(Q753&lt;=outliers!I754,"Low","Moderate"))</f>
        <v>High</v>
      </c>
      <c r="S753" s="8" t="str">
        <f>IF(OR(Q753&lt;outliers!$I$6,Q753&gt;outliers!$I$7),"Outlier","Normal")</f>
        <v>Normal</v>
      </c>
      <c r="T753" s="8" t="str">
        <f>IF(OR(L753&lt;outliers!$J$6,L753&gt;outliers!$J$7),"Outlier","Normal")</f>
        <v>Normal</v>
      </c>
      <c r="U753" s="8" t="str">
        <f>IF(OR(M753&lt;outliers!$K$6,M753&gt;outliers!$K$7),"Outlier","Normal")</f>
        <v>Normal</v>
      </c>
    </row>
    <row r="754" spans="1:21">
      <c r="A754" s="21">
        <v>753</v>
      </c>
      <c r="B754" s="68">
        <v>40577</v>
      </c>
      <c r="C754" s="22" t="b">
        <v>0</v>
      </c>
      <c r="D754" s="21" t="str">
        <f t="shared" si="11"/>
        <v>Thursday</v>
      </c>
      <c r="E754" s="23">
        <v>0.21210000000000001</v>
      </c>
      <c r="F754" s="23">
        <f>YEAR('Merged raw data'!$B754)</f>
        <v>2011</v>
      </c>
      <c r="G754" s="23" t="str">
        <f>TEXT('Merged raw data'!$B754,"mmmm")</f>
        <v>February</v>
      </c>
      <c r="H754" s="37" t="str">
        <f>TEXT(TIME('Merged raw data'!F754,0,0),"h AM/PM")</f>
        <v>6 PM</v>
      </c>
      <c r="I754" s="23" t="str">
        <f>IF(OR('Merged raw data'!H754=1,'Merged raw data'!H754=2,'Merged raw data'!H754=3,'Merged raw data'!H754=4,'Merged raw data'!H754=5),"weekday","weekend")</f>
        <v>weekday</v>
      </c>
      <c r="J754" s="23" t="s">
        <v>23</v>
      </c>
      <c r="K754" s="23" t="str">
        <f>IF('Merged raw data'!I754=1,"Clear",IF('Merged raw data'!I754=2,"Mist",IF('Merged raw data'!I754=3,"Rain",IF('Merged raw data'!I754=4,"Storm","NA"))))</f>
        <v>Clear</v>
      </c>
      <c r="L754" s="24">
        <v>0.4</v>
      </c>
      <c r="M754" s="24">
        <v>0.16420000000000001</v>
      </c>
      <c r="N754" s="21">
        <f>'Merged raw data'!$J754*100</f>
        <v>20</v>
      </c>
      <c r="O754" s="21">
        <v>2</v>
      </c>
      <c r="P754" s="21">
        <v>145</v>
      </c>
      <c r="Q754" s="21">
        <v>147</v>
      </c>
      <c r="R754" s="21" t="str">
        <f>IF(Q754&gt;=outliers!I756,"High",IF(Q754&lt;=outliers!I755,"Low","Moderate"))</f>
        <v>High</v>
      </c>
      <c r="S754" s="8" t="str">
        <f>IF(OR(Q754&lt;outliers!$I$6,Q754&gt;outliers!$I$7),"Outlier","Normal")</f>
        <v>Normal</v>
      </c>
      <c r="T754" s="8" t="str">
        <f>IF(OR(L754&lt;outliers!$J$6,L754&gt;outliers!$J$7),"Outlier","Normal")</f>
        <v>Normal</v>
      </c>
      <c r="U754" s="8" t="str">
        <f>IF(OR(M754&lt;outliers!$K$6,M754&gt;outliers!$K$7),"Outlier","Normal")</f>
        <v>Normal</v>
      </c>
    </row>
    <row r="755" spans="1:21">
      <c r="A755" s="21">
        <v>754</v>
      </c>
      <c r="B755" s="68">
        <v>40577</v>
      </c>
      <c r="C755" s="22" t="b">
        <v>0</v>
      </c>
      <c r="D755" s="21" t="str">
        <f t="shared" si="11"/>
        <v>Thursday</v>
      </c>
      <c r="E755" s="23">
        <v>0.2576</v>
      </c>
      <c r="F755" s="23">
        <f>YEAR('Merged raw data'!$B755)</f>
        <v>2011</v>
      </c>
      <c r="G755" s="23" t="str">
        <f>TEXT('Merged raw data'!$B755,"mmmm")</f>
        <v>February</v>
      </c>
      <c r="H755" s="37" t="str">
        <f>TEXT(TIME('Merged raw data'!F755,0,0),"h AM/PM")</f>
        <v>7 PM</v>
      </c>
      <c r="I755" s="23" t="str">
        <f>IF(OR('Merged raw data'!H755=1,'Merged raw data'!H755=2,'Merged raw data'!H755=3,'Merged raw data'!H755=4,'Merged raw data'!H755=5),"weekday","weekend")</f>
        <v>weekday</v>
      </c>
      <c r="J755" s="23" t="s">
        <v>23</v>
      </c>
      <c r="K755" s="23" t="str">
        <f>IF('Merged raw data'!I755=1,"Clear",IF('Merged raw data'!I755=2,"Mist",IF('Merged raw data'!I755=3,"Rain",IF('Merged raw data'!I755=4,"Storm","NA"))))</f>
        <v>Clear</v>
      </c>
      <c r="L755" s="24">
        <v>0.4</v>
      </c>
      <c r="M755" s="24">
        <v>0.23</v>
      </c>
      <c r="N755" s="21">
        <f>'Merged raw data'!$J755*100</f>
        <v>20</v>
      </c>
      <c r="O755" s="21">
        <v>4</v>
      </c>
      <c r="P755" s="21">
        <v>92</v>
      </c>
      <c r="Q755" s="21">
        <v>96</v>
      </c>
      <c r="R755" s="21" t="str">
        <f>IF(Q755&gt;=outliers!I757,"High",IF(Q755&lt;=outliers!I756,"Low","Moderate"))</f>
        <v>High</v>
      </c>
      <c r="S755" s="8" t="str">
        <f>IF(OR(Q755&lt;outliers!$I$6,Q755&gt;outliers!$I$7),"Outlier","Normal")</f>
        <v>Normal</v>
      </c>
      <c r="T755" s="8" t="str">
        <f>IF(OR(L755&lt;outliers!$J$6,L755&gt;outliers!$J$7),"Outlier","Normal")</f>
        <v>Normal</v>
      </c>
      <c r="U755" s="8" t="str">
        <f>IF(OR(M755&lt;outliers!$K$6,M755&gt;outliers!$K$7),"Outlier","Normal")</f>
        <v>Normal</v>
      </c>
    </row>
    <row r="756" spans="1:21">
      <c r="A756" s="21">
        <v>755</v>
      </c>
      <c r="B756" s="68">
        <v>40577</v>
      </c>
      <c r="C756" s="22" t="b">
        <v>0</v>
      </c>
      <c r="D756" s="21" t="str">
        <f t="shared" si="11"/>
        <v>Thursday</v>
      </c>
      <c r="E756" s="23">
        <v>0.2273</v>
      </c>
      <c r="F756" s="23">
        <f>YEAR('Merged raw data'!$B756)</f>
        <v>2011</v>
      </c>
      <c r="G756" s="23" t="str">
        <f>TEXT('Merged raw data'!$B756,"mmmm")</f>
        <v>February</v>
      </c>
      <c r="H756" s="37" t="str">
        <f>TEXT(TIME('Merged raw data'!F756,0,0),"h AM/PM")</f>
        <v>8 PM</v>
      </c>
      <c r="I756" s="23" t="str">
        <f>IF(OR('Merged raw data'!H756=1,'Merged raw data'!H756=2,'Merged raw data'!H756=3,'Merged raw data'!H756=4,'Merged raw data'!H756=5),"weekday","weekend")</f>
        <v>weekday</v>
      </c>
      <c r="J756" s="23" t="s">
        <v>23</v>
      </c>
      <c r="K756" s="23" t="str">
        <f>IF('Merged raw data'!I756=1,"Clear",IF('Merged raw data'!I756=2,"Mist",IF('Merged raw data'!I756=3,"Rain",IF('Merged raw data'!I756=4,"Storm","NA"))))</f>
        <v>Clear</v>
      </c>
      <c r="L756" s="24">
        <v>0.47</v>
      </c>
      <c r="M756" s="24">
        <v>8.9599999999999999E-2</v>
      </c>
      <c r="N756" s="21">
        <f>'Merged raw data'!$J756*100</f>
        <v>20</v>
      </c>
      <c r="O756" s="21">
        <v>1</v>
      </c>
      <c r="P756" s="21">
        <v>108</v>
      </c>
      <c r="Q756" s="21">
        <v>109</v>
      </c>
      <c r="R756" s="21" t="str">
        <f>IF(Q756&gt;=outliers!I758,"High",IF(Q756&lt;=outliers!I757,"Low","Moderate"))</f>
        <v>High</v>
      </c>
      <c r="S756" s="8" t="str">
        <f>IF(OR(Q756&lt;outliers!$I$6,Q756&gt;outliers!$I$7),"Outlier","Normal")</f>
        <v>Normal</v>
      </c>
      <c r="T756" s="8" t="str">
        <f>IF(OR(L756&lt;outliers!$J$6,L756&gt;outliers!$J$7),"Outlier","Normal")</f>
        <v>Normal</v>
      </c>
      <c r="U756" s="8" t="str">
        <f>IF(OR(M756&lt;outliers!$K$6,M756&gt;outliers!$K$7),"Outlier","Normal")</f>
        <v>Normal</v>
      </c>
    </row>
    <row r="757" spans="1:21">
      <c r="A757" s="21">
        <v>756</v>
      </c>
      <c r="B757" s="68">
        <v>40577</v>
      </c>
      <c r="C757" s="22" t="b">
        <v>0</v>
      </c>
      <c r="D757" s="21" t="str">
        <f t="shared" si="11"/>
        <v>Thursday</v>
      </c>
      <c r="E757" s="23">
        <v>0.21210000000000001</v>
      </c>
      <c r="F757" s="23">
        <f>YEAR('Merged raw data'!$B757)</f>
        <v>2011</v>
      </c>
      <c r="G757" s="23" t="str">
        <f>TEXT('Merged raw data'!$B757,"mmmm")</f>
        <v>February</v>
      </c>
      <c r="H757" s="37" t="str">
        <f>TEXT(TIME('Merged raw data'!F757,0,0),"h AM/PM")</f>
        <v>9 PM</v>
      </c>
      <c r="I757" s="23" t="str">
        <f>IF(OR('Merged raw data'!H757=1,'Merged raw data'!H757=2,'Merged raw data'!H757=3,'Merged raw data'!H757=4,'Merged raw data'!H757=5),"weekday","weekend")</f>
        <v>weekday</v>
      </c>
      <c r="J757" s="23" t="s">
        <v>23</v>
      </c>
      <c r="K757" s="23" t="str">
        <f>IF('Merged raw data'!I757=1,"Clear",IF('Merged raw data'!I757=2,"Mist",IF('Merged raw data'!I757=3,"Rain",IF('Merged raw data'!I757=4,"Storm","NA"))))</f>
        <v>Clear</v>
      </c>
      <c r="L757" s="24">
        <v>0.55000000000000004</v>
      </c>
      <c r="M757" s="24">
        <v>0.1045</v>
      </c>
      <c r="N757" s="21">
        <f>'Merged raw data'!$J757*100</f>
        <v>18</v>
      </c>
      <c r="O757" s="21">
        <v>1</v>
      </c>
      <c r="P757" s="21">
        <v>53</v>
      </c>
      <c r="Q757" s="21">
        <v>54</v>
      </c>
      <c r="R757" s="21" t="str">
        <f>IF(Q757&gt;=outliers!I759,"High",IF(Q757&lt;=outliers!I758,"Low","Moderate"))</f>
        <v>High</v>
      </c>
      <c r="S757" s="8" t="str">
        <f>IF(OR(Q757&lt;outliers!$I$6,Q757&gt;outliers!$I$7),"Outlier","Normal")</f>
        <v>Normal</v>
      </c>
      <c r="T757" s="8" t="str">
        <f>IF(OR(L757&lt;outliers!$J$6,L757&gt;outliers!$J$7),"Outlier","Normal")</f>
        <v>Normal</v>
      </c>
      <c r="U757" s="8" t="str">
        <f>IF(OR(M757&lt;outliers!$K$6,M757&gt;outliers!$K$7),"Outlier","Normal")</f>
        <v>Normal</v>
      </c>
    </row>
    <row r="758" spans="1:21">
      <c r="A758" s="21">
        <v>757</v>
      </c>
      <c r="B758" s="68">
        <v>40577</v>
      </c>
      <c r="C758" s="22" t="b">
        <v>0</v>
      </c>
      <c r="D758" s="21" t="str">
        <f t="shared" si="11"/>
        <v>Thursday</v>
      </c>
      <c r="E758" s="23">
        <v>0.21210000000000001</v>
      </c>
      <c r="F758" s="23">
        <f>YEAR('Merged raw data'!$B758)</f>
        <v>2011</v>
      </c>
      <c r="G758" s="23" t="str">
        <f>TEXT('Merged raw data'!$B758,"mmmm")</f>
        <v>February</v>
      </c>
      <c r="H758" s="37" t="str">
        <f>TEXT(TIME('Merged raw data'!F758,0,0),"h AM/PM")</f>
        <v>10 PM</v>
      </c>
      <c r="I758" s="23" t="str">
        <f>IF(OR('Merged raw data'!H758=1,'Merged raw data'!H758=2,'Merged raw data'!H758=3,'Merged raw data'!H758=4,'Merged raw data'!H758=5),"weekday","weekend")</f>
        <v>weekday</v>
      </c>
      <c r="J758" s="23" t="s">
        <v>23</v>
      </c>
      <c r="K758" s="23" t="str">
        <f>IF('Merged raw data'!I758=1,"Clear",IF('Merged raw data'!I758=2,"Mist",IF('Merged raw data'!I758=3,"Rain",IF('Merged raw data'!I758=4,"Storm","NA"))))</f>
        <v>Clear</v>
      </c>
      <c r="L758" s="24">
        <v>0.51</v>
      </c>
      <c r="M758" s="24">
        <v>8.9599999999999999E-2</v>
      </c>
      <c r="N758" s="21">
        <f>'Merged raw data'!$J758*100</f>
        <v>18</v>
      </c>
      <c r="O758" s="21">
        <v>2</v>
      </c>
      <c r="P758" s="21">
        <v>39</v>
      </c>
      <c r="Q758" s="21">
        <v>41</v>
      </c>
      <c r="R758" s="21" t="str">
        <f>IF(Q758&gt;=outliers!I760,"High",IF(Q758&lt;=outliers!I759,"Low","Moderate"))</f>
        <v>High</v>
      </c>
      <c r="S758" s="8" t="str">
        <f>IF(OR(Q758&lt;outliers!$I$6,Q758&gt;outliers!$I$7),"Outlier","Normal")</f>
        <v>Normal</v>
      </c>
      <c r="T758" s="8" t="str">
        <f>IF(OR(L758&lt;outliers!$J$6,L758&gt;outliers!$J$7),"Outlier","Normal")</f>
        <v>Normal</v>
      </c>
      <c r="U758" s="8" t="str">
        <f>IF(OR(M758&lt;outliers!$K$6,M758&gt;outliers!$K$7),"Outlier","Normal")</f>
        <v>Normal</v>
      </c>
    </row>
    <row r="759" spans="1:21">
      <c r="A759" s="21">
        <v>758</v>
      </c>
      <c r="B759" s="68">
        <v>40577</v>
      </c>
      <c r="C759" s="22" t="b">
        <v>0</v>
      </c>
      <c r="D759" s="21" t="str">
        <f t="shared" si="11"/>
        <v>Thursday</v>
      </c>
      <c r="E759" s="23">
        <v>0.2273</v>
      </c>
      <c r="F759" s="23">
        <f>YEAR('Merged raw data'!$B759)</f>
        <v>2011</v>
      </c>
      <c r="G759" s="23" t="str">
        <f>TEXT('Merged raw data'!$B759,"mmmm")</f>
        <v>February</v>
      </c>
      <c r="H759" s="37" t="str">
        <f>TEXT(TIME('Merged raw data'!F759,0,0),"h AM/PM")</f>
        <v>11 PM</v>
      </c>
      <c r="I759" s="23" t="str">
        <f>IF(OR('Merged raw data'!H759=1,'Merged raw data'!H759=2,'Merged raw data'!H759=3,'Merged raw data'!H759=4,'Merged raw data'!H759=5),"weekday","weekend")</f>
        <v>weekday</v>
      </c>
      <c r="J759" s="23" t="s">
        <v>23</v>
      </c>
      <c r="K759" s="23" t="str">
        <f>IF('Merged raw data'!I759=1,"Clear",IF('Merged raw data'!I759=2,"Mist",IF('Merged raw data'!I759=3,"Rain",IF('Merged raw data'!I759=4,"Storm","NA"))))</f>
        <v>Clear</v>
      </c>
      <c r="L759" s="24">
        <v>0.47</v>
      </c>
      <c r="M759" s="24">
        <v>0.1045</v>
      </c>
      <c r="N759" s="21">
        <f>'Merged raw data'!$J759*100</f>
        <v>20</v>
      </c>
      <c r="O759" s="21">
        <v>4</v>
      </c>
      <c r="P759" s="21">
        <v>34</v>
      </c>
      <c r="Q759" s="21">
        <v>38</v>
      </c>
      <c r="R759" s="21" t="str">
        <f>IF(Q759&gt;=outliers!I761,"High",IF(Q759&lt;=outliers!I760,"Low","Moderate"))</f>
        <v>High</v>
      </c>
      <c r="S759" s="8" t="str">
        <f>IF(OR(Q759&lt;outliers!$I$6,Q759&gt;outliers!$I$7),"Outlier","Normal")</f>
        <v>Normal</v>
      </c>
      <c r="T759" s="8" t="str">
        <f>IF(OR(L759&lt;outliers!$J$6,L759&gt;outliers!$J$7),"Outlier","Normal")</f>
        <v>Normal</v>
      </c>
      <c r="U759" s="8" t="str">
        <f>IF(OR(M759&lt;outliers!$K$6,M759&gt;outliers!$K$7),"Outlier","Normal")</f>
        <v>Normal</v>
      </c>
    </row>
    <row r="760" spans="1:21">
      <c r="A760" s="21">
        <v>759</v>
      </c>
      <c r="B760" s="68">
        <v>40578</v>
      </c>
      <c r="C760" s="22" t="b">
        <v>0</v>
      </c>
      <c r="D760" s="21" t="str">
        <f t="shared" si="11"/>
        <v>Friday</v>
      </c>
      <c r="E760" s="23">
        <v>0.2576</v>
      </c>
      <c r="F760" s="23">
        <f>YEAR('Merged raw data'!$B760)</f>
        <v>2011</v>
      </c>
      <c r="G760" s="23" t="str">
        <f>TEXT('Merged raw data'!$B760,"mmmm")</f>
        <v>February</v>
      </c>
      <c r="H760" s="37" t="str">
        <f>TEXT(TIME('Merged raw data'!F760,0,0),"h AM/PM")</f>
        <v>12 AM</v>
      </c>
      <c r="I760" s="23" t="str">
        <f>IF(OR('Merged raw data'!H760=1,'Merged raw data'!H760=2,'Merged raw data'!H760=3,'Merged raw data'!H760=4,'Merged raw data'!H760=5),"weekday","weekend")</f>
        <v>weekday</v>
      </c>
      <c r="J760" s="23" t="s">
        <v>23</v>
      </c>
      <c r="K760" s="23" t="str">
        <f>IF('Merged raw data'!I760=1,"Clear",IF('Merged raw data'!I760=2,"Mist",IF('Merged raw data'!I760=3,"Rain",IF('Merged raw data'!I760=4,"Storm","NA"))))</f>
        <v>Mist</v>
      </c>
      <c r="L760" s="24">
        <v>0.44</v>
      </c>
      <c r="M760" s="24">
        <v>0.23</v>
      </c>
      <c r="N760" s="21">
        <f>'Merged raw data'!$J760*100</f>
        <v>20</v>
      </c>
      <c r="O760" s="21">
        <v>3</v>
      </c>
      <c r="P760" s="21">
        <v>10</v>
      </c>
      <c r="Q760" s="21">
        <v>13</v>
      </c>
      <c r="R760" s="21" t="str">
        <f>IF(Q760&gt;=outliers!I762,"High",IF(Q760&lt;=outliers!I761,"Low","Moderate"))</f>
        <v>High</v>
      </c>
      <c r="S760" s="8" t="str">
        <f>IF(OR(Q760&lt;outliers!$I$6,Q760&gt;outliers!$I$7),"Outlier","Normal")</f>
        <v>Normal</v>
      </c>
      <c r="T760" s="8" t="str">
        <f>IF(OR(L760&lt;outliers!$J$6,L760&gt;outliers!$J$7),"Outlier","Normal")</f>
        <v>Normal</v>
      </c>
      <c r="U760" s="8" t="str">
        <f>IF(OR(M760&lt;outliers!$K$6,M760&gt;outliers!$K$7),"Outlier","Normal")</f>
        <v>Normal</v>
      </c>
    </row>
    <row r="761" spans="1:21">
      <c r="A761" s="21">
        <v>760</v>
      </c>
      <c r="B761" s="68">
        <v>40578</v>
      </c>
      <c r="C761" s="22" t="b">
        <v>0</v>
      </c>
      <c r="D761" s="21" t="str">
        <f t="shared" si="11"/>
        <v>Friday</v>
      </c>
      <c r="E761" s="23">
        <v>0.2273</v>
      </c>
      <c r="F761" s="23">
        <f>YEAR('Merged raw data'!$B761)</f>
        <v>2011</v>
      </c>
      <c r="G761" s="23" t="str">
        <f>TEXT('Merged raw data'!$B761,"mmmm")</f>
        <v>February</v>
      </c>
      <c r="H761" s="37" t="str">
        <f>TEXT(TIME('Merged raw data'!F761,0,0),"h AM/PM")</f>
        <v>1 AM</v>
      </c>
      <c r="I761" s="23" t="str">
        <f>IF(OR('Merged raw data'!H761=1,'Merged raw data'!H761=2,'Merged raw data'!H761=3,'Merged raw data'!H761=4,'Merged raw data'!H761=5),"weekday","weekend")</f>
        <v>weekday</v>
      </c>
      <c r="J761" s="23" t="s">
        <v>23</v>
      </c>
      <c r="K761" s="23" t="str">
        <f>IF('Merged raw data'!I761=1,"Clear",IF('Merged raw data'!I761=2,"Mist",IF('Merged raw data'!I761=3,"Rain",IF('Merged raw data'!I761=4,"Storm","NA"))))</f>
        <v>Mist</v>
      </c>
      <c r="L761" s="24">
        <v>0.59</v>
      </c>
      <c r="M761" s="24">
        <v>0.23</v>
      </c>
      <c r="N761" s="21">
        <f>'Merged raw data'!$J761*100</f>
        <v>16</v>
      </c>
      <c r="O761" s="21">
        <v>0</v>
      </c>
      <c r="P761" s="21">
        <v>7</v>
      </c>
      <c r="Q761" s="21">
        <v>7</v>
      </c>
      <c r="R761" s="21" t="str">
        <f>IF(Q761&gt;=outliers!I763,"High",IF(Q761&lt;=outliers!I762,"Low","Moderate"))</f>
        <v>High</v>
      </c>
      <c r="S761" s="8" t="str">
        <f>IF(OR(Q761&lt;outliers!$I$6,Q761&gt;outliers!$I$7),"Outlier","Normal")</f>
        <v>Normal</v>
      </c>
      <c r="T761" s="8" t="str">
        <f>IF(OR(L761&lt;outliers!$J$6,L761&gt;outliers!$J$7),"Outlier","Normal")</f>
        <v>Normal</v>
      </c>
      <c r="U761" s="8" t="str">
        <f>IF(OR(M761&lt;outliers!$K$6,M761&gt;outliers!$K$7),"Outlier","Normal")</f>
        <v>Normal</v>
      </c>
    </row>
    <row r="762" spans="1:21">
      <c r="A762" s="21">
        <v>761</v>
      </c>
      <c r="B762" s="68">
        <v>40578</v>
      </c>
      <c r="C762" s="22" t="b">
        <v>0</v>
      </c>
      <c r="D762" s="21" t="str">
        <f t="shared" si="11"/>
        <v>Friday</v>
      </c>
      <c r="E762" s="23">
        <v>0.16669999999999999</v>
      </c>
      <c r="F762" s="23">
        <f>YEAR('Merged raw data'!$B762)</f>
        <v>2011</v>
      </c>
      <c r="G762" s="23" t="str">
        <f>TEXT('Merged raw data'!$B762,"mmmm")</f>
        <v>February</v>
      </c>
      <c r="H762" s="37" t="str">
        <f>TEXT(TIME('Merged raw data'!F762,0,0),"h AM/PM")</f>
        <v>2 AM</v>
      </c>
      <c r="I762" s="23" t="str">
        <f>IF(OR('Merged raw data'!H762=1,'Merged raw data'!H762=2,'Merged raw data'!H762=3,'Merged raw data'!H762=4,'Merged raw data'!H762=5),"weekday","weekend")</f>
        <v>weekday</v>
      </c>
      <c r="J762" s="23" t="s">
        <v>23</v>
      </c>
      <c r="K762" s="23" t="str">
        <f>IF('Merged raw data'!I762=1,"Clear",IF('Merged raw data'!I762=2,"Mist",IF('Merged raw data'!I762=3,"Rain",IF('Merged raw data'!I762=4,"Storm","NA"))))</f>
        <v>Mist</v>
      </c>
      <c r="L762" s="24">
        <v>0.63</v>
      </c>
      <c r="M762" s="24">
        <v>0.1045</v>
      </c>
      <c r="N762" s="21">
        <f>'Merged raw data'!$J762*100</f>
        <v>14.000000000000002</v>
      </c>
      <c r="O762" s="21">
        <v>0</v>
      </c>
      <c r="P762" s="21">
        <v>1</v>
      </c>
      <c r="Q762" s="21">
        <v>1</v>
      </c>
      <c r="R762" s="21" t="str">
        <f>IF(Q762&gt;=outliers!I764,"High",IF(Q762&lt;=outliers!I763,"Low","Moderate"))</f>
        <v>High</v>
      </c>
      <c r="S762" s="8" t="str">
        <f>IF(OR(Q762&lt;outliers!$I$6,Q762&gt;outliers!$I$7),"Outlier","Normal")</f>
        <v>Normal</v>
      </c>
      <c r="T762" s="8" t="str">
        <f>IF(OR(L762&lt;outliers!$J$6,L762&gt;outliers!$J$7),"Outlier","Normal")</f>
        <v>Normal</v>
      </c>
      <c r="U762" s="8" t="str">
        <f>IF(OR(M762&lt;outliers!$K$6,M762&gt;outliers!$K$7),"Outlier","Normal")</f>
        <v>Normal</v>
      </c>
    </row>
    <row r="763" spans="1:21">
      <c r="A763" s="21">
        <v>762</v>
      </c>
      <c r="B763" s="68">
        <v>40578</v>
      </c>
      <c r="C763" s="22" t="b">
        <v>0</v>
      </c>
      <c r="D763" s="21" t="str">
        <f t="shared" si="11"/>
        <v>Friday</v>
      </c>
      <c r="E763" s="23">
        <v>0.16669999999999999</v>
      </c>
      <c r="F763" s="23">
        <f>YEAR('Merged raw data'!$B763)</f>
        <v>2011</v>
      </c>
      <c r="G763" s="23" t="str">
        <f>TEXT('Merged raw data'!$B763,"mmmm")</f>
        <v>February</v>
      </c>
      <c r="H763" s="37" t="str">
        <f>TEXT(TIME('Merged raw data'!F763,0,0),"h AM/PM")</f>
        <v>3 AM</v>
      </c>
      <c r="I763" s="23" t="str">
        <f>IF(OR('Merged raw data'!H763=1,'Merged raw data'!H763=2,'Merged raw data'!H763=3,'Merged raw data'!H763=4,'Merged raw data'!H763=5),"weekday","weekend")</f>
        <v>weekday</v>
      </c>
      <c r="J763" s="23" t="s">
        <v>23</v>
      </c>
      <c r="K763" s="23" t="str">
        <f>IF('Merged raw data'!I763=1,"Clear",IF('Merged raw data'!I763=2,"Mist",IF('Merged raw data'!I763=3,"Rain",IF('Merged raw data'!I763=4,"Storm","NA"))))</f>
        <v>Mist</v>
      </c>
      <c r="L763" s="24">
        <v>0.63</v>
      </c>
      <c r="M763" s="24">
        <v>0.1045</v>
      </c>
      <c r="N763" s="21">
        <f>'Merged raw data'!$J763*100</f>
        <v>14.000000000000002</v>
      </c>
      <c r="O763" s="21">
        <v>0</v>
      </c>
      <c r="P763" s="21">
        <v>1</v>
      </c>
      <c r="Q763" s="21">
        <v>1</v>
      </c>
      <c r="R763" s="21" t="str">
        <f>IF(Q763&gt;=outliers!I765,"High",IF(Q763&lt;=outliers!I764,"Low","Moderate"))</f>
        <v>High</v>
      </c>
      <c r="S763" s="8" t="str">
        <f>IF(OR(Q763&lt;outliers!$I$6,Q763&gt;outliers!$I$7),"Outlier","Normal")</f>
        <v>Normal</v>
      </c>
      <c r="T763" s="8" t="str">
        <f>IF(OR(L763&lt;outliers!$J$6,L763&gt;outliers!$J$7),"Outlier","Normal")</f>
        <v>Normal</v>
      </c>
      <c r="U763" s="8" t="str">
        <f>IF(OR(M763&lt;outliers!$K$6,M763&gt;outliers!$K$7),"Outlier","Normal")</f>
        <v>Normal</v>
      </c>
    </row>
    <row r="764" spans="1:21">
      <c r="A764" s="21">
        <v>763</v>
      </c>
      <c r="B764" s="68">
        <v>40578</v>
      </c>
      <c r="C764" s="22" t="b">
        <v>0</v>
      </c>
      <c r="D764" s="21" t="str">
        <f t="shared" si="11"/>
        <v>Friday</v>
      </c>
      <c r="E764" s="23">
        <v>0.1515</v>
      </c>
      <c r="F764" s="23">
        <f>YEAR('Merged raw data'!$B764)</f>
        <v>2011</v>
      </c>
      <c r="G764" s="23" t="str">
        <f>TEXT('Merged raw data'!$B764,"mmmm")</f>
        <v>February</v>
      </c>
      <c r="H764" s="37" t="str">
        <f>TEXT(TIME('Merged raw data'!F764,0,0),"h AM/PM")</f>
        <v>5 AM</v>
      </c>
      <c r="I764" s="23" t="str">
        <f>IF(OR('Merged raw data'!H764=1,'Merged raw data'!H764=2,'Merged raw data'!H764=3,'Merged raw data'!H764=4,'Merged raw data'!H764=5),"weekday","weekend")</f>
        <v>weekday</v>
      </c>
      <c r="J764" s="23" t="s">
        <v>23</v>
      </c>
      <c r="K764" s="23" t="str">
        <f>IF('Merged raw data'!I764=1,"Clear",IF('Merged raw data'!I764=2,"Mist",IF('Merged raw data'!I764=3,"Rain",IF('Merged raw data'!I764=4,"Storm","NA"))))</f>
        <v>Mist</v>
      </c>
      <c r="L764" s="24">
        <v>0.63</v>
      </c>
      <c r="M764" s="24">
        <v>0.1343</v>
      </c>
      <c r="N764" s="21">
        <f>'Merged raw data'!$J764*100</f>
        <v>14.000000000000002</v>
      </c>
      <c r="O764" s="21">
        <v>0</v>
      </c>
      <c r="P764" s="21">
        <v>7</v>
      </c>
      <c r="Q764" s="21">
        <v>7</v>
      </c>
      <c r="R764" s="21" t="str">
        <f>IF(Q764&gt;=outliers!I766,"High",IF(Q764&lt;=outliers!I765,"Low","Moderate"))</f>
        <v>High</v>
      </c>
      <c r="S764" s="8" t="str">
        <f>IF(OR(Q764&lt;outliers!$I$6,Q764&gt;outliers!$I$7),"Outlier","Normal")</f>
        <v>Normal</v>
      </c>
      <c r="T764" s="8" t="str">
        <f>IF(OR(L764&lt;outliers!$J$6,L764&gt;outliers!$J$7),"Outlier","Normal")</f>
        <v>Normal</v>
      </c>
      <c r="U764" s="8" t="str">
        <f>IF(OR(M764&lt;outliers!$K$6,M764&gt;outliers!$K$7),"Outlier","Normal")</f>
        <v>Normal</v>
      </c>
    </row>
    <row r="765" spans="1:21">
      <c r="A765" s="21">
        <v>764</v>
      </c>
      <c r="B765" s="68">
        <v>40578</v>
      </c>
      <c r="C765" s="22" t="b">
        <v>0</v>
      </c>
      <c r="D765" s="21" t="str">
        <f t="shared" si="11"/>
        <v>Friday</v>
      </c>
      <c r="E765" s="23">
        <v>0.2273</v>
      </c>
      <c r="F765" s="23">
        <f>YEAR('Merged raw data'!$B765)</f>
        <v>2011</v>
      </c>
      <c r="G765" s="23" t="str">
        <f>TEXT('Merged raw data'!$B765,"mmmm")</f>
        <v>February</v>
      </c>
      <c r="H765" s="37" t="str">
        <f>TEXT(TIME('Merged raw data'!F765,0,0),"h AM/PM")</f>
        <v>6 AM</v>
      </c>
      <c r="I765" s="23" t="str">
        <f>IF(OR('Merged raw data'!H765=1,'Merged raw data'!H765=2,'Merged raw data'!H765=3,'Merged raw data'!H765=4,'Merged raw data'!H765=5),"weekday","weekend")</f>
        <v>weekday</v>
      </c>
      <c r="J765" s="23" t="s">
        <v>23</v>
      </c>
      <c r="K765" s="23" t="str">
        <f>IF('Merged raw data'!I765=1,"Clear",IF('Merged raw data'!I765=2,"Mist",IF('Merged raw data'!I765=3,"Rain",IF('Merged raw data'!I765=4,"Storm","NA"))))</f>
        <v>Mist</v>
      </c>
      <c r="L765" s="24">
        <v>0.55000000000000004</v>
      </c>
      <c r="M765" s="24">
        <v>0.23</v>
      </c>
      <c r="N765" s="21">
        <f>'Merged raw data'!$J765*100</f>
        <v>16</v>
      </c>
      <c r="O765" s="21">
        <v>2</v>
      </c>
      <c r="P765" s="21">
        <v>26</v>
      </c>
      <c r="Q765" s="21">
        <v>28</v>
      </c>
      <c r="R765" s="21" t="str">
        <f>IF(Q765&gt;=outliers!I767,"High",IF(Q765&lt;=outliers!I766,"Low","Moderate"))</f>
        <v>High</v>
      </c>
      <c r="S765" s="8" t="str">
        <f>IF(OR(Q765&lt;outliers!$I$6,Q765&gt;outliers!$I$7),"Outlier","Normal")</f>
        <v>Normal</v>
      </c>
      <c r="T765" s="8" t="str">
        <f>IF(OR(L765&lt;outliers!$J$6,L765&gt;outliers!$J$7),"Outlier","Normal")</f>
        <v>Normal</v>
      </c>
      <c r="U765" s="8" t="str">
        <f>IF(OR(M765&lt;outliers!$K$6,M765&gt;outliers!$K$7),"Outlier","Normal")</f>
        <v>Normal</v>
      </c>
    </row>
    <row r="766" spans="1:21">
      <c r="A766" s="21">
        <v>765</v>
      </c>
      <c r="B766" s="68">
        <v>40578</v>
      </c>
      <c r="C766" s="22" t="b">
        <v>0</v>
      </c>
      <c r="D766" s="21" t="str">
        <f t="shared" si="11"/>
        <v>Friday</v>
      </c>
      <c r="E766" s="23">
        <v>0.21210000000000001</v>
      </c>
      <c r="F766" s="23">
        <f>YEAR('Merged raw data'!$B766)</f>
        <v>2011</v>
      </c>
      <c r="G766" s="23" t="str">
        <f>TEXT('Merged raw data'!$B766,"mmmm")</f>
        <v>February</v>
      </c>
      <c r="H766" s="37" t="str">
        <f>TEXT(TIME('Merged raw data'!F766,0,0),"h AM/PM")</f>
        <v>7 AM</v>
      </c>
      <c r="I766" s="23" t="str">
        <f>IF(OR('Merged raw data'!H766=1,'Merged raw data'!H766=2,'Merged raw data'!H766=3,'Merged raw data'!H766=4,'Merged raw data'!H766=5),"weekday","weekend")</f>
        <v>weekday</v>
      </c>
      <c r="J766" s="23" t="s">
        <v>23</v>
      </c>
      <c r="K766" s="23" t="str">
        <f>IF('Merged raw data'!I766=1,"Clear",IF('Merged raw data'!I766=2,"Mist",IF('Merged raw data'!I766=3,"Rain",IF('Merged raw data'!I766=4,"Storm","NA"))))</f>
        <v>Clear</v>
      </c>
      <c r="L766" s="24">
        <v>0.59</v>
      </c>
      <c r="M766" s="24">
        <v>0.23</v>
      </c>
      <c r="N766" s="21">
        <f>'Merged raw data'!$J766*100</f>
        <v>14.000000000000002</v>
      </c>
      <c r="O766" s="21">
        <v>0</v>
      </c>
      <c r="P766" s="21">
        <v>87</v>
      </c>
      <c r="Q766" s="21">
        <v>87</v>
      </c>
      <c r="R766" s="21" t="str">
        <f>IF(Q766&gt;=outliers!I768,"High",IF(Q766&lt;=outliers!I767,"Low","Moderate"))</f>
        <v>High</v>
      </c>
      <c r="S766" s="8" t="str">
        <f>IF(OR(Q766&lt;outliers!$I$6,Q766&gt;outliers!$I$7),"Outlier","Normal")</f>
        <v>Normal</v>
      </c>
      <c r="T766" s="8" t="str">
        <f>IF(OR(L766&lt;outliers!$J$6,L766&gt;outliers!$J$7),"Outlier","Normal")</f>
        <v>Normal</v>
      </c>
      <c r="U766" s="8" t="str">
        <f>IF(OR(M766&lt;outliers!$K$6,M766&gt;outliers!$K$7),"Outlier","Normal")</f>
        <v>Normal</v>
      </c>
    </row>
    <row r="767" spans="1:21">
      <c r="A767" s="21">
        <v>766</v>
      </c>
      <c r="B767" s="68">
        <v>40578</v>
      </c>
      <c r="C767" s="22" t="b">
        <v>0</v>
      </c>
      <c r="D767" s="21" t="str">
        <f t="shared" si="11"/>
        <v>Friday</v>
      </c>
      <c r="E767" s="23">
        <v>0.1515</v>
      </c>
      <c r="F767" s="23">
        <f>YEAR('Merged raw data'!$B767)</f>
        <v>2011</v>
      </c>
      <c r="G767" s="23" t="str">
        <f>TEXT('Merged raw data'!$B767,"mmmm")</f>
        <v>February</v>
      </c>
      <c r="H767" s="37" t="str">
        <f>TEXT(TIME('Merged raw data'!F767,0,0),"h AM/PM")</f>
        <v>8 AM</v>
      </c>
      <c r="I767" s="23" t="str">
        <f>IF(OR('Merged raw data'!H767=1,'Merged raw data'!H767=2,'Merged raw data'!H767=3,'Merged raw data'!H767=4,'Merged raw data'!H767=5),"weekday","weekend")</f>
        <v>weekday</v>
      </c>
      <c r="J767" s="23" t="s">
        <v>23</v>
      </c>
      <c r="K767" s="23" t="str">
        <f>IF('Merged raw data'!I767=1,"Clear",IF('Merged raw data'!I767=2,"Mist",IF('Merged raw data'!I767=3,"Rain",IF('Merged raw data'!I767=4,"Storm","NA"))))</f>
        <v>Clear</v>
      </c>
      <c r="L767" s="24">
        <v>0.74</v>
      </c>
      <c r="M767" s="24">
        <v>0.1343</v>
      </c>
      <c r="N767" s="21">
        <f>'Merged raw data'!$J767*100</f>
        <v>14.000000000000002</v>
      </c>
      <c r="O767" s="21">
        <v>3</v>
      </c>
      <c r="P767" s="21">
        <v>217</v>
      </c>
      <c r="Q767" s="21">
        <v>220</v>
      </c>
      <c r="R767" s="21" t="str">
        <f>IF(Q767&gt;=outliers!I769,"High",IF(Q767&lt;=outliers!I768,"Low","Moderate"))</f>
        <v>High</v>
      </c>
      <c r="S767" s="8" t="str">
        <f>IF(OR(Q767&lt;outliers!$I$6,Q767&gt;outliers!$I$7),"Outlier","Normal")</f>
        <v>Outlier</v>
      </c>
      <c r="T767" s="8" t="str">
        <f>IF(OR(L767&lt;outliers!$J$6,L767&gt;outliers!$J$7),"Outlier","Normal")</f>
        <v>Normal</v>
      </c>
      <c r="U767" s="8" t="str">
        <f>IF(OR(M767&lt;outliers!$K$6,M767&gt;outliers!$K$7),"Outlier","Normal")</f>
        <v>Normal</v>
      </c>
    </row>
    <row r="768" spans="1:21">
      <c r="A768" s="21">
        <v>767</v>
      </c>
      <c r="B768" s="68">
        <v>40578</v>
      </c>
      <c r="C768" s="22" t="b">
        <v>0</v>
      </c>
      <c r="D768" s="21" t="str">
        <f t="shared" si="11"/>
        <v>Friday</v>
      </c>
      <c r="E768" s="23">
        <v>0.18179999999999999</v>
      </c>
      <c r="F768" s="23">
        <f>YEAR('Merged raw data'!$B768)</f>
        <v>2011</v>
      </c>
      <c r="G768" s="23" t="str">
        <f>TEXT('Merged raw data'!$B768,"mmmm")</f>
        <v>February</v>
      </c>
      <c r="H768" s="37" t="str">
        <f>TEXT(TIME('Merged raw data'!F768,0,0),"h AM/PM")</f>
        <v>9 AM</v>
      </c>
      <c r="I768" s="23" t="str">
        <f>IF(OR('Merged raw data'!H768=1,'Merged raw data'!H768=2,'Merged raw data'!H768=3,'Merged raw data'!H768=4,'Merged raw data'!H768=5),"weekday","weekend")</f>
        <v>weekday</v>
      </c>
      <c r="J768" s="23" t="s">
        <v>23</v>
      </c>
      <c r="K768" s="23" t="str">
        <f>IF('Merged raw data'!I768=1,"Clear",IF('Merged raw data'!I768=2,"Mist",IF('Merged raw data'!I768=3,"Rain",IF('Merged raw data'!I768=4,"Storm","NA"))))</f>
        <v>Mist</v>
      </c>
      <c r="L768" s="24">
        <v>0.8</v>
      </c>
      <c r="M768" s="24">
        <v>0.1343</v>
      </c>
      <c r="N768" s="21">
        <f>'Merged raw data'!$J768*100</f>
        <v>16</v>
      </c>
      <c r="O768" s="21">
        <v>3</v>
      </c>
      <c r="P768" s="21">
        <v>124</v>
      </c>
      <c r="Q768" s="21">
        <v>127</v>
      </c>
      <c r="R768" s="21" t="str">
        <f>IF(Q768&gt;=outliers!I770,"High",IF(Q768&lt;=outliers!I769,"Low","Moderate"))</f>
        <v>High</v>
      </c>
      <c r="S768" s="8" t="str">
        <f>IF(OR(Q768&lt;outliers!$I$6,Q768&gt;outliers!$I$7),"Outlier","Normal")</f>
        <v>Normal</v>
      </c>
      <c r="T768" s="8" t="str">
        <f>IF(OR(L768&lt;outliers!$J$6,L768&gt;outliers!$J$7),"Outlier","Normal")</f>
        <v>Normal</v>
      </c>
      <c r="U768" s="8" t="str">
        <f>IF(OR(M768&lt;outliers!$K$6,M768&gt;outliers!$K$7),"Outlier","Normal")</f>
        <v>Normal</v>
      </c>
    </row>
    <row r="769" spans="1:21">
      <c r="A769" s="21">
        <v>768</v>
      </c>
      <c r="B769" s="68">
        <v>40578</v>
      </c>
      <c r="C769" s="22" t="b">
        <v>0</v>
      </c>
      <c r="D769" s="21" t="str">
        <f t="shared" si="11"/>
        <v>Friday</v>
      </c>
      <c r="E769" s="23">
        <v>0.21210000000000001</v>
      </c>
      <c r="F769" s="23">
        <f>YEAR('Merged raw data'!$B769)</f>
        <v>2011</v>
      </c>
      <c r="G769" s="23" t="str">
        <f>TEXT('Merged raw data'!$B769,"mmmm")</f>
        <v>February</v>
      </c>
      <c r="H769" s="37" t="str">
        <f>TEXT(TIME('Merged raw data'!F769,0,0),"h AM/PM")</f>
        <v>10 AM</v>
      </c>
      <c r="I769" s="23" t="str">
        <f>IF(OR('Merged raw data'!H769=1,'Merged raw data'!H769=2,'Merged raw data'!H769=3,'Merged raw data'!H769=4,'Merged raw data'!H769=5),"weekday","weekend")</f>
        <v>weekday</v>
      </c>
      <c r="J769" s="23" t="s">
        <v>23</v>
      </c>
      <c r="K769" s="23" t="str">
        <f>IF('Merged raw data'!I769=1,"Clear",IF('Merged raw data'!I769=2,"Mist",IF('Merged raw data'!I769=3,"Rain",IF('Merged raw data'!I769=4,"Storm","NA"))))</f>
        <v>Mist</v>
      </c>
      <c r="L769" s="24">
        <v>0.51</v>
      </c>
      <c r="M769" s="24">
        <v>0.1343</v>
      </c>
      <c r="N769" s="21">
        <f>'Merged raw data'!$J769*100</f>
        <v>20</v>
      </c>
      <c r="O769" s="21">
        <v>5</v>
      </c>
      <c r="P769" s="21">
        <v>46</v>
      </c>
      <c r="Q769" s="21">
        <v>51</v>
      </c>
      <c r="R769" s="21" t="str">
        <f>IF(Q769&gt;=outliers!I771,"High",IF(Q769&lt;=outliers!I770,"Low","Moderate"))</f>
        <v>High</v>
      </c>
      <c r="S769" s="8" t="str">
        <f>IF(OR(Q769&lt;outliers!$I$6,Q769&gt;outliers!$I$7),"Outlier","Normal")</f>
        <v>Normal</v>
      </c>
      <c r="T769" s="8" t="str">
        <f>IF(OR(L769&lt;outliers!$J$6,L769&gt;outliers!$J$7),"Outlier","Normal")</f>
        <v>Normal</v>
      </c>
      <c r="U769" s="8" t="str">
        <f>IF(OR(M769&lt;outliers!$K$6,M769&gt;outliers!$K$7),"Outlier","Normal")</f>
        <v>Normal</v>
      </c>
    </row>
    <row r="770" spans="1:21">
      <c r="A770" s="21">
        <v>769</v>
      </c>
      <c r="B770" s="68">
        <v>40578</v>
      </c>
      <c r="C770" s="22" t="b">
        <v>0</v>
      </c>
      <c r="D770" s="21" t="str">
        <f t="shared" si="11"/>
        <v>Friday</v>
      </c>
      <c r="E770" s="23">
        <v>0.2273</v>
      </c>
      <c r="F770" s="23">
        <f>YEAR('Merged raw data'!$B770)</f>
        <v>2011</v>
      </c>
      <c r="G770" s="23" t="str">
        <f>TEXT('Merged raw data'!$B770,"mmmm")</f>
        <v>February</v>
      </c>
      <c r="H770" s="37" t="str">
        <f>TEXT(TIME('Merged raw data'!F770,0,0),"h AM/PM")</f>
        <v>11 AM</v>
      </c>
      <c r="I770" s="23" t="str">
        <f>IF(OR('Merged raw data'!H770=1,'Merged raw data'!H770=2,'Merged raw data'!H770=3,'Merged raw data'!H770=4,'Merged raw data'!H770=5),"weekday","weekend")</f>
        <v>weekday</v>
      </c>
      <c r="J770" s="23" t="s">
        <v>23</v>
      </c>
      <c r="K770" s="23" t="str">
        <f>IF('Merged raw data'!I770=1,"Clear",IF('Merged raw data'!I770=2,"Mist",IF('Merged raw data'!I770=3,"Rain",IF('Merged raw data'!I770=4,"Storm","NA"))))</f>
        <v>Clear</v>
      </c>
      <c r="L770" s="24">
        <v>0.51</v>
      </c>
      <c r="M770" s="24">
        <v>0.16420000000000001</v>
      </c>
      <c r="N770" s="21">
        <f>'Merged raw data'!$J770*100</f>
        <v>22</v>
      </c>
      <c r="O770" s="21">
        <v>3</v>
      </c>
      <c r="P770" s="21">
        <v>61</v>
      </c>
      <c r="Q770" s="21">
        <v>64</v>
      </c>
      <c r="R770" s="21" t="str">
        <f>IF(Q770&gt;=outliers!I772,"High",IF(Q770&lt;=outliers!I771,"Low","Moderate"))</f>
        <v>High</v>
      </c>
      <c r="S770" s="8" t="str">
        <f>IF(OR(Q770&lt;outliers!$I$6,Q770&gt;outliers!$I$7),"Outlier","Normal")</f>
        <v>Normal</v>
      </c>
      <c r="T770" s="8" t="str">
        <f>IF(OR(L770&lt;outliers!$J$6,L770&gt;outliers!$J$7),"Outlier","Normal")</f>
        <v>Normal</v>
      </c>
      <c r="U770" s="8" t="str">
        <f>IF(OR(M770&lt;outliers!$K$6,M770&gt;outliers!$K$7),"Outlier","Normal")</f>
        <v>Normal</v>
      </c>
    </row>
    <row r="771" spans="1:21">
      <c r="A771" s="21">
        <v>770</v>
      </c>
      <c r="B771" s="68">
        <v>40578</v>
      </c>
      <c r="C771" s="22" t="b">
        <v>0</v>
      </c>
      <c r="D771" s="21" t="str">
        <f t="shared" ref="D771:D834" si="12">TEXT(B771,"dddd")</f>
        <v>Friday</v>
      </c>
      <c r="E771" s="23">
        <v>0.2424</v>
      </c>
      <c r="F771" s="23">
        <f>YEAR('Merged raw data'!$B771)</f>
        <v>2011</v>
      </c>
      <c r="G771" s="23" t="str">
        <f>TEXT('Merged raw data'!$B771,"mmmm")</f>
        <v>February</v>
      </c>
      <c r="H771" s="37" t="str">
        <f>TEXT(TIME('Merged raw data'!F771,0,0),"h AM/PM")</f>
        <v>12 PM</v>
      </c>
      <c r="I771" s="23" t="str">
        <f>IF(OR('Merged raw data'!H771=1,'Merged raw data'!H771=2,'Merged raw data'!H771=3,'Merged raw data'!H771=4,'Merged raw data'!H771=5),"weekday","weekend")</f>
        <v>weekday</v>
      </c>
      <c r="J771" s="23" t="s">
        <v>23</v>
      </c>
      <c r="K771" s="23" t="str">
        <f>IF('Merged raw data'!I771=1,"Clear",IF('Merged raw data'!I771=2,"Mist",IF('Merged raw data'!I771=3,"Rain",IF('Merged raw data'!I771=4,"Storm","NA"))))</f>
        <v>Mist</v>
      </c>
      <c r="L771" s="24">
        <v>0.48</v>
      </c>
      <c r="M771" s="24">
        <v>0.16420000000000001</v>
      </c>
      <c r="N771" s="21">
        <f>'Merged raw data'!$J771*100</f>
        <v>24</v>
      </c>
      <c r="O771" s="21">
        <v>8</v>
      </c>
      <c r="P771" s="21">
        <v>78</v>
      </c>
      <c r="Q771" s="21">
        <v>86</v>
      </c>
      <c r="R771" s="21" t="str">
        <f>IF(Q771&gt;=outliers!I773,"High",IF(Q771&lt;=outliers!I772,"Low","Moderate"))</f>
        <v>High</v>
      </c>
      <c r="S771" s="8" t="str">
        <f>IF(OR(Q771&lt;outliers!$I$6,Q771&gt;outliers!$I$7),"Outlier","Normal")</f>
        <v>Normal</v>
      </c>
      <c r="T771" s="8" t="str">
        <f>IF(OR(L771&lt;outliers!$J$6,L771&gt;outliers!$J$7),"Outlier","Normal")</f>
        <v>Normal</v>
      </c>
      <c r="U771" s="8" t="str">
        <f>IF(OR(M771&lt;outliers!$K$6,M771&gt;outliers!$K$7),"Outlier","Normal")</f>
        <v>Normal</v>
      </c>
    </row>
    <row r="772" spans="1:21">
      <c r="A772" s="21">
        <v>771</v>
      </c>
      <c r="B772" s="68">
        <v>40578</v>
      </c>
      <c r="C772" s="22" t="b">
        <v>0</v>
      </c>
      <c r="D772" s="21" t="str">
        <f t="shared" si="12"/>
        <v>Friday</v>
      </c>
      <c r="E772" s="23">
        <v>0.2576</v>
      </c>
      <c r="F772" s="23">
        <f>YEAR('Merged raw data'!$B772)</f>
        <v>2011</v>
      </c>
      <c r="G772" s="23" t="str">
        <f>TEXT('Merged raw data'!$B772,"mmmm")</f>
        <v>February</v>
      </c>
      <c r="H772" s="37" t="str">
        <f>TEXT(TIME('Merged raw data'!F772,0,0),"h AM/PM")</f>
        <v>1 PM</v>
      </c>
      <c r="I772" s="23" t="str">
        <f>IF(OR('Merged raw data'!H772=1,'Merged raw data'!H772=2,'Merged raw data'!H772=3,'Merged raw data'!H772=4,'Merged raw data'!H772=5),"weekday","weekend")</f>
        <v>weekday</v>
      </c>
      <c r="J772" s="23" t="s">
        <v>23</v>
      </c>
      <c r="K772" s="23" t="str">
        <f>IF('Merged raw data'!I772=1,"Clear",IF('Merged raw data'!I772=2,"Mist",IF('Merged raw data'!I772=3,"Rain",IF('Merged raw data'!I772=4,"Storm","NA"))))</f>
        <v>Mist</v>
      </c>
      <c r="L772" s="24">
        <v>0.5</v>
      </c>
      <c r="M772" s="24">
        <v>0.22389999999999999</v>
      </c>
      <c r="N772" s="21">
        <f>'Merged raw data'!$J772*100</f>
        <v>26</v>
      </c>
      <c r="O772" s="21">
        <v>9</v>
      </c>
      <c r="P772" s="21">
        <v>73</v>
      </c>
      <c r="Q772" s="21">
        <v>82</v>
      </c>
      <c r="R772" s="21" t="str">
        <f>IF(Q772&gt;=outliers!I774,"High",IF(Q772&lt;=outliers!I773,"Low","Moderate"))</f>
        <v>High</v>
      </c>
      <c r="S772" s="8" t="str">
        <f>IF(OR(Q772&lt;outliers!$I$6,Q772&gt;outliers!$I$7),"Outlier","Normal")</f>
        <v>Normal</v>
      </c>
      <c r="T772" s="8" t="str">
        <f>IF(OR(L772&lt;outliers!$J$6,L772&gt;outliers!$J$7),"Outlier","Normal")</f>
        <v>Normal</v>
      </c>
      <c r="U772" s="8" t="str">
        <f>IF(OR(M772&lt;outliers!$K$6,M772&gt;outliers!$K$7),"Outlier","Normal")</f>
        <v>Normal</v>
      </c>
    </row>
    <row r="773" spans="1:21">
      <c r="A773" s="21">
        <v>772</v>
      </c>
      <c r="B773" s="68">
        <v>40578</v>
      </c>
      <c r="C773" s="22" t="b">
        <v>0</v>
      </c>
      <c r="D773" s="21" t="str">
        <f t="shared" si="12"/>
        <v>Friday</v>
      </c>
      <c r="E773" s="23">
        <v>0.2727</v>
      </c>
      <c r="F773" s="23">
        <f>YEAR('Merged raw data'!$B773)</f>
        <v>2011</v>
      </c>
      <c r="G773" s="23" t="str">
        <f>TEXT('Merged raw data'!$B773,"mmmm")</f>
        <v>February</v>
      </c>
      <c r="H773" s="37" t="str">
        <f>TEXT(TIME('Merged raw data'!F773,0,0),"h AM/PM")</f>
        <v>2 PM</v>
      </c>
      <c r="I773" s="23" t="str">
        <f>IF(OR('Merged raw data'!H773=1,'Merged raw data'!H773=2,'Merged raw data'!H773=3,'Merged raw data'!H773=4,'Merged raw data'!H773=5),"weekday","weekend")</f>
        <v>weekday</v>
      </c>
      <c r="J773" s="23" t="s">
        <v>23</v>
      </c>
      <c r="K773" s="23" t="str">
        <f>IF('Merged raw data'!I773=1,"Clear",IF('Merged raw data'!I773=2,"Mist",IF('Merged raw data'!I773=3,"Rain",IF('Merged raw data'!I773=4,"Storm","NA"))))</f>
        <v>Mist</v>
      </c>
      <c r="L773" s="24">
        <v>0.45</v>
      </c>
      <c r="M773" s="24">
        <v>0.16420000000000001</v>
      </c>
      <c r="N773" s="21">
        <f>'Merged raw data'!$J773*100</f>
        <v>28.000000000000004</v>
      </c>
      <c r="O773" s="21">
        <v>15</v>
      </c>
      <c r="P773" s="21">
        <v>76</v>
      </c>
      <c r="Q773" s="21">
        <v>91</v>
      </c>
      <c r="R773" s="21" t="str">
        <f>IF(Q773&gt;=outliers!I775,"High",IF(Q773&lt;=outliers!I774,"Low","Moderate"))</f>
        <v>High</v>
      </c>
      <c r="S773" s="8" t="str">
        <f>IF(OR(Q773&lt;outliers!$I$6,Q773&gt;outliers!$I$7),"Outlier","Normal")</f>
        <v>Normal</v>
      </c>
      <c r="T773" s="8" t="str">
        <f>IF(OR(L773&lt;outliers!$J$6,L773&gt;outliers!$J$7),"Outlier","Normal")</f>
        <v>Normal</v>
      </c>
      <c r="U773" s="8" t="str">
        <f>IF(OR(M773&lt;outliers!$K$6,M773&gt;outliers!$K$7),"Outlier","Normal")</f>
        <v>Normal</v>
      </c>
    </row>
    <row r="774" spans="1:21">
      <c r="A774" s="21">
        <v>773</v>
      </c>
      <c r="B774" s="68">
        <v>40578</v>
      </c>
      <c r="C774" s="22" t="b">
        <v>0</v>
      </c>
      <c r="D774" s="21" t="str">
        <f t="shared" si="12"/>
        <v>Friday</v>
      </c>
      <c r="E774" s="23">
        <v>0.2727</v>
      </c>
      <c r="F774" s="23">
        <f>YEAR('Merged raw data'!$B774)</f>
        <v>2011</v>
      </c>
      <c r="G774" s="23" t="str">
        <f>TEXT('Merged raw data'!$B774,"mmmm")</f>
        <v>February</v>
      </c>
      <c r="H774" s="37" t="str">
        <f>TEXT(TIME('Merged raw data'!F774,0,0),"h AM/PM")</f>
        <v>3 PM</v>
      </c>
      <c r="I774" s="23" t="str">
        <f>IF(OR('Merged raw data'!H774=1,'Merged raw data'!H774=2,'Merged raw data'!H774=3,'Merged raw data'!H774=4,'Merged raw data'!H774=5),"weekday","weekend")</f>
        <v>weekday</v>
      </c>
      <c r="J774" s="23" t="s">
        <v>23</v>
      </c>
      <c r="K774" s="23" t="str">
        <f>IF('Merged raw data'!I774=1,"Clear",IF('Merged raw data'!I774=2,"Mist",IF('Merged raw data'!I774=3,"Rain",IF('Merged raw data'!I774=4,"Storm","NA"))))</f>
        <v>Mist</v>
      </c>
      <c r="L774" s="24">
        <v>0.48</v>
      </c>
      <c r="M774" s="24">
        <v>0.25369999999999998</v>
      </c>
      <c r="N774" s="21">
        <f>'Merged raw data'!$J774*100</f>
        <v>28.000000000000004</v>
      </c>
      <c r="O774" s="21">
        <v>9</v>
      </c>
      <c r="P774" s="21">
        <v>81</v>
      </c>
      <c r="Q774" s="21">
        <v>90</v>
      </c>
      <c r="R774" s="21" t="str">
        <f>IF(Q774&gt;=outliers!I776,"High",IF(Q774&lt;=outliers!I775,"Low","Moderate"))</f>
        <v>High</v>
      </c>
      <c r="S774" s="8" t="str">
        <f>IF(OR(Q774&lt;outliers!$I$6,Q774&gt;outliers!$I$7),"Outlier","Normal")</f>
        <v>Normal</v>
      </c>
      <c r="T774" s="8" t="str">
        <f>IF(OR(L774&lt;outliers!$J$6,L774&gt;outliers!$J$7),"Outlier","Normal")</f>
        <v>Normal</v>
      </c>
      <c r="U774" s="8" t="str">
        <f>IF(OR(M774&lt;outliers!$K$6,M774&gt;outliers!$K$7),"Outlier","Normal")</f>
        <v>Normal</v>
      </c>
    </row>
    <row r="775" spans="1:21">
      <c r="A775" s="21">
        <v>774</v>
      </c>
      <c r="B775" s="68">
        <v>40578</v>
      </c>
      <c r="C775" s="22" t="b">
        <v>0</v>
      </c>
      <c r="D775" s="21" t="str">
        <f t="shared" si="12"/>
        <v>Friday</v>
      </c>
      <c r="E775" s="23">
        <v>0.28789999999999999</v>
      </c>
      <c r="F775" s="23">
        <f>YEAR('Merged raw data'!$B775)</f>
        <v>2011</v>
      </c>
      <c r="G775" s="23" t="str">
        <f>TEXT('Merged raw data'!$B775,"mmmm")</f>
        <v>February</v>
      </c>
      <c r="H775" s="37" t="str">
        <f>TEXT(TIME('Merged raw data'!F775,0,0),"h AM/PM")</f>
        <v>4 PM</v>
      </c>
      <c r="I775" s="23" t="str">
        <f>IF(OR('Merged raw data'!H775=1,'Merged raw data'!H775=2,'Merged raw data'!H775=3,'Merged raw data'!H775=4,'Merged raw data'!H775=5),"weekday","weekend")</f>
        <v>weekday</v>
      </c>
      <c r="J775" s="23" t="s">
        <v>23</v>
      </c>
      <c r="K775" s="23" t="str">
        <f>IF('Merged raw data'!I775=1,"Clear",IF('Merged raw data'!I775=2,"Mist",IF('Merged raw data'!I775=3,"Rain",IF('Merged raw data'!I775=4,"Storm","NA"))))</f>
        <v>Mist</v>
      </c>
      <c r="L775" s="24">
        <v>0.42</v>
      </c>
      <c r="M775" s="24">
        <v>0.22389999999999999</v>
      </c>
      <c r="N775" s="21">
        <f>'Merged raw data'!$J775*100</f>
        <v>30</v>
      </c>
      <c r="O775" s="21">
        <v>8</v>
      </c>
      <c r="P775" s="21">
        <v>91</v>
      </c>
      <c r="Q775" s="21">
        <v>99</v>
      </c>
      <c r="R775" s="21" t="str">
        <f>IF(Q775&gt;=outliers!I777,"High",IF(Q775&lt;=outliers!I776,"Low","Moderate"))</f>
        <v>High</v>
      </c>
      <c r="S775" s="8" t="str">
        <f>IF(OR(Q775&lt;outliers!$I$6,Q775&gt;outliers!$I$7),"Outlier","Normal")</f>
        <v>Normal</v>
      </c>
      <c r="T775" s="8" t="str">
        <f>IF(OR(L775&lt;outliers!$J$6,L775&gt;outliers!$J$7),"Outlier","Normal")</f>
        <v>Normal</v>
      </c>
      <c r="U775" s="8" t="str">
        <f>IF(OR(M775&lt;outliers!$K$6,M775&gt;outliers!$K$7),"Outlier","Normal")</f>
        <v>Normal</v>
      </c>
    </row>
    <row r="776" spans="1:21">
      <c r="A776" s="21">
        <v>775</v>
      </c>
      <c r="B776" s="68">
        <v>40578</v>
      </c>
      <c r="C776" s="22" t="b">
        <v>0</v>
      </c>
      <c r="D776" s="21" t="str">
        <f t="shared" si="12"/>
        <v>Friday</v>
      </c>
      <c r="E776" s="23">
        <v>0.2727</v>
      </c>
      <c r="F776" s="23">
        <f>YEAR('Merged raw data'!$B776)</f>
        <v>2011</v>
      </c>
      <c r="G776" s="23" t="str">
        <f>TEXT('Merged raw data'!$B776,"mmmm")</f>
        <v>February</v>
      </c>
      <c r="H776" s="37" t="str">
        <f>TEXT(TIME('Merged raw data'!F776,0,0),"h AM/PM")</f>
        <v>5 PM</v>
      </c>
      <c r="I776" s="23" t="str">
        <f>IF(OR('Merged raw data'!H776=1,'Merged raw data'!H776=2,'Merged raw data'!H776=3,'Merged raw data'!H776=4,'Merged raw data'!H776=5),"weekday","weekend")</f>
        <v>weekday</v>
      </c>
      <c r="J776" s="23" t="s">
        <v>23</v>
      </c>
      <c r="K776" s="23" t="str">
        <f>IF('Merged raw data'!I776=1,"Clear",IF('Merged raw data'!I776=2,"Mist",IF('Merged raw data'!I776=3,"Rain",IF('Merged raw data'!I776=4,"Storm","NA"))))</f>
        <v>Mist</v>
      </c>
      <c r="L776" s="24">
        <v>0.56000000000000005</v>
      </c>
      <c r="M776" s="24">
        <v>0.1343</v>
      </c>
      <c r="N776" s="21">
        <f>'Merged raw data'!$J776*100</f>
        <v>26</v>
      </c>
      <c r="O776" s="21">
        <v>10</v>
      </c>
      <c r="P776" s="21">
        <v>195</v>
      </c>
      <c r="Q776" s="21">
        <v>205</v>
      </c>
      <c r="R776" s="21" t="str">
        <f>IF(Q776&gt;=outliers!I778,"High",IF(Q776&lt;=outliers!I777,"Low","Moderate"))</f>
        <v>High</v>
      </c>
      <c r="S776" s="8" t="str">
        <f>IF(OR(Q776&lt;outliers!$I$6,Q776&gt;outliers!$I$7),"Outlier","Normal")</f>
        <v>Outlier</v>
      </c>
      <c r="T776" s="8" t="str">
        <f>IF(OR(L776&lt;outliers!$J$6,L776&gt;outliers!$J$7),"Outlier","Normal")</f>
        <v>Normal</v>
      </c>
      <c r="U776" s="8" t="str">
        <f>IF(OR(M776&lt;outliers!$K$6,M776&gt;outliers!$K$7),"Outlier","Normal")</f>
        <v>Normal</v>
      </c>
    </row>
    <row r="777" spans="1:21">
      <c r="A777" s="21">
        <v>776</v>
      </c>
      <c r="B777" s="68">
        <v>40578</v>
      </c>
      <c r="C777" s="22" t="b">
        <v>0</v>
      </c>
      <c r="D777" s="21" t="str">
        <f t="shared" si="12"/>
        <v>Friday</v>
      </c>
      <c r="E777" s="23">
        <v>0.2576</v>
      </c>
      <c r="F777" s="23">
        <f>YEAR('Merged raw data'!$B777)</f>
        <v>2011</v>
      </c>
      <c r="G777" s="23" t="str">
        <f>TEXT('Merged raw data'!$B777,"mmmm")</f>
        <v>February</v>
      </c>
      <c r="H777" s="37" t="str">
        <f>TEXT(TIME('Merged raw data'!F777,0,0),"h AM/PM")</f>
        <v>6 PM</v>
      </c>
      <c r="I777" s="23" t="str">
        <f>IF(OR('Merged raw data'!H777=1,'Merged raw data'!H777=2,'Merged raw data'!H777=3,'Merged raw data'!H777=4,'Merged raw data'!H777=5),"weekday","weekend")</f>
        <v>weekday</v>
      </c>
      <c r="J777" s="23" t="s">
        <v>23</v>
      </c>
      <c r="K777" s="23" t="str">
        <f>IF('Merged raw data'!I777=1,"Clear",IF('Merged raw data'!I777=2,"Mist",IF('Merged raw data'!I777=3,"Rain",IF('Merged raw data'!I777=4,"Storm","NA"))))</f>
        <v>Mist</v>
      </c>
      <c r="L777" s="24">
        <v>0.6</v>
      </c>
      <c r="M777" s="24">
        <v>0.1045</v>
      </c>
      <c r="N777" s="21">
        <f>'Merged raw data'!$J777*100</f>
        <v>24</v>
      </c>
      <c r="O777" s="21">
        <v>3</v>
      </c>
      <c r="P777" s="21">
        <v>152</v>
      </c>
      <c r="Q777" s="21">
        <v>155</v>
      </c>
      <c r="R777" s="21" t="str">
        <f>IF(Q777&gt;=outliers!I779,"High",IF(Q777&lt;=outliers!I778,"Low","Moderate"))</f>
        <v>High</v>
      </c>
      <c r="S777" s="8" t="str">
        <f>IF(OR(Q777&lt;outliers!$I$6,Q777&gt;outliers!$I$7),"Outlier","Normal")</f>
        <v>Normal</v>
      </c>
      <c r="T777" s="8" t="str">
        <f>IF(OR(L777&lt;outliers!$J$6,L777&gt;outliers!$J$7),"Outlier","Normal")</f>
        <v>Normal</v>
      </c>
      <c r="U777" s="8" t="str">
        <f>IF(OR(M777&lt;outliers!$K$6,M777&gt;outliers!$K$7),"Outlier","Normal")</f>
        <v>Normal</v>
      </c>
    </row>
    <row r="778" spans="1:21">
      <c r="A778" s="21">
        <v>777</v>
      </c>
      <c r="B778" s="68">
        <v>40578</v>
      </c>
      <c r="C778" s="22" t="b">
        <v>0</v>
      </c>
      <c r="D778" s="21" t="str">
        <f t="shared" si="12"/>
        <v>Friday</v>
      </c>
      <c r="E778" s="23">
        <v>0.2424</v>
      </c>
      <c r="F778" s="23">
        <f>YEAR('Merged raw data'!$B778)</f>
        <v>2011</v>
      </c>
      <c r="G778" s="23" t="str">
        <f>TEXT('Merged raw data'!$B778,"mmmm")</f>
        <v>February</v>
      </c>
      <c r="H778" s="37" t="str">
        <f>TEXT(TIME('Merged raw data'!F778,0,0),"h AM/PM")</f>
        <v>7 PM</v>
      </c>
      <c r="I778" s="23" t="str">
        <f>IF(OR('Merged raw data'!H778=1,'Merged raw data'!H778=2,'Merged raw data'!H778=3,'Merged raw data'!H778=4,'Merged raw data'!H778=5),"weekday","weekend")</f>
        <v>weekday</v>
      </c>
      <c r="J778" s="23" t="s">
        <v>23</v>
      </c>
      <c r="K778" s="23" t="str">
        <f>IF('Merged raw data'!I778=1,"Clear",IF('Merged raw data'!I778=2,"Mist",IF('Merged raw data'!I778=3,"Rain",IF('Merged raw data'!I778=4,"Storm","NA"))))</f>
        <v>Mist</v>
      </c>
      <c r="L778" s="24">
        <v>0.65</v>
      </c>
      <c r="M778" s="24">
        <v>0.1343</v>
      </c>
      <c r="N778" s="21">
        <f>'Merged raw data'!$J778*100</f>
        <v>24</v>
      </c>
      <c r="O778" s="21">
        <v>1</v>
      </c>
      <c r="P778" s="21">
        <v>102</v>
      </c>
      <c r="Q778" s="21">
        <v>103</v>
      </c>
      <c r="R778" s="21" t="str">
        <f>IF(Q778&gt;=outliers!I780,"High",IF(Q778&lt;=outliers!I779,"Low","Moderate"))</f>
        <v>High</v>
      </c>
      <c r="S778" s="8" t="str">
        <f>IF(OR(Q778&lt;outliers!$I$6,Q778&gt;outliers!$I$7),"Outlier","Normal")</f>
        <v>Normal</v>
      </c>
      <c r="T778" s="8" t="str">
        <f>IF(OR(L778&lt;outliers!$J$6,L778&gt;outliers!$J$7),"Outlier","Normal")</f>
        <v>Normal</v>
      </c>
      <c r="U778" s="8" t="str">
        <f>IF(OR(M778&lt;outliers!$K$6,M778&gt;outliers!$K$7),"Outlier","Normal")</f>
        <v>Normal</v>
      </c>
    </row>
    <row r="779" spans="1:21">
      <c r="A779" s="21">
        <v>778</v>
      </c>
      <c r="B779" s="68">
        <v>40578</v>
      </c>
      <c r="C779" s="22" t="b">
        <v>0</v>
      </c>
      <c r="D779" s="21" t="str">
        <f t="shared" si="12"/>
        <v>Friday</v>
      </c>
      <c r="E779" s="23">
        <v>0.2424</v>
      </c>
      <c r="F779" s="23">
        <f>YEAR('Merged raw data'!$B779)</f>
        <v>2011</v>
      </c>
      <c r="G779" s="23" t="str">
        <f>TEXT('Merged raw data'!$B779,"mmmm")</f>
        <v>February</v>
      </c>
      <c r="H779" s="37" t="str">
        <f>TEXT(TIME('Merged raw data'!F779,0,0),"h AM/PM")</f>
        <v>8 PM</v>
      </c>
      <c r="I779" s="23" t="str">
        <f>IF(OR('Merged raw data'!H779=1,'Merged raw data'!H779=2,'Merged raw data'!H779=3,'Merged raw data'!H779=4,'Merged raw data'!H779=5),"weekday","weekend")</f>
        <v>weekday</v>
      </c>
      <c r="J779" s="23" t="s">
        <v>23</v>
      </c>
      <c r="K779" s="23" t="str">
        <f>IF('Merged raw data'!I779=1,"Clear",IF('Merged raw data'!I779=2,"Mist",IF('Merged raw data'!I779=3,"Rain",IF('Merged raw data'!I779=4,"Storm","NA"))))</f>
        <v>Mist</v>
      </c>
      <c r="L779" s="24">
        <v>0.65</v>
      </c>
      <c r="M779" s="24">
        <v>0.16420000000000001</v>
      </c>
      <c r="N779" s="21">
        <f>'Merged raw data'!$J779*100</f>
        <v>24</v>
      </c>
      <c r="O779" s="21">
        <v>2</v>
      </c>
      <c r="P779" s="21">
        <v>69</v>
      </c>
      <c r="Q779" s="21">
        <v>71</v>
      </c>
      <c r="R779" s="21" t="str">
        <f>IF(Q779&gt;=outliers!I781,"High",IF(Q779&lt;=outliers!I780,"Low","Moderate"))</f>
        <v>High</v>
      </c>
      <c r="S779" s="8" t="str">
        <f>IF(OR(Q779&lt;outliers!$I$6,Q779&gt;outliers!$I$7),"Outlier","Normal")</f>
        <v>Normal</v>
      </c>
      <c r="T779" s="8" t="str">
        <f>IF(OR(L779&lt;outliers!$J$6,L779&gt;outliers!$J$7),"Outlier","Normal")</f>
        <v>Normal</v>
      </c>
      <c r="U779" s="8" t="str">
        <f>IF(OR(M779&lt;outliers!$K$6,M779&gt;outliers!$K$7),"Outlier","Normal")</f>
        <v>Normal</v>
      </c>
    </row>
    <row r="780" spans="1:21">
      <c r="A780" s="21">
        <v>779</v>
      </c>
      <c r="B780" s="68">
        <v>40578</v>
      </c>
      <c r="C780" s="22" t="b">
        <v>0</v>
      </c>
      <c r="D780" s="21" t="str">
        <f t="shared" si="12"/>
        <v>Friday</v>
      </c>
      <c r="E780" s="23">
        <v>0.2424</v>
      </c>
      <c r="F780" s="23">
        <f>YEAR('Merged raw data'!$B780)</f>
        <v>2011</v>
      </c>
      <c r="G780" s="23" t="str">
        <f>TEXT('Merged raw data'!$B780,"mmmm")</f>
        <v>February</v>
      </c>
      <c r="H780" s="37" t="str">
        <f>TEXT(TIME('Merged raw data'!F780,0,0),"h AM/PM")</f>
        <v>9 PM</v>
      </c>
      <c r="I780" s="23" t="str">
        <f>IF(OR('Merged raw data'!H780=1,'Merged raw data'!H780=2,'Merged raw data'!H780=3,'Merged raw data'!H780=4,'Merged raw data'!H780=5),"weekday","weekend")</f>
        <v>weekday</v>
      </c>
      <c r="J780" s="23" t="s">
        <v>23</v>
      </c>
      <c r="K780" s="23" t="str">
        <f>IF('Merged raw data'!I780=1,"Clear",IF('Merged raw data'!I780=2,"Mist",IF('Merged raw data'!I780=3,"Rain",IF('Merged raw data'!I780=4,"Storm","NA"))))</f>
        <v>Mist</v>
      </c>
      <c r="L780" s="24">
        <v>0.7</v>
      </c>
      <c r="M780" s="24">
        <v>0.16420000000000001</v>
      </c>
      <c r="N780" s="21">
        <f>'Merged raw data'!$J780*100</f>
        <v>24</v>
      </c>
      <c r="O780" s="21">
        <v>2</v>
      </c>
      <c r="P780" s="21">
        <v>41</v>
      </c>
      <c r="Q780" s="21">
        <v>43</v>
      </c>
      <c r="R780" s="21" t="str">
        <f>IF(Q780&gt;=outliers!I782,"High",IF(Q780&lt;=outliers!I781,"Low","Moderate"))</f>
        <v>High</v>
      </c>
      <c r="S780" s="8" t="str">
        <f>IF(OR(Q780&lt;outliers!$I$6,Q780&gt;outliers!$I$7),"Outlier","Normal")</f>
        <v>Normal</v>
      </c>
      <c r="T780" s="8" t="str">
        <f>IF(OR(L780&lt;outliers!$J$6,L780&gt;outliers!$J$7),"Outlier","Normal")</f>
        <v>Normal</v>
      </c>
      <c r="U780" s="8" t="str">
        <f>IF(OR(M780&lt;outliers!$K$6,M780&gt;outliers!$K$7),"Outlier","Normal")</f>
        <v>Normal</v>
      </c>
    </row>
    <row r="781" spans="1:21">
      <c r="A781" s="21">
        <v>780</v>
      </c>
      <c r="B781" s="68">
        <v>40578</v>
      </c>
      <c r="C781" s="22" t="b">
        <v>0</v>
      </c>
      <c r="D781" s="21" t="str">
        <f t="shared" si="12"/>
        <v>Friday</v>
      </c>
      <c r="E781" s="23">
        <v>0.2424</v>
      </c>
      <c r="F781" s="23">
        <f>YEAR('Merged raw data'!$B781)</f>
        <v>2011</v>
      </c>
      <c r="G781" s="23" t="str">
        <f>TEXT('Merged raw data'!$B781,"mmmm")</f>
        <v>February</v>
      </c>
      <c r="H781" s="37" t="str">
        <f>TEXT(TIME('Merged raw data'!F781,0,0),"h AM/PM")</f>
        <v>10 PM</v>
      </c>
      <c r="I781" s="23" t="str">
        <f>IF(OR('Merged raw data'!H781=1,'Merged raw data'!H781=2,'Merged raw data'!H781=3,'Merged raw data'!H781=4,'Merged raw data'!H781=5),"weekday","weekend")</f>
        <v>weekday</v>
      </c>
      <c r="J781" s="23" t="s">
        <v>23</v>
      </c>
      <c r="K781" s="23" t="str">
        <f>IF('Merged raw data'!I781=1,"Clear",IF('Merged raw data'!I781=2,"Mist",IF('Merged raw data'!I781=3,"Rain",IF('Merged raw data'!I781=4,"Storm","NA"))))</f>
        <v>Mist</v>
      </c>
      <c r="L781" s="24">
        <v>0.65</v>
      </c>
      <c r="M781" s="24">
        <v>0.16420000000000001</v>
      </c>
      <c r="N781" s="21">
        <f>'Merged raw data'!$J781*100</f>
        <v>24</v>
      </c>
      <c r="O781" s="21">
        <v>1</v>
      </c>
      <c r="P781" s="21">
        <v>45</v>
      </c>
      <c r="Q781" s="21">
        <v>46</v>
      </c>
      <c r="R781" s="21" t="str">
        <f>IF(Q781&gt;=outliers!I783,"High",IF(Q781&lt;=outliers!I782,"Low","Moderate"))</f>
        <v>High</v>
      </c>
      <c r="S781" s="8" t="str">
        <f>IF(OR(Q781&lt;outliers!$I$6,Q781&gt;outliers!$I$7),"Outlier","Normal")</f>
        <v>Normal</v>
      </c>
      <c r="T781" s="8" t="str">
        <f>IF(OR(L781&lt;outliers!$J$6,L781&gt;outliers!$J$7),"Outlier","Normal")</f>
        <v>Normal</v>
      </c>
      <c r="U781" s="8" t="str">
        <f>IF(OR(M781&lt;outliers!$K$6,M781&gt;outliers!$K$7),"Outlier","Normal")</f>
        <v>Normal</v>
      </c>
    </row>
    <row r="782" spans="1:21">
      <c r="A782" s="21">
        <v>781</v>
      </c>
      <c r="B782" s="68">
        <v>40578</v>
      </c>
      <c r="C782" s="22" t="b">
        <v>0</v>
      </c>
      <c r="D782" s="21" t="str">
        <f t="shared" si="12"/>
        <v>Friday</v>
      </c>
      <c r="E782" s="23">
        <v>0.2424</v>
      </c>
      <c r="F782" s="23">
        <f>YEAR('Merged raw data'!$B782)</f>
        <v>2011</v>
      </c>
      <c r="G782" s="23" t="str">
        <f>TEXT('Merged raw data'!$B782,"mmmm")</f>
        <v>February</v>
      </c>
      <c r="H782" s="37" t="str">
        <f>TEXT(TIME('Merged raw data'!F782,0,0),"h AM/PM")</f>
        <v>11 PM</v>
      </c>
      <c r="I782" s="23" t="str">
        <f>IF(OR('Merged raw data'!H782=1,'Merged raw data'!H782=2,'Merged raw data'!H782=3,'Merged raw data'!H782=4,'Merged raw data'!H782=5),"weekday","weekend")</f>
        <v>weekday</v>
      </c>
      <c r="J782" s="23" t="s">
        <v>23</v>
      </c>
      <c r="K782" s="23" t="str">
        <f>IF('Merged raw data'!I782=1,"Clear",IF('Merged raw data'!I782=2,"Mist",IF('Merged raw data'!I782=3,"Rain",IF('Merged raw data'!I782=4,"Storm","NA"))))</f>
        <v>Mist</v>
      </c>
      <c r="L782" s="24">
        <v>0.7</v>
      </c>
      <c r="M782" s="24">
        <v>0.1343</v>
      </c>
      <c r="N782" s="21">
        <f>'Merged raw data'!$J782*100</f>
        <v>24</v>
      </c>
      <c r="O782" s="21">
        <v>1</v>
      </c>
      <c r="P782" s="21">
        <v>30</v>
      </c>
      <c r="Q782" s="21">
        <v>31</v>
      </c>
      <c r="R782" s="21" t="str">
        <f>IF(Q782&gt;=outliers!I784,"High",IF(Q782&lt;=outliers!I783,"Low","Moderate"))</f>
        <v>High</v>
      </c>
      <c r="S782" s="8" t="str">
        <f>IF(OR(Q782&lt;outliers!$I$6,Q782&gt;outliers!$I$7),"Outlier","Normal")</f>
        <v>Normal</v>
      </c>
      <c r="T782" s="8" t="str">
        <f>IF(OR(L782&lt;outliers!$J$6,L782&gt;outliers!$J$7),"Outlier","Normal")</f>
        <v>Normal</v>
      </c>
      <c r="U782" s="8" t="str">
        <f>IF(OR(M782&lt;outliers!$K$6,M782&gt;outliers!$K$7),"Outlier","Normal")</f>
        <v>Normal</v>
      </c>
    </row>
    <row r="783" spans="1:21">
      <c r="A783" s="21">
        <v>782</v>
      </c>
      <c r="B783" s="68">
        <v>40579</v>
      </c>
      <c r="C783" s="22" t="b">
        <v>0</v>
      </c>
      <c r="D783" s="21" t="str">
        <f t="shared" si="12"/>
        <v>Saturday</v>
      </c>
      <c r="E783" s="23">
        <v>0.2424</v>
      </c>
      <c r="F783" s="23">
        <f>YEAR('Merged raw data'!$B783)</f>
        <v>2011</v>
      </c>
      <c r="G783" s="23" t="str">
        <f>TEXT('Merged raw data'!$B783,"mmmm")</f>
        <v>February</v>
      </c>
      <c r="H783" s="37" t="str">
        <f>TEXT(TIME('Merged raw data'!F783,0,0),"h AM/PM")</f>
        <v>12 AM</v>
      </c>
      <c r="I783" s="23" t="str">
        <f>IF(OR('Merged raw data'!H783=1,'Merged raw data'!H783=2,'Merged raw data'!H783=3,'Merged raw data'!H783=4,'Merged raw data'!H783=5),"weekday","weekend")</f>
        <v>weekend</v>
      </c>
      <c r="J783" s="23" t="s">
        <v>23</v>
      </c>
      <c r="K783" s="23" t="str">
        <f>IF('Merged raw data'!I783=1,"Clear",IF('Merged raw data'!I783=2,"Mist",IF('Merged raw data'!I783=3,"Rain",IF('Merged raw data'!I783=4,"Storm","NA"))))</f>
        <v>Mist</v>
      </c>
      <c r="L783" s="24">
        <v>0.7</v>
      </c>
      <c r="M783" s="24">
        <v>0.16420000000000001</v>
      </c>
      <c r="N783" s="21">
        <f>'Merged raw data'!$J783*100</f>
        <v>24</v>
      </c>
      <c r="O783" s="21">
        <v>3</v>
      </c>
      <c r="P783" s="21">
        <v>36</v>
      </c>
      <c r="Q783" s="21">
        <v>39</v>
      </c>
      <c r="R783" s="21" t="str">
        <f>IF(Q783&gt;=outliers!I785,"High",IF(Q783&lt;=outliers!I784,"Low","Moderate"))</f>
        <v>High</v>
      </c>
      <c r="S783" s="8" t="str">
        <f>IF(OR(Q783&lt;outliers!$I$6,Q783&gt;outliers!$I$7),"Outlier","Normal")</f>
        <v>Normal</v>
      </c>
      <c r="T783" s="8" t="str">
        <f>IF(OR(L783&lt;outliers!$J$6,L783&gt;outliers!$J$7),"Outlier","Normal")</f>
        <v>Normal</v>
      </c>
      <c r="U783" s="8" t="str">
        <f>IF(OR(M783&lt;outliers!$K$6,M783&gt;outliers!$K$7),"Outlier","Normal")</f>
        <v>Normal</v>
      </c>
    </row>
    <row r="784" spans="1:21">
      <c r="A784" s="21">
        <v>783</v>
      </c>
      <c r="B784" s="68">
        <v>40579</v>
      </c>
      <c r="C784" s="22" t="b">
        <v>0</v>
      </c>
      <c r="D784" s="21" t="str">
        <f t="shared" si="12"/>
        <v>Saturday</v>
      </c>
      <c r="E784" s="23">
        <v>0.2424</v>
      </c>
      <c r="F784" s="23">
        <f>YEAR('Merged raw data'!$B784)</f>
        <v>2011</v>
      </c>
      <c r="G784" s="23" t="str">
        <f>TEXT('Merged raw data'!$B784,"mmmm")</f>
        <v>February</v>
      </c>
      <c r="H784" s="37" t="str">
        <f>TEXT(TIME('Merged raw data'!F784,0,0),"h AM/PM")</f>
        <v>1 AM</v>
      </c>
      <c r="I784" s="23" t="str">
        <f>IF(OR('Merged raw data'!H784=1,'Merged raw data'!H784=2,'Merged raw data'!H784=3,'Merged raw data'!H784=4,'Merged raw data'!H784=5),"weekday","weekend")</f>
        <v>weekend</v>
      </c>
      <c r="J784" s="23" t="s">
        <v>23</v>
      </c>
      <c r="K784" s="23" t="str">
        <f>IF('Merged raw data'!I784=1,"Clear",IF('Merged raw data'!I784=2,"Mist",IF('Merged raw data'!I784=3,"Rain",IF('Merged raw data'!I784=4,"Storm","NA"))))</f>
        <v>Mist</v>
      </c>
      <c r="L784" s="24">
        <v>0.65</v>
      </c>
      <c r="M784" s="24">
        <v>0.16420000000000001</v>
      </c>
      <c r="N784" s="21">
        <f>'Merged raw data'!$J784*100</f>
        <v>24</v>
      </c>
      <c r="O784" s="21">
        <v>1</v>
      </c>
      <c r="P784" s="21">
        <v>17</v>
      </c>
      <c r="Q784" s="21">
        <v>18</v>
      </c>
      <c r="R784" s="21" t="str">
        <f>IF(Q784&gt;=outliers!I786,"High",IF(Q784&lt;=outliers!I785,"Low","Moderate"))</f>
        <v>High</v>
      </c>
      <c r="S784" s="8" t="str">
        <f>IF(OR(Q784&lt;outliers!$I$6,Q784&gt;outliers!$I$7),"Outlier","Normal")</f>
        <v>Normal</v>
      </c>
      <c r="T784" s="8" t="str">
        <f>IF(OR(L784&lt;outliers!$J$6,L784&gt;outliers!$J$7),"Outlier","Normal")</f>
        <v>Normal</v>
      </c>
      <c r="U784" s="8" t="str">
        <f>IF(OR(M784&lt;outliers!$K$6,M784&gt;outliers!$K$7),"Outlier","Normal")</f>
        <v>Normal</v>
      </c>
    </row>
    <row r="785" spans="1:21">
      <c r="A785" s="21">
        <v>784</v>
      </c>
      <c r="B785" s="68">
        <v>40579</v>
      </c>
      <c r="C785" s="22" t="b">
        <v>0</v>
      </c>
      <c r="D785" s="21" t="str">
        <f t="shared" si="12"/>
        <v>Saturday</v>
      </c>
      <c r="E785" s="23">
        <v>0.2424</v>
      </c>
      <c r="F785" s="23">
        <f>YEAR('Merged raw data'!$B785)</f>
        <v>2011</v>
      </c>
      <c r="G785" s="23" t="str">
        <f>TEXT('Merged raw data'!$B785,"mmmm")</f>
        <v>February</v>
      </c>
      <c r="H785" s="37" t="str">
        <f>TEXT(TIME('Merged raw data'!F785,0,0),"h AM/PM")</f>
        <v>2 AM</v>
      </c>
      <c r="I785" s="23" t="str">
        <f>IF(OR('Merged raw data'!H785=1,'Merged raw data'!H785=2,'Merged raw data'!H785=3,'Merged raw data'!H785=4,'Merged raw data'!H785=5),"weekday","weekend")</f>
        <v>weekend</v>
      </c>
      <c r="J785" s="23" t="s">
        <v>23</v>
      </c>
      <c r="K785" s="23" t="str">
        <f>IF('Merged raw data'!I785=1,"Clear",IF('Merged raw data'!I785=2,"Mist",IF('Merged raw data'!I785=3,"Rain",IF('Merged raw data'!I785=4,"Storm","NA"))))</f>
        <v>Mist</v>
      </c>
      <c r="L785" s="24">
        <v>0.75</v>
      </c>
      <c r="M785" s="24">
        <v>0.16420000000000001</v>
      </c>
      <c r="N785" s="21">
        <f>'Merged raw data'!$J785*100</f>
        <v>24</v>
      </c>
      <c r="O785" s="21">
        <v>5</v>
      </c>
      <c r="P785" s="21">
        <v>12</v>
      </c>
      <c r="Q785" s="21">
        <v>17</v>
      </c>
      <c r="R785" s="21" t="str">
        <f>IF(Q785&gt;=outliers!I787,"High",IF(Q785&lt;=outliers!I786,"Low","Moderate"))</f>
        <v>High</v>
      </c>
      <c r="S785" s="8" t="str">
        <f>IF(OR(Q785&lt;outliers!$I$6,Q785&gt;outliers!$I$7),"Outlier","Normal")</f>
        <v>Normal</v>
      </c>
      <c r="T785" s="8" t="str">
        <f>IF(OR(L785&lt;outliers!$J$6,L785&gt;outliers!$J$7),"Outlier","Normal")</f>
        <v>Normal</v>
      </c>
      <c r="U785" s="8" t="str">
        <f>IF(OR(M785&lt;outliers!$K$6,M785&gt;outliers!$K$7),"Outlier","Normal")</f>
        <v>Normal</v>
      </c>
    </row>
    <row r="786" spans="1:21">
      <c r="A786" s="21">
        <v>785</v>
      </c>
      <c r="B786" s="68">
        <v>40579</v>
      </c>
      <c r="C786" s="22" t="b">
        <v>0</v>
      </c>
      <c r="D786" s="21" t="str">
        <f t="shared" si="12"/>
        <v>Saturday</v>
      </c>
      <c r="E786" s="23">
        <v>0.2424</v>
      </c>
      <c r="F786" s="23">
        <f>YEAR('Merged raw data'!$B786)</f>
        <v>2011</v>
      </c>
      <c r="G786" s="23" t="str">
        <f>TEXT('Merged raw data'!$B786,"mmmm")</f>
        <v>February</v>
      </c>
      <c r="H786" s="37" t="str">
        <f>TEXT(TIME('Merged raw data'!F786,0,0),"h AM/PM")</f>
        <v>3 AM</v>
      </c>
      <c r="I786" s="23" t="str">
        <f>IF(OR('Merged raw data'!H786=1,'Merged raw data'!H786=2,'Merged raw data'!H786=3,'Merged raw data'!H786=4,'Merged raw data'!H786=5),"weekday","weekend")</f>
        <v>weekend</v>
      </c>
      <c r="J786" s="23" t="s">
        <v>23</v>
      </c>
      <c r="K786" s="23" t="str">
        <f>IF('Merged raw data'!I786=1,"Clear",IF('Merged raw data'!I786=2,"Mist",IF('Merged raw data'!I786=3,"Rain",IF('Merged raw data'!I786=4,"Storm","NA"))))</f>
        <v>Mist</v>
      </c>
      <c r="L786" s="24">
        <v>0.75</v>
      </c>
      <c r="M786" s="24">
        <v>0.16420000000000001</v>
      </c>
      <c r="N786" s="21">
        <f>'Merged raw data'!$J786*100</f>
        <v>24</v>
      </c>
      <c r="O786" s="21">
        <v>1</v>
      </c>
      <c r="P786" s="21">
        <v>10</v>
      </c>
      <c r="Q786" s="21">
        <v>11</v>
      </c>
      <c r="R786" s="21" t="str">
        <f>IF(Q786&gt;=outliers!I788,"High",IF(Q786&lt;=outliers!I787,"Low","Moderate"))</f>
        <v>High</v>
      </c>
      <c r="S786" s="8" t="str">
        <f>IF(OR(Q786&lt;outliers!$I$6,Q786&gt;outliers!$I$7),"Outlier","Normal")</f>
        <v>Normal</v>
      </c>
      <c r="T786" s="8" t="str">
        <f>IF(OR(L786&lt;outliers!$J$6,L786&gt;outliers!$J$7),"Outlier","Normal")</f>
        <v>Normal</v>
      </c>
      <c r="U786" s="8" t="str">
        <f>IF(OR(M786&lt;outliers!$K$6,M786&gt;outliers!$K$7),"Outlier","Normal")</f>
        <v>Normal</v>
      </c>
    </row>
    <row r="787" spans="1:21">
      <c r="A787" s="21">
        <v>786</v>
      </c>
      <c r="B787" s="68">
        <v>40579</v>
      </c>
      <c r="C787" s="22" t="b">
        <v>0</v>
      </c>
      <c r="D787" s="21" t="str">
        <f t="shared" si="12"/>
        <v>Saturday</v>
      </c>
      <c r="E787" s="23">
        <v>0.2273</v>
      </c>
      <c r="F787" s="23">
        <f>YEAR('Merged raw data'!$B787)</f>
        <v>2011</v>
      </c>
      <c r="G787" s="23" t="str">
        <f>TEXT('Merged raw data'!$B787,"mmmm")</f>
        <v>February</v>
      </c>
      <c r="H787" s="37" t="str">
        <f>TEXT(TIME('Merged raw data'!F787,0,0),"h AM/PM")</f>
        <v>4 AM</v>
      </c>
      <c r="I787" s="23" t="str">
        <f>IF(OR('Merged raw data'!H787=1,'Merged raw data'!H787=2,'Merged raw data'!H787=3,'Merged raw data'!H787=4,'Merged raw data'!H787=5),"weekday","weekend")</f>
        <v>weekend</v>
      </c>
      <c r="J787" s="23" t="s">
        <v>23</v>
      </c>
      <c r="K787" s="23" t="str">
        <f>IF('Merged raw data'!I787=1,"Clear",IF('Merged raw data'!I787=2,"Mist",IF('Merged raw data'!I787=3,"Rain",IF('Merged raw data'!I787=4,"Storm","NA"))))</f>
        <v>Rain</v>
      </c>
      <c r="L787" s="24">
        <v>0.93</v>
      </c>
      <c r="M787" s="24">
        <v>0.1343</v>
      </c>
      <c r="N787" s="21">
        <f>'Merged raw data'!$J787*100</f>
        <v>22</v>
      </c>
      <c r="O787" s="21">
        <v>0</v>
      </c>
      <c r="P787" s="21">
        <v>8</v>
      </c>
      <c r="Q787" s="21">
        <v>8</v>
      </c>
      <c r="R787" s="21" t="str">
        <f>IF(Q787&gt;=outliers!I789,"High",IF(Q787&lt;=outliers!I788,"Low","Moderate"))</f>
        <v>High</v>
      </c>
      <c r="S787" s="8" t="str">
        <f>IF(OR(Q787&lt;outliers!$I$6,Q787&gt;outliers!$I$7),"Outlier","Normal")</f>
        <v>Normal</v>
      </c>
      <c r="T787" s="8" t="str">
        <f>IF(OR(L787&lt;outliers!$J$6,L787&gt;outliers!$J$7),"Outlier","Normal")</f>
        <v>Normal</v>
      </c>
      <c r="U787" s="8" t="str">
        <f>IF(OR(M787&lt;outliers!$K$6,M787&gt;outliers!$K$7),"Outlier","Normal")</f>
        <v>Normal</v>
      </c>
    </row>
    <row r="788" spans="1:21">
      <c r="A788" s="21">
        <v>787</v>
      </c>
      <c r="B788" s="68">
        <v>40579</v>
      </c>
      <c r="C788" s="22" t="b">
        <v>0</v>
      </c>
      <c r="D788" s="21" t="str">
        <f t="shared" si="12"/>
        <v>Saturday</v>
      </c>
      <c r="E788" s="23">
        <v>0.2273</v>
      </c>
      <c r="F788" s="23">
        <f>YEAR('Merged raw data'!$B788)</f>
        <v>2011</v>
      </c>
      <c r="G788" s="23" t="str">
        <f>TEXT('Merged raw data'!$B788,"mmmm")</f>
        <v>February</v>
      </c>
      <c r="H788" s="37" t="str">
        <f>TEXT(TIME('Merged raw data'!F788,0,0),"h AM/PM")</f>
        <v>5 AM</v>
      </c>
      <c r="I788" s="23" t="str">
        <f>IF(OR('Merged raw data'!H788=1,'Merged raw data'!H788=2,'Merged raw data'!H788=3,'Merged raw data'!H788=4,'Merged raw data'!H788=5),"weekday","weekend")</f>
        <v>weekend</v>
      </c>
      <c r="J788" s="23" t="s">
        <v>23</v>
      </c>
      <c r="K788" s="23" t="str">
        <f>IF('Merged raw data'!I788=1,"Clear",IF('Merged raw data'!I788=2,"Mist",IF('Merged raw data'!I788=3,"Rain",IF('Merged raw data'!I788=4,"Storm","NA"))))</f>
        <v>Rain</v>
      </c>
      <c r="L788" s="24">
        <v>1</v>
      </c>
      <c r="M788" s="24">
        <v>8.9599999999999999E-2</v>
      </c>
      <c r="N788" s="21">
        <f>'Merged raw data'!$J788*100</f>
        <v>20</v>
      </c>
      <c r="O788" s="21">
        <v>0</v>
      </c>
      <c r="P788" s="21">
        <v>9</v>
      </c>
      <c r="Q788" s="21">
        <v>9</v>
      </c>
      <c r="R788" s="21" t="str">
        <f>IF(Q788&gt;=outliers!I790,"High",IF(Q788&lt;=outliers!I789,"Low","Moderate"))</f>
        <v>High</v>
      </c>
      <c r="S788" s="8" t="str">
        <f>IF(OR(Q788&lt;outliers!$I$6,Q788&gt;outliers!$I$7),"Outlier","Normal")</f>
        <v>Normal</v>
      </c>
      <c r="T788" s="8" t="str">
        <f>IF(OR(L788&lt;outliers!$J$6,L788&gt;outliers!$J$7),"Outlier","Normal")</f>
        <v>Normal</v>
      </c>
      <c r="U788" s="8" t="str">
        <f>IF(OR(M788&lt;outliers!$K$6,M788&gt;outliers!$K$7),"Outlier","Normal")</f>
        <v>Normal</v>
      </c>
    </row>
    <row r="789" spans="1:21">
      <c r="A789" s="21">
        <v>788</v>
      </c>
      <c r="B789" s="68">
        <v>40579</v>
      </c>
      <c r="C789" s="22" t="b">
        <v>0</v>
      </c>
      <c r="D789" s="21" t="str">
        <f t="shared" si="12"/>
        <v>Saturday</v>
      </c>
      <c r="E789" s="23">
        <v>0.2576</v>
      </c>
      <c r="F789" s="23">
        <f>YEAR('Merged raw data'!$B789)</f>
        <v>2011</v>
      </c>
      <c r="G789" s="23" t="str">
        <f>TEXT('Merged raw data'!$B789,"mmmm")</f>
        <v>February</v>
      </c>
      <c r="H789" s="37" t="str">
        <f>TEXT(TIME('Merged raw data'!F789,0,0),"h AM/PM")</f>
        <v>6 AM</v>
      </c>
      <c r="I789" s="23" t="str">
        <f>IF(OR('Merged raw data'!H789=1,'Merged raw data'!H789=2,'Merged raw data'!H789=3,'Merged raw data'!H789=4,'Merged raw data'!H789=5),"weekday","weekend")</f>
        <v>weekend</v>
      </c>
      <c r="J789" s="23" t="s">
        <v>23</v>
      </c>
      <c r="K789" s="23" t="str">
        <f>IF('Merged raw data'!I789=1,"Clear",IF('Merged raw data'!I789=2,"Mist",IF('Merged raw data'!I789=3,"Rain",IF('Merged raw data'!I789=4,"Storm","NA"))))</f>
        <v>Rain</v>
      </c>
      <c r="L789" s="24">
        <v>1</v>
      </c>
      <c r="M789" s="24">
        <v>0.23</v>
      </c>
      <c r="N789" s="21">
        <f>'Merged raw data'!$J789*100</f>
        <v>20</v>
      </c>
      <c r="O789" s="21">
        <v>0</v>
      </c>
      <c r="P789" s="21">
        <v>4</v>
      </c>
      <c r="Q789" s="21">
        <v>4</v>
      </c>
      <c r="R789" s="21" t="str">
        <f>IF(Q789&gt;=outliers!I791,"High",IF(Q789&lt;=outliers!I790,"Low","Moderate"))</f>
        <v>High</v>
      </c>
      <c r="S789" s="8" t="str">
        <f>IF(OR(Q789&lt;outliers!$I$6,Q789&gt;outliers!$I$7),"Outlier","Normal")</f>
        <v>Normal</v>
      </c>
      <c r="T789" s="8" t="str">
        <f>IF(OR(L789&lt;outliers!$J$6,L789&gt;outliers!$J$7),"Outlier","Normal")</f>
        <v>Normal</v>
      </c>
      <c r="U789" s="8" t="str">
        <f>IF(OR(M789&lt;outliers!$K$6,M789&gt;outliers!$K$7),"Outlier","Normal")</f>
        <v>Normal</v>
      </c>
    </row>
    <row r="790" spans="1:21">
      <c r="A790" s="21">
        <v>789</v>
      </c>
      <c r="B790" s="68">
        <v>40579</v>
      </c>
      <c r="C790" s="22" t="b">
        <v>0</v>
      </c>
      <c r="D790" s="21" t="str">
        <f t="shared" si="12"/>
        <v>Saturday</v>
      </c>
      <c r="E790" s="23">
        <v>0.2576</v>
      </c>
      <c r="F790" s="23">
        <f>YEAR('Merged raw data'!$B790)</f>
        <v>2011</v>
      </c>
      <c r="G790" s="23" t="str">
        <f>TEXT('Merged raw data'!$B790,"mmmm")</f>
        <v>February</v>
      </c>
      <c r="H790" s="37" t="str">
        <f>TEXT(TIME('Merged raw data'!F790,0,0),"h AM/PM")</f>
        <v>7 AM</v>
      </c>
      <c r="I790" s="23" t="str">
        <f>IF(OR('Merged raw data'!H790=1,'Merged raw data'!H790=2,'Merged raw data'!H790=3,'Merged raw data'!H790=4,'Merged raw data'!H790=5),"weekday","weekend")</f>
        <v>weekend</v>
      </c>
      <c r="J790" s="23" t="s">
        <v>23</v>
      </c>
      <c r="K790" s="23" t="str">
        <f>IF('Merged raw data'!I790=1,"Clear",IF('Merged raw data'!I790=2,"Mist",IF('Merged raw data'!I790=3,"Rain",IF('Merged raw data'!I790=4,"Storm","NA"))))</f>
        <v>Rain</v>
      </c>
      <c r="L790" s="24">
        <v>0.93</v>
      </c>
      <c r="M790" s="24">
        <v>8.9599999999999999E-2</v>
      </c>
      <c r="N790" s="21">
        <f>'Merged raw data'!$J790*100</f>
        <v>22</v>
      </c>
      <c r="O790" s="21">
        <v>0</v>
      </c>
      <c r="P790" s="21">
        <v>4</v>
      </c>
      <c r="Q790" s="21">
        <v>4</v>
      </c>
      <c r="R790" s="21" t="str">
        <f>IF(Q790&gt;=outliers!I792,"High",IF(Q790&lt;=outliers!I791,"Low","Moderate"))</f>
        <v>High</v>
      </c>
      <c r="S790" s="8" t="str">
        <f>IF(OR(Q790&lt;outliers!$I$6,Q790&gt;outliers!$I$7),"Outlier","Normal")</f>
        <v>Normal</v>
      </c>
      <c r="T790" s="8" t="str">
        <f>IF(OR(L790&lt;outliers!$J$6,L790&gt;outliers!$J$7),"Outlier","Normal")</f>
        <v>Normal</v>
      </c>
      <c r="U790" s="8" t="str">
        <f>IF(OR(M790&lt;outliers!$K$6,M790&gt;outliers!$K$7),"Outlier","Normal")</f>
        <v>Normal</v>
      </c>
    </row>
    <row r="791" spans="1:21">
      <c r="A791" s="21">
        <v>790</v>
      </c>
      <c r="B791" s="68">
        <v>40579</v>
      </c>
      <c r="C791" s="22" t="b">
        <v>0</v>
      </c>
      <c r="D791" s="21" t="str">
        <f t="shared" si="12"/>
        <v>Saturday</v>
      </c>
      <c r="E791" s="23">
        <v>0.2273</v>
      </c>
      <c r="F791" s="23">
        <f>YEAR('Merged raw data'!$B791)</f>
        <v>2011</v>
      </c>
      <c r="G791" s="23" t="str">
        <f>TEXT('Merged raw data'!$B791,"mmmm")</f>
        <v>February</v>
      </c>
      <c r="H791" s="37" t="str">
        <f>TEXT(TIME('Merged raw data'!F791,0,0),"h AM/PM")</f>
        <v>8 AM</v>
      </c>
      <c r="I791" s="23" t="str">
        <f>IF(OR('Merged raw data'!H791=1,'Merged raw data'!H791=2,'Merged raw data'!H791=3,'Merged raw data'!H791=4,'Merged raw data'!H791=5),"weekday","weekend")</f>
        <v>weekend</v>
      </c>
      <c r="J791" s="23" t="s">
        <v>23</v>
      </c>
      <c r="K791" s="23" t="str">
        <f>IF('Merged raw data'!I791=1,"Clear",IF('Merged raw data'!I791=2,"Mist",IF('Merged raw data'!I791=3,"Rain",IF('Merged raw data'!I791=4,"Storm","NA"))))</f>
        <v>Rain</v>
      </c>
      <c r="L791" s="24">
        <v>1</v>
      </c>
      <c r="M791" s="24">
        <v>8.9599999999999999E-2</v>
      </c>
      <c r="N791" s="21">
        <f>'Merged raw data'!$J791*100</f>
        <v>20</v>
      </c>
      <c r="O791" s="21">
        <v>0</v>
      </c>
      <c r="P791" s="21">
        <v>10</v>
      </c>
      <c r="Q791" s="21">
        <v>10</v>
      </c>
      <c r="R791" s="21" t="str">
        <f>IF(Q791&gt;=outliers!I793,"High",IF(Q791&lt;=outliers!I792,"Low","Moderate"))</f>
        <v>High</v>
      </c>
      <c r="S791" s="8" t="str">
        <f>IF(OR(Q791&lt;outliers!$I$6,Q791&gt;outliers!$I$7),"Outlier","Normal")</f>
        <v>Normal</v>
      </c>
      <c r="T791" s="8" t="str">
        <f>IF(OR(L791&lt;outliers!$J$6,L791&gt;outliers!$J$7),"Outlier","Normal")</f>
        <v>Normal</v>
      </c>
      <c r="U791" s="8" t="str">
        <f>IF(OR(M791&lt;outliers!$K$6,M791&gt;outliers!$K$7),"Outlier","Normal")</f>
        <v>Normal</v>
      </c>
    </row>
    <row r="792" spans="1:21">
      <c r="A792" s="21">
        <v>791</v>
      </c>
      <c r="B792" s="68">
        <v>40579</v>
      </c>
      <c r="C792" s="22" t="b">
        <v>0</v>
      </c>
      <c r="D792" s="21" t="str">
        <f t="shared" si="12"/>
        <v>Saturday</v>
      </c>
      <c r="E792" s="23">
        <v>0.2273</v>
      </c>
      <c r="F792" s="23">
        <f>YEAR('Merged raw data'!$B792)</f>
        <v>2011</v>
      </c>
      <c r="G792" s="23" t="str">
        <f>TEXT('Merged raw data'!$B792,"mmmm")</f>
        <v>February</v>
      </c>
      <c r="H792" s="37" t="str">
        <f>TEXT(TIME('Merged raw data'!F792,0,0),"h AM/PM")</f>
        <v>9 AM</v>
      </c>
      <c r="I792" s="23" t="str">
        <f>IF(OR('Merged raw data'!H792=1,'Merged raw data'!H792=2,'Merged raw data'!H792=3,'Merged raw data'!H792=4,'Merged raw data'!H792=5),"weekday","weekend")</f>
        <v>weekend</v>
      </c>
      <c r="J792" s="23" t="s">
        <v>23</v>
      </c>
      <c r="K792" s="23" t="str">
        <f>IF('Merged raw data'!I792=1,"Clear",IF('Merged raw data'!I792=2,"Mist",IF('Merged raw data'!I792=3,"Rain",IF('Merged raw data'!I792=4,"Storm","NA"))))</f>
        <v>Rain</v>
      </c>
      <c r="L792" s="24">
        <v>1</v>
      </c>
      <c r="M792" s="24">
        <v>8.9599999999999999E-2</v>
      </c>
      <c r="N792" s="21">
        <f>'Merged raw data'!$J792*100</f>
        <v>20</v>
      </c>
      <c r="O792" s="21">
        <v>3</v>
      </c>
      <c r="P792" s="21">
        <v>17</v>
      </c>
      <c r="Q792" s="21">
        <v>20</v>
      </c>
      <c r="R792" s="21" t="str">
        <f>IF(Q792&gt;=outliers!I794,"High",IF(Q792&lt;=outliers!I793,"Low","Moderate"))</f>
        <v>High</v>
      </c>
      <c r="S792" s="8" t="str">
        <f>IF(OR(Q792&lt;outliers!$I$6,Q792&gt;outliers!$I$7),"Outlier","Normal")</f>
        <v>Normal</v>
      </c>
      <c r="T792" s="8" t="str">
        <f>IF(OR(L792&lt;outliers!$J$6,L792&gt;outliers!$J$7),"Outlier","Normal")</f>
        <v>Normal</v>
      </c>
      <c r="U792" s="8" t="str">
        <f>IF(OR(M792&lt;outliers!$K$6,M792&gt;outliers!$K$7),"Outlier","Normal")</f>
        <v>Normal</v>
      </c>
    </row>
    <row r="793" spans="1:21">
      <c r="A793" s="21">
        <v>792</v>
      </c>
      <c r="B793" s="68">
        <v>40579</v>
      </c>
      <c r="C793" s="22" t="b">
        <v>0</v>
      </c>
      <c r="D793" s="21" t="str">
        <f t="shared" si="12"/>
        <v>Saturday</v>
      </c>
      <c r="E793" s="23">
        <v>0.21210000000000001</v>
      </c>
      <c r="F793" s="23">
        <f>YEAR('Merged raw data'!$B793)</f>
        <v>2011</v>
      </c>
      <c r="G793" s="23" t="str">
        <f>TEXT('Merged raw data'!$B793,"mmmm")</f>
        <v>February</v>
      </c>
      <c r="H793" s="37" t="str">
        <f>TEXT(TIME('Merged raw data'!F793,0,0),"h AM/PM")</f>
        <v>10 AM</v>
      </c>
      <c r="I793" s="23" t="str">
        <f>IF(OR('Merged raw data'!H793=1,'Merged raw data'!H793=2,'Merged raw data'!H793=3,'Merged raw data'!H793=4,'Merged raw data'!H793=5),"weekday","weekend")</f>
        <v>weekend</v>
      </c>
      <c r="J793" s="23" t="s">
        <v>23</v>
      </c>
      <c r="K793" s="23" t="str">
        <f>IF('Merged raw data'!I793=1,"Clear",IF('Merged raw data'!I793=2,"Mist",IF('Merged raw data'!I793=3,"Rain",IF('Merged raw data'!I793=4,"Storm","NA"))))</f>
        <v>Rain</v>
      </c>
      <c r="L793" s="24">
        <v>1</v>
      </c>
      <c r="M793" s="24">
        <v>0.1343</v>
      </c>
      <c r="N793" s="21">
        <f>'Merged raw data'!$J793*100</f>
        <v>20</v>
      </c>
      <c r="O793" s="21">
        <v>3</v>
      </c>
      <c r="P793" s="21">
        <v>31</v>
      </c>
      <c r="Q793" s="21">
        <v>34</v>
      </c>
      <c r="R793" s="21" t="str">
        <f>IF(Q793&gt;=outliers!I795,"High",IF(Q793&lt;=outliers!I794,"Low","Moderate"))</f>
        <v>High</v>
      </c>
      <c r="S793" s="8" t="str">
        <f>IF(OR(Q793&lt;outliers!$I$6,Q793&gt;outliers!$I$7),"Outlier","Normal")</f>
        <v>Normal</v>
      </c>
      <c r="T793" s="8" t="str">
        <f>IF(OR(L793&lt;outliers!$J$6,L793&gt;outliers!$J$7),"Outlier","Normal")</f>
        <v>Normal</v>
      </c>
      <c r="U793" s="8" t="str">
        <f>IF(OR(M793&lt;outliers!$K$6,M793&gt;outliers!$K$7),"Outlier","Normal")</f>
        <v>Normal</v>
      </c>
    </row>
    <row r="794" spans="1:21">
      <c r="A794" s="21">
        <v>793</v>
      </c>
      <c r="B794" s="68">
        <v>40579</v>
      </c>
      <c r="C794" s="22" t="b">
        <v>0</v>
      </c>
      <c r="D794" s="21" t="str">
        <f t="shared" si="12"/>
        <v>Saturday</v>
      </c>
      <c r="E794" s="23">
        <v>0.2273</v>
      </c>
      <c r="F794" s="23">
        <f>YEAR('Merged raw data'!$B794)</f>
        <v>2011</v>
      </c>
      <c r="G794" s="23" t="str">
        <f>TEXT('Merged raw data'!$B794,"mmmm")</f>
        <v>February</v>
      </c>
      <c r="H794" s="37" t="str">
        <f>TEXT(TIME('Merged raw data'!F794,0,0),"h AM/PM")</f>
        <v>11 AM</v>
      </c>
      <c r="I794" s="23" t="str">
        <f>IF(OR('Merged raw data'!H794=1,'Merged raw data'!H794=2,'Merged raw data'!H794=3,'Merged raw data'!H794=4,'Merged raw data'!H794=5),"weekday","weekend")</f>
        <v>weekend</v>
      </c>
      <c r="J794" s="23" t="s">
        <v>23</v>
      </c>
      <c r="K794" s="23" t="str">
        <f>IF('Merged raw data'!I794=1,"Clear",IF('Merged raw data'!I794=2,"Mist",IF('Merged raw data'!I794=3,"Rain",IF('Merged raw data'!I794=4,"Storm","NA"))))</f>
        <v>Rain</v>
      </c>
      <c r="L794" s="24">
        <v>1</v>
      </c>
      <c r="M794" s="24">
        <v>0.1343</v>
      </c>
      <c r="N794" s="21">
        <f>'Merged raw data'!$J794*100</f>
        <v>22</v>
      </c>
      <c r="O794" s="21">
        <v>1</v>
      </c>
      <c r="P794" s="21">
        <v>46</v>
      </c>
      <c r="Q794" s="21">
        <v>47</v>
      </c>
      <c r="R794" s="21" t="str">
        <f>IF(Q794&gt;=outliers!I796,"High",IF(Q794&lt;=outliers!I795,"Low","Moderate"))</f>
        <v>High</v>
      </c>
      <c r="S794" s="8" t="str">
        <f>IF(OR(Q794&lt;outliers!$I$6,Q794&gt;outliers!$I$7),"Outlier","Normal")</f>
        <v>Normal</v>
      </c>
      <c r="T794" s="8" t="str">
        <f>IF(OR(L794&lt;outliers!$J$6,L794&gt;outliers!$J$7),"Outlier","Normal")</f>
        <v>Normal</v>
      </c>
      <c r="U794" s="8" t="str">
        <f>IF(OR(M794&lt;outliers!$K$6,M794&gt;outliers!$K$7),"Outlier","Normal")</f>
        <v>Normal</v>
      </c>
    </row>
    <row r="795" spans="1:21">
      <c r="A795" s="21">
        <v>794</v>
      </c>
      <c r="B795" s="68">
        <v>40579</v>
      </c>
      <c r="C795" s="22" t="b">
        <v>0</v>
      </c>
      <c r="D795" s="21" t="str">
        <f t="shared" si="12"/>
        <v>Saturday</v>
      </c>
      <c r="E795" s="23">
        <v>0.2273</v>
      </c>
      <c r="F795" s="23">
        <f>YEAR('Merged raw data'!$B795)</f>
        <v>2011</v>
      </c>
      <c r="G795" s="23" t="str">
        <f>TEXT('Merged raw data'!$B795,"mmmm")</f>
        <v>February</v>
      </c>
      <c r="H795" s="37" t="str">
        <f>TEXT(TIME('Merged raw data'!F795,0,0),"h AM/PM")</f>
        <v>12 PM</v>
      </c>
      <c r="I795" s="23" t="str">
        <f>IF(OR('Merged raw data'!H795=1,'Merged raw data'!H795=2,'Merged raw data'!H795=3,'Merged raw data'!H795=4,'Merged raw data'!H795=5),"weekday","weekend")</f>
        <v>weekend</v>
      </c>
      <c r="J795" s="23" t="s">
        <v>23</v>
      </c>
      <c r="K795" s="23" t="str">
        <f>IF('Merged raw data'!I795=1,"Clear",IF('Merged raw data'!I795=2,"Mist",IF('Merged raw data'!I795=3,"Rain",IF('Merged raw data'!I795=4,"Storm","NA"))))</f>
        <v>Rain</v>
      </c>
      <c r="L795" s="24">
        <v>1</v>
      </c>
      <c r="M795" s="24">
        <v>0.16420000000000001</v>
      </c>
      <c r="N795" s="21">
        <f>'Merged raw data'!$J795*100</f>
        <v>22</v>
      </c>
      <c r="O795" s="21">
        <v>10</v>
      </c>
      <c r="P795" s="21">
        <v>42</v>
      </c>
      <c r="Q795" s="21">
        <v>52</v>
      </c>
      <c r="R795" s="21" t="str">
        <f>IF(Q795&gt;=outliers!I797,"High",IF(Q795&lt;=outliers!I796,"Low","Moderate"))</f>
        <v>High</v>
      </c>
      <c r="S795" s="8" t="str">
        <f>IF(OR(Q795&lt;outliers!$I$6,Q795&gt;outliers!$I$7),"Outlier","Normal")</f>
        <v>Normal</v>
      </c>
      <c r="T795" s="8" t="str">
        <f>IF(OR(L795&lt;outliers!$J$6,L795&gt;outliers!$J$7),"Outlier","Normal")</f>
        <v>Normal</v>
      </c>
      <c r="U795" s="8" t="str">
        <f>IF(OR(M795&lt;outliers!$K$6,M795&gt;outliers!$K$7),"Outlier","Normal")</f>
        <v>Normal</v>
      </c>
    </row>
    <row r="796" spans="1:21">
      <c r="A796" s="21">
        <v>795</v>
      </c>
      <c r="B796" s="68">
        <v>40579</v>
      </c>
      <c r="C796" s="22" t="b">
        <v>0</v>
      </c>
      <c r="D796" s="21" t="str">
        <f t="shared" si="12"/>
        <v>Saturday</v>
      </c>
      <c r="E796" s="23">
        <v>0.2273</v>
      </c>
      <c r="F796" s="23">
        <f>YEAR('Merged raw data'!$B796)</f>
        <v>2011</v>
      </c>
      <c r="G796" s="23" t="str">
        <f>TEXT('Merged raw data'!$B796,"mmmm")</f>
        <v>February</v>
      </c>
      <c r="H796" s="37" t="str">
        <f>TEXT(TIME('Merged raw data'!F796,0,0),"h AM/PM")</f>
        <v>1 PM</v>
      </c>
      <c r="I796" s="23" t="str">
        <f>IF(OR('Merged raw data'!H796=1,'Merged raw data'!H796=2,'Merged raw data'!H796=3,'Merged raw data'!H796=4,'Merged raw data'!H796=5),"weekday","weekend")</f>
        <v>weekend</v>
      </c>
      <c r="J796" s="23" t="s">
        <v>23</v>
      </c>
      <c r="K796" s="23" t="str">
        <f>IF('Merged raw data'!I796=1,"Clear",IF('Merged raw data'!I796=2,"Mist",IF('Merged raw data'!I796=3,"Rain",IF('Merged raw data'!I796=4,"Storm","NA"))))</f>
        <v>Rain</v>
      </c>
      <c r="L796" s="24">
        <v>1</v>
      </c>
      <c r="M796" s="24">
        <v>0.16420000000000001</v>
      </c>
      <c r="N796" s="21">
        <f>'Merged raw data'!$J796*100</f>
        <v>22</v>
      </c>
      <c r="O796" s="21">
        <v>10</v>
      </c>
      <c r="P796" s="21">
        <v>62</v>
      </c>
      <c r="Q796" s="21">
        <v>72</v>
      </c>
      <c r="R796" s="21" t="str">
        <f>IF(Q796&gt;=outliers!I798,"High",IF(Q796&lt;=outliers!I797,"Low","Moderate"))</f>
        <v>High</v>
      </c>
      <c r="S796" s="8" t="str">
        <f>IF(OR(Q796&lt;outliers!$I$6,Q796&gt;outliers!$I$7),"Outlier","Normal")</f>
        <v>Normal</v>
      </c>
      <c r="T796" s="8" t="str">
        <f>IF(OR(L796&lt;outliers!$J$6,L796&gt;outliers!$J$7),"Outlier","Normal")</f>
        <v>Normal</v>
      </c>
      <c r="U796" s="8" t="str">
        <f>IF(OR(M796&lt;outliers!$K$6,M796&gt;outliers!$K$7),"Outlier","Normal")</f>
        <v>Normal</v>
      </c>
    </row>
    <row r="797" spans="1:21">
      <c r="A797" s="21">
        <v>796</v>
      </c>
      <c r="B797" s="68">
        <v>40579</v>
      </c>
      <c r="C797" s="22" t="b">
        <v>0</v>
      </c>
      <c r="D797" s="21" t="str">
        <f t="shared" si="12"/>
        <v>Saturday</v>
      </c>
      <c r="E797" s="23">
        <v>0.2727</v>
      </c>
      <c r="F797" s="23">
        <f>YEAR('Merged raw data'!$B797)</f>
        <v>2011</v>
      </c>
      <c r="G797" s="23" t="str">
        <f>TEXT('Merged raw data'!$B797,"mmmm")</f>
        <v>February</v>
      </c>
      <c r="H797" s="37" t="str">
        <f>TEXT(TIME('Merged raw data'!F797,0,0),"h AM/PM")</f>
        <v>2 PM</v>
      </c>
      <c r="I797" s="23" t="str">
        <f>IF(OR('Merged raw data'!H797=1,'Merged raw data'!H797=2,'Merged raw data'!H797=3,'Merged raw data'!H797=4,'Merged raw data'!H797=5),"weekday","weekend")</f>
        <v>weekend</v>
      </c>
      <c r="J797" s="23" t="s">
        <v>23</v>
      </c>
      <c r="K797" s="23" t="str">
        <f>IF('Merged raw data'!I797=1,"Clear",IF('Merged raw data'!I797=2,"Mist",IF('Merged raw data'!I797=3,"Rain",IF('Merged raw data'!I797=4,"Storm","NA"))))</f>
        <v>Rain</v>
      </c>
      <c r="L797" s="24">
        <v>1</v>
      </c>
      <c r="M797" s="24">
        <v>0.23</v>
      </c>
      <c r="N797" s="21">
        <f>'Merged raw data'!$J797*100</f>
        <v>22</v>
      </c>
      <c r="O797" s="21">
        <v>5</v>
      </c>
      <c r="P797" s="21">
        <v>50</v>
      </c>
      <c r="Q797" s="21">
        <v>55</v>
      </c>
      <c r="R797" s="21" t="str">
        <f>IF(Q797&gt;=outliers!I799,"High",IF(Q797&lt;=outliers!I798,"Low","Moderate"))</f>
        <v>High</v>
      </c>
      <c r="S797" s="8" t="str">
        <f>IF(OR(Q797&lt;outliers!$I$6,Q797&gt;outliers!$I$7),"Outlier","Normal")</f>
        <v>Normal</v>
      </c>
      <c r="T797" s="8" t="str">
        <f>IF(OR(L797&lt;outliers!$J$6,L797&gt;outliers!$J$7),"Outlier","Normal")</f>
        <v>Normal</v>
      </c>
      <c r="U797" s="8" t="str">
        <f>IF(OR(M797&lt;outliers!$K$6,M797&gt;outliers!$K$7),"Outlier","Normal")</f>
        <v>Normal</v>
      </c>
    </row>
    <row r="798" spans="1:21">
      <c r="A798" s="21">
        <v>797</v>
      </c>
      <c r="B798" s="68">
        <v>40579</v>
      </c>
      <c r="C798" s="22" t="b">
        <v>0</v>
      </c>
      <c r="D798" s="21" t="str">
        <f t="shared" si="12"/>
        <v>Saturday</v>
      </c>
      <c r="E798" s="23">
        <v>0.2727</v>
      </c>
      <c r="F798" s="23">
        <f>YEAR('Merged raw data'!$B798)</f>
        <v>2011</v>
      </c>
      <c r="G798" s="23" t="str">
        <f>TEXT('Merged raw data'!$B798,"mmmm")</f>
        <v>February</v>
      </c>
      <c r="H798" s="37" t="str">
        <f>TEXT(TIME('Merged raw data'!F798,0,0),"h AM/PM")</f>
        <v>3 PM</v>
      </c>
      <c r="I798" s="23" t="str">
        <f>IF(OR('Merged raw data'!H798=1,'Merged raw data'!H798=2,'Merged raw data'!H798=3,'Merged raw data'!H798=4,'Merged raw data'!H798=5),"weekday","weekend")</f>
        <v>weekend</v>
      </c>
      <c r="J798" s="23" t="s">
        <v>23</v>
      </c>
      <c r="K798" s="23" t="str">
        <f>IF('Merged raw data'!I798=1,"Clear",IF('Merged raw data'!I798=2,"Mist",IF('Merged raw data'!I798=3,"Rain",IF('Merged raw data'!I798=4,"Storm","NA"))))</f>
        <v>Rain</v>
      </c>
      <c r="L798" s="24">
        <v>1</v>
      </c>
      <c r="M798" s="24">
        <v>0.23</v>
      </c>
      <c r="N798" s="21">
        <f>'Merged raw data'!$J798*100</f>
        <v>22</v>
      </c>
      <c r="O798" s="21">
        <v>11</v>
      </c>
      <c r="P798" s="21">
        <v>49</v>
      </c>
      <c r="Q798" s="21">
        <v>60</v>
      </c>
      <c r="R798" s="21" t="str">
        <f>IF(Q798&gt;=outliers!I800,"High",IF(Q798&lt;=outliers!I799,"Low","Moderate"))</f>
        <v>High</v>
      </c>
      <c r="S798" s="8" t="str">
        <f>IF(OR(Q798&lt;outliers!$I$6,Q798&gt;outliers!$I$7),"Outlier","Normal")</f>
        <v>Normal</v>
      </c>
      <c r="T798" s="8" t="str">
        <f>IF(OR(L798&lt;outliers!$J$6,L798&gt;outliers!$J$7),"Outlier","Normal")</f>
        <v>Normal</v>
      </c>
      <c r="U798" s="8" t="str">
        <f>IF(OR(M798&lt;outliers!$K$6,M798&gt;outliers!$K$7),"Outlier","Normal")</f>
        <v>Normal</v>
      </c>
    </row>
    <row r="799" spans="1:21">
      <c r="A799" s="21">
        <v>798</v>
      </c>
      <c r="B799" s="68">
        <v>40579</v>
      </c>
      <c r="C799" s="22" t="b">
        <v>0</v>
      </c>
      <c r="D799" s="21" t="str">
        <f t="shared" si="12"/>
        <v>Saturday</v>
      </c>
      <c r="E799" s="23">
        <v>0.2273</v>
      </c>
      <c r="F799" s="23">
        <f>YEAR('Merged raw data'!$B799)</f>
        <v>2011</v>
      </c>
      <c r="G799" s="23" t="str">
        <f>TEXT('Merged raw data'!$B799,"mmmm")</f>
        <v>February</v>
      </c>
      <c r="H799" s="37" t="str">
        <f>TEXT(TIME('Merged raw data'!F799,0,0),"h AM/PM")</f>
        <v>4 PM</v>
      </c>
      <c r="I799" s="23" t="str">
        <f>IF(OR('Merged raw data'!H799=1,'Merged raw data'!H799=2,'Merged raw data'!H799=3,'Merged raw data'!H799=4,'Merged raw data'!H799=5),"weekday","weekend")</f>
        <v>weekend</v>
      </c>
      <c r="J799" s="23" t="s">
        <v>23</v>
      </c>
      <c r="K799" s="23" t="str">
        <f>IF('Merged raw data'!I799=1,"Clear",IF('Merged raw data'!I799=2,"Mist",IF('Merged raw data'!I799=3,"Rain",IF('Merged raw data'!I799=4,"Storm","NA"))))</f>
        <v>Rain</v>
      </c>
      <c r="L799" s="24">
        <v>1</v>
      </c>
      <c r="M799" s="24">
        <v>0.1343</v>
      </c>
      <c r="N799" s="21">
        <f>'Merged raw data'!$J799*100</f>
        <v>22</v>
      </c>
      <c r="O799" s="21">
        <v>8</v>
      </c>
      <c r="P799" s="21">
        <v>63</v>
      </c>
      <c r="Q799" s="21">
        <v>71</v>
      </c>
      <c r="R799" s="21" t="str">
        <f>IF(Q799&gt;=outliers!I801,"High",IF(Q799&lt;=outliers!I800,"Low","Moderate"))</f>
        <v>High</v>
      </c>
      <c r="S799" s="8" t="str">
        <f>IF(OR(Q799&lt;outliers!$I$6,Q799&gt;outliers!$I$7),"Outlier","Normal")</f>
        <v>Normal</v>
      </c>
      <c r="T799" s="8" t="str">
        <f>IF(OR(L799&lt;outliers!$J$6,L799&gt;outliers!$J$7),"Outlier","Normal")</f>
        <v>Normal</v>
      </c>
      <c r="U799" s="8" t="str">
        <f>IF(OR(M799&lt;outliers!$K$6,M799&gt;outliers!$K$7),"Outlier","Normal")</f>
        <v>Normal</v>
      </c>
    </row>
    <row r="800" spans="1:21">
      <c r="A800" s="21">
        <v>799</v>
      </c>
      <c r="B800" s="68">
        <v>40579</v>
      </c>
      <c r="C800" s="22" t="b">
        <v>0</v>
      </c>
      <c r="D800" s="21" t="str">
        <f t="shared" si="12"/>
        <v>Saturday</v>
      </c>
      <c r="E800" s="23">
        <v>0.21210000000000001</v>
      </c>
      <c r="F800" s="23">
        <f>YEAR('Merged raw data'!$B800)</f>
        <v>2011</v>
      </c>
      <c r="G800" s="23" t="str">
        <f>TEXT('Merged raw data'!$B800,"mmmm")</f>
        <v>February</v>
      </c>
      <c r="H800" s="37" t="str">
        <f>TEXT(TIME('Merged raw data'!F800,0,0),"h AM/PM")</f>
        <v>5 PM</v>
      </c>
      <c r="I800" s="23" t="str">
        <f>IF(OR('Merged raw data'!H800=1,'Merged raw data'!H800=2,'Merged raw data'!H800=3,'Merged raw data'!H800=4,'Merged raw data'!H800=5),"weekday","weekend")</f>
        <v>weekend</v>
      </c>
      <c r="J800" s="23" t="s">
        <v>23</v>
      </c>
      <c r="K800" s="23" t="str">
        <f>IF('Merged raw data'!I800=1,"Clear",IF('Merged raw data'!I800=2,"Mist",IF('Merged raw data'!I800=3,"Rain",IF('Merged raw data'!I800=4,"Storm","NA"))))</f>
        <v>Mist</v>
      </c>
      <c r="L800" s="24">
        <v>1</v>
      </c>
      <c r="M800" s="24">
        <v>0.28360000000000002</v>
      </c>
      <c r="N800" s="21">
        <f>'Merged raw data'!$J800*100</f>
        <v>24</v>
      </c>
      <c r="O800" s="21">
        <v>14</v>
      </c>
      <c r="P800" s="21">
        <v>64</v>
      </c>
      <c r="Q800" s="21">
        <v>78</v>
      </c>
      <c r="R800" s="21" t="str">
        <f>IF(Q800&gt;=outliers!I802,"High",IF(Q800&lt;=outliers!I801,"Low","Moderate"))</f>
        <v>High</v>
      </c>
      <c r="S800" s="8" t="str">
        <f>IF(OR(Q800&lt;outliers!$I$6,Q800&gt;outliers!$I$7),"Outlier","Normal")</f>
        <v>Normal</v>
      </c>
      <c r="T800" s="8" t="str">
        <f>IF(OR(L800&lt;outliers!$J$6,L800&gt;outliers!$J$7),"Outlier","Normal")</f>
        <v>Normal</v>
      </c>
      <c r="U800" s="8" t="str">
        <f>IF(OR(M800&lt;outliers!$K$6,M800&gt;outliers!$K$7),"Outlier","Normal")</f>
        <v>Normal</v>
      </c>
    </row>
    <row r="801" spans="1:21">
      <c r="A801" s="21">
        <v>800</v>
      </c>
      <c r="B801" s="68">
        <v>40579</v>
      </c>
      <c r="C801" s="22" t="b">
        <v>0</v>
      </c>
      <c r="D801" s="21" t="str">
        <f t="shared" si="12"/>
        <v>Saturday</v>
      </c>
      <c r="E801" s="23">
        <v>0.2424</v>
      </c>
      <c r="F801" s="23">
        <f>YEAR('Merged raw data'!$B801)</f>
        <v>2011</v>
      </c>
      <c r="G801" s="23" t="str">
        <f>TEXT('Merged raw data'!$B801,"mmmm")</f>
        <v>February</v>
      </c>
      <c r="H801" s="37" t="str">
        <f>TEXT(TIME('Merged raw data'!F801,0,0),"h AM/PM")</f>
        <v>6 PM</v>
      </c>
      <c r="I801" s="23" t="str">
        <f>IF(OR('Merged raw data'!H801=1,'Merged raw data'!H801=2,'Merged raw data'!H801=3,'Merged raw data'!H801=4,'Merged raw data'!H801=5),"weekday","weekend")</f>
        <v>weekend</v>
      </c>
      <c r="J801" s="23" t="s">
        <v>23</v>
      </c>
      <c r="K801" s="23" t="str">
        <f>IF('Merged raw data'!I801=1,"Clear",IF('Merged raw data'!I801=2,"Mist",IF('Merged raw data'!I801=3,"Rain",IF('Merged raw data'!I801=4,"Storm","NA"))))</f>
        <v>Mist</v>
      </c>
      <c r="L801" s="24">
        <v>0.93</v>
      </c>
      <c r="M801" s="24">
        <v>0.44779999999999998</v>
      </c>
      <c r="N801" s="21">
        <f>'Merged raw data'!$J801*100</f>
        <v>28.000000000000004</v>
      </c>
      <c r="O801" s="21">
        <v>2</v>
      </c>
      <c r="P801" s="21">
        <v>81</v>
      </c>
      <c r="Q801" s="21">
        <v>83</v>
      </c>
      <c r="R801" s="21" t="str">
        <f>IF(Q801&gt;=outliers!I803,"High",IF(Q801&lt;=outliers!I802,"Low","Moderate"))</f>
        <v>High</v>
      </c>
      <c r="S801" s="8" t="str">
        <f>IF(OR(Q801&lt;outliers!$I$6,Q801&gt;outliers!$I$7),"Outlier","Normal")</f>
        <v>Normal</v>
      </c>
      <c r="T801" s="8" t="str">
        <f>IF(OR(L801&lt;outliers!$J$6,L801&gt;outliers!$J$7),"Outlier","Normal")</f>
        <v>Normal</v>
      </c>
      <c r="U801" s="8" t="str">
        <f>IF(OR(M801&lt;outliers!$K$6,M801&gt;outliers!$K$7),"Outlier","Normal")</f>
        <v>Normal</v>
      </c>
    </row>
    <row r="802" spans="1:21">
      <c r="A802" s="21">
        <v>801</v>
      </c>
      <c r="B802" s="68">
        <v>40579</v>
      </c>
      <c r="C802" s="22" t="b">
        <v>0</v>
      </c>
      <c r="D802" s="21" t="str">
        <f t="shared" si="12"/>
        <v>Saturday</v>
      </c>
      <c r="E802" s="23">
        <v>0.2424</v>
      </c>
      <c r="F802" s="23">
        <f>YEAR('Merged raw data'!$B802)</f>
        <v>2011</v>
      </c>
      <c r="G802" s="23" t="str">
        <f>TEXT('Merged raw data'!$B802,"mmmm")</f>
        <v>February</v>
      </c>
      <c r="H802" s="37" t="str">
        <f>TEXT(TIME('Merged raw data'!F802,0,0),"h AM/PM")</f>
        <v>7 PM</v>
      </c>
      <c r="I802" s="23" t="str">
        <f>IF(OR('Merged raw data'!H802=1,'Merged raw data'!H802=2,'Merged raw data'!H802=3,'Merged raw data'!H802=4,'Merged raw data'!H802=5),"weekday","weekend")</f>
        <v>weekend</v>
      </c>
      <c r="J802" s="23" t="s">
        <v>23</v>
      </c>
      <c r="K802" s="23" t="str">
        <f>IF('Merged raw data'!I802=1,"Clear",IF('Merged raw data'!I802=2,"Mist",IF('Merged raw data'!I802=3,"Rain",IF('Merged raw data'!I802=4,"Storm","NA"))))</f>
        <v>Mist</v>
      </c>
      <c r="L802" s="24">
        <v>0.93</v>
      </c>
      <c r="M802" s="24">
        <v>0.44779999999999998</v>
      </c>
      <c r="N802" s="21">
        <f>'Merged raw data'!$J802*100</f>
        <v>28.000000000000004</v>
      </c>
      <c r="O802" s="21">
        <v>6</v>
      </c>
      <c r="P802" s="21">
        <v>78</v>
      </c>
      <c r="Q802" s="21">
        <v>84</v>
      </c>
      <c r="R802" s="21" t="str">
        <f>IF(Q802&gt;=outliers!I804,"High",IF(Q802&lt;=outliers!I803,"Low","Moderate"))</f>
        <v>High</v>
      </c>
      <c r="S802" s="8" t="str">
        <f>IF(OR(Q802&lt;outliers!$I$6,Q802&gt;outliers!$I$7),"Outlier","Normal")</f>
        <v>Normal</v>
      </c>
      <c r="T802" s="8" t="str">
        <f>IF(OR(L802&lt;outliers!$J$6,L802&gt;outliers!$J$7),"Outlier","Normal")</f>
        <v>Normal</v>
      </c>
      <c r="U802" s="8" t="str">
        <f>IF(OR(M802&lt;outliers!$K$6,M802&gt;outliers!$K$7),"Outlier","Normal")</f>
        <v>Normal</v>
      </c>
    </row>
    <row r="803" spans="1:21">
      <c r="A803" s="21">
        <v>802</v>
      </c>
      <c r="B803" s="68">
        <v>40579</v>
      </c>
      <c r="C803" s="22" t="b">
        <v>0</v>
      </c>
      <c r="D803" s="21" t="str">
        <f t="shared" si="12"/>
        <v>Saturday</v>
      </c>
      <c r="E803" s="23">
        <v>0.28789999999999999</v>
      </c>
      <c r="F803" s="23">
        <f>YEAR('Merged raw data'!$B803)</f>
        <v>2011</v>
      </c>
      <c r="G803" s="23" t="str">
        <f>TEXT('Merged raw data'!$B803,"mmmm")</f>
        <v>February</v>
      </c>
      <c r="H803" s="37" t="str">
        <f>TEXT(TIME('Merged raw data'!F803,0,0),"h AM/PM")</f>
        <v>8 PM</v>
      </c>
      <c r="I803" s="23" t="str">
        <f>IF(OR('Merged raw data'!H803=1,'Merged raw data'!H803=2,'Merged raw data'!H803=3,'Merged raw data'!H803=4,'Merged raw data'!H803=5),"weekday","weekend")</f>
        <v>weekend</v>
      </c>
      <c r="J803" s="23" t="s">
        <v>23</v>
      </c>
      <c r="K803" s="23" t="str">
        <f>IF('Merged raw data'!I803=1,"Clear",IF('Merged raw data'!I803=2,"Mist",IF('Merged raw data'!I803=3,"Rain",IF('Merged raw data'!I803=4,"Storm","NA"))))</f>
        <v>Clear</v>
      </c>
      <c r="L803" s="24">
        <v>0.87</v>
      </c>
      <c r="M803" s="24">
        <v>0.25369999999999998</v>
      </c>
      <c r="N803" s="21">
        <f>'Merged raw data'!$J803*100</f>
        <v>30</v>
      </c>
      <c r="O803" s="21">
        <v>5</v>
      </c>
      <c r="P803" s="21">
        <v>64</v>
      </c>
      <c r="Q803" s="21">
        <v>69</v>
      </c>
      <c r="R803" s="21" t="str">
        <f>IF(Q803&gt;=outliers!I805,"High",IF(Q803&lt;=outliers!I804,"Low","Moderate"))</f>
        <v>High</v>
      </c>
      <c r="S803" s="8" t="str">
        <f>IF(OR(Q803&lt;outliers!$I$6,Q803&gt;outliers!$I$7),"Outlier","Normal")</f>
        <v>Normal</v>
      </c>
      <c r="T803" s="8" t="str">
        <f>IF(OR(L803&lt;outliers!$J$6,L803&gt;outliers!$J$7),"Outlier","Normal")</f>
        <v>Normal</v>
      </c>
      <c r="U803" s="8" t="str">
        <f>IF(OR(M803&lt;outliers!$K$6,M803&gt;outliers!$K$7),"Outlier","Normal")</f>
        <v>Normal</v>
      </c>
    </row>
    <row r="804" spans="1:21">
      <c r="A804" s="21">
        <v>803</v>
      </c>
      <c r="B804" s="68">
        <v>40579</v>
      </c>
      <c r="C804" s="22" t="b">
        <v>0</v>
      </c>
      <c r="D804" s="21" t="str">
        <f t="shared" si="12"/>
        <v>Saturday</v>
      </c>
      <c r="E804" s="23">
        <v>0.2576</v>
      </c>
      <c r="F804" s="23">
        <f>YEAR('Merged raw data'!$B804)</f>
        <v>2011</v>
      </c>
      <c r="G804" s="23" t="str">
        <f>TEXT('Merged raw data'!$B804,"mmmm")</f>
        <v>February</v>
      </c>
      <c r="H804" s="37" t="str">
        <f>TEXT(TIME('Merged raw data'!F804,0,0),"h AM/PM")</f>
        <v>9 PM</v>
      </c>
      <c r="I804" s="23" t="str">
        <f>IF(OR('Merged raw data'!H804=1,'Merged raw data'!H804=2,'Merged raw data'!H804=3,'Merged raw data'!H804=4,'Merged raw data'!H804=5),"weekday","weekend")</f>
        <v>weekend</v>
      </c>
      <c r="J804" s="23" t="s">
        <v>23</v>
      </c>
      <c r="K804" s="23" t="str">
        <f>IF('Merged raw data'!I804=1,"Clear",IF('Merged raw data'!I804=2,"Mist",IF('Merged raw data'!I804=3,"Rain",IF('Merged raw data'!I804=4,"Storm","NA"))))</f>
        <v>Clear</v>
      </c>
      <c r="L804" s="24">
        <v>1</v>
      </c>
      <c r="M804" s="24">
        <v>0.19400000000000001</v>
      </c>
      <c r="N804" s="21">
        <f>'Merged raw data'!$J804*100</f>
        <v>26</v>
      </c>
      <c r="O804" s="21">
        <v>3</v>
      </c>
      <c r="P804" s="21">
        <v>53</v>
      </c>
      <c r="Q804" s="21">
        <v>56</v>
      </c>
      <c r="R804" s="21" t="str">
        <f>IF(Q804&gt;=outliers!I806,"High",IF(Q804&lt;=outliers!I805,"Low","Moderate"))</f>
        <v>High</v>
      </c>
      <c r="S804" s="8" t="str">
        <f>IF(OR(Q804&lt;outliers!$I$6,Q804&gt;outliers!$I$7),"Outlier","Normal")</f>
        <v>Normal</v>
      </c>
      <c r="T804" s="8" t="str">
        <f>IF(OR(L804&lt;outliers!$J$6,L804&gt;outliers!$J$7),"Outlier","Normal")</f>
        <v>Normal</v>
      </c>
      <c r="U804" s="8" t="str">
        <f>IF(OR(M804&lt;outliers!$K$6,M804&gt;outliers!$K$7),"Outlier","Normal")</f>
        <v>Normal</v>
      </c>
    </row>
    <row r="805" spans="1:21">
      <c r="A805" s="21">
        <v>804</v>
      </c>
      <c r="B805" s="68">
        <v>40579</v>
      </c>
      <c r="C805" s="22" t="b">
        <v>0</v>
      </c>
      <c r="D805" s="21" t="str">
        <f t="shared" si="12"/>
        <v>Saturday</v>
      </c>
      <c r="E805" s="23">
        <v>0.2727</v>
      </c>
      <c r="F805" s="23">
        <f>YEAR('Merged raw data'!$B805)</f>
        <v>2011</v>
      </c>
      <c r="G805" s="23" t="str">
        <f>TEXT('Merged raw data'!$B805,"mmmm")</f>
        <v>February</v>
      </c>
      <c r="H805" s="37" t="str">
        <f>TEXT(TIME('Merged raw data'!F805,0,0),"h AM/PM")</f>
        <v>10 PM</v>
      </c>
      <c r="I805" s="23" t="str">
        <f>IF(OR('Merged raw data'!H805=1,'Merged raw data'!H805=2,'Merged raw data'!H805=3,'Merged raw data'!H805=4,'Merged raw data'!H805=5),"weekday","weekend")</f>
        <v>weekend</v>
      </c>
      <c r="J805" s="23" t="s">
        <v>23</v>
      </c>
      <c r="K805" s="23" t="str">
        <f>IF('Merged raw data'!I805=1,"Clear",IF('Merged raw data'!I805=2,"Mist",IF('Merged raw data'!I805=3,"Rain",IF('Merged raw data'!I805=4,"Storm","NA"))))</f>
        <v>Clear</v>
      </c>
      <c r="L805" s="24">
        <v>0.93</v>
      </c>
      <c r="M805" s="24">
        <v>0.1343</v>
      </c>
      <c r="N805" s="21">
        <f>'Merged raw data'!$J805*100</f>
        <v>26</v>
      </c>
      <c r="O805" s="21">
        <v>2</v>
      </c>
      <c r="P805" s="21">
        <v>43</v>
      </c>
      <c r="Q805" s="21">
        <v>45</v>
      </c>
      <c r="R805" s="21" t="str">
        <f>IF(Q805&gt;=outliers!I807,"High",IF(Q805&lt;=outliers!I806,"Low","Moderate"))</f>
        <v>High</v>
      </c>
      <c r="S805" s="8" t="str">
        <f>IF(OR(Q805&lt;outliers!$I$6,Q805&gt;outliers!$I$7),"Outlier","Normal")</f>
        <v>Normal</v>
      </c>
      <c r="T805" s="8" t="str">
        <f>IF(OR(L805&lt;outliers!$J$6,L805&gt;outliers!$J$7),"Outlier","Normal")</f>
        <v>Normal</v>
      </c>
      <c r="U805" s="8" t="str">
        <f>IF(OR(M805&lt;outliers!$K$6,M805&gt;outliers!$K$7),"Outlier","Normal")</f>
        <v>Normal</v>
      </c>
    </row>
    <row r="806" spans="1:21">
      <c r="A806" s="21">
        <v>805</v>
      </c>
      <c r="B806" s="68">
        <v>40579</v>
      </c>
      <c r="C806" s="22" t="b">
        <v>0</v>
      </c>
      <c r="D806" s="21" t="str">
        <f t="shared" si="12"/>
        <v>Saturday</v>
      </c>
      <c r="E806" s="23">
        <v>0.2576</v>
      </c>
      <c r="F806" s="23">
        <f>YEAR('Merged raw data'!$B806)</f>
        <v>2011</v>
      </c>
      <c r="G806" s="23" t="str">
        <f>TEXT('Merged raw data'!$B806,"mmmm")</f>
        <v>February</v>
      </c>
      <c r="H806" s="37" t="str">
        <f>TEXT(TIME('Merged raw data'!F806,0,0),"h AM/PM")</f>
        <v>11 PM</v>
      </c>
      <c r="I806" s="23" t="str">
        <f>IF(OR('Merged raw data'!H806=1,'Merged raw data'!H806=2,'Merged raw data'!H806=3,'Merged raw data'!H806=4,'Merged raw data'!H806=5),"weekday","weekend")</f>
        <v>weekend</v>
      </c>
      <c r="J806" s="23" t="s">
        <v>23</v>
      </c>
      <c r="K806" s="23" t="str">
        <f>IF('Merged raw data'!I806=1,"Clear",IF('Merged raw data'!I806=2,"Mist",IF('Merged raw data'!I806=3,"Rain",IF('Merged raw data'!I806=4,"Storm","NA"))))</f>
        <v>Clear</v>
      </c>
      <c r="L806" s="24">
        <v>0.93</v>
      </c>
      <c r="M806" s="24">
        <v>0.22389999999999999</v>
      </c>
      <c r="N806" s="21">
        <f>'Merged raw data'!$J806*100</f>
        <v>26</v>
      </c>
      <c r="O806" s="21">
        <v>7</v>
      </c>
      <c r="P806" s="21">
        <v>52</v>
      </c>
      <c r="Q806" s="21">
        <v>59</v>
      </c>
      <c r="R806" s="21" t="str">
        <f>IF(Q806&gt;=outliers!I808,"High",IF(Q806&lt;=outliers!I807,"Low","Moderate"))</f>
        <v>High</v>
      </c>
      <c r="S806" s="8" t="str">
        <f>IF(OR(Q806&lt;outliers!$I$6,Q806&gt;outliers!$I$7),"Outlier","Normal")</f>
        <v>Normal</v>
      </c>
      <c r="T806" s="8" t="str">
        <f>IF(OR(L806&lt;outliers!$J$6,L806&gt;outliers!$J$7),"Outlier","Normal")</f>
        <v>Normal</v>
      </c>
      <c r="U806" s="8" t="str">
        <f>IF(OR(M806&lt;outliers!$K$6,M806&gt;outliers!$K$7),"Outlier","Normal")</f>
        <v>Normal</v>
      </c>
    </row>
    <row r="807" spans="1:21">
      <c r="A807" s="21">
        <v>806</v>
      </c>
      <c r="B807" s="68">
        <v>40580</v>
      </c>
      <c r="C807" s="22" t="b">
        <v>0</v>
      </c>
      <c r="D807" s="21" t="str">
        <f t="shared" si="12"/>
        <v>Sunday</v>
      </c>
      <c r="E807" s="23">
        <v>0.2576</v>
      </c>
      <c r="F807" s="23">
        <f>YEAR('Merged raw data'!$B807)</f>
        <v>2011</v>
      </c>
      <c r="G807" s="23" t="str">
        <f>TEXT('Merged raw data'!$B807,"mmmm")</f>
        <v>February</v>
      </c>
      <c r="H807" s="37" t="str">
        <f>TEXT(TIME('Merged raw data'!F807,0,0),"h AM/PM")</f>
        <v>12 AM</v>
      </c>
      <c r="I807" s="23" t="str">
        <f>IF(OR('Merged raw data'!H807=1,'Merged raw data'!H807=2,'Merged raw data'!H807=3,'Merged raw data'!H807=4,'Merged raw data'!H807=5),"weekday","weekend")</f>
        <v>weekend</v>
      </c>
      <c r="J807" s="23" t="s">
        <v>23</v>
      </c>
      <c r="K807" s="23" t="str">
        <f>IF('Merged raw data'!I807=1,"Clear",IF('Merged raw data'!I807=2,"Mist",IF('Merged raw data'!I807=3,"Rain",IF('Merged raw data'!I807=4,"Storm","NA"))))</f>
        <v>Clear</v>
      </c>
      <c r="L807" s="24">
        <v>0.7</v>
      </c>
      <c r="M807" s="24">
        <v>0.19400000000000001</v>
      </c>
      <c r="N807" s="21">
        <f>'Merged raw data'!$J807*100</f>
        <v>26</v>
      </c>
      <c r="O807" s="21">
        <v>2</v>
      </c>
      <c r="P807" s="21">
        <v>37</v>
      </c>
      <c r="Q807" s="21">
        <v>39</v>
      </c>
      <c r="R807" s="21" t="str">
        <f>IF(Q807&gt;=outliers!I809,"High",IF(Q807&lt;=outliers!I808,"Low","Moderate"))</f>
        <v>High</v>
      </c>
      <c r="S807" s="8" t="str">
        <f>IF(OR(Q807&lt;outliers!$I$6,Q807&gt;outliers!$I$7),"Outlier","Normal")</f>
        <v>Normal</v>
      </c>
      <c r="T807" s="8" t="str">
        <f>IF(OR(L807&lt;outliers!$J$6,L807&gt;outliers!$J$7),"Outlier","Normal")</f>
        <v>Normal</v>
      </c>
      <c r="U807" s="8" t="str">
        <f>IF(OR(M807&lt;outliers!$K$6,M807&gt;outliers!$K$7),"Outlier","Normal")</f>
        <v>Normal</v>
      </c>
    </row>
    <row r="808" spans="1:21">
      <c r="A808" s="21">
        <v>807</v>
      </c>
      <c r="B808" s="68">
        <v>40580</v>
      </c>
      <c r="C808" s="22" t="b">
        <v>0</v>
      </c>
      <c r="D808" s="21" t="str">
        <f t="shared" si="12"/>
        <v>Sunday</v>
      </c>
      <c r="E808" s="23">
        <v>0.2273</v>
      </c>
      <c r="F808" s="23">
        <f>YEAR('Merged raw data'!$B808)</f>
        <v>2011</v>
      </c>
      <c r="G808" s="23" t="str">
        <f>TEXT('Merged raw data'!$B808,"mmmm")</f>
        <v>February</v>
      </c>
      <c r="H808" s="37" t="str">
        <f>TEXT(TIME('Merged raw data'!F808,0,0),"h AM/PM")</f>
        <v>1 AM</v>
      </c>
      <c r="I808" s="23" t="str">
        <f>IF(OR('Merged raw data'!H808=1,'Merged raw data'!H808=2,'Merged raw data'!H808=3,'Merged raw data'!H808=4,'Merged raw data'!H808=5),"weekday","weekend")</f>
        <v>weekend</v>
      </c>
      <c r="J808" s="23" t="s">
        <v>23</v>
      </c>
      <c r="K808" s="23" t="str">
        <f>IF('Merged raw data'!I808=1,"Clear",IF('Merged raw data'!I808=2,"Mist",IF('Merged raw data'!I808=3,"Rain",IF('Merged raw data'!I808=4,"Storm","NA"))))</f>
        <v>Clear</v>
      </c>
      <c r="L808" s="24">
        <v>0.65</v>
      </c>
      <c r="M808" s="24">
        <v>0.41789999999999999</v>
      </c>
      <c r="N808" s="21">
        <f>'Merged raw data'!$J808*100</f>
        <v>26</v>
      </c>
      <c r="O808" s="21">
        <v>4</v>
      </c>
      <c r="P808" s="21">
        <v>40</v>
      </c>
      <c r="Q808" s="21">
        <v>44</v>
      </c>
      <c r="R808" s="21" t="str">
        <f>IF(Q808&gt;=outliers!I810,"High",IF(Q808&lt;=outliers!I809,"Low","Moderate"))</f>
        <v>High</v>
      </c>
      <c r="S808" s="8" t="str">
        <f>IF(OR(Q808&lt;outliers!$I$6,Q808&gt;outliers!$I$7),"Outlier","Normal")</f>
        <v>Normal</v>
      </c>
      <c r="T808" s="8" t="str">
        <f>IF(OR(L808&lt;outliers!$J$6,L808&gt;outliers!$J$7),"Outlier","Normal")</f>
        <v>Normal</v>
      </c>
      <c r="U808" s="8" t="str">
        <f>IF(OR(M808&lt;outliers!$K$6,M808&gt;outliers!$K$7),"Outlier","Normal")</f>
        <v>Normal</v>
      </c>
    </row>
    <row r="809" spans="1:21">
      <c r="A809" s="21">
        <v>808</v>
      </c>
      <c r="B809" s="68">
        <v>40580</v>
      </c>
      <c r="C809" s="22" t="b">
        <v>0</v>
      </c>
      <c r="D809" s="21" t="str">
        <f t="shared" si="12"/>
        <v>Sunday</v>
      </c>
      <c r="E809" s="23">
        <v>0.2273</v>
      </c>
      <c r="F809" s="23">
        <f>YEAR('Merged raw data'!$B809)</f>
        <v>2011</v>
      </c>
      <c r="G809" s="23" t="str">
        <f>TEXT('Merged raw data'!$B809,"mmmm")</f>
        <v>February</v>
      </c>
      <c r="H809" s="37" t="str">
        <f>TEXT(TIME('Merged raw data'!F809,0,0),"h AM/PM")</f>
        <v>2 AM</v>
      </c>
      <c r="I809" s="23" t="str">
        <f>IF(OR('Merged raw data'!H809=1,'Merged raw data'!H809=2,'Merged raw data'!H809=3,'Merged raw data'!H809=4,'Merged raw data'!H809=5),"weekday","weekend")</f>
        <v>weekend</v>
      </c>
      <c r="J809" s="23" t="s">
        <v>23</v>
      </c>
      <c r="K809" s="23" t="str">
        <f>IF('Merged raw data'!I809=1,"Clear",IF('Merged raw data'!I809=2,"Mist",IF('Merged raw data'!I809=3,"Rain",IF('Merged raw data'!I809=4,"Storm","NA"))))</f>
        <v>Clear</v>
      </c>
      <c r="L809" s="24">
        <v>0.6</v>
      </c>
      <c r="M809" s="24">
        <v>0.32840000000000003</v>
      </c>
      <c r="N809" s="21">
        <f>'Merged raw data'!$J809*100</f>
        <v>26</v>
      </c>
      <c r="O809" s="21">
        <v>0</v>
      </c>
      <c r="P809" s="21">
        <v>20</v>
      </c>
      <c r="Q809" s="21">
        <v>20</v>
      </c>
      <c r="R809" s="21" t="str">
        <f>IF(Q809&gt;=outliers!I811,"High",IF(Q809&lt;=outliers!I810,"Low","Moderate"))</f>
        <v>High</v>
      </c>
      <c r="S809" s="8" t="str">
        <f>IF(OR(Q809&lt;outliers!$I$6,Q809&gt;outliers!$I$7),"Outlier","Normal")</f>
        <v>Normal</v>
      </c>
      <c r="T809" s="8" t="str">
        <f>IF(OR(L809&lt;outliers!$J$6,L809&gt;outliers!$J$7),"Outlier","Normal")</f>
        <v>Normal</v>
      </c>
      <c r="U809" s="8" t="str">
        <f>IF(OR(M809&lt;outliers!$K$6,M809&gt;outliers!$K$7),"Outlier","Normal")</f>
        <v>Normal</v>
      </c>
    </row>
    <row r="810" spans="1:21">
      <c r="A810" s="21">
        <v>809</v>
      </c>
      <c r="B810" s="68">
        <v>40580</v>
      </c>
      <c r="C810" s="22" t="b">
        <v>0</v>
      </c>
      <c r="D810" s="21" t="str">
        <f t="shared" si="12"/>
        <v>Sunday</v>
      </c>
      <c r="E810" s="23">
        <v>0.28789999999999999</v>
      </c>
      <c r="F810" s="23">
        <f>YEAR('Merged raw data'!$B810)</f>
        <v>2011</v>
      </c>
      <c r="G810" s="23" t="str">
        <f>TEXT('Merged raw data'!$B810,"mmmm")</f>
        <v>February</v>
      </c>
      <c r="H810" s="37" t="str">
        <f>TEXT(TIME('Merged raw data'!F810,0,0),"h AM/PM")</f>
        <v>3 AM</v>
      </c>
      <c r="I810" s="23" t="str">
        <f>IF(OR('Merged raw data'!H810=1,'Merged raw data'!H810=2,'Merged raw data'!H810=3,'Merged raw data'!H810=4,'Merged raw data'!H810=5),"weekday","weekend")</f>
        <v>weekend</v>
      </c>
      <c r="J810" s="23" t="s">
        <v>23</v>
      </c>
      <c r="K810" s="23" t="str">
        <f>IF('Merged raw data'!I810=1,"Clear",IF('Merged raw data'!I810=2,"Mist",IF('Merged raw data'!I810=3,"Rain",IF('Merged raw data'!I810=4,"Storm","NA"))))</f>
        <v>Clear</v>
      </c>
      <c r="L810" s="24">
        <v>0.6</v>
      </c>
      <c r="M810" s="24">
        <v>8.9599999999999999E-2</v>
      </c>
      <c r="N810" s="21">
        <f>'Merged raw data'!$J810*100</f>
        <v>26</v>
      </c>
      <c r="O810" s="21">
        <v>3</v>
      </c>
      <c r="P810" s="21">
        <v>10</v>
      </c>
      <c r="Q810" s="21">
        <v>13</v>
      </c>
      <c r="R810" s="21" t="str">
        <f>IF(Q810&gt;=outliers!I812,"High",IF(Q810&lt;=outliers!I811,"Low","Moderate"))</f>
        <v>High</v>
      </c>
      <c r="S810" s="8" t="str">
        <f>IF(OR(Q810&lt;outliers!$I$6,Q810&gt;outliers!$I$7),"Outlier","Normal")</f>
        <v>Normal</v>
      </c>
      <c r="T810" s="8" t="str">
        <f>IF(OR(L810&lt;outliers!$J$6,L810&gt;outliers!$J$7),"Outlier","Normal")</f>
        <v>Normal</v>
      </c>
      <c r="U810" s="8" t="str">
        <f>IF(OR(M810&lt;outliers!$K$6,M810&gt;outliers!$K$7),"Outlier","Normal")</f>
        <v>Normal</v>
      </c>
    </row>
    <row r="811" spans="1:21">
      <c r="A811" s="21">
        <v>810</v>
      </c>
      <c r="B811" s="68">
        <v>40580</v>
      </c>
      <c r="C811" s="22" t="b">
        <v>0</v>
      </c>
      <c r="D811" s="21" t="str">
        <f t="shared" si="12"/>
        <v>Sunday</v>
      </c>
      <c r="E811" s="23">
        <v>0.2273</v>
      </c>
      <c r="F811" s="23">
        <f>YEAR('Merged raw data'!$B811)</f>
        <v>2011</v>
      </c>
      <c r="G811" s="23" t="str">
        <f>TEXT('Merged raw data'!$B811,"mmmm")</f>
        <v>February</v>
      </c>
      <c r="H811" s="37" t="str">
        <f>TEXT(TIME('Merged raw data'!F811,0,0),"h AM/PM")</f>
        <v>4 AM</v>
      </c>
      <c r="I811" s="23" t="str">
        <f>IF(OR('Merged raw data'!H811=1,'Merged raw data'!H811=2,'Merged raw data'!H811=3,'Merged raw data'!H811=4,'Merged raw data'!H811=5),"weekday","weekend")</f>
        <v>weekend</v>
      </c>
      <c r="J811" s="23" t="s">
        <v>23</v>
      </c>
      <c r="K811" s="23" t="str">
        <f>IF('Merged raw data'!I811=1,"Clear",IF('Merged raw data'!I811=2,"Mist",IF('Merged raw data'!I811=3,"Rain",IF('Merged raw data'!I811=4,"Storm","NA"))))</f>
        <v>Clear</v>
      </c>
      <c r="L811" s="24">
        <v>0.6</v>
      </c>
      <c r="M811" s="24">
        <v>0.35820000000000002</v>
      </c>
      <c r="N811" s="21">
        <f>'Merged raw data'!$J811*100</f>
        <v>26</v>
      </c>
      <c r="O811" s="21">
        <v>0</v>
      </c>
      <c r="P811" s="21">
        <v>2</v>
      </c>
      <c r="Q811" s="21">
        <v>2</v>
      </c>
      <c r="R811" s="21" t="str">
        <f>IF(Q811&gt;=outliers!I813,"High",IF(Q811&lt;=outliers!I812,"Low","Moderate"))</f>
        <v>High</v>
      </c>
      <c r="S811" s="8" t="str">
        <f>IF(OR(Q811&lt;outliers!$I$6,Q811&gt;outliers!$I$7),"Outlier","Normal")</f>
        <v>Normal</v>
      </c>
      <c r="T811" s="8" t="str">
        <f>IF(OR(L811&lt;outliers!$J$6,L811&gt;outliers!$J$7),"Outlier","Normal")</f>
        <v>Normal</v>
      </c>
      <c r="U811" s="8" t="str">
        <f>IF(OR(M811&lt;outliers!$K$6,M811&gt;outliers!$K$7),"Outlier","Normal")</f>
        <v>Normal</v>
      </c>
    </row>
    <row r="812" spans="1:21">
      <c r="A812" s="21">
        <v>811</v>
      </c>
      <c r="B812" s="68">
        <v>40580</v>
      </c>
      <c r="C812" s="22" t="b">
        <v>0</v>
      </c>
      <c r="D812" s="21" t="str">
        <f t="shared" si="12"/>
        <v>Sunday</v>
      </c>
      <c r="E812" s="23">
        <v>0.2576</v>
      </c>
      <c r="F812" s="23">
        <f>YEAR('Merged raw data'!$B812)</f>
        <v>2011</v>
      </c>
      <c r="G812" s="23" t="str">
        <f>TEXT('Merged raw data'!$B812,"mmmm")</f>
        <v>February</v>
      </c>
      <c r="H812" s="37" t="str">
        <f>TEXT(TIME('Merged raw data'!F812,0,0),"h AM/PM")</f>
        <v>5 AM</v>
      </c>
      <c r="I812" s="23" t="str">
        <f>IF(OR('Merged raw data'!H812=1,'Merged raw data'!H812=2,'Merged raw data'!H812=3,'Merged raw data'!H812=4,'Merged raw data'!H812=5),"weekday","weekend")</f>
        <v>weekend</v>
      </c>
      <c r="J812" s="23" t="s">
        <v>23</v>
      </c>
      <c r="K812" s="23" t="str">
        <f>IF('Merged raw data'!I812=1,"Clear",IF('Merged raw data'!I812=2,"Mist",IF('Merged raw data'!I812=3,"Rain",IF('Merged raw data'!I812=4,"Storm","NA"))))</f>
        <v>Clear</v>
      </c>
      <c r="L812" s="24">
        <v>0.6</v>
      </c>
      <c r="M812" s="24">
        <v>0.22389999999999999</v>
      </c>
      <c r="N812" s="21">
        <f>'Merged raw data'!$J812*100</f>
        <v>26</v>
      </c>
      <c r="O812" s="21">
        <v>0</v>
      </c>
      <c r="P812" s="21">
        <v>1</v>
      </c>
      <c r="Q812" s="21">
        <v>1</v>
      </c>
      <c r="R812" s="21" t="str">
        <f>IF(Q812&gt;=outliers!I814,"High",IF(Q812&lt;=outliers!I813,"Low","Moderate"))</f>
        <v>High</v>
      </c>
      <c r="S812" s="8" t="str">
        <f>IF(OR(Q812&lt;outliers!$I$6,Q812&gt;outliers!$I$7),"Outlier","Normal")</f>
        <v>Normal</v>
      </c>
      <c r="T812" s="8" t="str">
        <f>IF(OR(L812&lt;outliers!$J$6,L812&gt;outliers!$J$7),"Outlier","Normal")</f>
        <v>Normal</v>
      </c>
      <c r="U812" s="8" t="str">
        <f>IF(OR(M812&lt;outliers!$K$6,M812&gt;outliers!$K$7),"Outlier","Normal")</f>
        <v>Normal</v>
      </c>
    </row>
    <row r="813" spans="1:21">
      <c r="A813" s="21">
        <v>812</v>
      </c>
      <c r="B813" s="68">
        <v>40580</v>
      </c>
      <c r="C813" s="22" t="b">
        <v>0</v>
      </c>
      <c r="D813" s="21" t="str">
        <f t="shared" si="12"/>
        <v>Sunday</v>
      </c>
      <c r="E813" s="23">
        <v>0.2576</v>
      </c>
      <c r="F813" s="23">
        <f>YEAR('Merged raw data'!$B813)</f>
        <v>2011</v>
      </c>
      <c r="G813" s="23" t="str">
        <f>TEXT('Merged raw data'!$B813,"mmmm")</f>
        <v>February</v>
      </c>
      <c r="H813" s="37" t="str">
        <f>TEXT(TIME('Merged raw data'!F813,0,0),"h AM/PM")</f>
        <v>6 AM</v>
      </c>
      <c r="I813" s="23" t="str">
        <f>IF(OR('Merged raw data'!H813=1,'Merged raw data'!H813=2,'Merged raw data'!H813=3,'Merged raw data'!H813=4,'Merged raw data'!H813=5),"weekday","weekend")</f>
        <v>weekend</v>
      </c>
      <c r="J813" s="23" t="s">
        <v>23</v>
      </c>
      <c r="K813" s="23" t="str">
        <f>IF('Merged raw data'!I813=1,"Clear",IF('Merged raw data'!I813=2,"Mist",IF('Merged raw data'!I813=3,"Rain",IF('Merged raw data'!I813=4,"Storm","NA"))))</f>
        <v>Clear</v>
      </c>
      <c r="L813" s="24">
        <v>0.6</v>
      </c>
      <c r="M813" s="24">
        <v>0.22389999999999999</v>
      </c>
      <c r="N813" s="21">
        <f>'Merged raw data'!$J813*100</f>
        <v>26</v>
      </c>
      <c r="O813" s="21">
        <v>0</v>
      </c>
      <c r="P813" s="21">
        <v>1</v>
      </c>
      <c r="Q813" s="21">
        <v>1</v>
      </c>
      <c r="R813" s="21" t="str">
        <f>IF(Q813&gt;=outliers!I815,"High",IF(Q813&lt;=outliers!I814,"Low","Moderate"))</f>
        <v>High</v>
      </c>
      <c r="S813" s="8" t="str">
        <f>IF(OR(Q813&lt;outliers!$I$6,Q813&gt;outliers!$I$7),"Outlier","Normal")</f>
        <v>Normal</v>
      </c>
      <c r="T813" s="8" t="str">
        <f>IF(OR(L813&lt;outliers!$J$6,L813&gt;outliers!$J$7),"Outlier","Normal")</f>
        <v>Normal</v>
      </c>
      <c r="U813" s="8" t="str">
        <f>IF(OR(M813&lt;outliers!$K$6,M813&gt;outliers!$K$7),"Outlier","Normal")</f>
        <v>Normal</v>
      </c>
    </row>
    <row r="814" spans="1:21">
      <c r="A814" s="21">
        <v>813</v>
      </c>
      <c r="B814" s="68">
        <v>40580</v>
      </c>
      <c r="C814" s="22" t="b">
        <v>0</v>
      </c>
      <c r="D814" s="21" t="str">
        <f t="shared" si="12"/>
        <v>Sunday</v>
      </c>
      <c r="E814" s="23">
        <v>0.2424</v>
      </c>
      <c r="F814" s="23">
        <f>YEAR('Merged raw data'!$B814)</f>
        <v>2011</v>
      </c>
      <c r="G814" s="23" t="str">
        <f>TEXT('Merged raw data'!$B814,"mmmm")</f>
        <v>February</v>
      </c>
      <c r="H814" s="37" t="str">
        <f>TEXT(TIME('Merged raw data'!F814,0,0),"h AM/PM")</f>
        <v>7 AM</v>
      </c>
      <c r="I814" s="23" t="str">
        <f>IF(OR('Merged raw data'!H814=1,'Merged raw data'!H814=2,'Merged raw data'!H814=3,'Merged raw data'!H814=4,'Merged raw data'!H814=5),"weekday","weekend")</f>
        <v>weekend</v>
      </c>
      <c r="J814" s="23" t="s">
        <v>23</v>
      </c>
      <c r="K814" s="23" t="str">
        <f>IF('Merged raw data'!I814=1,"Clear",IF('Merged raw data'!I814=2,"Mist",IF('Merged raw data'!I814=3,"Rain",IF('Merged raw data'!I814=4,"Storm","NA"))))</f>
        <v>Clear</v>
      </c>
      <c r="L814" s="24">
        <v>0.65</v>
      </c>
      <c r="M814" s="24">
        <v>0.16420000000000001</v>
      </c>
      <c r="N814" s="21">
        <f>'Merged raw data'!$J814*100</f>
        <v>24</v>
      </c>
      <c r="O814" s="21">
        <v>0</v>
      </c>
      <c r="P814" s="21">
        <v>8</v>
      </c>
      <c r="Q814" s="21">
        <v>8</v>
      </c>
      <c r="R814" s="21" t="str">
        <f>IF(Q814&gt;=outliers!I816,"High",IF(Q814&lt;=outliers!I815,"Low","Moderate"))</f>
        <v>High</v>
      </c>
      <c r="S814" s="8" t="str">
        <f>IF(OR(Q814&lt;outliers!$I$6,Q814&gt;outliers!$I$7),"Outlier","Normal")</f>
        <v>Normal</v>
      </c>
      <c r="T814" s="8" t="str">
        <f>IF(OR(L814&lt;outliers!$J$6,L814&gt;outliers!$J$7),"Outlier","Normal")</f>
        <v>Normal</v>
      </c>
      <c r="U814" s="8" t="str">
        <f>IF(OR(M814&lt;outliers!$K$6,M814&gt;outliers!$K$7),"Outlier","Normal")</f>
        <v>Normal</v>
      </c>
    </row>
    <row r="815" spans="1:21">
      <c r="A815" s="21">
        <v>814</v>
      </c>
      <c r="B815" s="68">
        <v>40580</v>
      </c>
      <c r="C815" s="22" t="b">
        <v>0</v>
      </c>
      <c r="D815" s="21" t="str">
        <f t="shared" si="12"/>
        <v>Sunday</v>
      </c>
      <c r="E815" s="23">
        <v>0.2576</v>
      </c>
      <c r="F815" s="23">
        <f>YEAR('Merged raw data'!$B815)</f>
        <v>2011</v>
      </c>
      <c r="G815" s="23" t="str">
        <f>TEXT('Merged raw data'!$B815,"mmmm")</f>
        <v>February</v>
      </c>
      <c r="H815" s="37" t="str">
        <f>TEXT(TIME('Merged raw data'!F815,0,0),"h AM/PM")</f>
        <v>8 AM</v>
      </c>
      <c r="I815" s="23" t="str">
        <f>IF(OR('Merged raw data'!H815=1,'Merged raw data'!H815=2,'Merged raw data'!H815=3,'Merged raw data'!H815=4,'Merged raw data'!H815=5),"weekday","weekend")</f>
        <v>weekend</v>
      </c>
      <c r="J815" s="23" t="s">
        <v>23</v>
      </c>
      <c r="K815" s="23" t="str">
        <f>IF('Merged raw data'!I815=1,"Clear",IF('Merged raw data'!I815=2,"Mist",IF('Merged raw data'!I815=3,"Rain",IF('Merged raw data'!I815=4,"Storm","NA"))))</f>
        <v>Clear</v>
      </c>
      <c r="L815" s="24">
        <v>0.65</v>
      </c>
      <c r="M815" s="24">
        <v>0.1045</v>
      </c>
      <c r="N815" s="21">
        <f>'Merged raw data'!$J815*100</f>
        <v>24</v>
      </c>
      <c r="O815" s="21">
        <v>2</v>
      </c>
      <c r="P815" s="21">
        <v>21</v>
      </c>
      <c r="Q815" s="21">
        <v>23</v>
      </c>
      <c r="R815" s="21" t="str">
        <f>IF(Q815&gt;=outliers!I817,"High",IF(Q815&lt;=outliers!I816,"Low","Moderate"))</f>
        <v>High</v>
      </c>
      <c r="S815" s="8" t="str">
        <f>IF(OR(Q815&lt;outliers!$I$6,Q815&gt;outliers!$I$7),"Outlier","Normal")</f>
        <v>Normal</v>
      </c>
      <c r="T815" s="8" t="str">
        <f>IF(OR(L815&lt;outliers!$J$6,L815&gt;outliers!$J$7),"Outlier","Normal")</f>
        <v>Normal</v>
      </c>
      <c r="U815" s="8" t="str">
        <f>IF(OR(M815&lt;outliers!$K$6,M815&gt;outliers!$K$7),"Outlier","Normal")</f>
        <v>Normal</v>
      </c>
    </row>
    <row r="816" spans="1:21">
      <c r="A816" s="21">
        <v>815</v>
      </c>
      <c r="B816" s="68">
        <v>40580</v>
      </c>
      <c r="C816" s="22" t="b">
        <v>0</v>
      </c>
      <c r="D816" s="21" t="str">
        <f t="shared" si="12"/>
        <v>Sunday</v>
      </c>
      <c r="E816" s="23">
        <v>0.28789999999999999</v>
      </c>
      <c r="F816" s="23">
        <f>YEAR('Merged raw data'!$B816)</f>
        <v>2011</v>
      </c>
      <c r="G816" s="23" t="str">
        <f>TEXT('Merged raw data'!$B816,"mmmm")</f>
        <v>February</v>
      </c>
      <c r="H816" s="37" t="str">
        <f>TEXT(TIME('Merged raw data'!F816,0,0),"h AM/PM")</f>
        <v>9 AM</v>
      </c>
      <c r="I816" s="23" t="str">
        <f>IF(OR('Merged raw data'!H816=1,'Merged raw data'!H816=2,'Merged raw data'!H816=3,'Merged raw data'!H816=4,'Merged raw data'!H816=5),"weekday","weekend")</f>
        <v>weekend</v>
      </c>
      <c r="J816" s="23" t="s">
        <v>23</v>
      </c>
      <c r="K816" s="23" t="str">
        <f>IF('Merged raw data'!I816=1,"Clear",IF('Merged raw data'!I816=2,"Mist",IF('Merged raw data'!I816=3,"Rain",IF('Merged raw data'!I816=4,"Storm","NA"))))</f>
        <v>Clear</v>
      </c>
      <c r="L816" s="24">
        <v>0.56000000000000005</v>
      </c>
      <c r="M816" s="24">
        <v>0.1045</v>
      </c>
      <c r="N816" s="21">
        <f>'Merged raw data'!$J816*100</f>
        <v>28.000000000000004</v>
      </c>
      <c r="O816" s="21">
        <v>7</v>
      </c>
      <c r="P816" s="21">
        <v>38</v>
      </c>
      <c r="Q816" s="21">
        <v>45</v>
      </c>
      <c r="R816" s="21" t="str">
        <f>IF(Q816&gt;=outliers!I818,"High",IF(Q816&lt;=outliers!I817,"Low","Moderate"))</f>
        <v>High</v>
      </c>
      <c r="S816" s="8" t="str">
        <f>IF(OR(Q816&lt;outliers!$I$6,Q816&gt;outliers!$I$7),"Outlier","Normal")</f>
        <v>Normal</v>
      </c>
      <c r="T816" s="8" t="str">
        <f>IF(OR(L816&lt;outliers!$J$6,L816&gt;outliers!$J$7),"Outlier","Normal")</f>
        <v>Normal</v>
      </c>
      <c r="U816" s="8" t="str">
        <f>IF(OR(M816&lt;outliers!$K$6,M816&gt;outliers!$K$7),"Outlier","Normal")</f>
        <v>Normal</v>
      </c>
    </row>
    <row r="817" spans="1:21">
      <c r="A817" s="21">
        <v>816</v>
      </c>
      <c r="B817" s="68">
        <v>40580</v>
      </c>
      <c r="C817" s="22" t="b">
        <v>0</v>
      </c>
      <c r="D817" s="21" t="str">
        <f t="shared" si="12"/>
        <v>Sunday</v>
      </c>
      <c r="E817" s="23">
        <v>0.28789999999999999</v>
      </c>
      <c r="F817" s="23">
        <f>YEAR('Merged raw data'!$B817)</f>
        <v>2011</v>
      </c>
      <c r="G817" s="23" t="str">
        <f>TEXT('Merged raw data'!$B817,"mmmm")</f>
        <v>February</v>
      </c>
      <c r="H817" s="37" t="str">
        <f>TEXT(TIME('Merged raw data'!F817,0,0),"h AM/PM")</f>
        <v>10 AM</v>
      </c>
      <c r="I817" s="23" t="str">
        <f>IF(OR('Merged raw data'!H817=1,'Merged raw data'!H817=2,'Merged raw data'!H817=3,'Merged raw data'!H817=4,'Merged raw data'!H817=5),"weekday","weekend")</f>
        <v>weekend</v>
      </c>
      <c r="J817" s="23" t="s">
        <v>23</v>
      </c>
      <c r="K817" s="23" t="str">
        <f>IF('Merged raw data'!I817=1,"Clear",IF('Merged raw data'!I817=2,"Mist",IF('Merged raw data'!I817=3,"Rain",IF('Merged raw data'!I817=4,"Storm","NA"))))</f>
        <v>Clear</v>
      </c>
      <c r="L817" s="24">
        <v>0.52</v>
      </c>
      <c r="M817" s="24">
        <v>0.25369999999999998</v>
      </c>
      <c r="N817" s="21">
        <f>'Merged raw data'!$J817*100</f>
        <v>30</v>
      </c>
      <c r="O817" s="21">
        <v>15</v>
      </c>
      <c r="P817" s="21">
        <v>74</v>
      </c>
      <c r="Q817" s="21">
        <v>89</v>
      </c>
      <c r="R817" s="21" t="str">
        <f>IF(Q817&gt;=outliers!I819,"High",IF(Q817&lt;=outliers!I818,"Low","Moderate"))</f>
        <v>High</v>
      </c>
      <c r="S817" s="8" t="str">
        <f>IF(OR(Q817&lt;outliers!$I$6,Q817&gt;outliers!$I$7),"Outlier","Normal")</f>
        <v>Normal</v>
      </c>
      <c r="T817" s="8" t="str">
        <f>IF(OR(L817&lt;outliers!$J$6,L817&gt;outliers!$J$7),"Outlier","Normal")</f>
        <v>Normal</v>
      </c>
      <c r="U817" s="8" t="str">
        <f>IF(OR(M817&lt;outliers!$K$6,M817&gt;outliers!$K$7),"Outlier","Normal")</f>
        <v>Normal</v>
      </c>
    </row>
    <row r="818" spans="1:21">
      <c r="A818" s="21">
        <v>817</v>
      </c>
      <c r="B818" s="68">
        <v>40580</v>
      </c>
      <c r="C818" s="22" t="b">
        <v>0</v>
      </c>
      <c r="D818" s="21" t="str">
        <f t="shared" si="12"/>
        <v>Sunday</v>
      </c>
      <c r="E818" s="23">
        <v>0.30299999999999999</v>
      </c>
      <c r="F818" s="23">
        <f>YEAR('Merged raw data'!$B818)</f>
        <v>2011</v>
      </c>
      <c r="G818" s="23" t="str">
        <f>TEXT('Merged raw data'!$B818,"mmmm")</f>
        <v>February</v>
      </c>
      <c r="H818" s="37" t="str">
        <f>TEXT(TIME('Merged raw data'!F818,0,0),"h AM/PM")</f>
        <v>11 AM</v>
      </c>
      <c r="I818" s="23" t="str">
        <f>IF(OR('Merged raw data'!H818=1,'Merged raw data'!H818=2,'Merged raw data'!H818=3,'Merged raw data'!H818=4,'Merged raw data'!H818=5),"weekday","weekend")</f>
        <v>weekend</v>
      </c>
      <c r="J818" s="23" t="s">
        <v>23</v>
      </c>
      <c r="K818" s="23" t="str">
        <f>IF('Merged raw data'!I818=1,"Clear",IF('Merged raw data'!I818=2,"Mist",IF('Merged raw data'!I818=3,"Rain",IF('Merged raw data'!I818=4,"Storm","NA"))))</f>
        <v>Clear</v>
      </c>
      <c r="L818" s="24">
        <v>0.49</v>
      </c>
      <c r="M818" s="24">
        <v>0.25369999999999998</v>
      </c>
      <c r="N818" s="21">
        <f>'Merged raw data'!$J818*100</f>
        <v>32</v>
      </c>
      <c r="O818" s="21">
        <v>28</v>
      </c>
      <c r="P818" s="21">
        <v>89</v>
      </c>
      <c r="Q818" s="21">
        <v>117</v>
      </c>
      <c r="R818" s="21" t="str">
        <f>IF(Q818&gt;=outliers!I820,"High",IF(Q818&lt;=outliers!I819,"Low","Moderate"))</f>
        <v>High</v>
      </c>
      <c r="S818" s="8" t="str">
        <f>IF(OR(Q818&lt;outliers!$I$6,Q818&gt;outliers!$I$7),"Outlier","Normal")</f>
        <v>Normal</v>
      </c>
      <c r="T818" s="8" t="str">
        <f>IF(OR(L818&lt;outliers!$J$6,L818&gt;outliers!$J$7),"Outlier","Normal")</f>
        <v>Normal</v>
      </c>
      <c r="U818" s="8" t="str">
        <f>IF(OR(M818&lt;outliers!$K$6,M818&gt;outliers!$K$7),"Outlier","Normal")</f>
        <v>Normal</v>
      </c>
    </row>
    <row r="819" spans="1:21">
      <c r="A819" s="21">
        <v>818</v>
      </c>
      <c r="B819" s="68">
        <v>40580</v>
      </c>
      <c r="C819" s="22" t="b">
        <v>0</v>
      </c>
      <c r="D819" s="21" t="str">
        <f t="shared" si="12"/>
        <v>Sunday</v>
      </c>
      <c r="E819" s="23">
        <v>0.33329999999999999</v>
      </c>
      <c r="F819" s="23">
        <f>YEAR('Merged raw data'!$B819)</f>
        <v>2011</v>
      </c>
      <c r="G819" s="23" t="str">
        <f>TEXT('Merged raw data'!$B819,"mmmm")</f>
        <v>February</v>
      </c>
      <c r="H819" s="37" t="str">
        <f>TEXT(TIME('Merged raw data'!F819,0,0),"h AM/PM")</f>
        <v>12 PM</v>
      </c>
      <c r="I819" s="23" t="str">
        <f>IF(OR('Merged raw data'!H819=1,'Merged raw data'!H819=2,'Merged raw data'!H819=3,'Merged raw data'!H819=4,'Merged raw data'!H819=5),"weekday","weekend")</f>
        <v>weekend</v>
      </c>
      <c r="J819" s="23" t="s">
        <v>23</v>
      </c>
      <c r="K819" s="23" t="str">
        <f>IF('Merged raw data'!I819=1,"Clear",IF('Merged raw data'!I819=2,"Mist",IF('Merged raw data'!I819=3,"Rain",IF('Merged raw data'!I819=4,"Storm","NA"))))</f>
        <v>Clear</v>
      </c>
      <c r="L819" s="24">
        <v>0.46</v>
      </c>
      <c r="M819" s="24">
        <v>0.23</v>
      </c>
      <c r="N819" s="21">
        <f>'Merged raw data'!$J819*100</f>
        <v>34</v>
      </c>
      <c r="O819" s="21">
        <v>48</v>
      </c>
      <c r="P819" s="21">
        <v>126</v>
      </c>
      <c r="Q819" s="21">
        <v>174</v>
      </c>
      <c r="R819" s="21" t="str">
        <f>IF(Q819&gt;=outliers!I821,"High",IF(Q819&lt;=outliers!I820,"Low","Moderate"))</f>
        <v>High</v>
      </c>
      <c r="S819" s="8" t="str">
        <f>IF(OR(Q819&lt;outliers!$I$6,Q819&gt;outliers!$I$7),"Outlier","Normal")</f>
        <v>Normal</v>
      </c>
      <c r="T819" s="8" t="str">
        <f>IF(OR(L819&lt;outliers!$J$6,L819&gt;outliers!$J$7),"Outlier","Normal")</f>
        <v>Normal</v>
      </c>
      <c r="U819" s="8" t="str">
        <f>IF(OR(M819&lt;outliers!$K$6,M819&gt;outliers!$K$7),"Outlier","Normal")</f>
        <v>Normal</v>
      </c>
    </row>
    <row r="820" spans="1:21">
      <c r="A820" s="21">
        <v>819</v>
      </c>
      <c r="B820" s="68">
        <v>40580</v>
      </c>
      <c r="C820" s="22" t="b">
        <v>0</v>
      </c>
      <c r="D820" s="21" t="str">
        <f t="shared" si="12"/>
        <v>Sunday</v>
      </c>
      <c r="E820" s="23">
        <v>0.36359999999999998</v>
      </c>
      <c r="F820" s="23">
        <f>YEAR('Merged raw data'!$B820)</f>
        <v>2011</v>
      </c>
      <c r="G820" s="23" t="str">
        <f>TEXT('Merged raw data'!$B820,"mmmm")</f>
        <v>February</v>
      </c>
      <c r="H820" s="37" t="str">
        <f>TEXT(TIME('Merged raw data'!F820,0,0),"h AM/PM")</f>
        <v>1 PM</v>
      </c>
      <c r="I820" s="23" t="str">
        <f>IF(OR('Merged raw data'!H820=1,'Merged raw data'!H820=2,'Merged raw data'!H820=3,'Merged raw data'!H820=4,'Merged raw data'!H820=5),"weekday","weekend")</f>
        <v>weekend</v>
      </c>
      <c r="J820" s="23" t="s">
        <v>23</v>
      </c>
      <c r="K820" s="23" t="str">
        <f>IF('Merged raw data'!I820=1,"Clear",IF('Merged raw data'!I820=2,"Mist",IF('Merged raw data'!I820=3,"Rain",IF('Merged raw data'!I820=4,"Storm","NA"))))</f>
        <v>Clear</v>
      </c>
      <c r="L820" s="24">
        <v>0.46</v>
      </c>
      <c r="M820" s="24">
        <v>0.23</v>
      </c>
      <c r="N820" s="21">
        <f>'Merged raw data'!$J820*100</f>
        <v>34</v>
      </c>
      <c r="O820" s="21">
        <v>47</v>
      </c>
      <c r="P820" s="21">
        <v>135</v>
      </c>
      <c r="Q820" s="21">
        <v>182</v>
      </c>
      <c r="R820" s="21" t="str">
        <f>IF(Q820&gt;=outliers!I822,"High",IF(Q820&lt;=outliers!I821,"Low","Moderate"))</f>
        <v>High</v>
      </c>
      <c r="S820" s="8" t="str">
        <f>IF(OR(Q820&lt;outliers!$I$6,Q820&gt;outliers!$I$7),"Outlier","Normal")</f>
        <v>Normal</v>
      </c>
      <c r="T820" s="8" t="str">
        <f>IF(OR(L820&lt;outliers!$J$6,L820&gt;outliers!$J$7),"Outlier","Normal")</f>
        <v>Normal</v>
      </c>
      <c r="U820" s="8" t="str">
        <f>IF(OR(M820&lt;outliers!$K$6,M820&gt;outliers!$K$7),"Outlier","Normal")</f>
        <v>Normal</v>
      </c>
    </row>
    <row r="821" spans="1:21">
      <c r="A821" s="21">
        <v>820</v>
      </c>
      <c r="B821" s="68">
        <v>40580</v>
      </c>
      <c r="C821" s="22" t="b">
        <v>0</v>
      </c>
      <c r="D821" s="21" t="str">
        <f t="shared" si="12"/>
        <v>Sunday</v>
      </c>
      <c r="E821" s="23">
        <v>0.34849999999999998</v>
      </c>
      <c r="F821" s="23">
        <f>YEAR('Merged raw data'!$B821)</f>
        <v>2011</v>
      </c>
      <c r="G821" s="23" t="str">
        <f>TEXT('Merged raw data'!$B821,"mmmm")</f>
        <v>February</v>
      </c>
      <c r="H821" s="37" t="str">
        <f>TEXT(TIME('Merged raw data'!F821,0,0),"h AM/PM")</f>
        <v>2 PM</v>
      </c>
      <c r="I821" s="23" t="str">
        <f>IF(OR('Merged raw data'!H821=1,'Merged raw data'!H821=2,'Merged raw data'!H821=3,'Merged raw data'!H821=4,'Merged raw data'!H821=5),"weekday","weekend")</f>
        <v>weekend</v>
      </c>
      <c r="J821" s="23" t="s">
        <v>23</v>
      </c>
      <c r="K821" s="23" t="str">
        <f>IF('Merged raw data'!I821=1,"Clear",IF('Merged raw data'!I821=2,"Mist",IF('Merged raw data'!I821=3,"Rain",IF('Merged raw data'!I821=4,"Storm","NA"))))</f>
        <v>Clear</v>
      </c>
      <c r="L821" s="24">
        <v>0.46</v>
      </c>
      <c r="M821" s="24">
        <v>8.9599999999999999E-2</v>
      </c>
      <c r="N821" s="21">
        <f>'Merged raw data'!$J821*100</f>
        <v>34</v>
      </c>
      <c r="O821" s="21">
        <v>47</v>
      </c>
      <c r="P821" s="21">
        <v>114</v>
      </c>
      <c r="Q821" s="21">
        <v>161</v>
      </c>
      <c r="R821" s="21" t="str">
        <f>IF(Q821&gt;=outliers!I823,"High",IF(Q821&lt;=outliers!I822,"Low","Moderate"))</f>
        <v>High</v>
      </c>
      <c r="S821" s="8" t="str">
        <f>IF(OR(Q821&lt;outliers!$I$6,Q821&gt;outliers!$I$7),"Outlier","Normal")</f>
        <v>Normal</v>
      </c>
      <c r="T821" s="8" t="str">
        <f>IF(OR(L821&lt;outliers!$J$6,L821&gt;outliers!$J$7),"Outlier","Normal")</f>
        <v>Normal</v>
      </c>
      <c r="U821" s="8" t="str">
        <f>IF(OR(M821&lt;outliers!$K$6,M821&gt;outliers!$K$7),"Outlier","Normal")</f>
        <v>Normal</v>
      </c>
    </row>
    <row r="822" spans="1:21">
      <c r="A822" s="21">
        <v>821</v>
      </c>
      <c r="B822" s="68">
        <v>40580</v>
      </c>
      <c r="C822" s="22" t="b">
        <v>0</v>
      </c>
      <c r="D822" s="21" t="str">
        <f t="shared" si="12"/>
        <v>Sunday</v>
      </c>
      <c r="E822" s="23">
        <v>0.34849999999999998</v>
      </c>
      <c r="F822" s="23">
        <f>YEAR('Merged raw data'!$B822)</f>
        <v>2011</v>
      </c>
      <c r="G822" s="23" t="str">
        <f>TEXT('Merged raw data'!$B822,"mmmm")</f>
        <v>February</v>
      </c>
      <c r="H822" s="37" t="str">
        <f>TEXT(TIME('Merged raw data'!F822,0,0),"h AM/PM")</f>
        <v>3 PM</v>
      </c>
      <c r="I822" s="23" t="str">
        <f>IF(OR('Merged raw data'!H822=1,'Merged raw data'!H822=2,'Merged raw data'!H822=3,'Merged raw data'!H822=4,'Merged raw data'!H822=5),"weekday","weekend")</f>
        <v>weekend</v>
      </c>
      <c r="J822" s="23" t="s">
        <v>23</v>
      </c>
      <c r="K822" s="23" t="str">
        <f>IF('Merged raw data'!I822=1,"Clear",IF('Merged raw data'!I822=2,"Mist",IF('Merged raw data'!I822=3,"Rain",IF('Merged raw data'!I822=4,"Storm","NA"))))</f>
        <v>Clear</v>
      </c>
      <c r="L822" s="24">
        <v>0.46</v>
      </c>
      <c r="M822" s="24">
        <v>8.9599999999999999E-2</v>
      </c>
      <c r="N822" s="21">
        <f>'Merged raw data'!$J822*100</f>
        <v>34</v>
      </c>
      <c r="O822" s="21">
        <v>52</v>
      </c>
      <c r="P822" s="21">
        <v>130</v>
      </c>
      <c r="Q822" s="21">
        <v>182</v>
      </c>
      <c r="R822" s="21" t="str">
        <f>IF(Q822&gt;=outliers!I824,"High",IF(Q822&lt;=outliers!I823,"Low","Moderate"))</f>
        <v>High</v>
      </c>
      <c r="S822" s="8" t="str">
        <f>IF(OR(Q822&lt;outliers!$I$6,Q822&gt;outliers!$I$7),"Outlier","Normal")</f>
        <v>Normal</v>
      </c>
      <c r="T822" s="8" t="str">
        <f>IF(OR(L822&lt;outliers!$J$6,L822&gt;outliers!$J$7),"Outlier","Normal")</f>
        <v>Normal</v>
      </c>
      <c r="U822" s="8" t="str">
        <f>IF(OR(M822&lt;outliers!$K$6,M822&gt;outliers!$K$7),"Outlier","Normal")</f>
        <v>Normal</v>
      </c>
    </row>
    <row r="823" spans="1:21">
      <c r="A823" s="21">
        <v>822</v>
      </c>
      <c r="B823" s="68">
        <v>40580</v>
      </c>
      <c r="C823" s="22" t="b">
        <v>0</v>
      </c>
      <c r="D823" s="21" t="str">
        <f t="shared" si="12"/>
        <v>Sunday</v>
      </c>
      <c r="E823" s="23">
        <v>0.34849999999999998</v>
      </c>
      <c r="F823" s="23">
        <f>YEAR('Merged raw data'!$B823)</f>
        <v>2011</v>
      </c>
      <c r="G823" s="23" t="str">
        <f>TEXT('Merged raw data'!$B823,"mmmm")</f>
        <v>February</v>
      </c>
      <c r="H823" s="37" t="str">
        <f>TEXT(TIME('Merged raw data'!F823,0,0),"h AM/PM")</f>
        <v>4 PM</v>
      </c>
      <c r="I823" s="23" t="str">
        <f>IF(OR('Merged raw data'!H823=1,'Merged raw data'!H823=2,'Merged raw data'!H823=3,'Merged raw data'!H823=4,'Merged raw data'!H823=5),"weekday","weekend")</f>
        <v>weekend</v>
      </c>
      <c r="J823" s="23" t="s">
        <v>23</v>
      </c>
      <c r="K823" s="23" t="str">
        <f>IF('Merged raw data'!I823=1,"Clear",IF('Merged raw data'!I823=2,"Mist",IF('Merged raw data'!I823=3,"Rain",IF('Merged raw data'!I823=4,"Storm","NA"))))</f>
        <v>Clear</v>
      </c>
      <c r="L823" s="24">
        <v>0.49</v>
      </c>
      <c r="M823" s="24">
        <v>0.1045</v>
      </c>
      <c r="N823" s="21">
        <f>'Merged raw data'!$J823*100</f>
        <v>34</v>
      </c>
      <c r="O823" s="21">
        <v>42</v>
      </c>
      <c r="P823" s="21">
        <v>115</v>
      </c>
      <c r="Q823" s="21">
        <v>157</v>
      </c>
      <c r="R823" s="21" t="str">
        <f>IF(Q823&gt;=outliers!I825,"High",IF(Q823&lt;=outliers!I824,"Low","Moderate"))</f>
        <v>High</v>
      </c>
      <c r="S823" s="8" t="str">
        <f>IF(OR(Q823&lt;outliers!$I$6,Q823&gt;outliers!$I$7),"Outlier","Normal")</f>
        <v>Normal</v>
      </c>
      <c r="T823" s="8" t="str">
        <f>IF(OR(L823&lt;outliers!$J$6,L823&gt;outliers!$J$7),"Outlier","Normal")</f>
        <v>Normal</v>
      </c>
      <c r="U823" s="8" t="str">
        <f>IF(OR(M823&lt;outliers!$K$6,M823&gt;outliers!$K$7),"Outlier","Normal")</f>
        <v>Normal</v>
      </c>
    </row>
    <row r="824" spans="1:21">
      <c r="A824" s="21">
        <v>823</v>
      </c>
      <c r="B824" s="68">
        <v>40580</v>
      </c>
      <c r="C824" s="22" t="b">
        <v>0</v>
      </c>
      <c r="D824" s="21" t="str">
        <f t="shared" si="12"/>
        <v>Sunday</v>
      </c>
      <c r="E824" s="23">
        <v>0.36359999999999998</v>
      </c>
      <c r="F824" s="23">
        <f>YEAR('Merged raw data'!$B824)</f>
        <v>2011</v>
      </c>
      <c r="G824" s="23" t="str">
        <f>TEXT('Merged raw data'!$B824,"mmmm")</f>
        <v>February</v>
      </c>
      <c r="H824" s="37" t="str">
        <f>TEXT(TIME('Merged raw data'!F824,0,0),"h AM/PM")</f>
        <v>5 PM</v>
      </c>
      <c r="I824" s="23" t="str">
        <f>IF(OR('Merged raw data'!H824=1,'Merged raw data'!H824=2,'Merged raw data'!H824=3,'Merged raw data'!H824=4,'Merged raw data'!H824=5),"weekday","weekend")</f>
        <v>weekend</v>
      </c>
      <c r="J824" s="23" t="s">
        <v>23</v>
      </c>
      <c r="K824" s="23" t="str">
        <f>IF('Merged raw data'!I824=1,"Clear",IF('Merged raw data'!I824=2,"Mist",IF('Merged raw data'!I824=3,"Rain",IF('Merged raw data'!I824=4,"Storm","NA"))))</f>
        <v>Clear</v>
      </c>
      <c r="L824" s="24">
        <v>0.46</v>
      </c>
      <c r="M824" s="24">
        <v>0.23</v>
      </c>
      <c r="N824" s="21">
        <f>'Merged raw data'!$J824*100</f>
        <v>34</v>
      </c>
      <c r="O824" s="21">
        <v>24</v>
      </c>
      <c r="P824" s="21">
        <v>97</v>
      </c>
      <c r="Q824" s="21">
        <v>121</v>
      </c>
      <c r="R824" s="21" t="str">
        <f>IF(Q824&gt;=outliers!I826,"High",IF(Q824&lt;=outliers!I825,"Low","Moderate"))</f>
        <v>High</v>
      </c>
      <c r="S824" s="8" t="str">
        <f>IF(OR(Q824&lt;outliers!$I$6,Q824&gt;outliers!$I$7),"Outlier","Normal")</f>
        <v>Normal</v>
      </c>
      <c r="T824" s="8" t="str">
        <f>IF(OR(L824&lt;outliers!$J$6,L824&gt;outliers!$J$7),"Outlier","Normal")</f>
        <v>Normal</v>
      </c>
      <c r="U824" s="8" t="str">
        <f>IF(OR(M824&lt;outliers!$K$6,M824&gt;outliers!$K$7),"Outlier","Normal")</f>
        <v>Normal</v>
      </c>
    </row>
    <row r="825" spans="1:21">
      <c r="A825" s="21">
        <v>824</v>
      </c>
      <c r="B825" s="68">
        <v>40580</v>
      </c>
      <c r="C825" s="22" t="b">
        <v>0</v>
      </c>
      <c r="D825" s="21" t="str">
        <f t="shared" si="12"/>
        <v>Sunday</v>
      </c>
      <c r="E825" s="23">
        <v>0.30299999999999999</v>
      </c>
      <c r="F825" s="23">
        <f>YEAR('Merged raw data'!$B825)</f>
        <v>2011</v>
      </c>
      <c r="G825" s="23" t="str">
        <f>TEXT('Merged raw data'!$B825,"mmmm")</f>
        <v>February</v>
      </c>
      <c r="H825" s="37" t="str">
        <f>TEXT(TIME('Merged raw data'!F825,0,0),"h AM/PM")</f>
        <v>6 PM</v>
      </c>
      <c r="I825" s="23" t="str">
        <f>IF(OR('Merged raw data'!H825=1,'Merged raw data'!H825=2,'Merged raw data'!H825=3,'Merged raw data'!H825=4,'Merged raw data'!H825=5),"weekday","weekend")</f>
        <v>weekend</v>
      </c>
      <c r="J825" s="23" t="s">
        <v>23</v>
      </c>
      <c r="K825" s="23" t="str">
        <f>IF('Merged raw data'!I825=1,"Clear",IF('Merged raw data'!I825=2,"Mist",IF('Merged raw data'!I825=3,"Rain",IF('Merged raw data'!I825=4,"Storm","NA"))))</f>
        <v>Clear</v>
      </c>
      <c r="L825" s="24">
        <v>0.56000000000000005</v>
      </c>
      <c r="M825" s="24">
        <v>0.16420000000000001</v>
      </c>
      <c r="N825" s="21">
        <f>'Merged raw data'!$J825*100</f>
        <v>30</v>
      </c>
      <c r="O825" s="21">
        <v>13</v>
      </c>
      <c r="P825" s="21">
        <v>65</v>
      </c>
      <c r="Q825" s="21">
        <v>78</v>
      </c>
      <c r="R825" s="21" t="str">
        <f>IF(Q825&gt;=outliers!I827,"High",IF(Q825&lt;=outliers!I826,"Low","Moderate"))</f>
        <v>High</v>
      </c>
      <c r="S825" s="8" t="str">
        <f>IF(OR(Q825&lt;outliers!$I$6,Q825&gt;outliers!$I$7),"Outlier","Normal")</f>
        <v>Normal</v>
      </c>
      <c r="T825" s="8" t="str">
        <f>IF(OR(L825&lt;outliers!$J$6,L825&gt;outliers!$J$7),"Outlier","Normal")</f>
        <v>Normal</v>
      </c>
      <c r="U825" s="8" t="str">
        <f>IF(OR(M825&lt;outliers!$K$6,M825&gt;outliers!$K$7),"Outlier","Normal")</f>
        <v>Normal</v>
      </c>
    </row>
    <row r="826" spans="1:21">
      <c r="A826" s="21">
        <v>825</v>
      </c>
      <c r="B826" s="68">
        <v>40580</v>
      </c>
      <c r="C826" s="22" t="b">
        <v>0</v>
      </c>
      <c r="D826" s="21" t="str">
        <f t="shared" si="12"/>
        <v>Sunday</v>
      </c>
      <c r="E826" s="23">
        <v>0.28789999999999999</v>
      </c>
      <c r="F826" s="23">
        <f>YEAR('Merged raw data'!$B826)</f>
        <v>2011</v>
      </c>
      <c r="G826" s="23" t="str">
        <f>TEXT('Merged raw data'!$B826,"mmmm")</f>
        <v>February</v>
      </c>
      <c r="H826" s="37" t="str">
        <f>TEXT(TIME('Merged raw data'!F826,0,0),"h AM/PM")</f>
        <v>7 PM</v>
      </c>
      <c r="I826" s="23" t="str">
        <f>IF(OR('Merged raw data'!H826=1,'Merged raw data'!H826=2,'Merged raw data'!H826=3,'Merged raw data'!H826=4,'Merged raw data'!H826=5),"weekday","weekend")</f>
        <v>weekend</v>
      </c>
      <c r="J826" s="23" t="s">
        <v>23</v>
      </c>
      <c r="K826" s="23" t="str">
        <f>IF('Merged raw data'!I826=1,"Clear",IF('Merged raw data'!I826=2,"Mist",IF('Merged raw data'!I826=3,"Rain",IF('Merged raw data'!I826=4,"Storm","NA"))))</f>
        <v>Clear</v>
      </c>
      <c r="L826" s="24">
        <v>0.61</v>
      </c>
      <c r="M826" s="24">
        <v>0.1343</v>
      </c>
      <c r="N826" s="21">
        <f>'Merged raw data'!$J826*100</f>
        <v>28.000000000000004</v>
      </c>
      <c r="O826" s="21">
        <v>1</v>
      </c>
      <c r="P826" s="21">
        <v>20</v>
      </c>
      <c r="Q826" s="21">
        <v>21</v>
      </c>
      <c r="R826" s="21" t="str">
        <f>IF(Q826&gt;=outliers!I828,"High",IF(Q826&lt;=outliers!I827,"Low","Moderate"))</f>
        <v>High</v>
      </c>
      <c r="S826" s="8" t="str">
        <f>IF(OR(Q826&lt;outliers!$I$6,Q826&gt;outliers!$I$7),"Outlier","Normal")</f>
        <v>Normal</v>
      </c>
      <c r="T826" s="8" t="str">
        <f>IF(OR(L826&lt;outliers!$J$6,L826&gt;outliers!$J$7),"Outlier","Normal")</f>
        <v>Normal</v>
      </c>
      <c r="U826" s="8" t="str">
        <f>IF(OR(M826&lt;outliers!$K$6,M826&gt;outliers!$K$7),"Outlier","Normal")</f>
        <v>Normal</v>
      </c>
    </row>
    <row r="827" spans="1:21">
      <c r="A827" s="21">
        <v>826</v>
      </c>
      <c r="B827" s="68">
        <v>40580</v>
      </c>
      <c r="C827" s="22" t="b">
        <v>0</v>
      </c>
      <c r="D827" s="21" t="str">
        <f t="shared" si="12"/>
        <v>Sunday</v>
      </c>
      <c r="E827" s="23">
        <v>0.28789999999999999</v>
      </c>
      <c r="F827" s="23">
        <f>YEAR('Merged raw data'!$B827)</f>
        <v>2011</v>
      </c>
      <c r="G827" s="23" t="str">
        <f>TEXT('Merged raw data'!$B827,"mmmm")</f>
        <v>February</v>
      </c>
      <c r="H827" s="37" t="str">
        <f>TEXT(TIME('Merged raw data'!F827,0,0),"h AM/PM")</f>
        <v>8 PM</v>
      </c>
      <c r="I827" s="23" t="str">
        <f>IF(OR('Merged raw data'!H827=1,'Merged raw data'!H827=2,'Merged raw data'!H827=3,'Merged raw data'!H827=4,'Merged raw data'!H827=5),"weekday","weekend")</f>
        <v>weekend</v>
      </c>
      <c r="J827" s="23" t="s">
        <v>23</v>
      </c>
      <c r="K827" s="23" t="str">
        <f>IF('Merged raw data'!I827=1,"Clear",IF('Merged raw data'!I827=2,"Mist",IF('Merged raw data'!I827=3,"Rain",IF('Merged raw data'!I827=4,"Storm","NA"))))</f>
        <v>Clear</v>
      </c>
      <c r="L827" s="24">
        <v>0.61</v>
      </c>
      <c r="M827" s="24">
        <v>0.1045</v>
      </c>
      <c r="N827" s="21">
        <f>'Merged raw data'!$J827*100</f>
        <v>28.000000000000004</v>
      </c>
      <c r="O827" s="21">
        <v>5</v>
      </c>
      <c r="P827" s="21">
        <v>21</v>
      </c>
      <c r="Q827" s="21">
        <v>26</v>
      </c>
      <c r="R827" s="21" t="str">
        <f>IF(Q827&gt;=outliers!I829,"High",IF(Q827&lt;=outliers!I828,"Low","Moderate"))</f>
        <v>High</v>
      </c>
      <c r="S827" s="8" t="str">
        <f>IF(OR(Q827&lt;outliers!$I$6,Q827&gt;outliers!$I$7),"Outlier","Normal")</f>
        <v>Normal</v>
      </c>
      <c r="T827" s="8" t="str">
        <f>IF(OR(L827&lt;outliers!$J$6,L827&gt;outliers!$J$7),"Outlier","Normal")</f>
        <v>Normal</v>
      </c>
      <c r="U827" s="8" t="str">
        <f>IF(OR(M827&lt;outliers!$K$6,M827&gt;outliers!$K$7),"Outlier","Normal")</f>
        <v>Normal</v>
      </c>
    </row>
    <row r="828" spans="1:21">
      <c r="A828" s="21">
        <v>827</v>
      </c>
      <c r="B828" s="68">
        <v>40580</v>
      </c>
      <c r="C828" s="22" t="b">
        <v>0</v>
      </c>
      <c r="D828" s="21" t="str">
        <f t="shared" si="12"/>
        <v>Sunday</v>
      </c>
      <c r="E828" s="23">
        <v>0.30299999999999999</v>
      </c>
      <c r="F828" s="23">
        <f>YEAR('Merged raw data'!$B828)</f>
        <v>2011</v>
      </c>
      <c r="G828" s="23" t="str">
        <f>TEXT('Merged raw data'!$B828,"mmmm")</f>
        <v>February</v>
      </c>
      <c r="H828" s="37" t="str">
        <f>TEXT(TIME('Merged raw data'!F828,0,0),"h AM/PM")</f>
        <v>9 PM</v>
      </c>
      <c r="I828" s="23" t="str">
        <f>IF(OR('Merged raw data'!H828=1,'Merged raw data'!H828=2,'Merged raw data'!H828=3,'Merged raw data'!H828=4,'Merged raw data'!H828=5),"weekday","weekend")</f>
        <v>weekend</v>
      </c>
      <c r="J828" s="23" t="s">
        <v>23</v>
      </c>
      <c r="K828" s="23" t="str">
        <f>IF('Merged raw data'!I828=1,"Clear",IF('Merged raw data'!I828=2,"Mist",IF('Merged raw data'!I828=3,"Rain",IF('Merged raw data'!I828=4,"Storm","NA"))))</f>
        <v>Clear</v>
      </c>
      <c r="L828" s="24">
        <v>0.6</v>
      </c>
      <c r="M828" s="24">
        <v>0.23</v>
      </c>
      <c r="N828" s="21">
        <f>'Merged raw data'!$J828*100</f>
        <v>26</v>
      </c>
      <c r="O828" s="21">
        <v>5</v>
      </c>
      <c r="P828" s="21">
        <v>22</v>
      </c>
      <c r="Q828" s="21">
        <v>27</v>
      </c>
      <c r="R828" s="21" t="str">
        <f>IF(Q828&gt;=outliers!I830,"High",IF(Q828&lt;=outliers!I829,"Low","Moderate"))</f>
        <v>High</v>
      </c>
      <c r="S828" s="8" t="str">
        <f>IF(OR(Q828&lt;outliers!$I$6,Q828&gt;outliers!$I$7),"Outlier","Normal")</f>
        <v>Normal</v>
      </c>
      <c r="T828" s="8" t="str">
        <f>IF(OR(L828&lt;outliers!$J$6,L828&gt;outliers!$J$7),"Outlier","Normal")</f>
        <v>Normal</v>
      </c>
      <c r="U828" s="8" t="str">
        <f>IF(OR(M828&lt;outliers!$K$6,M828&gt;outliers!$K$7),"Outlier","Normal")</f>
        <v>Normal</v>
      </c>
    </row>
    <row r="829" spans="1:21">
      <c r="A829" s="21">
        <v>828</v>
      </c>
      <c r="B829" s="68">
        <v>40580</v>
      </c>
      <c r="C829" s="22" t="b">
        <v>0</v>
      </c>
      <c r="D829" s="21" t="str">
        <f t="shared" si="12"/>
        <v>Sunday</v>
      </c>
      <c r="E829" s="23">
        <v>0.30299999999999999</v>
      </c>
      <c r="F829" s="23">
        <f>YEAR('Merged raw data'!$B829)</f>
        <v>2011</v>
      </c>
      <c r="G829" s="23" t="str">
        <f>TEXT('Merged raw data'!$B829,"mmmm")</f>
        <v>February</v>
      </c>
      <c r="H829" s="37" t="str">
        <f>TEXT(TIME('Merged raw data'!F829,0,0),"h AM/PM")</f>
        <v>10 PM</v>
      </c>
      <c r="I829" s="23" t="str">
        <f>IF(OR('Merged raw data'!H829=1,'Merged raw data'!H829=2,'Merged raw data'!H829=3,'Merged raw data'!H829=4,'Merged raw data'!H829=5),"weekday","weekend")</f>
        <v>weekend</v>
      </c>
      <c r="J829" s="23" t="s">
        <v>23</v>
      </c>
      <c r="K829" s="23" t="str">
        <f>IF('Merged raw data'!I829=1,"Clear",IF('Merged raw data'!I829=2,"Mist",IF('Merged raw data'!I829=3,"Rain",IF('Merged raw data'!I829=4,"Storm","NA"))))</f>
        <v>Clear</v>
      </c>
      <c r="L829" s="24">
        <v>0.6</v>
      </c>
      <c r="M829" s="24">
        <v>0.23</v>
      </c>
      <c r="N829" s="21">
        <f>'Merged raw data'!$J829*100</f>
        <v>26</v>
      </c>
      <c r="O829" s="21">
        <v>5</v>
      </c>
      <c r="P829" s="21">
        <v>57</v>
      </c>
      <c r="Q829" s="21">
        <v>62</v>
      </c>
      <c r="R829" s="21" t="str">
        <f>IF(Q829&gt;=outliers!I831,"High",IF(Q829&lt;=outliers!I830,"Low","Moderate"))</f>
        <v>High</v>
      </c>
      <c r="S829" s="8" t="str">
        <f>IF(OR(Q829&lt;outliers!$I$6,Q829&gt;outliers!$I$7),"Outlier","Normal")</f>
        <v>Normal</v>
      </c>
      <c r="T829" s="8" t="str">
        <f>IF(OR(L829&lt;outliers!$J$6,L829&gt;outliers!$J$7),"Outlier","Normal")</f>
        <v>Normal</v>
      </c>
      <c r="U829" s="8" t="str">
        <f>IF(OR(M829&lt;outliers!$K$6,M829&gt;outliers!$K$7),"Outlier","Normal")</f>
        <v>Normal</v>
      </c>
    </row>
    <row r="830" spans="1:21">
      <c r="A830" s="21">
        <v>829</v>
      </c>
      <c r="B830" s="68">
        <v>40580</v>
      </c>
      <c r="C830" s="22" t="b">
        <v>0</v>
      </c>
      <c r="D830" s="21" t="str">
        <f t="shared" si="12"/>
        <v>Sunday</v>
      </c>
      <c r="E830" s="23">
        <v>0.28789999999999999</v>
      </c>
      <c r="F830" s="23">
        <f>YEAR('Merged raw data'!$B830)</f>
        <v>2011</v>
      </c>
      <c r="G830" s="23" t="str">
        <f>TEXT('Merged raw data'!$B830,"mmmm")</f>
        <v>February</v>
      </c>
      <c r="H830" s="37" t="str">
        <f>TEXT(TIME('Merged raw data'!F830,0,0),"h AM/PM")</f>
        <v>11 PM</v>
      </c>
      <c r="I830" s="23" t="str">
        <f>IF(OR('Merged raw data'!H830=1,'Merged raw data'!H830=2,'Merged raw data'!H830=3,'Merged raw data'!H830=4,'Merged raw data'!H830=5),"weekday","weekend")</f>
        <v>weekend</v>
      </c>
      <c r="J830" s="23" t="s">
        <v>23</v>
      </c>
      <c r="K830" s="23" t="str">
        <f>IF('Merged raw data'!I830=1,"Clear",IF('Merged raw data'!I830=2,"Mist",IF('Merged raw data'!I830=3,"Rain",IF('Merged raw data'!I830=4,"Storm","NA"))))</f>
        <v>Clear</v>
      </c>
      <c r="L830" s="24">
        <v>0.65</v>
      </c>
      <c r="M830" s="24">
        <v>0.23</v>
      </c>
      <c r="N830" s="21">
        <f>'Merged raw data'!$J830*100</f>
        <v>24</v>
      </c>
      <c r="O830" s="21">
        <v>4</v>
      </c>
      <c r="P830" s="21">
        <v>26</v>
      </c>
      <c r="Q830" s="21">
        <v>30</v>
      </c>
      <c r="R830" s="21" t="str">
        <f>IF(Q830&gt;=outliers!I832,"High",IF(Q830&lt;=outliers!I831,"Low","Moderate"))</f>
        <v>High</v>
      </c>
      <c r="S830" s="8" t="str">
        <f>IF(OR(Q830&lt;outliers!$I$6,Q830&gt;outliers!$I$7),"Outlier","Normal")</f>
        <v>Normal</v>
      </c>
      <c r="T830" s="8" t="str">
        <f>IF(OR(L830&lt;outliers!$J$6,L830&gt;outliers!$J$7),"Outlier","Normal")</f>
        <v>Normal</v>
      </c>
      <c r="U830" s="8" t="str">
        <f>IF(OR(M830&lt;outliers!$K$6,M830&gt;outliers!$K$7),"Outlier","Normal")</f>
        <v>Normal</v>
      </c>
    </row>
    <row r="831" spans="1:21">
      <c r="A831" s="21">
        <v>830</v>
      </c>
      <c r="B831" s="68">
        <v>40581</v>
      </c>
      <c r="C831" s="22" t="b">
        <v>0</v>
      </c>
      <c r="D831" s="21" t="str">
        <f t="shared" si="12"/>
        <v>Monday</v>
      </c>
      <c r="E831" s="23">
        <v>0.28789999999999999</v>
      </c>
      <c r="F831" s="23">
        <f>YEAR('Merged raw data'!$B831)</f>
        <v>2011</v>
      </c>
      <c r="G831" s="23" t="str">
        <f>TEXT('Merged raw data'!$B831,"mmmm")</f>
        <v>February</v>
      </c>
      <c r="H831" s="37" t="str">
        <f>TEXT(TIME('Merged raw data'!F831,0,0),"h AM/PM")</f>
        <v>12 AM</v>
      </c>
      <c r="I831" s="23" t="str">
        <f>IF(OR('Merged raw data'!H831=1,'Merged raw data'!H831=2,'Merged raw data'!H831=3,'Merged raw data'!H831=4,'Merged raw data'!H831=5),"weekday","weekend")</f>
        <v>weekday</v>
      </c>
      <c r="J831" s="23" t="s">
        <v>23</v>
      </c>
      <c r="K831" s="23" t="str">
        <f>IF('Merged raw data'!I831=1,"Clear",IF('Merged raw data'!I831=2,"Mist",IF('Merged raw data'!I831=3,"Rain",IF('Merged raw data'!I831=4,"Storm","NA"))))</f>
        <v>Clear</v>
      </c>
      <c r="L831" s="24">
        <v>0.65</v>
      </c>
      <c r="M831" s="24">
        <v>0.23</v>
      </c>
      <c r="N831" s="21">
        <f>'Merged raw data'!$J831*100</f>
        <v>24</v>
      </c>
      <c r="O831" s="21">
        <v>1</v>
      </c>
      <c r="P831" s="21">
        <v>14</v>
      </c>
      <c r="Q831" s="21">
        <v>15</v>
      </c>
      <c r="R831" s="21" t="str">
        <f>IF(Q831&gt;=outliers!I833,"High",IF(Q831&lt;=outliers!I832,"Low","Moderate"))</f>
        <v>High</v>
      </c>
      <c r="S831" s="8" t="str">
        <f>IF(OR(Q831&lt;outliers!$I$6,Q831&gt;outliers!$I$7),"Outlier","Normal")</f>
        <v>Normal</v>
      </c>
      <c r="T831" s="8" t="str">
        <f>IF(OR(L831&lt;outliers!$J$6,L831&gt;outliers!$J$7),"Outlier","Normal")</f>
        <v>Normal</v>
      </c>
      <c r="U831" s="8" t="str">
        <f>IF(OR(M831&lt;outliers!$K$6,M831&gt;outliers!$K$7),"Outlier","Normal")</f>
        <v>Normal</v>
      </c>
    </row>
    <row r="832" spans="1:21">
      <c r="A832" s="21">
        <v>831</v>
      </c>
      <c r="B832" s="68">
        <v>40581</v>
      </c>
      <c r="C832" s="22" t="b">
        <v>0</v>
      </c>
      <c r="D832" s="21" t="str">
        <f t="shared" si="12"/>
        <v>Monday</v>
      </c>
      <c r="E832" s="23">
        <v>0.2727</v>
      </c>
      <c r="F832" s="23">
        <f>YEAR('Merged raw data'!$B832)</f>
        <v>2011</v>
      </c>
      <c r="G832" s="23" t="str">
        <f>TEXT('Merged raw data'!$B832,"mmmm")</f>
        <v>February</v>
      </c>
      <c r="H832" s="37" t="str">
        <f>TEXT(TIME('Merged raw data'!F832,0,0),"h AM/PM")</f>
        <v>1 AM</v>
      </c>
      <c r="I832" s="23" t="str">
        <f>IF(OR('Merged raw data'!H832=1,'Merged raw data'!H832=2,'Merged raw data'!H832=3,'Merged raw data'!H832=4,'Merged raw data'!H832=5),"weekday","weekend")</f>
        <v>weekday</v>
      </c>
      <c r="J832" s="23" t="s">
        <v>23</v>
      </c>
      <c r="K832" s="23" t="str">
        <f>IF('Merged raw data'!I832=1,"Clear",IF('Merged raw data'!I832=2,"Mist",IF('Merged raw data'!I832=3,"Rain",IF('Merged raw data'!I832=4,"Storm","NA"))))</f>
        <v>Clear</v>
      </c>
      <c r="L832" s="24">
        <v>0.75</v>
      </c>
      <c r="M832" s="24">
        <v>0.23</v>
      </c>
      <c r="N832" s="21">
        <f>'Merged raw data'!$J832*100</f>
        <v>22</v>
      </c>
      <c r="O832" s="21">
        <v>1</v>
      </c>
      <c r="P832" s="21">
        <v>4</v>
      </c>
      <c r="Q832" s="21">
        <v>5</v>
      </c>
      <c r="R832" s="21" t="str">
        <f>IF(Q832&gt;=outliers!I834,"High",IF(Q832&lt;=outliers!I833,"Low","Moderate"))</f>
        <v>High</v>
      </c>
      <c r="S832" s="8" t="str">
        <f>IF(OR(Q832&lt;outliers!$I$6,Q832&gt;outliers!$I$7),"Outlier","Normal")</f>
        <v>Normal</v>
      </c>
      <c r="T832" s="8" t="str">
        <f>IF(OR(L832&lt;outliers!$J$6,L832&gt;outliers!$J$7),"Outlier","Normal")</f>
        <v>Normal</v>
      </c>
      <c r="U832" s="8" t="str">
        <f>IF(OR(M832&lt;outliers!$K$6,M832&gt;outliers!$K$7),"Outlier","Normal")</f>
        <v>Normal</v>
      </c>
    </row>
    <row r="833" spans="1:21">
      <c r="A833" s="21">
        <v>832</v>
      </c>
      <c r="B833" s="68">
        <v>40581</v>
      </c>
      <c r="C833" s="22" t="b">
        <v>0</v>
      </c>
      <c r="D833" s="21" t="str">
        <f t="shared" si="12"/>
        <v>Monday</v>
      </c>
      <c r="E833" s="23">
        <v>0.2576</v>
      </c>
      <c r="F833" s="23">
        <f>YEAR('Merged raw data'!$B833)</f>
        <v>2011</v>
      </c>
      <c r="G833" s="23" t="str">
        <f>TEXT('Merged raw data'!$B833,"mmmm")</f>
        <v>February</v>
      </c>
      <c r="H833" s="37" t="str">
        <f>TEXT(TIME('Merged raw data'!F833,0,0),"h AM/PM")</f>
        <v>2 AM</v>
      </c>
      <c r="I833" s="23" t="str">
        <f>IF(OR('Merged raw data'!H833=1,'Merged raw data'!H833=2,'Merged raw data'!H833=3,'Merged raw data'!H833=4,'Merged raw data'!H833=5),"weekday","weekend")</f>
        <v>weekday</v>
      </c>
      <c r="J833" s="23" t="s">
        <v>23</v>
      </c>
      <c r="K833" s="23" t="str">
        <f>IF('Merged raw data'!I833=1,"Clear",IF('Merged raw data'!I833=2,"Mist",IF('Merged raw data'!I833=3,"Rain",IF('Merged raw data'!I833=4,"Storm","NA"))))</f>
        <v>Clear</v>
      </c>
      <c r="L833" s="24">
        <v>0.8</v>
      </c>
      <c r="M833" s="24">
        <v>0.23</v>
      </c>
      <c r="N833" s="21">
        <f>'Merged raw data'!$J833*100</f>
        <v>20</v>
      </c>
      <c r="O833" s="21">
        <v>0</v>
      </c>
      <c r="P833" s="21">
        <v>3</v>
      </c>
      <c r="Q833" s="21">
        <v>3</v>
      </c>
      <c r="R833" s="21" t="str">
        <f>IF(Q833&gt;=outliers!I835,"High",IF(Q833&lt;=outliers!I834,"Low","Moderate"))</f>
        <v>High</v>
      </c>
      <c r="S833" s="8" t="str">
        <f>IF(OR(Q833&lt;outliers!$I$6,Q833&gt;outliers!$I$7),"Outlier","Normal")</f>
        <v>Normal</v>
      </c>
      <c r="T833" s="8" t="str">
        <f>IF(OR(L833&lt;outliers!$J$6,L833&gt;outliers!$J$7),"Outlier","Normal")</f>
        <v>Normal</v>
      </c>
      <c r="U833" s="8" t="str">
        <f>IF(OR(M833&lt;outliers!$K$6,M833&gt;outliers!$K$7),"Outlier","Normal")</f>
        <v>Normal</v>
      </c>
    </row>
    <row r="834" spans="1:21">
      <c r="A834" s="21">
        <v>833</v>
      </c>
      <c r="B834" s="68">
        <v>40581</v>
      </c>
      <c r="C834" s="22" t="b">
        <v>0</v>
      </c>
      <c r="D834" s="21" t="str">
        <f t="shared" si="12"/>
        <v>Monday</v>
      </c>
      <c r="E834" s="23">
        <v>0.2576</v>
      </c>
      <c r="F834" s="23">
        <f>YEAR('Merged raw data'!$B834)</f>
        <v>2011</v>
      </c>
      <c r="G834" s="23" t="str">
        <f>TEXT('Merged raw data'!$B834,"mmmm")</f>
        <v>February</v>
      </c>
      <c r="H834" s="37" t="str">
        <f>TEXT(TIME('Merged raw data'!F834,0,0),"h AM/PM")</f>
        <v>3 AM</v>
      </c>
      <c r="I834" s="23" t="str">
        <f>IF(OR('Merged raw data'!H834=1,'Merged raw data'!H834=2,'Merged raw data'!H834=3,'Merged raw data'!H834=4,'Merged raw data'!H834=5),"weekday","weekend")</f>
        <v>weekday</v>
      </c>
      <c r="J834" s="23" t="s">
        <v>23</v>
      </c>
      <c r="K834" s="23" t="str">
        <f>IF('Merged raw data'!I834=1,"Clear",IF('Merged raw data'!I834=2,"Mist",IF('Merged raw data'!I834=3,"Rain",IF('Merged raw data'!I834=4,"Storm","NA"))))</f>
        <v>Clear</v>
      </c>
      <c r="L834" s="24">
        <v>0.86</v>
      </c>
      <c r="M834" s="24">
        <v>0.23</v>
      </c>
      <c r="N834" s="21">
        <f>'Merged raw data'!$J834*100</f>
        <v>20</v>
      </c>
      <c r="O834" s="21">
        <v>0</v>
      </c>
      <c r="P834" s="21">
        <v>1</v>
      </c>
      <c r="Q834" s="21">
        <v>1</v>
      </c>
      <c r="R834" s="21" t="str">
        <f>IF(Q834&gt;=outliers!I836,"High",IF(Q834&lt;=outliers!I835,"Low","Moderate"))</f>
        <v>High</v>
      </c>
      <c r="S834" s="8" t="str">
        <f>IF(OR(Q834&lt;outliers!$I$6,Q834&gt;outliers!$I$7),"Outlier","Normal")</f>
        <v>Normal</v>
      </c>
      <c r="T834" s="8" t="str">
        <f>IF(OR(L834&lt;outliers!$J$6,L834&gt;outliers!$J$7),"Outlier","Normal")</f>
        <v>Normal</v>
      </c>
      <c r="U834" s="8" t="str">
        <f>IF(OR(M834&lt;outliers!$K$6,M834&gt;outliers!$K$7),"Outlier","Normal")</f>
        <v>Normal</v>
      </c>
    </row>
    <row r="835" spans="1:21">
      <c r="A835" s="21">
        <v>834</v>
      </c>
      <c r="B835" s="68">
        <v>40581</v>
      </c>
      <c r="C835" s="22" t="b">
        <v>0</v>
      </c>
      <c r="D835" s="21" t="str">
        <f t="shared" ref="D835:D898" si="13">TEXT(B835,"dddd")</f>
        <v>Monday</v>
      </c>
      <c r="E835" s="23">
        <v>0.2576</v>
      </c>
      <c r="F835" s="23">
        <f>YEAR('Merged raw data'!$B835)</f>
        <v>2011</v>
      </c>
      <c r="G835" s="23" t="str">
        <f>TEXT('Merged raw data'!$B835,"mmmm")</f>
        <v>February</v>
      </c>
      <c r="H835" s="37" t="str">
        <f>TEXT(TIME('Merged raw data'!F835,0,0),"h AM/PM")</f>
        <v>4 AM</v>
      </c>
      <c r="I835" s="23" t="str">
        <f>IF(OR('Merged raw data'!H835=1,'Merged raw data'!H835=2,'Merged raw data'!H835=3,'Merged raw data'!H835=4,'Merged raw data'!H835=5),"weekday","weekend")</f>
        <v>weekday</v>
      </c>
      <c r="J835" s="23" t="s">
        <v>23</v>
      </c>
      <c r="K835" s="23" t="str">
        <f>IF('Merged raw data'!I835=1,"Clear",IF('Merged raw data'!I835=2,"Mist",IF('Merged raw data'!I835=3,"Rain",IF('Merged raw data'!I835=4,"Storm","NA"))))</f>
        <v>Clear</v>
      </c>
      <c r="L835" s="24">
        <v>0.86</v>
      </c>
      <c r="M835" s="24">
        <v>0.23</v>
      </c>
      <c r="N835" s="21">
        <f>'Merged raw data'!$J835*100</f>
        <v>20</v>
      </c>
      <c r="O835" s="21">
        <v>1</v>
      </c>
      <c r="P835" s="21">
        <v>1</v>
      </c>
      <c r="Q835" s="21">
        <v>2</v>
      </c>
      <c r="R835" s="21" t="str">
        <f>IF(Q835&gt;=outliers!I837,"High",IF(Q835&lt;=outliers!I836,"Low","Moderate"))</f>
        <v>High</v>
      </c>
      <c r="S835" s="8" t="str">
        <f>IF(OR(Q835&lt;outliers!$I$6,Q835&gt;outliers!$I$7),"Outlier","Normal")</f>
        <v>Normal</v>
      </c>
      <c r="T835" s="8" t="str">
        <f>IF(OR(L835&lt;outliers!$J$6,L835&gt;outliers!$J$7),"Outlier","Normal")</f>
        <v>Normal</v>
      </c>
      <c r="U835" s="8" t="str">
        <f>IF(OR(M835&lt;outliers!$K$6,M835&gt;outliers!$K$7),"Outlier","Normal")</f>
        <v>Normal</v>
      </c>
    </row>
    <row r="836" spans="1:21">
      <c r="A836" s="21">
        <v>835</v>
      </c>
      <c r="B836" s="68">
        <v>40581</v>
      </c>
      <c r="C836" s="22" t="b">
        <v>0</v>
      </c>
      <c r="D836" s="21" t="str">
        <f t="shared" si="13"/>
        <v>Monday</v>
      </c>
      <c r="E836" s="23">
        <v>0.2576</v>
      </c>
      <c r="F836" s="23">
        <f>YEAR('Merged raw data'!$B836)</f>
        <v>2011</v>
      </c>
      <c r="G836" s="23" t="str">
        <f>TEXT('Merged raw data'!$B836,"mmmm")</f>
        <v>February</v>
      </c>
      <c r="H836" s="37" t="str">
        <f>TEXT(TIME('Merged raw data'!F836,0,0),"h AM/PM")</f>
        <v>5 AM</v>
      </c>
      <c r="I836" s="23" t="str">
        <f>IF(OR('Merged raw data'!H836=1,'Merged raw data'!H836=2,'Merged raw data'!H836=3,'Merged raw data'!H836=4,'Merged raw data'!H836=5),"weekday","weekend")</f>
        <v>weekday</v>
      </c>
      <c r="J836" s="23" t="s">
        <v>23</v>
      </c>
      <c r="K836" s="23" t="str">
        <f>IF('Merged raw data'!I836=1,"Clear",IF('Merged raw data'!I836=2,"Mist",IF('Merged raw data'!I836=3,"Rain",IF('Merged raw data'!I836=4,"Storm","NA"))))</f>
        <v>Clear</v>
      </c>
      <c r="L836" s="24">
        <v>0.86</v>
      </c>
      <c r="M836" s="24">
        <v>0.23</v>
      </c>
      <c r="N836" s="21">
        <f>'Merged raw data'!$J836*100</f>
        <v>20</v>
      </c>
      <c r="O836" s="21">
        <v>1</v>
      </c>
      <c r="P836" s="21">
        <v>9</v>
      </c>
      <c r="Q836" s="21">
        <v>10</v>
      </c>
      <c r="R836" s="21" t="str">
        <f>IF(Q836&gt;=outliers!I838,"High",IF(Q836&lt;=outliers!I837,"Low","Moderate"))</f>
        <v>High</v>
      </c>
      <c r="S836" s="8" t="str">
        <f>IF(OR(Q836&lt;outliers!$I$6,Q836&gt;outliers!$I$7),"Outlier","Normal")</f>
        <v>Normal</v>
      </c>
      <c r="T836" s="8" t="str">
        <f>IF(OR(L836&lt;outliers!$J$6,L836&gt;outliers!$J$7),"Outlier","Normal")</f>
        <v>Normal</v>
      </c>
      <c r="U836" s="8" t="str">
        <f>IF(OR(M836&lt;outliers!$K$6,M836&gt;outliers!$K$7),"Outlier","Normal")</f>
        <v>Normal</v>
      </c>
    </row>
    <row r="837" spans="1:21">
      <c r="A837" s="21">
        <v>836</v>
      </c>
      <c r="B837" s="68">
        <v>40581</v>
      </c>
      <c r="C837" s="22" t="b">
        <v>0</v>
      </c>
      <c r="D837" s="21" t="str">
        <f t="shared" si="13"/>
        <v>Monday</v>
      </c>
      <c r="E837" s="23">
        <v>0.2424</v>
      </c>
      <c r="F837" s="23">
        <f>YEAR('Merged raw data'!$B837)</f>
        <v>2011</v>
      </c>
      <c r="G837" s="23" t="str">
        <f>TEXT('Merged raw data'!$B837,"mmmm")</f>
        <v>February</v>
      </c>
      <c r="H837" s="37" t="str">
        <f>TEXT(TIME('Merged raw data'!F837,0,0),"h AM/PM")</f>
        <v>6 AM</v>
      </c>
      <c r="I837" s="23" t="str">
        <f>IF(OR('Merged raw data'!H837=1,'Merged raw data'!H837=2,'Merged raw data'!H837=3,'Merged raw data'!H837=4,'Merged raw data'!H837=5),"weekday","weekend")</f>
        <v>weekday</v>
      </c>
      <c r="J837" s="23" t="s">
        <v>23</v>
      </c>
      <c r="K837" s="23" t="str">
        <f>IF('Merged raw data'!I837=1,"Clear",IF('Merged raw data'!I837=2,"Mist",IF('Merged raw data'!I837=3,"Rain",IF('Merged raw data'!I837=4,"Storm","NA"))))</f>
        <v>Clear</v>
      </c>
      <c r="L837" s="24">
        <v>0.93</v>
      </c>
      <c r="M837" s="24">
        <v>0.23</v>
      </c>
      <c r="N837" s="21">
        <f>'Merged raw data'!$J837*100</f>
        <v>18</v>
      </c>
      <c r="O837" s="21">
        <v>1</v>
      </c>
      <c r="P837" s="21">
        <v>29</v>
      </c>
      <c r="Q837" s="21">
        <v>30</v>
      </c>
      <c r="R837" s="21" t="str">
        <f>IF(Q837&gt;=outliers!I839,"High",IF(Q837&lt;=outliers!I838,"Low","Moderate"))</f>
        <v>High</v>
      </c>
      <c r="S837" s="8" t="str">
        <f>IF(OR(Q837&lt;outliers!$I$6,Q837&gt;outliers!$I$7),"Outlier","Normal")</f>
        <v>Normal</v>
      </c>
      <c r="T837" s="8" t="str">
        <f>IF(OR(L837&lt;outliers!$J$6,L837&gt;outliers!$J$7),"Outlier","Normal")</f>
        <v>Normal</v>
      </c>
      <c r="U837" s="8" t="str">
        <f>IF(OR(M837&lt;outliers!$K$6,M837&gt;outliers!$K$7),"Outlier","Normal")</f>
        <v>Normal</v>
      </c>
    </row>
    <row r="838" spans="1:21">
      <c r="A838" s="21">
        <v>837</v>
      </c>
      <c r="B838" s="68">
        <v>40581</v>
      </c>
      <c r="C838" s="22" t="b">
        <v>0</v>
      </c>
      <c r="D838" s="21" t="str">
        <f t="shared" si="13"/>
        <v>Monday</v>
      </c>
      <c r="E838" s="23">
        <v>0.2424</v>
      </c>
      <c r="F838" s="23">
        <f>YEAR('Merged raw data'!$B838)</f>
        <v>2011</v>
      </c>
      <c r="G838" s="23" t="str">
        <f>TEXT('Merged raw data'!$B838,"mmmm")</f>
        <v>February</v>
      </c>
      <c r="H838" s="37" t="str">
        <f>TEXT(TIME('Merged raw data'!F838,0,0),"h AM/PM")</f>
        <v>7 AM</v>
      </c>
      <c r="I838" s="23" t="str">
        <f>IF(OR('Merged raw data'!H838=1,'Merged raw data'!H838=2,'Merged raw data'!H838=3,'Merged raw data'!H838=4,'Merged raw data'!H838=5),"weekday","weekend")</f>
        <v>weekday</v>
      </c>
      <c r="J838" s="23" t="s">
        <v>23</v>
      </c>
      <c r="K838" s="23" t="str">
        <f>IF('Merged raw data'!I838=1,"Clear",IF('Merged raw data'!I838=2,"Mist",IF('Merged raw data'!I838=3,"Rain",IF('Merged raw data'!I838=4,"Storm","NA"))))</f>
        <v>Clear</v>
      </c>
      <c r="L838" s="24">
        <v>0.86</v>
      </c>
      <c r="M838" s="24">
        <v>0.23</v>
      </c>
      <c r="N838" s="21">
        <f>'Merged raw data'!$J838*100</f>
        <v>18</v>
      </c>
      <c r="O838" s="21">
        <v>6</v>
      </c>
      <c r="P838" s="21">
        <v>89</v>
      </c>
      <c r="Q838" s="21">
        <v>95</v>
      </c>
      <c r="R838" s="21" t="str">
        <f>IF(Q838&gt;=outliers!I840,"High",IF(Q838&lt;=outliers!I839,"Low","Moderate"))</f>
        <v>High</v>
      </c>
      <c r="S838" s="8" t="str">
        <f>IF(OR(Q838&lt;outliers!$I$6,Q838&gt;outliers!$I$7),"Outlier","Normal")</f>
        <v>Normal</v>
      </c>
      <c r="T838" s="8" t="str">
        <f>IF(OR(L838&lt;outliers!$J$6,L838&gt;outliers!$J$7),"Outlier","Normal")</f>
        <v>Normal</v>
      </c>
      <c r="U838" s="8" t="str">
        <f>IF(OR(M838&lt;outliers!$K$6,M838&gt;outliers!$K$7),"Outlier","Normal")</f>
        <v>Normal</v>
      </c>
    </row>
    <row r="839" spans="1:21">
      <c r="A839" s="21">
        <v>838</v>
      </c>
      <c r="B839" s="68">
        <v>40581</v>
      </c>
      <c r="C839" s="22" t="b">
        <v>0</v>
      </c>
      <c r="D839" s="21" t="str">
        <f t="shared" si="13"/>
        <v>Monday</v>
      </c>
      <c r="E839" s="23">
        <v>0.2273</v>
      </c>
      <c r="F839" s="23">
        <f>YEAR('Merged raw data'!$B839)</f>
        <v>2011</v>
      </c>
      <c r="G839" s="23" t="str">
        <f>TEXT('Merged raw data'!$B839,"mmmm")</f>
        <v>February</v>
      </c>
      <c r="H839" s="37" t="str">
        <f>TEXT(TIME('Merged raw data'!F839,0,0),"h AM/PM")</f>
        <v>8 AM</v>
      </c>
      <c r="I839" s="23" t="str">
        <f>IF(OR('Merged raw data'!H839=1,'Merged raw data'!H839=2,'Merged raw data'!H839=3,'Merged raw data'!H839=4,'Merged raw data'!H839=5),"weekday","weekend")</f>
        <v>weekday</v>
      </c>
      <c r="J839" s="23" t="s">
        <v>23</v>
      </c>
      <c r="K839" s="23" t="str">
        <f>IF('Merged raw data'!I839=1,"Clear",IF('Merged raw data'!I839=2,"Mist",IF('Merged raw data'!I839=3,"Rain",IF('Merged raw data'!I839=4,"Storm","NA"))))</f>
        <v>Mist</v>
      </c>
      <c r="L839" s="24">
        <v>1</v>
      </c>
      <c r="M839" s="24">
        <v>0.23</v>
      </c>
      <c r="N839" s="21">
        <f>'Merged raw data'!$J839*100</f>
        <v>16</v>
      </c>
      <c r="O839" s="21">
        <v>7</v>
      </c>
      <c r="P839" s="21">
        <v>223</v>
      </c>
      <c r="Q839" s="21">
        <v>230</v>
      </c>
      <c r="R839" s="21" t="str">
        <f>IF(Q839&gt;=outliers!I841,"High",IF(Q839&lt;=outliers!I840,"Low","Moderate"))</f>
        <v>High</v>
      </c>
      <c r="S839" s="8" t="str">
        <f>IF(OR(Q839&lt;outliers!$I$6,Q839&gt;outliers!$I$7),"Outlier","Normal")</f>
        <v>Outlier</v>
      </c>
      <c r="T839" s="8" t="str">
        <f>IF(OR(L839&lt;outliers!$J$6,L839&gt;outliers!$J$7),"Outlier","Normal")</f>
        <v>Normal</v>
      </c>
      <c r="U839" s="8" t="str">
        <f>IF(OR(M839&lt;outliers!$K$6,M839&gt;outliers!$K$7),"Outlier","Normal")</f>
        <v>Normal</v>
      </c>
    </row>
    <row r="840" spans="1:21">
      <c r="A840" s="21">
        <v>839</v>
      </c>
      <c r="B840" s="68">
        <v>40581</v>
      </c>
      <c r="C840" s="22" t="b">
        <v>0</v>
      </c>
      <c r="D840" s="21" t="str">
        <f t="shared" si="13"/>
        <v>Monday</v>
      </c>
      <c r="E840" s="23">
        <v>0.2727</v>
      </c>
      <c r="F840" s="23">
        <f>YEAR('Merged raw data'!$B840)</f>
        <v>2011</v>
      </c>
      <c r="G840" s="23" t="str">
        <f>TEXT('Merged raw data'!$B840,"mmmm")</f>
        <v>February</v>
      </c>
      <c r="H840" s="37" t="str">
        <f>TEXT(TIME('Merged raw data'!F840,0,0),"h AM/PM")</f>
        <v>9 AM</v>
      </c>
      <c r="I840" s="23" t="str">
        <f>IF(OR('Merged raw data'!H840=1,'Merged raw data'!H840=2,'Merged raw data'!H840=3,'Merged raw data'!H840=4,'Merged raw data'!H840=5),"weekday","weekend")</f>
        <v>weekday</v>
      </c>
      <c r="J840" s="23" t="s">
        <v>23</v>
      </c>
      <c r="K840" s="23" t="str">
        <f>IF('Merged raw data'!I840=1,"Clear",IF('Merged raw data'!I840=2,"Mist",IF('Merged raw data'!I840=3,"Rain",IF('Merged raw data'!I840=4,"Storm","NA"))))</f>
        <v>Clear</v>
      </c>
      <c r="L840" s="24">
        <v>0.8</v>
      </c>
      <c r="M840" s="24">
        <v>0.23</v>
      </c>
      <c r="N840" s="21">
        <f>'Merged raw data'!$J840*100</f>
        <v>22</v>
      </c>
      <c r="O840" s="21">
        <v>3</v>
      </c>
      <c r="P840" s="21">
        <v>115</v>
      </c>
      <c r="Q840" s="21">
        <v>118</v>
      </c>
      <c r="R840" s="21" t="str">
        <f>IF(Q840&gt;=outliers!I842,"High",IF(Q840&lt;=outliers!I841,"Low","Moderate"))</f>
        <v>High</v>
      </c>
      <c r="S840" s="8" t="str">
        <f>IF(OR(Q840&lt;outliers!$I$6,Q840&gt;outliers!$I$7),"Outlier","Normal")</f>
        <v>Normal</v>
      </c>
      <c r="T840" s="8" t="str">
        <f>IF(OR(L840&lt;outliers!$J$6,L840&gt;outliers!$J$7),"Outlier","Normal")</f>
        <v>Normal</v>
      </c>
      <c r="U840" s="8" t="str">
        <f>IF(OR(M840&lt;outliers!$K$6,M840&gt;outliers!$K$7),"Outlier","Normal")</f>
        <v>Normal</v>
      </c>
    </row>
    <row r="841" spans="1:21">
      <c r="A841" s="21">
        <v>840</v>
      </c>
      <c r="B841" s="68">
        <v>40581</v>
      </c>
      <c r="C841" s="22" t="b">
        <v>0</v>
      </c>
      <c r="D841" s="21" t="str">
        <f t="shared" si="13"/>
        <v>Monday</v>
      </c>
      <c r="E841" s="23">
        <v>0.2576</v>
      </c>
      <c r="F841" s="23">
        <f>YEAR('Merged raw data'!$B841)</f>
        <v>2011</v>
      </c>
      <c r="G841" s="23" t="str">
        <f>TEXT('Merged raw data'!$B841,"mmmm")</f>
        <v>February</v>
      </c>
      <c r="H841" s="37" t="str">
        <f>TEXT(TIME('Merged raw data'!F841,0,0),"h AM/PM")</f>
        <v>10 AM</v>
      </c>
      <c r="I841" s="23" t="str">
        <f>IF(OR('Merged raw data'!H841=1,'Merged raw data'!H841=2,'Merged raw data'!H841=3,'Merged raw data'!H841=4,'Merged raw data'!H841=5),"weekday","weekend")</f>
        <v>weekday</v>
      </c>
      <c r="J841" s="23" t="s">
        <v>23</v>
      </c>
      <c r="K841" s="23" t="str">
        <f>IF('Merged raw data'!I841=1,"Clear",IF('Merged raw data'!I841=2,"Mist",IF('Merged raw data'!I841=3,"Rain",IF('Merged raw data'!I841=4,"Storm","NA"))))</f>
        <v>Clear</v>
      </c>
      <c r="L841" s="24">
        <v>0.75</v>
      </c>
      <c r="M841" s="24">
        <v>0.1045</v>
      </c>
      <c r="N841" s="21">
        <f>'Merged raw data'!$J841*100</f>
        <v>24</v>
      </c>
      <c r="O841" s="21">
        <v>6</v>
      </c>
      <c r="P841" s="21">
        <v>49</v>
      </c>
      <c r="Q841" s="21">
        <v>55</v>
      </c>
      <c r="R841" s="21" t="str">
        <f>IF(Q841&gt;=outliers!I843,"High",IF(Q841&lt;=outliers!I842,"Low","Moderate"))</f>
        <v>High</v>
      </c>
      <c r="S841" s="8" t="str">
        <f>IF(OR(Q841&lt;outliers!$I$6,Q841&gt;outliers!$I$7),"Outlier","Normal")</f>
        <v>Normal</v>
      </c>
      <c r="T841" s="8" t="str">
        <f>IF(OR(L841&lt;outliers!$J$6,L841&gt;outliers!$J$7),"Outlier","Normal")</f>
        <v>Normal</v>
      </c>
      <c r="U841" s="8" t="str">
        <f>IF(OR(M841&lt;outliers!$K$6,M841&gt;outliers!$K$7),"Outlier","Normal")</f>
        <v>Normal</v>
      </c>
    </row>
    <row r="842" spans="1:21">
      <c r="A842" s="21">
        <v>841</v>
      </c>
      <c r="B842" s="68">
        <v>40581</v>
      </c>
      <c r="C842" s="22" t="b">
        <v>0</v>
      </c>
      <c r="D842" s="21" t="str">
        <f t="shared" si="13"/>
        <v>Monday</v>
      </c>
      <c r="E842" s="23">
        <v>0.31819999999999998</v>
      </c>
      <c r="F842" s="23">
        <f>YEAR('Merged raw data'!$B842)</f>
        <v>2011</v>
      </c>
      <c r="G842" s="23" t="str">
        <f>TEXT('Merged raw data'!$B842,"mmmm")</f>
        <v>February</v>
      </c>
      <c r="H842" s="37" t="str">
        <f>TEXT(TIME('Merged raw data'!F842,0,0),"h AM/PM")</f>
        <v>11 AM</v>
      </c>
      <c r="I842" s="23" t="str">
        <f>IF(OR('Merged raw data'!H842=1,'Merged raw data'!H842=2,'Merged raw data'!H842=3,'Merged raw data'!H842=4,'Merged raw data'!H842=5),"weekday","weekend")</f>
        <v>weekday</v>
      </c>
      <c r="J842" s="23" t="s">
        <v>23</v>
      </c>
      <c r="K842" s="23" t="str">
        <f>IF('Merged raw data'!I842=1,"Clear",IF('Merged raw data'!I842=2,"Mist",IF('Merged raw data'!I842=3,"Rain",IF('Merged raw data'!I842=4,"Storm","NA"))))</f>
        <v>Clear</v>
      </c>
      <c r="L842" s="24">
        <v>0.65</v>
      </c>
      <c r="M842" s="24">
        <v>8.9599999999999999E-2</v>
      </c>
      <c r="N842" s="21">
        <f>'Merged raw data'!$J842*100</f>
        <v>30</v>
      </c>
      <c r="O842" s="21">
        <v>11</v>
      </c>
      <c r="P842" s="21">
        <v>36</v>
      </c>
      <c r="Q842" s="21">
        <v>47</v>
      </c>
      <c r="R842" s="21" t="str">
        <f>IF(Q842&gt;=outliers!I844,"High",IF(Q842&lt;=outliers!I843,"Low","Moderate"))</f>
        <v>High</v>
      </c>
      <c r="S842" s="8" t="str">
        <f>IF(OR(Q842&lt;outliers!$I$6,Q842&gt;outliers!$I$7),"Outlier","Normal")</f>
        <v>Normal</v>
      </c>
      <c r="T842" s="8" t="str">
        <f>IF(OR(L842&lt;outliers!$J$6,L842&gt;outliers!$J$7),"Outlier","Normal")</f>
        <v>Normal</v>
      </c>
      <c r="U842" s="8" t="str">
        <f>IF(OR(M842&lt;outliers!$K$6,M842&gt;outliers!$K$7),"Outlier","Normal")</f>
        <v>Normal</v>
      </c>
    </row>
    <row r="843" spans="1:21">
      <c r="A843" s="21">
        <v>842</v>
      </c>
      <c r="B843" s="68">
        <v>40581</v>
      </c>
      <c r="C843" s="22" t="b">
        <v>0</v>
      </c>
      <c r="D843" s="21" t="str">
        <f t="shared" si="13"/>
        <v>Monday</v>
      </c>
      <c r="E843" s="23">
        <v>0.34849999999999998</v>
      </c>
      <c r="F843" s="23">
        <f>YEAR('Merged raw data'!$B843)</f>
        <v>2011</v>
      </c>
      <c r="G843" s="23" t="str">
        <f>TEXT('Merged raw data'!$B843,"mmmm")</f>
        <v>February</v>
      </c>
      <c r="H843" s="37" t="str">
        <f>TEXT(TIME('Merged raw data'!F843,0,0),"h AM/PM")</f>
        <v>12 PM</v>
      </c>
      <c r="I843" s="23" t="str">
        <f>IF(OR('Merged raw data'!H843=1,'Merged raw data'!H843=2,'Merged raw data'!H843=3,'Merged raw data'!H843=4,'Merged raw data'!H843=5),"weekday","weekend")</f>
        <v>weekday</v>
      </c>
      <c r="J843" s="23" t="s">
        <v>23</v>
      </c>
      <c r="K843" s="23" t="str">
        <f>IF('Merged raw data'!I843=1,"Clear",IF('Merged raw data'!I843=2,"Mist",IF('Merged raw data'!I843=3,"Rain",IF('Merged raw data'!I843=4,"Storm","NA"))))</f>
        <v>Mist</v>
      </c>
      <c r="L843" s="24">
        <v>0.62</v>
      </c>
      <c r="M843" s="24">
        <v>0.23</v>
      </c>
      <c r="N843" s="21">
        <f>'Merged raw data'!$J843*100</f>
        <v>32</v>
      </c>
      <c r="O843" s="21">
        <v>7</v>
      </c>
      <c r="P843" s="21">
        <v>59</v>
      </c>
      <c r="Q843" s="21">
        <v>66</v>
      </c>
      <c r="R843" s="21" t="str">
        <f>IF(Q843&gt;=outliers!I845,"High",IF(Q843&lt;=outliers!I844,"Low","Moderate"))</f>
        <v>High</v>
      </c>
      <c r="S843" s="8" t="str">
        <f>IF(OR(Q843&lt;outliers!$I$6,Q843&gt;outliers!$I$7),"Outlier","Normal")</f>
        <v>Normal</v>
      </c>
      <c r="T843" s="8" t="str">
        <f>IF(OR(L843&lt;outliers!$J$6,L843&gt;outliers!$J$7),"Outlier","Normal")</f>
        <v>Normal</v>
      </c>
      <c r="U843" s="8" t="str">
        <f>IF(OR(M843&lt;outliers!$K$6,M843&gt;outliers!$K$7),"Outlier","Normal")</f>
        <v>Normal</v>
      </c>
    </row>
    <row r="844" spans="1:21">
      <c r="A844" s="21">
        <v>843</v>
      </c>
      <c r="B844" s="68">
        <v>40581</v>
      </c>
      <c r="C844" s="22" t="b">
        <v>0</v>
      </c>
      <c r="D844" s="21" t="str">
        <f t="shared" si="13"/>
        <v>Monday</v>
      </c>
      <c r="E844" s="23">
        <v>0.36359999999999998</v>
      </c>
      <c r="F844" s="23">
        <f>YEAR('Merged raw data'!$B844)</f>
        <v>2011</v>
      </c>
      <c r="G844" s="23" t="str">
        <f>TEXT('Merged raw data'!$B844,"mmmm")</f>
        <v>February</v>
      </c>
      <c r="H844" s="37" t="str">
        <f>TEXT(TIME('Merged raw data'!F844,0,0),"h AM/PM")</f>
        <v>1 PM</v>
      </c>
      <c r="I844" s="23" t="str">
        <f>IF(OR('Merged raw data'!H844=1,'Merged raw data'!H844=2,'Merged raw data'!H844=3,'Merged raw data'!H844=4,'Merged raw data'!H844=5),"weekday","weekend")</f>
        <v>weekday</v>
      </c>
      <c r="J844" s="23" t="s">
        <v>23</v>
      </c>
      <c r="K844" s="23" t="str">
        <f>IF('Merged raw data'!I844=1,"Clear",IF('Merged raw data'!I844=2,"Mist",IF('Merged raw data'!I844=3,"Rain",IF('Merged raw data'!I844=4,"Storm","NA"))))</f>
        <v>Mist</v>
      </c>
      <c r="L844" s="24">
        <v>0.56999999999999995</v>
      </c>
      <c r="M844" s="24">
        <v>8.9599999999999999E-2</v>
      </c>
      <c r="N844" s="21">
        <f>'Merged raw data'!$J844*100</f>
        <v>36</v>
      </c>
      <c r="O844" s="21">
        <v>10</v>
      </c>
      <c r="P844" s="21">
        <v>54</v>
      </c>
      <c r="Q844" s="21">
        <v>64</v>
      </c>
      <c r="R844" s="21" t="str">
        <f>IF(Q844&gt;=outliers!I846,"High",IF(Q844&lt;=outliers!I845,"Low","Moderate"))</f>
        <v>High</v>
      </c>
      <c r="S844" s="8" t="str">
        <f>IF(OR(Q844&lt;outliers!$I$6,Q844&gt;outliers!$I$7),"Outlier","Normal")</f>
        <v>Normal</v>
      </c>
      <c r="T844" s="8" t="str">
        <f>IF(OR(L844&lt;outliers!$J$6,L844&gt;outliers!$J$7),"Outlier","Normal")</f>
        <v>Normal</v>
      </c>
      <c r="U844" s="8" t="str">
        <f>IF(OR(M844&lt;outliers!$K$6,M844&gt;outliers!$K$7),"Outlier","Normal")</f>
        <v>Normal</v>
      </c>
    </row>
    <row r="845" spans="1:21">
      <c r="A845" s="21">
        <v>844</v>
      </c>
      <c r="B845" s="68">
        <v>40581</v>
      </c>
      <c r="C845" s="22" t="b">
        <v>0</v>
      </c>
      <c r="D845" s="21" t="str">
        <f t="shared" si="13"/>
        <v>Monday</v>
      </c>
      <c r="E845" s="23">
        <v>0.36359999999999998</v>
      </c>
      <c r="F845" s="23">
        <f>YEAR('Merged raw data'!$B845)</f>
        <v>2011</v>
      </c>
      <c r="G845" s="23" t="str">
        <f>TEXT('Merged raw data'!$B845,"mmmm")</f>
        <v>February</v>
      </c>
      <c r="H845" s="37" t="str">
        <f>TEXT(TIME('Merged raw data'!F845,0,0),"h AM/PM")</f>
        <v>2 PM</v>
      </c>
      <c r="I845" s="23" t="str">
        <f>IF(OR('Merged raw data'!H845=1,'Merged raw data'!H845=2,'Merged raw data'!H845=3,'Merged raw data'!H845=4,'Merged raw data'!H845=5),"weekday","weekend")</f>
        <v>weekday</v>
      </c>
      <c r="J845" s="23" t="s">
        <v>23</v>
      </c>
      <c r="K845" s="23" t="str">
        <f>IF('Merged raw data'!I845=1,"Clear",IF('Merged raw data'!I845=2,"Mist",IF('Merged raw data'!I845=3,"Rain",IF('Merged raw data'!I845=4,"Storm","NA"))))</f>
        <v>Mist</v>
      </c>
      <c r="L845" s="24">
        <v>0.56999999999999995</v>
      </c>
      <c r="M845" s="24">
        <v>8.9599999999999999E-2</v>
      </c>
      <c r="N845" s="21">
        <f>'Merged raw data'!$J845*100</f>
        <v>36</v>
      </c>
      <c r="O845" s="21">
        <v>8</v>
      </c>
      <c r="P845" s="21">
        <v>52</v>
      </c>
      <c r="Q845" s="21">
        <v>60</v>
      </c>
      <c r="R845" s="21" t="str">
        <f>IF(Q845&gt;=outliers!I847,"High",IF(Q845&lt;=outliers!I846,"Low","Moderate"))</f>
        <v>High</v>
      </c>
      <c r="S845" s="8" t="str">
        <f>IF(OR(Q845&lt;outliers!$I$6,Q845&gt;outliers!$I$7),"Outlier","Normal")</f>
        <v>Normal</v>
      </c>
      <c r="T845" s="8" t="str">
        <f>IF(OR(L845&lt;outliers!$J$6,L845&gt;outliers!$J$7),"Outlier","Normal")</f>
        <v>Normal</v>
      </c>
      <c r="U845" s="8" t="str">
        <f>IF(OR(M845&lt;outliers!$K$6,M845&gt;outliers!$K$7),"Outlier","Normal")</f>
        <v>Normal</v>
      </c>
    </row>
    <row r="846" spans="1:21">
      <c r="A846" s="21">
        <v>845</v>
      </c>
      <c r="B846" s="68">
        <v>40581</v>
      </c>
      <c r="C846" s="22" t="b">
        <v>0</v>
      </c>
      <c r="D846" s="21" t="str">
        <f t="shared" si="13"/>
        <v>Monday</v>
      </c>
      <c r="E846" s="23">
        <v>0.39389999999999997</v>
      </c>
      <c r="F846" s="23">
        <f>YEAR('Merged raw data'!$B846)</f>
        <v>2011</v>
      </c>
      <c r="G846" s="23" t="str">
        <f>TEXT('Merged raw data'!$B846,"mmmm")</f>
        <v>February</v>
      </c>
      <c r="H846" s="37" t="str">
        <f>TEXT(TIME('Merged raw data'!F846,0,0),"h AM/PM")</f>
        <v>3 PM</v>
      </c>
      <c r="I846" s="23" t="str">
        <f>IF(OR('Merged raw data'!H846=1,'Merged raw data'!H846=2,'Merged raw data'!H846=3,'Merged raw data'!H846=4,'Merged raw data'!H846=5),"weekday","weekend")</f>
        <v>weekday</v>
      </c>
      <c r="J846" s="23" t="s">
        <v>23</v>
      </c>
      <c r="K846" s="23" t="str">
        <f>IF('Merged raw data'!I846=1,"Clear",IF('Merged raw data'!I846=2,"Mist",IF('Merged raw data'!I846=3,"Rain",IF('Merged raw data'!I846=4,"Storm","NA"))))</f>
        <v>Mist</v>
      </c>
      <c r="L846" s="24">
        <v>0.54</v>
      </c>
      <c r="M846" s="24">
        <v>8.9599999999999999E-2</v>
      </c>
      <c r="N846" s="21">
        <f>'Merged raw data'!$J846*100</f>
        <v>38</v>
      </c>
      <c r="O846" s="21">
        <v>4</v>
      </c>
      <c r="P846" s="21">
        <v>46</v>
      </c>
      <c r="Q846" s="21">
        <v>50</v>
      </c>
      <c r="R846" s="21" t="str">
        <f>IF(Q846&gt;=outliers!I848,"High",IF(Q846&lt;=outliers!I847,"Low","Moderate"))</f>
        <v>High</v>
      </c>
      <c r="S846" s="8" t="str">
        <f>IF(OR(Q846&lt;outliers!$I$6,Q846&gt;outliers!$I$7),"Outlier","Normal")</f>
        <v>Normal</v>
      </c>
      <c r="T846" s="8" t="str">
        <f>IF(OR(L846&lt;outliers!$J$6,L846&gt;outliers!$J$7),"Outlier","Normal")</f>
        <v>Normal</v>
      </c>
      <c r="U846" s="8" t="str">
        <f>IF(OR(M846&lt;outliers!$K$6,M846&gt;outliers!$K$7),"Outlier","Normal")</f>
        <v>Normal</v>
      </c>
    </row>
    <row r="847" spans="1:21">
      <c r="A847" s="21">
        <v>846</v>
      </c>
      <c r="B847" s="68">
        <v>40581</v>
      </c>
      <c r="C847" s="22" t="b">
        <v>0</v>
      </c>
      <c r="D847" s="21" t="str">
        <f t="shared" si="13"/>
        <v>Monday</v>
      </c>
      <c r="E847" s="23">
        <v>0.34849999999999998</v>
      </c>
      <c r="F847" s="23">
        <f>YEAR('Merged raw data'!$B847)</f>
        <v>2011</v>
      </c>
      <c r="G847" s="23" t="str">
        <f>TEXT('Merged raw data'!$B847,"mmmm")</f>
        <v>February</v>
      </c>
      <c r="H847" s="37" t="str">
        <f>TEXT(TIME('Merged raw data'!F847,0,0),"h AM/PM")</f>
        <v>4 PM</v>
      </c>
      <c r="I847" s="23" t="str">
        <f>IF(OR('Merged raw data'!H847=1,'Merged raw data'!H847=2,'Merged raw data'!H847=3,'Merged raw data'!H847=4,'Merged raw data'!H847=5),"weekday","weekend")</f>
        <v>weekday</v>
      </c>
      <c r="J847" s="23" t="s">
        <v>23</v>
      </c>
      <c r="K847" s="23" t="str">
        <f>IF('Merged raw data'!I847=1,"Clear",IF('Merged raw data'!I847=2,"Mist",IF('Merged raw data'!I847=3,"Rain",IF('Merged raw data'!I847=4,"Storm","NA"))))</f>
        <v>Mist</v>
      </c>
      <c r="L847" s="24">
        <v>0.56999999999999995</v>
      </c>
      <c r="M847" s="24">
        <v>0.1343</v>
      </c>
      <c r="N847" s="21">
        <f>'Merged raw data'!$J847*100</f>
        <v>36</v>
      </c>
      <c r="O847" s="21">
        <v>16</v>
      </c>
      <c r="P847" s="21">
        <v>98</v>
      </c>
      <c r="Q847" s="21">
        <v>114</v>
      </c>
      <c r="R847" s="21" t="str">
        <f>IF(Q847&gt;=outliers!I849,"High",IF(Q847&lt;=outliers!I848,"Low","Moderate"))</f>
        <v>High</v>
      </c>
      <c r="S847" s="8" t="str">
        <f>IF(OR(Q847&lt;outliers!$I$6,Q847&gt;outliers!$I$7),"Outlier","Normal")</f>
        <v>Normal</v>
      </c>
      <c r="T847" s="8" t="str">
        <f>IF(OR(L847&lt;outliers!$J$6,L847&gt;outliers!$J$7),"Outlier","Normal")</f>
        <v>Normal</v>
      </c>
      <c r="U847" s="8" t="str">
        <f>IF(OR(M847&lt;outliers!$K$6,M847&gt;outliers!$K$7),"Outlier","Normal")</f>
        <v>Normal</v>
      </c>
    </row>
    <row r="848" spans="1:21">
      <c r="A848" s="21">
        <v>847</v>
      </c>
      <c r="B848" s="68">
        <v>40581</v>
      </c>
      <c r="C848" s="22" t="b">
        <v>0</v>
      </c>
      <c r="D848" s="21" t="str">
        <f t="shared" si="13"/>
        <v>Monday</v>
      </c>
      <c r="E848" s="23">
        <v>0.31819999999999998</v>
      </c>
      <c r="F848" s="23">
        <f>YEAR('Merged raw data'!$B848)</f>
        <v>2011</v>
      </c>
      <c r="G848" s="23" t="str">
        <f>TEXT('Merged raw data'!$B848,"mmmm")</f>
        <v>February</v>
      </c>
      <c r="H848" s="37" t="str">
        <f>TEXT(TIME('Merged raw data'!F848,0,0),"h AM/PM")</f>
        <v>5 PM</v>
      </c>
      <c r="I848" s="23" t="str">
        <f>IF(OR('Merged raw data'!H848=1,'Merged raw data'!H848=2,'Merged raw data'!H848=3,'Merged raw data'!H848=4,'Merged raw data'!H848=5),"weekday","weekend")</f>
        <v>weekday</v>
      </c>
      <c r="J848" s="23" t="s">
        <v>23</v>
      </c>
      <c r="K848" s="23" t="str">
        <f>IF('Merged raw data'!I848=1,"Clear",IF('Merged raw data'!I848=2,"Mist",IF('Merged raw data'!I848=3,"Rain",IF('Merged raw data'!I848=4,"Storm","NA"))))</f>
        <v>Mist</v>
      </c>
      <c r="L848" s="24">
        <v>0.7</v>
      </c>
      <c r="M848" s="24">
        <v>0.16420000000000001</v>
      </c>
      <c r="N848" s="21">
        <f>'Merged raw data'!$J848*100</f>
        <v>32</v>
      </c>
      <c r="O848" s="21">
        <v>9</v>
      </c>
      <c r="P848" s="21">
        <v>207</v>
      </c>
      <c r="Q848" s="21">
        <v>216</v>
      </c>
      <c r="R848" s="21" t="str">
        <f>IF(Q848&gt;=outliers!I850,"High",IF(Q848&lt;=outliers!I849,"Low","Moderate"))</f>
        <v>High</v>
      </c>
      <c r="S848" s="8" t="str">
        <f>IF(OR(Q848&lt;outliers!$I$6,Q848&gt;outliers!$I$7),"Outlier","Normal")</f>
        <v>Outlier</v>
      </c>
      <c r="T848" s="8" t="str">
        <f>IF(OR(L848&lt;outliers!$J$6,L848&gt;outliers!$J$7),"Outlier","Normal")</f>
        <v>Normal</v>
      </c>
      <c r="U848" s="8" t="str">
        <f>IF(OR(M848&lt;outliers!$K$6,M848&gt;outliers!$K$7),"Outlier","Normal")</f>
        <v>Normal</v>
      </c>
    </row>
    <row r="849" spans="1:21">
      <c r="A849" s="21">
        <v>848</v>
      </c>
      <c r="B849" s="68">
        <v>40581</v>
      </c>
      <c r="C849" s="22" t="b">
        <v>0</v>
      </c>
      <c r="D849" s="21" t="str">
        <f t="shared" si="13"/>
        <v>Monday</v>
      </c>
      <c r="E849" s="23">
        <v>0.33329999999999999</v>
      </c>
      <c r="F849" s="23">
        <f>YEAR('Merged raw data'!$B849)</f>
        <v>2011</v>
      </c>
      <c r="G849" s="23" t="str">
        <f>TEXT('Merged raw data'!$B849,"mmmm")</f>
        <v>February</v>
      </c>
      <c r="H849" s="37" t="str">
        <f>TEXT(TIME('Merged raw data'!F849,0,0),"h AM/PM")</f>
        <v>6 PM</v>
      </c>
      <c r="I849" s="23" t="str">
        <f>IF(OR('Merged raw data'!H849=1,'Merged raw data'!H849=2,'Merged raw data'!H849=3,'Merged raw data'!H849=4,'Merged raw data'!H849=5),"weekday","weekend")</f>
        <v>weekday</v>
      </c>
      <c r="J849" s="23" t="s">
        <v>23</v>
      </c>
      <c r="K849" s="23" t="str">
        <f>IF('Merged raw data'!I849=1,"Clear",IF('Merged raw data'!I849=2,"Mist",IF('Merged raw data'!I849=3,"Rain",IF('Merged raw data'!I849=4,"Storm","NA"))))</f>
        <v>Mist</v>
      </c>
      <c r="L849" s="24">
        <v>0.66</v>
      </c>
      <c r="M849" s="24">
        <v>0.1343</v>
      </c>
      <c r="N849" s="21">
        <f>'Merged raw data'!$J849*100</f>
        <v>34</v>
      </c>
      <c r="O849" s="21">
        <v>5</v>
      </c>
      <c r="P849" s="21">
        <v>170</v>
      </c>
      <c r="Q849" s="21">
        <v>175</v>
      </c>
      <c r="R849" s="21" t="str">
        <f>IF(Q849&gt;=outliers!I851,"High",IF(Q849&lt;=outliers!I850,"Low","Moderate"))</f>
        <v>High</v>
      </c>
      <c r="S849" s="8" t="str">
        <f>IF(OR(Q849&lt;outliers!$I$6,Q849&gt;outliers!$I$7),"Outlier","Normal")</f>
        <v>Normal</v>
      </c>
      <c r="T849" s="8" t="str">
        <f>IF(OR(L849&lt;outliers!$J$6,L849&gt;outliers!$J$7),"Outlier","Normal")</f>
        <v>Normal</v>
      </c>
      <c r="U849" s="8" t="str">
        <f>IF(OR(M849&lt;outliers!$K$6,M849&gt;outliers!$K$7),"Outlier","Normal")</f>
        <v>Normal</v>
      </c>
    </row>
    <row r="850" spans="1:21">
      <c r="A850" s="21">
        <v>849</v>
      </c>
      <c r="B850" s="68">
        <v>40581</v>
      </c>
      <c r="C850" s="22" t="b">
        <v>0</v>
      </c>
      <c r="D850" s="21" t="str">
        <f t="shared" si="13"/>
        <v>Monday</v>
      </c>
      <c r="E850" s="23">
        <v>0.34849999999999998</v>
      </c>
      <c r="F850" s="23">
        <f>YEAR('Merged raw data'!$B850)</f>
        <v>2011</v>
      </c>
      <c r="G850" s="23" t="str">
        <f>TEXT('Merged raw data'!$B850,"mmmm")</f>
        <v>February</v>
      </c>
      <c r="H850" s="37" t="str">
        <f>TEXT(TIME('Merged raw data'!F850,0,0),"h AM/PM")</f>
        <v>7 PM</v>
      </c>
      <c r="I850" s="23" t="str">
        <f>IF(OR('Merged raw data'!H850=1,'Merged raw data'!H850=2,'Merged raw data'!H850=3,'Merged raw data'!H850=4,'Merged raw data'!H850=5),"weekday","weekend")</f>
        <v>weekday</v>
      </c>
      <c r="J850" s="23" t="s">
        <v>23</v>
      </c>
      <c r="K850" s="23" t="str">
        <f>IF('Merged raw data'!I850=1,"Clear",IF('Merged raw data'!I850=2,"Mist",IF('Merged raw data'!I850=3,"Rain",IF('Merged raw data'!I850=4,"Storm","NA"))))</f>
        <v>Mist</v>
      </c>
      <c r="L850" s="24">
        <v>0.7</v>
      </c>
      <c r="M850" s="24">
        <v>0.23</v>
      </c>
      <c r="N850" s="21">
        <f>'Merged raw data'!$J850*100</f>
        <v>32</v>
      </c>
      <c r="O850" s="21">
        <v>5</v>
      </c>
      <c r="P850" s="21">
        <v>123</v>
      </c>
      <c r="Q850" s="21">
        <v>128</v>
      </c>
      <c r="R850" s="21" t="str">
        <f>IF(Q850&gt;=outliers!I852,"High",IF(Q850&lt;=outliers!I851,"Low","Moderate"))</f>
        <v>High</v>
      </c>
      <c r="S850" s="8" t="str">
        <f>IF(OR(Q850&lt;outliers!$I$6,Q850&gt;outliers!$I$7),"Outlier","Normal")</f>
        <v>Normal</v>
      </c>
      <c r="T850" s="8" t="str">
        <f>IF(OR(L850&lt;outliers!$J$6,L850&gt;outliers!$J$7),"Outlier","Normal")</f>
        <v>Normal</v>
      </c>
      <c r="U850" s="8" t="str">
        <f>IF(OR(M850&lt;outliers!$K$6,M850&gt;outliers!$K$7),"Outlier","Normal")</f>
        <v>Normal</v>
      </c>
    </row>
    <row r="851" spans="1:21">
      <c r="A851" s="21">
        <v>850</v>
      </c>
      <c r="B851" s="68">
        <v>40581</v>
      </c>
      <c r="C851" s="22" t="b">
        <v>0</v>
      </c>
      <c r="D851" s="21" t="str">
        <f t="shared" si="13"/>
        <v>Monday</v>
      </c>
      <c r="E851" s="23">
        <v>0.33329999999999999</v>
      </c>
      <c r="F851" s="23">
        <f>YEAR('Merged raw data'!$B851)</f>
        <v>2011</v>
      </c>
      <c r="G851" s="23" t="str">
        <f>TEXT('Merged raw data'!$B851,"mmmm")</f>
        <v>February</v>
      </c>
      <c r="H851" s="37" t="str">
        <f>TEXT(TIME('Merged raw data'!F851,0,0),"h AM/PM")</f>
        <v>8 PM</v>
      </c>
      <c r="I851" s="23" t="str">
        <f>IF(OR('Merged raw data'!H851=1,'Merged raw data'!H851=2,'Merged raw data'!H851=3,'Merged raw data'!H851=4,'Merged raw data'!H851=5),"weekday","weekend")</f>
        <v>weekday</v>
      </c>
      <c r="J851" s="23" t="s">
        <v>23</v>
      </c>
      <c r="K851" s="23" t="str">
        <f>IF('Merged raw data'!I851=1,"Clear",IF('Merged raw data'!I851=2,"Mist",IF('Merged raw data'!I851=3,"Rain",IF('Merged raw data'!I851=4,"Storm","NA"))))</f>
        <v>Mist</v>
      </c>
      <c r="L851" s="24">
        <v>0.7</v>
      </c>
      <c r="M851" s="24">
        <v>0.1045</v>
      </c>
      <c r="N851" s="21">
        <f>'Merged raw data'!$J851*100</f>
        <v>32</v>
      </c>
      <c r="O851" s="21">
        <v>6</v>
      </c>
      <c r="P851" s="21">
        <v>82</v>
      </c>
      <c r="Q851" s="21">
        <v>88</v>
      </c>
      <c r="R851" s="21" t="str">
        <f>IF(Q851&gt;=outliers!I853,"High",IF(Q851&lt;=outliers!I852,"Low","Moderate"))</f>
        <v>High</v>
      </c>
      <c r="S851" s="8" t="str">
        <f>IF(OR(Q851&lt;outliers!$I$6,Q851&gt;outliers!$I$7),"Outlier","Normal")</f>
        <v>Normal</v>
      </c>
      <c r="T851" s="8" t="str">
        <f>IF(OR(L851&lt;outliers!$J$6,L851&gt;outliers!$J$7),"Outlier","Normal")</f>
        <v>Normal</v>
      </c>
      <c r="U851" s="8" t="str">
        <f>IF(OR(M851&lt;outliers!$K$6,M851&gt;outliers!$K$7),"Outlier","Normal")</f>
        <v>Normal</v>
      </c>
    </row>
    <row r="852" spans="1:21">
      <c r="A852" s="21">
        <v>851</v>
      </c>
      <c r="B852" s="68">
        <v>40581</v>
      </c>
      <c r="C852" s="22" t="b">
        <v>0</v>
      </c>
      <c r="D852" s="21" t="str">
        <f t="shared" si="13"/>
        <v>Monday</v>
      </c>
      <c r="E852" s="23">
        <v>0.34849999999999998</v>
      </c>
      <c r="F852" s="23">
        <f>YEAR('Merged raw data'!$B852)</f>
        <v>2011</v>
      </c>
      <c r="G852" s="23" t="str">
        <f>TEXT('Merged raw data'!$B852,"mmmm")</f>
        <v>February</v>
      </c>
      <c r="H852" s="37" t="str">
        <f>TEXT(TIME('Merged raw data'!F852,0,0),"h AM/PM")</f>
        <v>9 PM</v>
      </c>
      <c r="I852" s="23" t="str">
        <f>IF(OR('Merged raw data'!H852=1,'Merged raw data'!H852=2,'Merged raw data'!H852=3,'Merged raw data'!H852=4,'Merged raw data'!H852=5),"weekday","weekend")</f>
        <v>weekday</v>
      </c>
      <c r="J852" s="23" t="s">
        <v>23</v>
      </c>
      <c r="K852" s="23" t="str">
        <f>IF('Merged raw data'!I852=1,"Clear",IF('Merged raw data'!I852=2,"Mist",IF('Merged raw data'!I852=3,"Rain",IF('Merged raw data'!I852=4,"Storm","NA"))))</f>
        <v>Clear</v>
      </c>
      <c r="L852" s="24">
        <v>0.7</v>
      </c>
      <c r="M852" s="24">
        <v>0.23</v>
      </c>
      <c r="N852" s="21">
        <f>'Merged raw data'!$J852*100</f>
        <v>32</v>
      </c>
      <c r="O852" s="21">
        <v>3</v>
      </c>
      <c r="P852" s="21">
        <v>75</v>
      </c>
      <c r="Q852" s="21">
        <v>78</v>
      </c>
      <c r="R852" s="21" t="str">
        <f>IF(Q852&gt;=outliers!I854,"High",IF(Q852&lt;=outliers!I853,"Low","Moderate"))</f>
        <v>High</v>
      </c>
      <c r="S852" s="8" t="str">
        <f>IF(OR(Q852&lt;outliers!$I$6,Q852&gt;outliers!$I$7),"Outlier","Normal")</f>
        <v>Normal</v>
      </c>
      <c r="T852" s="8" t="str">
        <f>IF(OR(L852&lt;outliers!$J$6,L852&gt;outliers!$J$7),"Outlier","Normal")</f>
        <v>Normal</v>
      </c>
      <c r="U852" s="8" t="str">
        <f>IF(OR(M852&lt;outliers!$K$6,M852&gt;outliers!$K$7),"Outlier","Normal")</f>
        <v>Normal</v>
      </c>
    </row>
    <row r="853" spans="1:21">
      <c r="A853" s="21">
        <v>852</v>
      </c>
      <c r="B853" s="68">
        <v>40581</v>
      </c>
      <c r="C853" s="22" t="b">
        <v>0</v>
      </c>
      <c r="D853" s="21" t="str">
        <f t="shared" si="13"/>
        <v>Monday</v>
      </c>
      <c r="E853" s="23">
        <v>0.30299999999999999</v>
      </c>
      <c r="F853" s="23">
        <f>YEAR('Merged raw data'!$B853)</f>
        <v>2011</v>
      </c>
      <c r="G853" s="23" t="str">
        <f>TEXT('Merged raw data'!$B853,"mmmm")</f>
        <v>February</v>
      </c>
      <c r="H853" s="37" t="str">
        <f>TEXT(TIME('Merged raw data'!F853,0,0),"h AM/PM")</f>
        <v>10 PM</v>
      </c>
      <c r="I853" s="23" t="str">
        <f>IF(OR('Merged raw data'!H853=1,'Merged raw data'!H853=2,'Merged raw data'!H853=3,'Merged raw data'!H853=4,'Merged raw data'!H853=5),"weekday","weekend")</f>
        <v>weekday</v>
      </c>
      <c r="J853" s="23" t="s">
        <v>23</v>
      </c>
      <c r="K853" s="23" t="str">
        <f>IF('Merged raw data'!I853=1,"Clear",IF('Merged raw data'!I853=2,"Mist",IF('Merged raw data'!I853=3,"Rain",IF('Merged raw data'!I853=4,"Storm","NA"))))</f>
        <v>Clear</v>
      </c>
      <c r="L853" s="24">
        <v>0.81</v>
      </c>
      <c r="M853" s="24">
        <v>8.9599999999999999E-2</v>
      </c>
      <c r="N853" s="21">
        <f>'Merged raw data'!$J853*100</f>
        <v>28.000000000000004</v>
      </c>
      <c r="O853" s="21">
        <v>3</v>
      </c>
      <c r="P853" s="21">
        <v>34</v>
      </c>
      <c r="Q853" s="21">
        <v>37</v>
      </c>
      <c r="R853" s="21" t="str">
        <f>IF(Q853&gt;=outliers!I855,"High",IF(Q853&lt;=outliers!I854,"Low","Moderate"))</f>
        <v>High</v>
      </c>
      <c r="S853" s="8" t="str">
        <f>IF(OR(Q853&lt;outliers!$I$6,Q853&gt;outliers!$I$7),"Outlier","Normal")</f>
        <v>Normal</v>
      </c>
      <c r="T853" s="8" t="str">
        <f>IF(OR(L853&lt;outliers!$J$6,L853&gt;outliers!$J$7),"Outlier","Normal")</f>
        <v>Normal</v>
      </c>
      <c r="U853" s="8" t="str">
        <f>IF(OR(M853&lt;outliers!$K$6,M853&gt;outliers!$K$7),"Outlier","Normal")</f>
        <v>Normal</v>
      </c>
    </row>
    <row r="854" spans="1:21">
      <c r="A854" s="21">
        <v>853</v>
      </c>
      <c r="B854" s="68">
        <v>40581</v>
      </c>
      <c r="C854" s="22" t="b">
        <v>0</v>
      </c>
      <c r="D854" s="21" t="str">
        <f t="shared" si="13"/>
        <v>Monday</v>
      </c>
      <c r="E854" s="23">
        <v>0.33329999999999999</v>
      </c>
      <c r="F854" s="23">
        <f>YEAR('Merged raw data'!$B854)</f>
        <v>2011</v>
      </c>
      <c r="G854" s="23" t="str">
        <f>TEXT('Merged raw data'!$B854,"mmmm")</f>
        <v>February</v>
      </c>
      <c r="H854" s="37" t="str">
        <f>TEXT(TIME('Merged raw data'!F854,0,0),"h AM/PM")</f>
        <v>11 PM</v>
      </c>
      <c r="I854" s="23" t="str">
        <f>IF(OR('Merged raw data'!H854=1,'Merged raw data'!H854=2,'Merged raw data'!H854=3,'Merged raw data'!H854=4,'Merged raw data'!H854=5),"weekday","weekend")</f>
        <v>weekday</v>
      </c>
      <c r="J854" s="23" t="s">
        <v>23</v>
      </c>
      <c r="K854" s="23" t="str">
        <f>IF('Merged raw data'!I854=1,"Clear",IF('Merged raw data'!I854=2,"Mist",IF('Merged raw data'!I854=3,"Rain",IF('Merged raw data'!I854=4,"Storm","NA"))))</f>
        <v>Mist</v>
      </c>
      <c r="L854" s="24">
        <v>0.81</v>
      </c>
      <c r="M854" s="24">
        <v>0.23</v>
      </c>
      <c r="N854" s="21">
        <f>'Merged raw data'!$J854*100</f>
        <v>30</v>
      </c>
      <c r="O854" s="21">
        <v>6</v>
      </c>
      <c r="P854" s="21">
        <v>19</v>
      </c>
      <c r="Q854" s="21">
        <v>25</v>
      </c>
      <c r="R854" s="21" t="str">
        <f>IF(Q854&gt;=outliers!I856,"High",IF(Q854&lt;=outliers!I855,"Low","Moderate"))</f>
        <v>High</v>
      </c>
      <c r="S854" s="8" t="str">
        <f>IF(OR(Q854&lt;outliers!$I$6,Q854&gt;outliers!$I$7),"Outlier","Normal")</f>
        <v>Normal</v>
      </c>
      <c r="T854" s="8" t="str">
        <f>IF(OR(L854&lt;outliers!$J$6,L854&gt;outliers!$J$7),"Outlier","Normal")</f>
        <v>Normal</v>
      </c>
      <c r="U854" s="8" t="str">
        <f>IF(OR(M854&lt;outliers!$K$6,M854&gt;outliers!$K$7),"Outlier","Normal")</f>
        <v>Normal</v>
      </c>
    </row>
    <row r="855" spans="1:21">
      <c r="A855" s="21">
        <v>854</v>
      </c>
      <c r="B855" s="68">
        <v>40582</v>
      </c>
      <c r="C855" s="22" t="b">
        <v>0</v>
      </c>
      <c r="D855" s="21" t="str">
        <f t="shared" si="13"/>
        <v>Tuesday</v>
      </c>
      <c r="E855" s="23">
        <v>0.31819999999999998</v>
      </c>
      <c r="F855" s="23">
        <f>YEAR('Merged raw data'!$B855)</f>
        <v>2011</v>
      </c>
      <c r="G855" s="23" t="str">
        <f>TEXT('Merged raw data'!$B855,"mmmm")</f>
        <v>February</v>
      </c>
      <c r="H855" s="37" t="str">
        <f>TEXT(TIME('Merged raw data'!F855,0,0),"h AM/PM")</f>
        <v>12 AM</v>
      </c>
      <c r="I855" s="23" t="str">
        <f>IF(OR('Merged raw data'!H855=1,'Merged raw data'!H855=2,'Merged raw data'!H855=3,'Merged raw data'!H855=4,'Merged raw data'!H855=5),"weekday","weekend")</f>
        <v>weekday</v>
      </c>
      <c r="J855" s="23" t="s">
        <v>23</v>
      </c>
      <c r="K855" s="23" t="str">
        <f>IF('Merged raw data'!I855=1,"Clear",IF('Merged raw data'!I855=2,"Mist",IF('Merged raw data'!I855=3,"Rain",IF('Merged raw data'!I855=4,"Storm","NA"))))</f>
        <v>Mist</v>
      </c>
      <c r="L855" s="24">
        <v>0.87</v>
      </c>
      <c r="M855" s="24">
        <v>0.23</v>
      </c>
      <c r="N855" s="21">
        <f>'Merged raw data'!$J855*100</f>
        <v>28.000000000000004</v>
      </c>
      <c r="O855" s="21">
        <v>4</v>
      </c>
      <c r="P855" s="21">
        <v>6</v>
      </c>
      <c r="Q855" s="21">
        <v>10</v>
      </c>
      <c r="R855" s="21" t="str">
        <f>IF(Q855&gt;=outliers!I857,"High",IF(Q855&lt;=outliers!I856,"Low","Moderate"))</f>
        <v>High</v>
      </c>
      <c r="S855" s="8" t="str">
        <f>IF(OR(Q855&lt;outliers!$I$6,Q855&gt;outliers!$I$7),"Outlier","Normal")</f>
        <v>Normal</v>
      </c>
      <c r="T855" s="8" t="str">
        <f>IF(OR(L855&lt;outliers!$J$6,L855&gt;outliers!$J$7),"Outlier","Normal")</f>
        <v>Normal</v>
      </c>
      <c r="U855" s="8" t="str">
        <f>IF(OR(M855&lt;outliers!$K$6,M855&gt;outliers!$K$7),"Outlier","Normal")</f>
        <v>Normal</v>
      </c>
    </row>
    <row r="856" spans="1:21">
      <c r="A856" s="21">
        <v>855</v>
      </c>
      <c r="B856" s="68">
        <v>40582</v>
      </c>
      <c r="C856" s="22" t="b">
        <v>0</v>
      </c>
      <c r="D856" s="21" t="str">
        <f t="shared" si="13"/>
        <v>Tuesday</v>
      </c>
      <c r="E856" s="23">
        <v>0.31819999999999998</v>
      </c>
      <c r="F856" s="23">
        <f>YEAR('Merged raw data'!$B856)</f>
        <v>2011</v>
      </c>
      <c r="G856" s="23" t="str">
        <f>TEXT('Merged raw data'!$B856,"mmmm")</f>
        <v>February</v>
      </c>
      <c r="H856" s="37" t="str">
        <f>TEXT(TIME('Merged raw data'!F856,0,0),"h AM/PM")</f>
        <v>1 AM</v>
      </c>
      <c r="I856" s="23" t="str">
        <f>IF(OR('Merged raw data'!H856=1,'Merged raw data'!H856=2,'Merged raw data'!H856=3,'Merged raw data'!H856=4,'Merged raw data'!H856=5),"weekday","weekend")</f>
        <v>weekday</v>
      </c>
      <c r="J856" s="23" t="s">
        <v>23</v>
      </c>
      <c r="K856" s="23" t="str">
        <f>IF('Merged raw data'!I856=1,"Clear",IF('Merged raw data'!I856=2,"Mist",IF('Merged raw data'!I856=3,"Rain",IF('Merged raw data'!I856=4,"Storm","NA"))))</f>
        <v>Mist</v>
      </c>
      <c r="L856" s="24">
        <v>0.87</v>
      </c>
      <c r="M856" s="24">
        <v>0.23</v>
      </c>
      <c r="N856" s="21">
        <f>'Merged raw data'!$J856*100</f>
        <v>28.000000000000004</v>
      </c>
      <c r="O856" s="21">
        <v>0</v>
      </c>
      <c r="P856" s="21">
        <v>4</v>
      </c>
      <c r="Q856" s="21">
        <v>4</v>
      </c>
      <c r="R856" s="21" t="str">
        <f>IF(Q856&gt;=outliers!I858,"High",IF(Q856&lt;=outliers!I857,"Low","Moderate"))</f>
        <v>High</v>
      </c>
      <c r="S856" s="8" t="str">
        <f>IF(OR(Q856&lt;outliers!$I$6,Q856&gt;outliers!$I$7),"Outlier","Normal")</f>
        <v>Normal</v>
      </c>
      <c r="T856" s="8" t="str">
        <f>IF(OR(L856&lt;outliers!$J$6,L856&gt;outliers!$J$7),"Outlier","Normal")</f>
        <v>Normal</v>
      </c>
      <c r="U856" s="8" t="str">
        <f>IF(OR(M856&lt;outliers!$K$6,M856&gt;outliers!$K$7),"Outlier","Normal")</f>
        <v>Normal</v>
      </c>
    </row>
    <row r="857" spans="1:21">
      <c r="A857" s="21">
        <v>856</v>
      </c>
      <c r="B857" s="68">
        <v>40582</v>
      </c>
      <c r="C857" s="22" t="b">
        <v>0</v>
      </c>
      <c r="D857" s="21" t="str">
        <f t="shared" si="13"/>
        <v>Tuesday</v>
      </c>
      <c r="E857" s="23">
        <v>0.2727</v>
      </c>
      <c r="F857" s="23">
        <f>YEAR('Merged raw data'!$B857)</f>
        <v>2011</v>
      </c>
      <c r="G857" s="23" t="str">
        <f>TEXT('Merged raw data'!$B857,"mmmm")</f>
        <v>February</v>
      </c>
      <c r="H857" s="37" t="str">
        <f>TEXT(TIME('Merged raw data'!F857,0,0),"h AM/PM")</f>
        <v>2 AM</v>
      </c>
      <c r="I857" s="23" t="str">
        <f>IF(OR('Merged raw data'!H857=1,'Merged raw data'!H857=2,'Merged raw data'!H857=3,'Merged raw data'!H857=4,'Merged raw data'!H857=5),"weekday","weekend")</f>
        <v>weekday</v>
      </c>
      <c r="J857" s="23" t="s">
        <v>23</v>
      </c>
      <c r="K857" s="23" t="str">
        <f>IF('Merged raw data'!I857=1,"Clear",IF('Merged raw data'!I857=2,"Mist",IF('Merged raw data'!I857=3,"Rain",IF('Merged raw data'!I857=4,"Storm","NA"))))</f>
        <v>Mist</v>
      </c>
      <c r="L857" s="24">
        <v>0.93</v>
      </c>
      <c r="M857" s="24">
        <v>0.1045</v>
      </c>
      <c r="N857" s="21">
        <f>'Merged raw data'!$J857*100</f>
        <v>26</v>
      </c>
      <c r="O857" s="21">
        <v>1</v>
      </c>
      <c r="P857" s="21">
        <v>1</v>
      </c>
      <c r="Q857" s="21">
        <v>2</v>
      </c>
      <c r="R857" s="21" t="str">
        <f>IF(Q857&gt;=outliers!I859,"High",IF(Q857&lt;=outliers!I858,"Low","Moderate"))</f>
        <v>High</v>
      </c>
      <c r="S857" s="8" t="str">
        <f>IF(OR(Q857&lt;outliers!$I$6,Q857&gt;outliers!$I$7),"Outlier","Normal")</f>
        <v>Normal</v>
      </c>
      <c r="T857" s="8" t="str">
        <f>IF(OR(L857&lt;outliers!$J$6,L857&gt;outliers!$J$7),"Outlier","Normal")</f>
        <v>Normal</v>
      </c>
      <c r="U857" s="8" t="str">
        <f>IF(OR(M857&lt;outliers!$K$6,M857&gt;outliers!$K$7),"Outlier","Normal")</f>
        <v>Normal</v>
      </c>
    </row>
    <row r="858" spans="1:21">
      <c r="A858" s="21">
        <v>857</v>
      </c>
      <c r="B858" s="68">
        <v>40582</v>
      </c>
      <c r="C858" s="22" t="b">
        <v>0</v>
      </c>
      <c r="D858" s="21" t="str">
        <f t="shared" si="13"/>
        <v>Tuesday</v>
      </c>
      <c r="E858" s="23">
        <v>0.2727</v>
      </c>
      <c r="F858" s="23">
        <f>YEAR('Merged raw data'!$B858)</f>
        <v>2011</v>
      </c>
      <c r="G858" s="23" t="str">
        <f>TEXT('Merged raw data'!$B858,"mmmm")</f>
        <v>February</v>
      </c>
      <c r="H858" s="37" t="str">
        <f>TEXT(TIME('Merged raw data'!F858,0,0),"h AM/PM")</f>
        <v>3 AM</v>
      </c>
      <c r="I858" s="23" t="str">
        <f>IF(OR('Merged raw data'!H858=1,'Merged raw data'!H858=2,'Merged raw data'!H858=3,'Merged raw data'!H858=4,'Merged raw data'!H858=5),"weekday","weekend")</f>
        <v>weekday</v>
      </c>
      <c r="J858" s="23" t="s">
        <v>23</v>
      </c>
      <c r="K858" s="23" t="str">
        <f>IF('Merged raw data'!I858=1,"Clear",IF('Merged raw data'!I858=2,"Mist",IF('Merged raw data'!I858=3,"Rain",IF('Merged raw data'!I858=4,"Storm","NA"))))</f>
        <v>Rain</v>
      </c>
      <c r="L858" s="24">
        <v>0.93</v>
      </c>
      <c r="M858" s="24">
        <v>0.16420000000000001</v>
      </c>
      <c r="N858" s="21">
        <f>'Merged raw data'!$J858*100</f>
        <v>28.000000000000004</v>
      </c>
      <c r="O858" s="21">
        <v>0</v>
      </c>
      <c r="P858" s="21">
        <v>1</v>
      </c>
      <c r="Q858" s="21">
        <v>1</v>
      </c>
      <c r="R858" s="21" t="str">
        <f>IF(Q858&gt;=outliers!I860,"High",IF(Q858&lt;=outliers!I859,"Low","Moderate"))</f>
        <v>High</v>
      </c>
      <c r="S858" s="8" t="str">
        <f>IF(OR(Q858&lt;outliers!$I$6,Q858&gt;outliers!$I$7),"Outlier","Normal")</f>
        <v>Normal</v>
      </c>
      <c r="T858" s="8" t="str">
        <f>IF(OR(L858&lt;outliers!$J$6,L858&gt;outliers!$J$7),"Outlier","Normal")</f>
        <v>Normal</v>
      </c>
      <c r="U858" s="8" t="str">
        <f>IF(OR(M858&lt;outliers!$K$6,M858&gt;outliers!$K$7),"Outlier","Normal")</f>
        <v>Normal</v>
      </c>
    </row>
    <row r="859" spans="1:21">
      <c r="A859" s="21">
        <v>858</v>
      </c>
      <c r="B859" s="68">
        <v>40582</v>
      </c>
      <c r="C859" s="22" t="b">
        <v>0</v>
      </c>
      <c r="D859" s="21" t="str">
        <f t="shared" si="13"/>
        <v>Tuesday</v>
      </c>
      <c r="E859" s="23">
        <v>0.2576</v>
      </c>
      <c r="F859" s="23">
        <f>YEAR('Merged raw data'!$B859)</f>
        <v>2011</v>
      </c>
      <c r="G859" s="23" t="str">
        <f>TEXT('Merged raw data'!$B859,"mmmm")</f>
        <v>February</v>
      </c>
      <c r="H859" s="37" t="str">
        <f>TEXT(TIME('Merged raw data'!F859,0,0),"h AM/PM")</f>
        <v>4 AM</v>
      </c>
      <c r="I859" s="23" t="str">
        <f>IF(OR('Merged raw data'!H859=1,'Merged raw data'!H859=2,'Merged raw data'!H859=3,'Merged raw data'!H859=4,'Merged raw data'!H859=5),"weekday","weekend")</f>
        <v>weekday</v>
      </c>
      <c r="J859" s="23" t="s">
        <v>23</v>
      </c>
      <c r="K859" s="23" t="str">
        <f>IF('Merged raw data'!I859=1,"Clear",IF('Merged raw data'!I859=2,"Mist",IF('Merged raw data'!I859=3,"Rain",IF('Merged raw data'!I859=4,"Storm","NA"))))</f>
        <v>Clear</v>
      </c>
      <c r="L859" s="24">
        <v>0.93</v>
      </c>
      <c r="M859" s="24">
        <v>0.16420000000000001</v>
      </c>
      <c r="N859" s="21">
        <f>'Merged raw data'!$J859*100</f>
        <v>26</v>
      </c>
      <c r="O859" s="21">
        <v>0</v>
      </c>
      <c r="P859" s="21">
        <v>3</v>
      </c>
      <c r="Q859" s="21">
        <v>3</v>
      </c>
      <c r="R859" s="21" t="str">
        <f>IF(Q859&gt;=outliers!I861,"High",IF(Q859&lt;=outliers!I860,"Low","Moderate"))</f>
        <v>High</v>
      </c>
      <c r="S859" s="8" t="str">
        <f>IF(OR(Q859&lt;outliers!$I$6,Q859&gt;outliers!$I$7),"Outlier","Normal")</f>
        <v>Normal</v>
      </c>
      <c r="T859" s="8" t="str">
        <f>IF(OR(L859&lt;outliers!$J$6,L859&gt;outliers!$J$7),"Outlier","Normal")</f>
        <v>Normal</v>
      </c>
      <c r="U859" s="8" t="str">
        <f>IF(OR(M859&lt;outliers!$K$6,M859&gt;outliers!$K$7),"Outlier","Normal")</f>
        <v>Normal</v>
      </c>
    </row>
    <row r="860" spans="1:21">
      <c r="A860" s="21">
        <v>859</v>
      </c>
      <c r="B860" s="68">
        <v>40582</v>
      </c>
      <c r="C860" s="22" t="b">
        <v>0</v>
      </c>
      <c r="D860" s="21" t="str">
        <f t="shared" si="13"/>
        <v>Tuesday</v>
      </c>
      <c r="E860" s="23">
        <v>0.2273</v>
      </c>
      <c r="F860" s="23">
        <f>YEAR('Merged raw data'!$B860)</f>
        <v>2011</v>
      </c>
      <c r="G860" s="23" t="str">
        <f>TEXT('Merged raw data'!$B860,"mmmm")</f>
        <v>February</v>
      </c>
      <c r="H860" s="37" t="str">
        <f>TEXT(TIME('Merged raw data'!F860,0,0),"h AM/PM")</f>
        <v>5 AM</v>
      </c>
      <c r="I860" s="23" t="str">
        <f>IF(OR('Merged raw data'!H860=1,'Merged raw data'!H860=2,'Merged raw data'!H860=3,'Merged raw data'!H860=4,'Merged raw data'!H860=5),"weekday","weekend")</f>
        <v>weekday</v>
      </c>
      <c r="J860" s="23" t="s">
        <v>23</v>
      </c>
      <c r="K860" s="23" t="str">
        <f>IF('Merged raw data'!I860=1,"Clear",IF('Merged raw data'!I860=2,"Mist",IF('Merged raw data'!I860=3,"Rain",IF('Merged raw data'!I860=4,"Storm","NA"))))</f>
        <v>Clear</v>
      </c>
      <c r="L860" s="24">
        <v>0.81</v>
      </c>
      <c r="M860" s="24">
        <v>0.32840000000000003</v>
      </c>
      <c r="N860" s="21">
        <f>'Merged raw data'!$J860*100</f>
        <v>26</v>
      </c>
      <c r="O860" s="21">
        <v>0</v>
      </c>
      <c r="P860" s="21">
        <v>2</v>
      </c>
      <c r="Q860" s="21">
        <v>2</v>
      </c>
      <c r="R860" s="21" t="str">
        <f>IF(Q860&gt;=outliers!I862,"High",IF(Q860&lt;=outliers!I861,"Low","Moderate"))</f>
        <v>High</v>
      </c>
      <c r="S860" s="8" t="str">
        <f>IF(OR(Q860&lt;outliers!$I$6,Q860&gt;outliers!$I$7),"Outlier","Normal")</f>
        <v>Normal</v>
      </c>
      <c r="T860" s="8" t="str">
        <f>IF(OR(L860&lt;outliers!$J$6,L860&gt;outliers!$J$7),"Outlier","Normal")</f>
        <v>Normal</v>
      </c>
      <c r="U860" s="8" t="str">
        <f>IF(OR(M860&lt;outliers!$K$6,M860&gt;outliers!$K$7),"Outlier","Normal")</f>
        <v>Normal</v>
      </c>
    </row>
    <row r="861" spans="1:21">
      <c r="A861" s="21">
        <v>860</v>
      </c>
      <c r="B861" s="68">
        <v>40582</v>
      </c>
      <c r="C861" s="22" t="b">
        <v>0</v>
      </c>
      <c r="D861" s="21" t="str">
        <f t="shared" si="13"/>
        <v>Tuesday</v>
      </c>
      <c r="E861" s="23">
        <v>0.2273</v>
      </c>
      <c r="F861" s="23">
        <f>YEAR('Merged raw data'!$B861)</f>
        <v>2011</v>
      </c>
      <c r="G861" s="23" t="str">
        <f>TEXT('Merged raw data'!$B861,"mmmm")</f>
        <v>February</v>
      </c>
      <c r="H861" s="37" t="str">
        <f>TEXT(TIME('Merged raw data'!F861,0,0),"h AM/PM")</f>
        <v>6 AM</v>
      </c>
      <c r="I861" s="23" t="str">
        <f>IF(OR('Merged raw data'!H861=1,'Merged raw data'!H861=2,'Merged raw data'!H861=3,'Merged raw data'!H861=4,'Merged raw data'!H861=5),"weekday","weekend")</f>
        <v>weekday</v>
      </c>
      <c r="J861" s="23" t="s">
        <v>23</v>
      </c>
      <c r="K861" s="23" t="str">
        <f>IF('Merged raw data'!I861=1,"Clear",IF('Merged raw data'!I861=2,"Mist",IF('Merged raw data'!I861=3,"Rain",IF('Merged raw data'!I861=4,"Storm","NA"))))</f>
        <v>Clear</v>
      </c>
      <c r="L861" s="24">
        <v>0.7</v>
      </c>
      <c r="M861" s="24">
        <v>0.32840000000000003</v>
      </c>
      <c r="N861" s="21">
        <f>'Merged raw data'!$J861*100</f>
        <v>26</v>
      </c>
      <c r="O861" s="21">
        <v>0</v>
      </c>
      <c r="P861" s="21">
        <v>39</v>
      </c>
      <c r="Q861" s="21">
        <v>39</v>
      </c>
      <c r="R861" s="21" t="str">
        <f>IF(Q861&gt;=outliers!I863,"High",IF(Q861&lt;=outliers!I862,"Low","Moderate"))</f>
        <v>High</v>
      </c>
      <c r="S861" s="8" t="str">
        <f>IF(OR(Q861&lt;outliers!$I$6,Q861&gt;outliers!$I$7),"Outlier","Normal")</f>
        <v>Normal</v>
      </c>
      <c r="T861" s="8" t="str">
        <f>IF(OR(L861&lt;outliers!$J$6,L861&gt;outliers!$J$7),"Outlier","Normal")</f>
        <v>Normal</v>
      </c>
      <c r="U861" s="8" t="str">
        <f>IF(OR(M861&lt;outliers!$K$6,M861&gt;outliers!$K$7),"Outlier","Normal")</f>
        <v>Normal</v>
      </c>
    </row>
    <row r="862" spans="1:21">
      <c r="A862" s="21">
        <v>861</v>
      </c>
      <c r="B862" s="68">
        <v>40582</v>
      </c>
      <c r="C862" s="22" t="b">
        <v>0</v>
      </c>
      <c r="D862" s="21" t="str">
        <f t="shared" si="13"/>
        <v>Tuesday</v>
      </c>
      <c r="E862" s="23">
        <v>0.19700000000000001</v>
      </c>
      <c r="F862" s="23">
        <f>YEAR('Merged raw data'!$B862)</f>
        <v>2011</v>
      </c>
      <c r="G862" s="23" t="str">
        <f>TEXT('Merged raw data'!$B862,"mmmm")</f>
        <v>February</v>
      </c>
      <c r="H862" s="37" t="str">
        <f>TEXT(TIME('Merged raw data'!F862,0,0),"h AM/PM")</f>
        <v>7 AM</v>
      </c>
      <c r="I862" s="23" t="str">
        <f>IF(OR('Merged raw data'!H862=1,'Merged raw data'!H862=2,'Merged raw data'!H862=3,'Merged raw data'!H862=4,'Merged raw data'!H862=5),"weekday","weekend")</f>
        <v>weekday</v>
      </c>
      <c r="J862" s="23" t="s">
        <v>23</v>
      </c>
      <c r="K862" s="23" t="str">
        <f>IF('Merged raw data'!I862=1,"Clear",IF('Merged raw data'!I862=2,"Mist",IF('Merged raw data'!I862=3,"Rain",IF('Merged raw data'!I862=4,"Storm","NA"))))</f>
        <v>Clear</v>
      </c>
      <c r="L862" s="24">
        <v>0.65</v>
      </c>
      <c r="M862" s="24">
        <v>0.41789999999999999</v>
      </c>
      <c r="N862" s="21">
        <f>'Merged raw data'!$J862*100</f>
        <v>24</v>
      </c>
      <c r="O862" s="21">
        <v>3</v>
      </c>
      <c r="P862" s="21">
        <v>97</v>
      </c>
      <c r="Q862" s="21">
        <v>100</v>
      </c>
      <c r="R862" s="21" t="str">
        <f>IF(Q862&gt;=outliers!I864,"High",IF(Q862&lt;=outliers!I863,"Low","Moderate"))</f>
        <v>High</v>
      </c>
      <c r="S862" s="8" t="str">
        <f>IF(OR(Q862&lt;outliers!$I$6,Q862&gt;outliers!$I$7),"Outlier","Normal")</f>
        <v>Normal</v>
      </c>
      <c r="T862" s="8" t="str">
        <f>IF(OR(L862&lt;outliers!$J$6,L862&gt;outliers!$J$7),"Outlier","Normal")</f>
        <v>Normal</v>
      </c>
      <c r="U862" s="8" t="str">
        <f>IF(OR(M862&lt;outliers!$K$6,M862&gt;outliers!$K$7),"Outlier","Normal")</f>
        <v>Normal</v>
      </c>
    </row>
    <row r="863" spans="1:21">
      <c r="A863" s="21">
        <v>862</v>
      </c>
      <c r="B863" s="68">
        <v>40582</v>
      </c>
      <c r="C863" s="22" t="b">
        <v>0</v>
      </c>
      <c r="D863" s="21" t="str">
        <f t="shared" si="13"/>
        <v>Tuesday</v>
      </c>
      <c r="E863" s="23">
        <v>0.19700000000000001</v>
      </c>
      <c r="F863" s="23">
        <f>YEAR('Merged raw data'!$B863)</f>
        <v>2011</v>
      </c>
      <c r="G863" s="23" t="str">
        <f>TEXT('Merged raw data'!$B863,"mmmm")</f>
        <v>February</v>
      </c>
      <c r="H863" s="37" t="str">
        <f>TEXT(TIME('Merged raw data'!F863,0,0),"h AM/PM")</f>
        <v>8 AM</v>
      </c>
      <c r="I863" s="23" t="str">
        <f>IF(OR('Merged raw data'!H863=1,'Merged raw data'!H863=2,'Merged raw data'!H863=3,'Merged raw data'!H863=4,'Merged raw data'!H863=5),"weekday","weekend")</f>
        <v>weekday</v>
      </c>
      <c r="J863" s="23" t="s">
        <v>23</v>
      </c>
      <c r="K863" s="23" t="str">
        <f>IF('Merged raw data'!I863=1,"Clear",IF('Merged raw data'!I863=2,"Mist",IF('Merged raw data'!I863=3,"Rain",IF('Merged raw data'!I863=4,"Storm","NA"))))</f>
        <v>Clear</v>
      </c>
      <c r="L863" s="24">
        <v>0.56000000000000005</v>
      </c>
      <c r="M863" s="24">
        <v>0.49249999999999999</v>
      </c>
      <c r="N863" s="21">
        <f>'Merged raw data'!$J863*100</f>
        <v>24</v>
      </c>
      <c r="O863" s="21">
        <v>7</v>
      </c>
      <c r="P863" s="21">
        <v>236</v>
      </c>
      <c r="Q863" s="21">
        <v>243</v>
      </c>
      <c r="R863" s="21" t="str">
        <f>IF(Q863&gt;=outliers!I865,"High",IF(Q863&lt;=outliers!I864,"Low","Moderate"))</f>
        <v>High</v>
      </c>
      <c r="S863" s="8" t="str">
        <f>IF(OR(Q863&lt;outliers!$I$6,Q863&gt;outliers!$I$7),"Outlier","Normal")</f>
        <v>Outlier</v>
      </c>
      <c r="T863" s="8" t="str">
        <f>IF(OR(L863&lt;outliers!$J$6,L863&gt;outliers!$J$7),"Outlier","Normal")</f>
        <v>Normal</v>
      </c>
      <c r="U863" s="8" t="str">
        <f>IF(OR(M863&lt;outliers!$K$6,M863&gt;outliers!$K$7),"Outlier","Normal")</f>
        <v>Normal</v>
      </c>
    </row>
    <row r="864" spans="1:21">
      <c r="A864" s="21">
        <v>863</v>
      </c>
      <c r="B864" s="68">
        <v>40582</v>
      </c>
      <c r="C864" s="22" t="b">
        <v>0</v>
      </c>
      <c r="D864" s="21" t="str">
        <f t="shared" si="13"/>
        <v>Tuesday</v>
      </c>
      <c r="E864" s="23">
        <v>0.19700000000000001</v>
      </c>
      <c r="F864" s="23">
        <f>YEAR('Merged raw data'!$B864)</f>
        <v>2011</v>
      </c>
      <c r="G864" s="23" t="str">
        <f>TEXT('Merged raw data'!$B864,"mmmm")</f>
        <v>February</v>
      </c>
      <c r="H864" s="37" t="str">
        <f>TEXT(TIME('Merged raw data'!F864,0,0),"h AM/PM")</f>
        <v>9 AM</v>
      </c>
      <c r="I864" s="23" t="str">
        <f>IF(OR('Merged raw data'!H864=1,'Merged raw data'!H864=2,'Merged raw data'!H864=3,'Merged raw data'!H864=4,'Merged raw data'!H864=5),"weekday","weekend")</f>
        <v>weekday</v>
      </c>
      <c r="J864" s="23" t="s">
        <v>23</v>
      </c>
      <c r="K864" s="23" t="str">
        <f>IF('Merged raw data'!I864=1,"Clear",IF('Merged raw data'!I864=2,"Mist",IF('Merged raw data'!I864=3,"Rain",IF('Merged raw data'!I864=4,"Storm","NA"))))</f>
        <v>Clear</v>
      </c>
      <c r="L864" s="24">
        <v>0.52</v>
      </c>
      <c r="M864" s="24">
        <v>0.49249999999999999</v>
      </c>
      <c r="N864" s="21">
        <f>'Merged raw data'!$J864*100</f>
        <v>24</v>
      </c>
      <c r="O864" s="21">
        <v>7</v>
      </c>
      <c r="P864" s="21">
        <v>128</v>
      </c>
      <c r="Q864" s="21">
        <v>135</v>
      </c>
      <c r="R864" s="21" t="str">
        <f>IF(Q864&gt;=outliers!I866,"High",IF(Q864&lt;=outliers!I865,"Low","Moderate"))</f>
        <v>High</v>
      </c>
      <c r="S864" s="8" t="str">
        <f>IF(OR(Q864&lt;outliers!$I$6,Q864&gt;outliers!$I$7),"Outlier","Normal")</f>
        <v>Normal</v>
      </c>
      <c r="T864" s="8" t="str">
        <f>IF(OR(L864&lt;outliers!$J$6,L864&gt;outliers!$J$7),"Outlier","Normal")</f>
        <v>Normal</v>
      </c>
      <c r="U864" s="8" t="str">
        <f>IF(OR(M864&lt;outliers!$K$6,M864&gt;outliers!$K$7),"Outlier","Normal")</f>
        <v>Normal</v>
      </c>
    </row>
    <row r="865" spans="1:21">
      <c r="A865" s="21">
        <v>864</v>
      </c>
      <c r="B865" s="68">
        <v>40582</v>
      </c>
      <c r="C865" s="22" t="b">
        <v>0</v>
      </c>
      <c r="D865" s="21" t="str">
        <f t="shared" si="13"/>
        <v>Tuesday</v>
      </c>
      <c r="E865" s="23">
        <v>0.18179999999999999</v>
      </c>
      <c r="F865" s="23">
        <f>YEAR('Merged raw data'!$B865)</f>
        <v>2011</v>
      </c>
      <c r="G865" s="23" t="str">
        <f>TEXT('Merged raw data'!$B865,"mmmm")</f>
        <v>February</v>
      </c>
      <c r="H865" s="37" t="str">
        <f>TEXT(TIME('Merged raw data'!F865,0,0),"h AM/PM")</f>
        <v>10 AM</v>
      </c>
      <c r="I865" s="23" t="str">
        <f>IF(OR('Merged raw data'!H865=1,'Merged raw data'!H865=2,'Merged raw data'!H865=3,'Merged raw data'!H865=4,'Merged raw data'!H865=5),"weekday","weekend")</f>
        <v>weekday</v>
      </c>
      <c r="J865" s="23" t="s">
        <v>23</v>
      </c>
      <c r="K865" s="23" t="str">
        <f>IF('Merged raw data'!I865=1,"Clear",IF('Merged raw data'!I865=2,"Mist",IF('Merged raw data'!I865=3,"Rain",IF('Merged raw data'!I865=4,"Storm","NA"))))</f>
        <v>Clear</v>
      </c>
      <c r="L865" s="24">
        <v>0.47</v>
      </c>
      <c r="M865" s="24">
        <v>0.55220000000000002</v>
      </c>
      <c r="N865" s="21">
        <f>'Merged raw data'!$J865*100</f>
        <v>22</v>
      </c>
      <c r="O865" s="21">
        <v>4</v>
      </c>
      <c r="P865" s="21">
        <v>44</v>
      </c>
      <c r="Q865" s="21">
        <v>48</v>
      </c>
      <c r="R865" s="21" t="str">
        <f>IF(Q865&gt;=outliers!I867,"High",IF(Q865&lt;=outliers!I866,"Low","Moderate"))</f>
        <v>High</v>
      </c>
      <c r="S865" s="8" t="str">
        <f>IF(OR(Q865&lt;outliers!$I$6,Q865&gt;outliers!$I$7),"Outlier","Normal")</f>
        <v>Normal</v>
      </c>
      <c r="T865" s="8" t="str">
        <f>IF(OR(L865&lt;outliers!$J$6,L865&gt;outliers!$J$7),"Outlier","Normal")</f>
        <v>Normal</v>
      </c>
      <c r="U865" s="8" t="str">
        <f>IF(OR(M865&lt;outliers!$K$6,M865&gt;outliers!$K$7),"Outlier","Normal")</f>
        <v>Outlier</v>
      </c>
    </row>
    <row r="866" spans="1:21">
      <c r="A866" s="21">
        <v>865</v>
      </c>
      <c r="B866" s="68">
        <v>40582</v>
      </c>
      <c r="C866" s="22" t="b">
        <v>0</v>
      </c>
      <c r="D866" s="21" t="str">
        <f t="shared" si="13"/>
        <v>Tuesday</v>
      </c>
      <c r="E866" s="23">
        <v>0.18179999999999999</v>
      </c>
      <c r="F866" s="23">
        <f>YEAR('Merged raw data'!$B866)</f>
        <v>2011</v>
      </c>
      <c r="G866" s="23" t="str">
        <f>TEXT('Merged raw data'!$B866,"mmmm")</f>
        <v>February</v>
      </c>
      <c r="H866" s="37" t="str">
        <f>TEXT(TIME('Merged raw data'!F866,0,0),"h AM/PM")</f>
        <v>11 AM</v>
      </c>
      <c r="I866" s="23" t="str">
        <f>IF(OR('Merged raw data'!H866=1,'Merged raw data'!H866=2,'Merged raw data'!H866=3,'Merged raw data'!H866=4,'Merged raw data'!H866=5),"weekday","weekend")</f>
        <v>weekday</v>
      </c>
      <c r="J866" s="23" t="s">
        <v>23</v>
      </c>
      <c r="K866" s="23" t="str">
        <f>IF('Merged raw data'!I866=1,"Clear",IF('Merged raw data'!I866=2,"Mist",IF('Merged raw data'!I866=3,"Rain",IF('Merged raw data'!I866=4,"Storm","NA"))))</f>
        <v>Clear</v>
      </c>
      <c r="L866" s="24">
        <v>0.47</v>
      </c>
      <c r="M866" s="24">
        <v>0.4627</v>
      </c>
      <c r="N866" s="21">
        <f>'Merged raw data'!$J866*100</f>
        <v>22</v>
      </c>
      <c r="O866" s="21">
        <v>1</v>
      </c>
      <c r="P866" s="21">
        <v>49</v>
      </c>
      <c r="Q866" s="21">
        <v>50</v>
      </c>
      <c r="R866" s="21" t="str">
        <f>IF(Q866&gt;=outliers!I868,"High",IF(Q866&lt;=outliers!I867,"Low","Moderate"))</f>
        <v>High</v>
      </c>
      <c r="S866" s="8" t="str">
        <f>IF(OR(Q866&lt;outliers!$I$6,Q866&gt;outliers!$I$7),"Outlier","Normal")</f>
        <v>Normal</v>
      </c>
      <c r="T866" s="8" t="str">
        <f>IF(OR(L866&lt;outliers!$J$6,L866&gt;outliers!$J$7),"Outlier","Normal")</f>
        <v>Normal</v>
      </c>
      <c r="U866" s="8" t="str">
        <f>IF(OR(M866&lt;outliers!$K$6,M866&gt;outliers!$K$7),"Outlier","Normal")</f>
        <v>Normal</v>
      </c>
    </row>
    <row r="867" spans="1:21">
      <c r="A867" s="21">
        <v>866</v>
      </c>
      <c r="B867" s="68">
        <v>40582</v>
      </c>
      <c r="C867" s="22" t="b">
        <v>0</v>
      </c>
      <c r="D867" s="21" t="str">
        <f t="shared" si="13"/>
        <v>Tuesday</v>
      </c>
      <c r="E867" s="23">
        <v>0.19700000000000001</v>
      </c>
      <c r="F867" s="23">
        <f>YEAR('Merged raw data'!$B867)</f>
        <v>2011</v>
      </c>
      <c r="G867" s="23" t="str">
        <f>TEXT('Merged raw data'!$B867,"mmmm")</f>
        <v>February</v>
      </c>
      <c r="H867" s="37" t="str">
        <f>TEXT(TIME('Merged raw data'!F867,0,0),"h AM/PM")</f>
        <v>12 PM</v>
      </c>
      <c r="I867" s="23" t="str">
        <f>IF(OR('Merged raw data'!H867=1,'Merged raw data'!H867=2,'Merged raw data'!H867=3,'Merged raw data'!H867=4,'Merged raw data'!H867=5),"weekday","weekend")</f>
        <v>weekday</v>
      </c>
      <c r="J867" s="23" t="s">
        <v>23</v>
      </c>
      <c r="K867" s="23" t="str">
        <f>IF('Merged raw data'!I867=1,"Clear",IF('Merged raw data'!I867=2,"Mist",IF('Merged raw data'!I867=3,"Rain",IF('Merged raw data'!I867=4,"Storm","NA"))))</f>
        <v>Clear</v>
      </c>
      <c r="L867" s="24">
        <v>0.38</v>
      </c>
      <c r="M867" s="24">
        <v>0.49249999999999999</v>
      </c>
      <c r="N867" s="21">
        <f>'Merged raw data'!$J867*100</f>
        <v>24</v>
      </c>
      <c r="O867" s="21">
        <v>2</v>
      </c>
      <c r="P867" s="21">
        <v>63</v>
      </c>
      <c r="Q867" s="21">
        <v>65</v>
      </c>
      <c r="R867" s="21" t="str">
        <f>IF(Q867&gt;=outliers!I869,"High",IF(Q867&lt;=outliers!I868,"Low","Moderate"))</f>
        <v>High</v>
      </c>
      <c r="S867" s="8" t="str">
        <f>IF(OR(Q867&lt;outliers!$I$6,Q867&gt;outliers!$I$7),"Outlier","Normal")</f>
        <v>Normal</v>
      </c>
      <c r="T867" s="8" t="str">
        <f>IF(OR(L867&lt;outliers!$J$6,L867&gt;outliers!$J$7),"Outlier","Normal")</f>
        <v>Normal</v>
      </c>
      <c r="U867" s="8" t="str">
        <f>IF(OR(M867&lt;outliers!$K$6,M867&gt;outliers!$K$7),"Outlier","Normal")</f>
        <v>Normal</v>
      </c>
    </row>
    <row r="868" spans="1:21">
      <c r="A868" s="21">
        <v>867</v>
      </c>
      <c r="B868" s="68">
        <v>40582</v>
      </c>
      <c r="C868" s="22" t="b">
        <v>0</v>
      </c>
      <c r="D868" s="21" t="str">
        <f t="shared" si="13"/>
        <v>Tuesday</v>
      </c>
      <c r="E868" s="23">
        <v>0.19700000000000001</v>
      </c>
      <c r="F868" s="23">
        <f>YEAR('Merged raw data'!$B868)</f>
        <v>2011</v>
      </c>
      <c r="G868" s="23" t="str">
        <f>TEXT('Merged raw data'!$B868,"mmmm")</f>
        <v>February</v>
      </c>
      <c r="H868" s="37" t="str">
        <f>TEXT(TIME('Merged raw data'!F868,0,0),"h AM/PM")</f>
        <v>1 PM</v>
      </c>
      <c r="I868" s="23" t="str">
        <f>IF(OR('Merged raw data'!H868=1,'Merged raw data'!H868=2,'Merged raw data'!H868=3,'Merged raw data'!H868=4,'Merged raw data'!H868=5),"weekday","weekend")</f>
        <v>weekday</v>
      </c>
      <c r="J868" s="23" t="s">
        <v>23</v>
      </c>
      <c r="K868" s="23" t="str">
        <f>IF('Merged raw data'!I868=1,"Clear",IF('Merged raw data'!I868=2,"Mist",IF('Merged raw data'!I868=3,"Rain",IF('Merged raw data'!I868=4,"Storm","NA"))))</f>
        <v>Mist</v>
      </c>
      <c r="L868" s="24">
        <v>0.32</v>
      </c>
      <c r="M868" s="24">
        <v>0.44779999999999998</v>
      </c>
      <c r="N868" s="21">
        <f>'Merged raw data'!$J868*100</f>
        <v>24</v>
      </c>
      <c r="O868" s="21">
        <v>2</v>
      </c>
      <c r="P868" s="21">
        <v>48</v>
      </c>
      <c r="Q868" s="21">
        <v>50</v>
      </c>
      <c r="R868" s="21" t="str">
        <f>IF(Q868&gt;=outliers!I870,"High",IF(Q868&lt;=outliers!I869,"Low","Moderate"))</f>
        <v>High</v>
      </c>
      <c r="S868" s="8" t="str">
        <f>IF(OR(Q868&lt;outliers!$I$6,Q868&gt;outliers!$I$7),"Outlier","Normal")</f>
        <v>Normal</v>
      </c>
      <c r="T868" s="8" t="str">
        <f>IF(OR(L868&lt;outliers!$J$6,L868&gt;outliers!$J$7),"Outlier","Normal")</f>
        <v>Normal</v>
      </c>
      <c r="U868" s="8" t="str">
        <f>IF(OR(M868&lt;outliers!$K$6,M868&gt;outliers!$K$7),"Outlier","Normal")</f>
        <v>Normal</v>
      </c>
    </row>
    <row r="869" spans="1:21">
      <c r="A869" s="21">
        <v>868</v>
      </c>
      <c r="B869" s="68">
        <v>40582</v>
      </c>
      <c r="C869" s="22" t="b">
        <v>0</v>
      </c>
      <c r="D869" s="21" t="str">
        <f t="shared" si="13"/>
        <v>Tuesday</v>
      </c>
      <c r="E869" s="23">
        <v>0.19700000000000001</v>
      </c>
      <c r="F869" s="23">
        <f>YEAR('Merged raw data'!$B869)</f>
        <v>2011</v>
      </c>
      <c r="G869" s="23" t="str">
        <f>TEXT('Merged raw data'!$B869,"mmmm")</f>
        <v>February</v>
      </c>
      <c r="H869" s="37" t="str">
        <f>TEXT(TIME('Merged raw data'!F869,0,0),"h AM/PM")</f>
        <v>2 PM</v>
      </c>
      <c r="I869" s="23" t="str">
        <f>IF(OR('Merged raw data'!H869=1,'Merged raw data'!H869=2,'Merged raw data'!H869=3,'Merged raw data'!H869=4,'Merged raw data'!H869=5),"weekday","weekend")</f>
        <v>weekday</v>
      </c>
      <c r="J869" s="23" t="s">
        <v>23</v>
      </c>
      <c r="K869" s="23" t="str">
        <f>IF('Merged raw data'!I869=1,"Clear",IF('Merged raw data'!I869=2,"Mist",IF('Merged raw data'!I869=3,"Rain",IF('Merged raw data'!I869=4,"Storm","NA"))))</f>
        <v>Clear</v>
      </c>
      <c r="L869" s="24">
        <v>0.37</v>
      </c>
      <c r="M869" s="24">
        <v>0.41789999999999999</v>
      </c>
      <c r="N869" s="21">
        <f>'Merged raw data'!$J869*100</f>
        <v>22</v>
      </c>
      <c r="O869" s="21">
        <v>3</v>
      </c>
      <c r="P869" s="21">
        <v>61</v>
      </c>
      <c r="Q869" s="21">
        <v>64</v>
      </c>
      <c r="R869" s="21" t="str">
        <f>IF(Q869&gt;=outliers!I871,"High",IF(Q869&lt;=outliers!I870,"Low","Moderate"))</f>
        <v>High</v>
      </c>
      <c r="S869" s="8" t="str">
        <f>IF(OR(Q869&lt;outliers!$I$6,Q869&gt;outliers!$I$7),"Outlier","Normal")</f>
        <v>Normal</v>
      </c>
      <c r="T869" s="8" t="str">
        <f>IF(OR(L869&lt;outliers!$J$6,L869&gt;outliers!$J$7),"Outlier","Normal")</f>
        <v>Normal</v>
      </c>
      <c r="U869" s="8" t="str">
        <f>IF(OR(M869&lt;outliers!$K$6,M869&gt;outliers!$K$7),"Outlier","Normal")</f>
        <v>Normal</v>
      </c>
    </row>
    <row r="870" spans="1:21">
      <c r="A870" s="21">
        <v>869</v>
      </c>
      <c r="B870" s="68">
        <v>40582</v>
      </c>
      <c r="C870" s="22" t="b">
        <v>0</v>
      </c>
      <c r="D870" s="21" t="str">
        <f t="shared" si="13"/>
        <v>Tuesday</v>
      </c>
      <c r="E870" s="23">
        <v>0.19700000000000001</v>
      </c>
      <c r="F870" s="23">
        <f>YEAR('Merged raw data'!$B870)</f>
        <v>2011</v>
      </c>
      <c r="G870" s="23" t="str">
        <f>TEXT('Merged raw data'!$B870,"mmmm")</f>
        <v>February</v>
      </c>
      <c r="H870" s="37" t="str">
        <f>TEXT(TIME('Merged raw data'!F870,0,0),"h AM/PM")</f>
        <v>3 PM</v>
      </c>
      <c r="I870" s="23" t="str">
        <f>IF(OR('Merged raw data'!H870=1,'Merged raw data'!H870=2,'Merged raw data'!H870=3,'Merged raw data'!H870=4,'Merged raw data'!H870=5),"weekday","weekend")</f>
        <v>weekday</v>
      </c>
      <c r="J870" s="23" t="s">
        <v>23</v>
      </c>
      <c r="K870" s="23" t="str">
        <f>IF('Merged raw data'!I870=1,"Clear",IF('Merged raw data'!I870=2,"Mist",IF('Merged raw data'!I870=3,"Rain",IF('Merged raw data'!I870=4,"Storm","NA"))))</f>
        <v>Clear</v>
      </c>
      <c r="L870" s="24">
        <v>0.35</v>
      </c>
      <c r="M870" s="24">
        <v>0.3881</v>
      </c>
      <c r="N870" s="21">
        <f>'Merged raw data'!$J870*100</f>
        <v>22</v>
      </c>
      <c r="O870" s="21">
        <v>6</v>
      </c>
      <c r="P870" s="21">
        <v>45</v>
      </c>
      <c r="Q870" s="21">
        <v>51</v>
      </c>
      <c r="R870" s="21" t="str">
        <f>IF(Q870&gt;=outliers!I872,"High",IF(Q870&lt;=outliers!I871,"Low","Moderate"))</f>
        <v>High</v>
      </c>
      <c r="S870" s="8" t="str">
        <f>IF(OR(Q870&lt;outliers!$I$6,Q870&gt;outliers!$I$7),"Outlier","Normal")</f>
        <v>Normal</v>
      </c>
      <c r="T870" s="8" t="str">
        <f>IF(OR(L870&lt;outliers!$J$6,L870&gt;outliers!$J$7),"Outlier","Normal")</f>
        <v>Normal</v>
      </c>
      <c r="U870" s="8" t="str">
        <f>IF(OR(M870&lt;outliers!$K$6,M870&gt;outliers!$K$7),"Outlier","Normal")</f>
        <v>Normal</v>
      </c>
    </row>
    <row r="871" spans="1:21">
      <c r="A871" s="21">
        <v>870</v>
      </c>
      <c r="B871" s="68">
        <v>40582</v>
      </c>
      <c r="C871" s="22" t="b">
        <v>0</v>
      </c>
      <c r="D871" s="21" t="str">
        <f t="shared" si="13"/>
        <v>Tuesday</v>
      </c>
      <c r="E871" s="23">
        <v>0.18179999999999999</v>
      </c>
      <c r="F871" s="23">
        <f>YEAR('Merged raw data'!$B871)</f>
        <v>2011</v>
      </c>
      <c r="G871" s="23" t="str">
        <f>TEXT('Merged raw data'!$B871,"mmmm")</f>
        <v>February</v>
      </c>
      <c r="H871" s="37" t="str">
        <f>TEXT(TIME('Merged raw data'!F871,0,0),"h AM/PM")</f>
        <v>4 PM</v>
      </c>
      <c r="I871" s="23" t="str">
        <f>IF(OR('Merged raw data'!H871=1,'Merged raw data'!H871=2,'Merged raw data'!H871=3,'Merged raw data'!H871=4,'Merged raw data'!H871=5),"weekday","weekend")</f>
        <v>weekday</v>
      </c>
      <c r="J871" s="23" t="s">
        <v>23</v>
      </c>
      <c r="K871" s="23" t="str">
        <f>IF('Merged raw data'!I871=1,"Clear",IF('Merged raw data'!I871=2,"Mist",IF('Merged raw data'!I871=3,"Rain",IF('Merged raw data'!I871=4,"Storm","NA"))))</f>
        <v>Clear</v>
      </c>
      <c r="L871" s="24">
        <v>0.35</v>
      </c>
      <c r="M871" s="24">
        <v>0.52239999999999998</v>
      </c>
      <c r="N871" s="21">
        <f>'Merged raw data'!$J871*100</f>
        <v>22</v>
      </c>
      <c r="O871" s="21">
        <v>4</v>
      </c>
      <c r="P871" s="21">
        <v>79</v>
      </c>
      <c r="Q871" s="21">
        <v>83</v>
      </c>
      <c r="R871" s="21" t="str">
        <f>IF(Q871&gt;=outliers!I873,"High",IF(Q871&lt;=outliers!I872,"Low","Moderate"))</f>
        <v>High</v>
      </c>
      <c r="S871" s="8" t="str">
        <f>IF(OR(Q871&lt;outliers!$I$6,Q871&gt;outliers!$I$7),"Outlier","Normal")</f>
        <v>Normal</v>
      </c>
      <c r="T871" s="8" t="str">
        <f>IF(OR(L871&lt;outliers!$J$6,L871&gt;outliers!$J$7),"Outlier","Normal")</f>
        <v>Normal</v>
      </c>
      <c r="U871" s="8" t="str">
        <f>IF(OR(M871&lt;outliers!$K$6,M871&gt;outliers!$K$7),"Outlier","Normal")</f>
        <v>Outlier</v>
      </c>
    </row>
    <row r="872" spans="1:21">
      <c r="A872" s="21">
        <v>871</v>
      </c>
      <c r="B872" s="68">
        <v>40582</v>
      </c>
      <c r="C872" s="22" t="b">
        <v>0</v>
      </c>
      <c r="D872" s="21" t="str">
        <f t="shared" si="13"/>
        <v>Tuesday</v>
      </c>
      <c r="E872" s="23">
        <v>0.18179999999999999</v>
      </c>
      <c r="F872" s="23">
        <f>YEAR('Merged raw data'!$B872)</f>
        <v>2011</v>
      </c>
      <c r="G872" s="23" t="str">
        <f>TEXT('Merged raw data'!$B872,"mmmm")</f>
        <v>February</v>
      </c>
      <c r="H872" s="37" t="str">
        <f>TEXT(TIME('Merged raw data'!F872,0,0),"h AM/PM")</f>
        <v>5 PM</v>
      </c>
      <c r="I872" s="23" t="str">
        <f>IF(OR('Merged raw data'!H872=1,'Merged raw data'!H872=2,'Merged raw data'!H872=3,'Merged raw data'!H872=4,'Merged raw data'!H872=5),"weekday","weekend")</f>
        <v>weekday</v>
      </c>
      <c r="J872" s="23" t="s">
        <v>23</v>
      </c>
      <c r="K872" s="23" t="str">
        <f>IF('Merged raw data'!I872=1,"Clear",IF('Merged raw data'!I872=2,"Mist",IF('Merged raw data'!I872=3,"Rain",IF('Merged raw data'!I872=4,"Storm","NA"))))</f>
        <v>Clear</v>
      </c>
      <c r="L872" s="24">
        <v>0.32</v>
      </c>
      <c r="M872" s="24">
        <v>0.58209999999999995</v>
      </c>
      <c r="N872" s="21">
        <f>'Merged raw data'!$J872*100</f>
        <v>22</v>
      </c>
      <c r="O872" s="21">
        <v>4</v>
      </c>
      <c r="P872" s="21">
        <v>172</v>
      </c>
      <c r="Q872" s="21">
        <v>176</v>
      </c>
      <c r="R872" s="21" t="str">
        <f>IF(Q872&gt;=outliers!I874,"High",IF(Q872&lt;=outliers!I873,"Low","Moderate"))</f>
        <v>High</v>
      </c>
      <c r="S872" s="8" t="str">
        <f>IF(OR(Q872&lt;outliers!$I$6,Q872&gt;outliers!$I$7),"Outlier","Normal")</f>
        <v>Normal</v>
      </c>
      <c r="T872" s="8" t="str">
        <f>IF(OR(L872&lt;outliers!$J$6,L872&gt;outliers!$J$7),"Outlier","Normal")</f>
        <v>Normal</v>
      </c>
      <c r="U872" s="8" t="str">
        <f>IF(OR(M872&lt;outliers!$K$6,M872&gt;outliers!$K$7),"Outlier","Normal")</f>
        <v>Outlier</v>
      </c>
    </row>
    <row r="873" spans="1:21">
      <c r="A873" s="21">
        <v>872</v>
      </c>
      <c r="B873" s="68">
        <v>40582</v>
      </c>
      <c r="C873" s="22" t="b">
        <v>0</v>
      </c>
      <c r="D873" s="21" t="str">
        <f t="shared" si="13"/>
        <v>Tuesday</v>
      </c>
      <c r="E873" s="23">
        <v>0.18179999999999999</v>
      </c>
      <c r="F873" s="23">
        <f>YEAR('Merged raw data'!$B873)</f>
        <v>2011</v>
      </c>
      <c r="G873" s="23" t="str">
        <f>TEXT('Merged raw data'!$B873,"mmmm")</f>
        <v>February</v>
      </c>
      <c r="H873" s="37" t="str">
        <f>TEXT(TIME('Merged raw data'!F873,0,0),"h AM/PM")</f>
        <v>6 PM</v>
      </c>
      <c r="I873" s="23" t="str">
        <f>IF(OR('Merged raw data'!H873=1,'Merged raw data'!H873=2,'Merged raw data'!H873=3,'Merged raw data'!H873=4,'Merged raw data'!H873=5),"weekday","weekend")</f>
        <v>weekday</v>
      </c>
      <c r="J873" s="23" t="s">
        <v>23</v>
      </c>
      <c r="K873" s="23" t="str">
        <f>IF('Merged raw data'!I873=1,"Clear",IF('Merged raw data'!I873=2,"Mist",IF('Merged raw data'!I873=3,"Rain",IF('Merged raw data'!I873=4,"Storm","NA"))))</f>
        <v>Clear</v>
      </c>
      <c r="L873" s="24">
        <v>0.32</v>
      </c>
      <c r="M873" s="24">
        <v>0.3881</v>
      </c>
      <c r="N873" s="21">
        <f>'Merged raw data'!$J873*100</f>
        <v>20</v>
      </c>
      <c r="O873" s="21">
        <v>1</v>
      </c>
      <c r="P873" s="21">
        <v>151</v>
      </c>
      <c r="Q873" s="21">
        <v>152</v>
      </c>
      <c r="R873" s="21" t="str">
        <f>IF(Q873&gt;=outliers!I875,"High",IF(Q873&lt;=outliers!I874,"Low","Moderate"))</f>
        <v>High</v>
      </c>
      <c r="S873" s="8" t="str">
        <f>IF(OR(Q873&lt;outliers!$I$6,Q873&gt;outliers!$I$7),"Outlier","Normal")</f>
        <v>Normal</v>
      </c>
      <c r="T873" s="8" t="str">
        <f>IF(OR(L873&lt;outliers!$J$6,L873&gt;outliers!$J$7),"Outlier","Normal")</f>
        <v>Normal</v>
      </c>
      <c r="U873" s="8" t="str">
        <f>IF(OR(M873&lt;outliers!$K$6,M873&gt;outliers!$K$7),"Outlier","Normal")</f>
        <v>Normal</v>
      </c>
    </row>
    <row r="874" spans="1:21">
      <c r="A874" s="21">
        <v>873</v>
      </c>
      <c r="B874" s="68">
        <v>40582</v>
      </c>
      <c r="C874" s="22" t="b">
        <v>0</v>
      </c>
      <c r="D874" s="21" t="str">
        <f t="shared" si="13"/>
        <v>Tuesday</v>
      </c>
      <c r="E874" s="23">
        <v>0.1212</v>
      </c>
      <c r="F874" s="23">
        <f>YEAR('Merged raw data'!$B874)</f>
        <v>2011</v>
      </c>
      <c r="G874" s="23" t="str">
        <f>TEXT('Merged raw data'!$B874,"mmmm")</f>
        <v>February</v>
      </c>
      <c r="H874" s="37" t="str">
        <f>TEXT(TIME('Merged raw data'!F874,0,0),"h AM/PM")</f>
        <v>7 PM</v>
      </c>
      <c r="I874" s="23" t="str">
        <f>IF(OR('Merged raw data'!H874=1,'Merged raw data'!H874=2,'Merged raw data'!H874=3,'Merged raw data'!H874=4,'Merged raw data'!H874=5),"weekday","weekend")</f>
        <v>weekday</v>
      </c>
      <c r="J874" s="23" t="s">
        <v>23</v>
      </c>
      <c r="K874" s="23" t="str">
        <f>IF('Merged raw data'!I874=1,"Clear",IF('Merged raw data'!I874=2,"Mist",IF('Merged raw data'!I874=3,"Rain",IF('Merged raw data'!I874=4,"Storm","NA"))))</f>
        <v>Clear</v>
      </c>
      <c r="L874" s="24">
        <v>0.4</v>
      </c>
      <c r="M874" s="24">
        <v>0.4627</v>
      </c>
      <c r="N874" s="21">
        <f>'Merged raw data'!$J874*100</f>
        <v>16</v>
      </c>
      <c r="O874" s="21">
        <v>1</v>
      </c>
      <c r="P874" s="21">
        <v>100</v>
      </c>
      <c r="Q874" s="21">
        <v>101</v>
      </c>
      <c r="R874" s="21" t="str">
        <f>IF(Q874&gt;=outliers!I876,"High",IF(Q874&lt;=outliers!I875,"Low","Moderate"))</f>
        <v>High</v>
      </c>
      <c r="S874" s="8" t="str">
        <f>IF(OR(Q874&lt;outliers!$I$6,Q874&gt;outliers!$I$7),"Outlier","Normal")</f>
        <v>Normal</v>
      </c>
      <c r="T874" s="8" t="str">
        <f>IF(OR(L874&lt;outliers!$J$6,L874&gt;outliers!$J$7),"Outlier","Normal")</f>
        <v>Normal</v>
      </c>
      <c r="U874" s="8" t="str">
        <f>IF(OR(M874&lt;outliers!$K$6,M874&gt;outliers!$K$7),"Outlier","Normal")</f>
        <v>Normal</v>
      </c>
    </row>
    <row r="875" spans="1:21">
      <c r="A875" s="21">
        <v>874</v>
      </c>
      <c r="B875" s="68">
        <v>40582</v>
      </c>
      <c r="C875" s="22" t="b">
        <v>0</v>
      </c>
      <c r="D875" s="21" t="str">
        <f t="shared" si="13"/>
        <v>Tuesday</v>
      </c>
      <c r="E875" s="23">
        <v>0.13639999999999999</v>
      </c>
      <c r="F875" s="23">
        <f>YEAR('Merged raw data'!$B875)</f>
        <v>2011</v>
      </c>
      <c r="G875" s="23" t="str">
        <f>TEXT('Merged raw data'!$B875,"mmmm")</f>
        <v>February</v>
      </c>
      <c r="H875" s="37" t="str">
        <f>TEXT(TIME('Merged raw data'!F875,0,0),"h AM/PM")</f>
        <v>8 PM</v>
      </c>
      <c r="I875" s="23" t="str">
        <f>IF(OR('Merged raw data'!H875=1,'Merged raw data'!H875=2,'Merged raw data'!H875=3,'Merged raw data'!H875=4,'Merged raw data'!H875=5),"weekday","weekend")</f>
        <v>weekday</v>
      </c>
      <c r="J875" s="23" t="s">
        <v>23</v>
      </c>
      <c r="K875" s="23" t="str">
        <f>IF('Merged raw data'!I875=1,"Clear",IF('Merged raw data'!I875=2,"Mist",IF('Merged raw data'!I875=3,"Rain",IF('Merged raw data'!I875=4,"Storm","NA"))))</f>
        <v>Clear</v>
      </c>
      <c r="L875" s="24">
        <v>0.4</v>
      </c>
      <c r="M875" s="24">
        <v>0.32840000000000003</v>
      </c>
      <c r="N875" s="21">
        <f>'Merged raw data'!$J875*100</f>
        <v>16</v>
      </c>
      <c r="O875" s="21">
        <v>3</v>
      </c>
      <c r="P875" s="21">
        <v>53</v>
      </c>
      <c r="Q875" s="21">
        <v>56</v>
      </c>
      <c r="R875" s="21" t="str">
        <f>IF(Q875&gt;=outliers!I877,"High",IF(Q875&lt;=outliers!I876,"Low","Moderate"))</f>
        <v>High</v>
      </c>
      <c r="S875" s="8" t="str">
        <f>IF(OR(Q875&lt;outliers!$I$6,Q875&gt;outliers!$I$7),"Outlier","Normal")</f>
        <v>Normal</v>
      </c>
      <c r="T875" s="8" t="str">
        <f>IF(OR(L875&lt;outliers!$J$6,L875&gt;outliers!$J$7),"Outlier","Normal")</f>
        <v>Normal</v>
      </c>
      <c r="U875" s="8" t="str">
        <f>IF(OR(M875&lt;outliers!$K$6,M875&gt;outliers!$K$7),"Outlier","Normal")</f>
        <v>Normal</v>
      </c>
    </row>
    <row r="876" spans="1:21">
      <c r="A876" s="21">
        <v>875</v>
      </c>
      <c r="B876" s="68">
        <v>40582</v>
      </c>
      <c r="C876" s="22" t="b">
        <v>0</v>
      </c>
      <c r="D876" s="21" t="str">
        <f t="shared" si="13"/>
        <v>Tuesday</v>
      </c>
      <c r="E876" s="23">
        <v>0.1061</v>
      </c>
      <c r="F876" s="23">
        <f>YEAR('Merged raw data'!$B876)</f>
        <v>2011</v>
      </c>
      <c r="G876" s="23" t="str">
        <f>TEXT('Merged raw data'!$B876,"mmmm")</f>
        <v>February</v>
      </c>
      <c r="H876" s="37" t="str">
        <f>TEXT(TIME('Merged raw data'!F876,0,0),"h AM/PM")</f>
        <v>9 PM</v>
      </c>
      <c r="I876" s="23" t="str">
        <f>IF(OR('Merged raw data'!H876=1,'Merged raw data'!H876=2,'Merged raw data'!H876=3,'Merged raw data'!H876=4,'Merged raw data'!H876=5),"weekday","weekend")</f>
        <v>weekday</v>
      </c>
      <c r="J876" s="23" t="s">
        <v>23</v>
      </c>
      <c r="K876" s="23" t="str">
        <f>IF('Merged raw data'!I876=1,"Clear",IF('Merged raw data'!I876=2,"Mist",IF('Merged raw data'!I876=3,"Rain",IF('Merged raw data'!I876=4,"Storm","NA"))))</f>
        <v>Clear</v>
      </c>
      <c r="L876" s="24">
        <v>0.33</v>
      </c>
      <c r="M876" s="24">
        <v>0.4627</v>
      </c>
      <c r="N876" s="21">
        <f>'Merged raw data'!$J876*100</f>
        <v>14.000000000000002</v>
      </c>
      <c r="O876" s="21">
        <v>8</v>
      </c>
      <c r="P876" s="21">
        <v>46</v>
      </c>
      <c r="Q876" s="21">
        <v>54</v>
      </c>
      <c r="R876" s="21" t="str">
        <f>IF(Q876&gt;=outliers!I878,"High",IF(Q876&lt;=outliers!I877,"Low","Moderate"))</f>
        <v>High</v>
      </c>
      <c r="S876" s="8" t="str">
        <f>IF(OR(Q876&lt;outliers!$I$6,Q876&gt;outliers!$I$7),"Outlier","Normal")</f>
        <v>Normal</v>
      </c>
      <c r="T876" s="8" t="str">
        <f>IF(OR(L876&lt;outliers!$J$6,L876&gt;outliers!$J$7),"Outlier","Normal")</f>
        <v>Normal</v>
      </c>
      <c r="U876" s="8" t="str">
        <f>IF(OR(M876&lt;outliers!$K$6,M876&gt;outliers!$K$7),"Outlier","Normal")</f>
        <v>Normal</v>
      </c>
    </row>
    <row r="877" spans="1:21">
      <c r="A877" s="21">
        <v>876</v>
      </c>
      <c r="B877" s="68">
        <v>40582</v>
      </c>
      <c r="C877" s="22" t="b">
        <v>0</v>
      </c>
      <c r="D877" s="21" t="str">
        <f t="shared" si="13"/>
        <v>Tuesday</v>
      </c>
      <c r="E877" s="23">
        <v>0.1061</v>
      </c>
      <c r="F877" s="23">
        <f>YEAR('Merged raw data'!$B877)</f>
        <v>2011</v>
      </c>
      <c r="G877" s="23" t="str">
        <f>TEXT('Merged raw data'!$B877,"mmmm")</f>
        <v>February</v>
      </c>
      <c r="H877" s="37" t="str">
        <f>TEXT(TIME('Merged raw data'!F877,0,0),"h AM/PM")</f>
        <v>10 PM</v>
      </c>
      <c r="I877" s="23" t="str">
        <f>IF(OR('Merged raw data'!H877=1,'Merged raw data'!H877=2,'Merged raw data'!H877=3,'Merged raw data'!H877=4,'Merged raw data'!H877=5),"weekday","weekend")</f>
        <v>weekday</v>
      </c>
      <c r="J877" s="23" t="s">
        <v>23</v>
      </c>
      <c r="K877" s="23" t="str">
        <f>IF('Merged raw data'!I877=1,"Clear",IF('Merged raw data'!I877=2,"Mist",IF('Merged raw data'!I877=3,"Rain",IF('Merged raw data'!I877=4,"Storm","NA"))))</f>
        <v>Clear</v>
      </c>
      <c r="L877" s="24">
        <v>0.33</v>
      </c>
      <c r="M877" s="24">
        <v>0.35820000000000002</v>
      </c>
      <c r="N877" s="21">
        <f>'Merged raw data'!$J877*100</f>
        <v>12</v>
      </c>
      <c r="O877" s="21">
        <v>0</v>
      </c>
      <c r="P877" s="21">
        <v>29</v>
      </c>
      <c r="Q877" s="21">
        <v>29</v>
      </c>
      <c r="R877" s="21" t="str">
        <f>IF(Q877&gt;=outliers!I879,"High",IF(Q877&lt;=outliers!I878,"Low","Moderate"))</f>
        <v>High</v>
      </c>
      <c r="S877" s="8" t="str">
        <f>IF(OR(Q877&lt;outliers!$I$6,Q877&gt;outliers!$I$7),"Outlier","Normal")</f>
        <v>Normal</v>
      </c>
      <c r="T877" s="8" t="str">
        <f>IF(OR(L877&lt;outliers!$J$6,L877&gt;outliers!$J$7),"Outlier","Normal")</f>
        <v>Normal</v>
      </c>
      <c r="U877" s="8" t="str">
        <f>IF(OR(M877&lt;outliers!$K$6,M877&gt;outliers!$K$7),"Outlier","Normal")</f>
        <v>Normal</v>
      </c>
    </row>
    <row r="878" spans="1:21">
      <c r="A878" s="21">
        <v>877</v>
      </c>
      <c r="B878" s="68">
        <v>40582</v>
      </c>
      <c r="C878" s="22" t="b">
        <v>0</v>
      </c>
      <c r="D878" s="21" t="str">
        <f t="shared" si="13"/>
        <v>Tuesday</v>
      </c>
      <c r="E878" s="23">
        <v>0.1061</v>
      </c>
      <c r="F878" s="23">
        <f>YEAR('Merged raw data'!$B878)</f>
        <v>2011</v>
      </c>
      <c r="G878" s="23" t="str">
        <f>TEXT('Merged raw data'!$B878,"mmmm")</f>
        <v>February</v>
      </c>
      <c r="H878" s="37" t="str">
        <f>TEXT(TIME('Merged raw data'!F878,0,0),"h AM/PM")</f>
        <v>11 PM</v>
      </c>
      <c r="I878" s="23" t="str">
        <f>IF(OR('Merged raw data'!H878=1,'Merged raw data'!H878=2,'Merged raw data'!H878=3,'Merged raw data'!H878=4,'Merged raw data'!H878=5),"weekday","weekend")</f>
        <v>weekday</v>
      </c>
      <c r="J878" s="23" t="s">
        <v>23</v>
      </c>
      <c r="K878" s="23" t="str">
        <f>IF('Merged raw data'!I878=1,"Clear",IF('Merged raw data'!I878=2,"Mist",IF('Merged raw data'!I878=3,"Rain",IF('Merged raw data'!I878=4,"Storm","NA"))))</f>
        <v>Clear</v>
      </c>
      <c r="L878" s="24">
        <v>0.33</v>
      </c>
      <c r="M878" s="24">
        <v>0.32840000000000003</v>
      </c>
      <c r="N878" s="21">
        <f>'Merged raw data'!$J878*100</f>
        <v>12</v>
      </c>
      <c r="O878" s="21">
        <v>3</v>
      </c>
      <c r="P878" s="21">
        <v>9</v>
      </c>
      <c r="Q878" s="21">
        <v>12</v>
      </c>
      <c r="R878" s="21" t="str">
        <f>IF(Q878&gt;=outliers!I880,"High",IF(Q878&lt;=outliers!I879,"Low","Moderate"))</f>
        <v>High</v>
      </c>
      <c r="S878" s="8" t="str">
        <f>IF(OR(Q878&lt;outliers!$I$6,Q878&gt;outliers!$I$7),"Outlier","Normal")</f>
        <v>Normal</v>
      </c>
      <c r="T878" s="8" t="str">
        <f>IF(OR(L878&lt;outliers!$J$6,L878&gt;outliers!$J$7),"Outlier","Normal")</f>
        <v>Normal</v>
      </c>
      <c r="U878" s="8" t="str">
        <f>IF(OR(M878&lt;outliers!$K$6,M878&gt;outliers!$K$7),"Outlier","Normal")</f>
        <v>Normal</v>
      </c>
    </row>
    <row r="879" spans="1:21">
      <c r="A879" s="21">
        <v>878</v>
      </c>
      <c r="B879" s="68">
        <v>40583</v>
      </c>
      <c r="C879" s="22" t="b">
        <v>0</v>
      </c>
      <c r="D879" s="21" t="str">
        <f t="shared" si="13"/>
        <v>Wednesday</v>
      </c>
      <c r="E879" s="23">
        <v>7.5800000000000006E-2</v>
      </c>
      <c r="F879" s="23">
        <f>YEAR('Merged raw data'!$B879)</f>
        <v>2011</v>
      </c>
      <c r="G879" s="23" t="str">
        <f>TEXT('Merged raw data'!$B879,"mmmm")</f>
        <v>February</v>
      </c>
      <c r="H879" s="37" t="str">
        <f>TEXT(TIME('Merged raw data'!F879,0,0),"h AM/PM")</f>
        <v>12 AM</v>
      </c>
      <c r="I879" s="23" t="str">
        <f>IF(OR('Merged raw data'!H879=1,'Merged raw data'!H879=2,'Merged raw data'!H879=3,'Merged raw data'!H879=4,'Merged raw data'!H879=5),"weekday","weekend")</f>
        <v>weekday</v>
      </c>
      <c r="J879" s="23" t="s">
        <v>23</v>
      </c>
      <c r="K879" s="23" t="str">
        <f>IF('Merged raw data'!I879=1,"Clear",IF('Merged raw data'!I879=2,"Mist",IF('Merged raw data'!I879=3,"Rain",IF('Merged raw data'!I879=4,"Storm","NA"))))</f>
        <v>Clear</v>
      </c>
      <c r="L879" s="24">
        <v>0.36</v>
      </c>
      <c r="M879" s="24">
        <v>0.35820000000000002</v>
      </c>
      <c r="N879" s="21">
        <f>'Merged raw data'!$J879*100</f>
        <v>10</v>
      </c>
      <c r="O879" s="21">
        <v>0</v>
      </c>
      <c r="P879" s="21">
        <v>17</v>
      </c>
      <c r="Q879" s="21">
        <v>17</v>
      </c>
      <c r="R879" s="21" t="str">
        <f>IF(Q879&gt;=outliers!I881,"High",IF(Q879&lt;=outliers!I880,"Low","Moderate"))</f>
        <v>High</v>
      </c>
      <c r="S879" s="8" t="str">
        <f>IF(OR(Q879&lt;outliers!$I$6,Q879&gt;outliers!$I$7),"Outlier","Normal")</f>
        <v>Normal</v>
      </c>
      <c r="T879" s="8" t="str">
        <f>IF(OR(L879&lt;outliers!$J$6,L879&gt;outliers!$J$7),"Outlier","Normal")</f>
        <v>Normal</v>
      </c>
      <c r="U879" s="8" t="str">
        <f>IF(OR(M879&lt;outliers!$K$6,M879&gt;outliers!$K$7),"Outlier","Normal")</f>
        <v>Normal</v>
      </c>
    </row>
    <row r="880" spans="1:21">
      <c r="A880" s="21">
        <v>879</v>
      </c>
      <c r="B880" s="68">
        <v>40583</v>
      </c>
      <c r="C880" s="22" t="b">
        <v>0</v>
      </c>
      <c r="D880" s="21" t="str">
        <f t="shared" si="13"/>
        <v>Wednesday</v>
      </c>
      <c r="E880" s="23">
        <v>0.1061</v>
      </c>
      <c r="F880" s="23">
        <f>YEAR('Merged raw data'!$B880)</f>
        <v>2011</v>
      </c>
      <c r="G880" s="23" t="str">
        <f>TEXT('Merged raw data'!$B880,"mmmm")</f>
        <v>February</v>
      </c>
      <c r="H880" s="37" t="str">
        <f>TEXT(TIME('Merged raw data'!F880,0,0),"h AM/PM")</f>
        <v>1 AM</v>
      </c>
      <c r="I880" s="23" t="str">
        <f>IF(OR('Merged raw data'!H880=1,'Merged raw data'!H880=2,'Merged raw data'!H880=3,'Merged raw data'!H880=4,'Merged raw data'!H880=5),"weekday","weekend")</f>
        <v>weekday</v>
      </c>
      <c r="J880" s="23" t="s">
        <v>23</v>
      </c>
      <c r="K880" s="23" t="str">
        <f>IF('Merged raw data'!I880=1,"Clear",IF('Merged raw data'!I880=2,"Mist",IF('Merged raw data'!I880=3,"Rain",IF('Merged raw data'!I880=4,"Storm","NA"))))</f>
        <v>Clear</v>
      </c>
      <c r="L880" s="24">
        <v>0.36</v>
      </c>
      <c r="M880" s="24">
        <v>0.22389999999999999</v>
      </c>
      <c r="N880" s="21">
        <f>'Merged raw data'!$J880*100</f>
        <v>10</v>
      </c>
      <c r="O880" s="21">
        <v>0</v>
      </c>
      <c r="P880" s="21">
        <v>7</v>
      </c>
      <c r="Q880" s="21">
        <v>7</v>
      </c>
      <c r="R880" s="21" t="str">
        <f>IF(Q880&gt;=outliers!I882,"High",IF(Q880&lt;=outliers!I881,"Low","Moderate"))</f>
        <v>High</v>
      </c>
      <c r="S880" s="8" t="str">
        <f>IF(OR(Q880&lt;outliers!$I$6,Q880&gt;outliers!$I$7),"Outlier","Normal")</f>
        <v>Normal</v>
      </c>
      <c r="T880" s="8" t="str">
        <f>IF(OR(L880&lt;outliers!$J$6,L880&gt;outliers!$J$7),"Outlier","Normal")</f>
        <v>Normal</v>
      </c>
      <c r="U880" s="8" t="str">
        <f>IF(OR(M880&lt;outliers!$K$6,M880&gt;outliers!$K$7),"Outlier","Normal")</f>
        <v>Normal</v>
      </c>
    </row>
    <row r="881" spans="1:21">
      <c r="A881" s="21">
        <v>880</v>
      </c>
      <c r="B881" s="68">
        <v>40583</v>
      </c>
      <c r="C881" s="22" t="b">
        <v>0</v>
      </c>
      <c r="D881" s="21" t="str">
        <f t="shared" si="13"/>
        <v>Wednesday</v>
      </c>
      <c r="E881" s="23">
        <v>7.5800000000000006E-2</v>
      </c>
      <c r="F881" s="23">
        <f>YEAR('Merged raw data'!$B881)</f>
        <v>2011</v>
      </c>
      <c r="G881" s="23" t="str">
        <f>TEXT('Merged raw data'!$B881,"mmmm")</f>
        <v>February</v>
      </c>
      <c r="H881" s="37" t="str">
        <f>TEXT(TIME('Merged raw data'!F881,0,0),"h AM/PM")</f>
        <v>2 AM</v>
      </c>
      <c r="I881" s="23" t="str">
        <f>IF(OR('Merged raw data'!H881=1,'Merged raw data'!H881=2,'Merged raw data'!H881=3,'Merged raw data'!H881=4,'Merged raw data'!H881=5),"weekday","weekend")</f>
        <v>weekday</v>
      </c>
      <c r="J881" s="23" t="s">
        <v>23</v>
      </c>
      <c r="K881" s="23" t="str">
        <f>IF('Merged raw data'!I881=1,"Clear",IF('Merged raw data'!I881=2,"Mist",IF('Merged raw data'!I881=3,"Rain",IF('Merged raw data'!I881=4,"Storm","NA"))))</f>
        <v>Clear</v>
      </c>
      <c r="L881" s="24">
        <v>0.38</v>
      </c>
      <c r="M881" s="24">
        <v>0.28360000000000002</v>
      </c>
      <c r="N881" s="21">
        <f>'Merged raw data'!$J881*100</f>
        <v>8</v>
      </c>
      <c r="O881" s="21">
        <v>1</v>
      </c>
      <c r="P881" s="21">
        <v>2</v>
      </c>
      <c r="Q881" s="21">
        <v>3</v>
      </c>
      <c r="R881" s="21" t="str">
        <f>IF(Q881&gt;=outliers!I883,"High",IF(Q881&lt;=outliers!I882,"Low","Moderate"))</f>
        <v>High</v>
      </c>
      <c r="S881" s="8" t="str">
        <f>IF(OR(Q881&lt;outliers!$I$6,Q881&gt;outliers!$I$7),"Outlier","Normal")</f>
        <v>Normal</v>
      </c>
      <c r="T881" s="8" t="str">
        <f>IF(OR(L881&lt;outliers!$J$6,L881&gt;outliers!$J$7),"Outlier","Normal")</f>
        <v>Normal</v>
      </c>
      <c r="U881" s="8" t="str">
        <f>IF(OR(M881&lt;outliers!$K$6,M881&gt;outliers!$K$7),"Outlier","Normal")</f>
        <v>Normal</v>
      </c>
    </row>
    <row r="882" spans="1:21">
      <c r="A882" s="21">
        <v>881</v>
      </c>
      <c r="B882" s="68">
        <v>40583</v>
      </c>
      <c r="C882" s="22" t="b">
        <v>0</v>
      </c>
      <c r="D882" s="21" t="str">
        <f t="shared" si="13"/>
        <v>Wednesday</v>
      </c>
      <c r="E882" s="23">
        <v>7.5800000000000006E-2</v>
      </c>
      <c r="F882" s="23">
        <f>YEAR('Merged raw data'!$B882)</f>
        <v>2011</v>
      </c>
      <c r="G882" s="23" t="str">
        <f>TEXT('Merged raw data'!$B882,"mmmm")</f>
        <v>February</v>
      </c>
      <c r="H882" s="37" t="str">
        <f>TEXT(TIME('Merged raw data'!F882,0,0),"h AM/PM")</f>
        <v>3 AM</v>
      </c>
      <c r="I882" s="23" t="str">
        <f>IF(OR('Merged raw data'!H882=1,'Merged raw data'!H882=2,'Merged raw data'!H882=3,'Merged raw data'!H882=4,'Merged raw data'!H882=5),"weekday","weekend")</f>
        <v>weekday</v>
      </c>
      <c r="J882" s="23" t="s">
        <v>23</v>
      </c>
      <c r="K882" s="23" t="str">
        <f>IF('Merged raw data'!I882=1,"Clear",IF('Merged raw data'!I882=2,"Mist",IF('Merged raw data'!I882=3,"Rain",IF('Merged raw data'!I882=4,"Storm","NA"))))</f>
        <v>Clear</v>
      </c>
      <c r="L882" s="24">
        <v>0.45</v>
      </c>
      <c r="M882" s="24">
        <v>0.1343</v>
      </c>
      <c r="N882" s="21">
        <f>'Merged raw data'!$J882*100</f>
        <v>6</v>
      </c>
      <c r="O882" s="21">
        <v>0</v>
      </c>
      <c r="P882" s="21">
        <v>2</v>
      </c>
      <c r="Q882" s="21">
        <v>2</v>
      </c>
      <c r="R882" s="21" t="str">
        <f>IF(Q882&gt;=outliers!I884,"High",IF(Q882&lt;=outliers!I883,"Low","Moderate"))</f>
        <v>High</v>
      </c>
      <c r="S882" s="8" t="str">
        <f>IF(OR(Q882&lt;outliers!$I$6,Q882&gt;outliers!$I$7),"Outlier","Normal")</f>
        <v>Normal</v>
      </c>
      <c r="T882" s="8" t="str">
        <f>IF(OR(L882&lt;outliers!$J$6,L882&gt;outliers!$J$7),"Outlier","Normal")</f>
        <v>Normal</v>
      </c>
      <c r="U882" s="8" t="str">
        <f>IF(OR(M882&lt;outliers!$K$6,M882&gt;outliers!$K$7),"Outlier","Normal")</f>
        <v>Normal</v>
      </c>
    </row>
    <row r="883" spans="1:21">
      <c r="A883" s="21">
        <v>882</v>
      </c>
      <c r="B883" s="68">
        <v>40583</v>
      </c>
      <c r="C883" s="22" t="b">
        <v>0</v>
      </c>
      <c r="D883" s="21" t="str">
        <f t="shared" si="13"/>
        <v>Wednesday</v>
      </c>
      <c r="E883" s="23">
        <v>0.1061</v>
      </c>
      <c r="F883" s="23">
        <f>YEAR('Merged raw data'!$B883)</f>
        <v>2011</v>
      </c>
      <c r="G883" s="23" t="str">
        <f>TEXT('Merged raw data'!$B883,"mmmm")</f>
        <v>February</v>
      </c>
      <c r="H883" s="37" t="str">
        <f>TEXT(TIME('Merged raw data'!F883,0,0),"h AM/PM")</f>
        <v>5 AM</v>
      </c>
      <c r="I883" s="23" t="str">
        <f>IF(OR('Merged raw data'!H883=1,'Merged raw data'!H883=2,'Merged raw data'!H883=3,'Merged raw data'!H883=4,'Merged raw data'!H883=5),"weekday","weekend")</f>
        <v>weekday</v>
      </c>
      <c r="J883" s="23" t="s">
        <v>23</v>
      </c>
      <c r="K883" s="23" t="str">
        <f>IF('Merged raw data'!I883=1,"Clear",IF('Merged raw data'!I883=2,"Mist",IF('Merged raw data'!I883=3,"Rain",IF('Merged raw data'!I883=4,"Storm","NA"))))</f>
        <v>Clear</v>
      </c>
      <c r="L883" s="24">
        <v>0.45</v>
      </c>
      <c r="M883" s="24">
        <v>0.1045</v>
      </c>
      <c r="N883" s="21">
        <f>'Merged raw data'!$J883*100</f>
        <v>6</v>
      </c>
      <c r="O883" s="21">
        <v>0</v>
      </c>
      <c r="P883" s="21">
        <v>7</v>
      </c>
      <c r="Q883" s="21">
        <v>7</v>
      </c>
      <c r="R883" s="21" t="str">
        <f>IF(Q883&gt;=outliers!I885,"High",IF(Q883&lt;=outliers!I884,"Low","Moderate"))</f>
        <v>High</v>
      </c>
      <c r="S883" s="8" t="str">
        <f>IF(OR(Q883&lt;outliers!$I$6,Q883&gt;outliers!$I$7),"Outlier","Normal")</f>
        <v>Normal</v>
      </c>
      <c r="T883" s="8" t="str">
        <f>IF(OR(L883&lt;outliers!$J$6,L883&gt;outliers!$J$7),"Outlier","Normal")</f>
        <v>Normal</v>
      </c>
      <c r="U883" s="8" t="str">
        <f>IF(OR(M883&lt;outliers!$K$6,M883&gt;outliers!$K$7),"Outlier","Normal")</f>
        <v>Normal</v>
      </c>
    </row>
    <row r="884" spans="1:21">
      <c r="A884" s="21">
        <v>883</v>
      </c>
      <c r="B884" s="68">
        <v>40583</v>
      </c>
      <c r="C884" s="22" t="b">
        <v>0</v>
      </c>
      <c r="D884" s="21" t="str">
        <f t="shared" si="13"/>
        <v>Wednesday</v>
      </c>
      <c r="E884" s="23">
        <v>0.1515</v>
      </c>
      <c r="F884" s="23">
        <f>YEAR('Merged raw data'!$B884)</f>
        <v>2011</v>
      </c>
      <c r="G884" s="23" t="str">
        <f>TEXT('Merged raw data'!$B884,"mmmm")</f>
        <v>February</v>
      </c>
      <c r="H884" s="37" t="str">
        <f>TEXT(TIME('Merged raw data'!F884,0,0),"h AM/PM")</f>
        <v>6 AM</v>
      </c>
      <c r="I884" s="23" t="str">
        <f>IF(OR('Merged raw data'!H884=1,'Merged raw data'!H884=2,'Merged raw data'!H884=3,'Merged raw data'!H884=4,'Merged raw data'!H884=5),"weekday","weekend")</f>
        <v>weekday</v>
      </c>
      <c r="J884" s="23" t="s">
        <v>23</v>
      </c>
      <c r="K884" s="23" t="str">
        <f>IF('Merged raw data'!I884=1,"Clear",IF('Merged raw data'!I884=2,"Mist",IF('Merged raw data'!I884=3,"Rain",IF('Merged raw data'!I884=4,"Storm","NA"))))</f>
        <v>Clear</v>
      </c>
      <c r="L884" s="24">
        <v>0.45</v>
      </c>
      <c r="M884" s="24">
        <v>0.23</v>
      </c>
      <c r="N884" s="21">
        <f>'Merged raw data'!$J884*100</f>
        <v>6</v>
      </c>
      <c r="O884" s="21">
        <v>0</v>
      </c>
      <c r="P884" s="21">
        <v>43</v>
      </c>
      <c r="Q884" s="21">
        <v>43</v>
      </c>
      <c r="R884" s="21" t="str">
        <f>IF(Q884&gt;=outliers!I886,"High",IF(Q884&lt;=outliers!I885,"Low","Moderate"))</f>
        <v>High</v>
      </c>
      <c r="S884" s="8" t="str">
        <f>IF(OR(Q884&lt;outliers!$I$6,Q884&gt;outliers!$I$7),"Outlier","Normal")</f>
        <v>Normal</v>
      </c>
      <c r="T884" s="8" t="str">
        <f>IF(OR(L884&lt;outliers!$J$6,L884&gt;outliers!$J$7),"Outlier","Normal")</f>
        <v>Normal</v>
      </c>
      <c r="U884" s="8" t="str">
        <f>IF(OR(M884&lt;outliers!$K$6,M884&gt;outliers!$K$7),"Outlier","Normal")</f>
        <v>Normal</v>
      </c>
    </row>
    <row r="885" spans="1:21">
      <c r="A885" s="21">
        <v>884</v>
      </c>
      <c r="B885" s="68">
        <v>40583</v>
      </c>
      <c r="C885" s="22" t="b">
        <v>0</v>
      </c>
      <c r="D885" s="21" t="str">
        <f t="shared" si="13"/>
        <v>Wednesday</v>
      </c>
      <c r="E885" s="23">
        <v>0.1061</v>
      </c>
      <c r="F885" s="23">
        <f>YEAR('Merged raw data'!$B885)</f>
        <v>2011</v>
      </c>
      <c r="G885" s="23" t="str">
        <f>TEXT('Merged raw data'!$B885,"mmmm")</f>
        <v>February</v>
      </c>
      <c r="H885" s="37" t="str">
        <f>TEXT(TIME('Merged raw data'!F885,0,0),"h AM/PM")</f>
        <v>7 AM</v>
      </c>
      <c r="I885" s="23" t="str">
        <f>IF(OR('Merged raw data'!H885=1,'Merged raw data'!H885=2,'Merged raw data'!H885=3,'Merged raw data'!H885=4,'Merged raw data'!H885=5),"weekday","weekend")</f>
        <v>weekday</v>
      </c>
      <c r="J885" s="23" t="s">
        <v>23</v>
      </c>
      <c r="K885" s="23" t="str">
        <f>IF('Merged raw data'!I885=1,"Clear",IF('Merged raw data'!I885=2,"Mist",IF('Merged raw data'!I885=3,"Rain",IF('Merged raw data'!I885=4,"Storm","NA"))))</f>
        <v>Clear</v>
      </c>
      <c r="L885" s="24">
        <v>0.49</v>
      </c>
      <c r="M885" s="24">
        <v>0.1045</v>
      </c>
      <c r="N885" s="21">
        <f>'Merged raw data'!$J885*100</f>
        <v>6</v>
      </c>
      <c r="O885" s="21">
        <v>4</v>
      </c>
      <c r="P885" s="21">
        <v>95</v>
      </c>
      <c r="Q885" s="21">
        <v>99</v>
      </c>
      <c r="R885" s="21" t="str">
        <f>IF(Q885&gt;=outliers!I887,"High",IF(Q885&lt;=outliers!I886,"Low","Moderate"))</f>
        <v>High</v>
      </c>
      <c r="S885" s="8" t="str">
        <f>IF(OR(Q885&lt;outliers!$I$6,Q885&gt;outliers!$I$7),"Outlier","Normal")</f>
        <v>Normal</v>
      </c>
      <c r="T885" s="8" t="str">
        <f>IF(OR(L885&lt;outliers!$J$6,L885&gt;outliers!$J$7),"Outlier","Normal")</f>
        <v>Normal</v>
      </c>
      <c r="U885" s="8" t="str">
        <f>IF(OR(M885&lt;outliers!$K$6,M885&gt;outliers!$K$7),"Outlier","Normal")</f>
        <v>Normal</v>
      </c>
    </row>
    <row r="886" spans="1:21">
      <c r="A886" s="21">
        <v>885</v>
      </c>
      <c r="B886" s="68">
        <v>40583</v>
      </c>
      <c r="C886" s="22" t="b">
        <v>0</v>
      </c>
      <c r="D886" s="21" t="str">
        <f t="shared" si="13"/>
        <v>Wednesday</v>
      </c>
      <c r="E886" s="23">
        <v>0.13639999999999999</v>
      </c>
      <c r="F886" s="23">
        <f>YEAR('Merged raw data'!$B886)</f>
        <v>2011</v>
      </c>
      <c r="G886" s="23" t="str">
        <f>TEXT('Merged raw data'!$B886,"mmmm")</f>
        <v>February</v>
      </c>
      <c r="H886" s="37" t="str">
        <f>TEXT(TIME('Merged raw data'!F886,0,0),"h AM/PM")</f>
        <v>8 AM</v>
      </c>
      <c r="I886" s="23" t="str">
        <f>IF(OR('Merged raw data'!H886=1,'Merged raw data'!H886=2,'Merged raw data'!H886=3,'Merged raw data'!H886=4,'Merged raw data'!H886=5),"weekday","weekend")</f>
        <v>weekday</v>
      </c>
      <c r="J886" s="23" t="s">
        <v>23</v>
      </c>
      <c r="K886" s="23" t="str">
        <f>IF('Merged raw data'!I886=1,"Clear",IF('Merged raw data'!I886=2,"Mist",IF('Merged raw data'!I886=3,"Rain",IF('Merged raw data'!I886=4,"Storm","NA"))))</f>
        <v>Clear</v>
      </c>
      <c r="L886" s="24">
        <v>0.42</v>
      </c>
      <c r="M886" s="24">
        <v>0.23</v>
      </c>
      <c r="N886" s="21">
        <f>'Merged raw data'!$J886*100</f>
        <v>10</v>
      </c>
      <c r="O886" s="21">
        <v>1</v>
      </c>
      <c r="P886" s="21">
        <v>198</v>
      </c>
      <c r="Q886" s="21">
        <v>199</v>
      </c>
      <c r="R886" s="21" t="str">
        <f>IF(Q886&gt;=outliers!I888,"High",IF(Q886&lt;=outliers!I887,"Low","Moderate"))</f>
        <v>High</v>
      </c>
      <c r="S886" s="8" t="str">
        <f>IF(OR(Q886&lt;outliers!$I$6,Q886&gt;outliers!$I$7),"Outlier","Normal")</f>
        <v>Outlier</v>
      </c>
      <c r="T886" s="8" t="str">
        <f>IF(OR(L886&lt;outliers!$J$6,L886&gt;outliers!$J$7),"Outlier","Normal")</f>
        <v>Normal</v>
      </c>
      <c r="U886" s="8" t="str">
        <f>IF(OR(M886&lt;outliers!$K$6,M886&gt;outliers!$K$7),"Outlier","Normal")</f>
        <v>Normal</v>
      </c>
    </row>
    <row r="887" spans="1:21">
      <c r="A887" s="21">
        <v>886</v>
      </c>
      <c r="B887" s="68">
        <v>40583</v>
      </c>
      <c r="C887" s="22" t="b">
        <v>0</v>
      </c>
      <c r="D887" s="21" t="str">
        <f t="shared" si="13"/>
        <v>Wednesday</v>
      </c>
      <c r="E887" s="23">
        <v>0.13639999999999999</v>
      </c>
      <c r="F887" s="23">
        <f>YEAR('Merged raw data'!$B887)</f>
        <v>2011</v>
      </c>
      <c r="G887" s="23" t="str">
        <f>TEXT('Merged raw data'!$B887,"mmmm")</f>
        <v>February</v>
      </c>
      <c r="H887" s="37" t="str">
        <f>TEXT(TIME('Merged raw data'!F887,0,0),"h AM/PM")</f>
        <v>9 AM</v>
      </c>
      <c r="I887" s="23" t="str">
        <f>IF(OR('Merged raw data'!H887=1,'Merged raw data'!H887=2,'Merged raw data'!H887=3,'Merged raw data'!H887=4,'Merged raw data'!H887=5),"weekday","weekend")</f>
        <v>weekday</v>
      </c>
      <c r="J887" s="23" t="s">
        <v>23</v>
      </c>
      <c r="K887" s="23" t="str">
        <f>IF('Merged raw data'!I887=1,"Clear",IF('Merged raw data'!I887=2,"Mist",IF('Merged raw data'!I887=3,"Rain",IF('Merged raw data'!I887=4,"Storm","NA"))))</f>
        <v>Clear</v>
      </c>
      <c r="L887" s="24">
        <v>0.39</v>
      </c>
      <c r="M887" s="24">
        <v>0.16420000000000001</v>
      </c>
      <c r="N887" s="21">
        <f>'Merged raw data'!$J887*100</f>
        <v>12</v>
      </c>
      <c r="O887" s="21">
        <v>4</v>
      </c>
      <c r="P887" s="21">
        <v>119</v>
      </c>
      <c r="Q887" s="21">
        <v>123</v>
      </c>
      <c r="R887" s="21" t="str">
        <f>IF(Q887&gt;=outliers!I889,"High",IF(Q887&lt;=outliers!I888,"Low","Moderate"))</f>
        <v>High</v>
      </c>
      <c r="S887" s="8" t="str">
        <f>IF(OR(Q887&lt;outliers!$I$6,Q887&gt;outliers!$I$7),"Outlier","Normal")</f>
        <v>Normal</v>
      </c>
      <c r="T887" s="8" t="str">
        <f>IF(OR(L887&lt;outliers!$J$6,L887&gt;outliers!$J$7),"Outlier","Normal")</f>
        <v>Normal</v>
      </c>
      <c r="U887" s="8" t="str">
        <f>IF(OR(M887&lt;outliers!$K$6,M887&gt;outliers!$K$7),"Outlier","Normal")</f>
        <v>Normal</v>
      </c>
    </row>
    <row r="888" spans="1:21">
      <c r="A888" s="21">
        <v>887</v>
      </c>
      <c r="B888" s="68">
        <v>40583</v>
      </c>
      <c r="C888" s="22" t="b">
        <v>0</v>
      </c>
      <c r="D888" s="21" t="str">
        <f t="shared" si="13"/>
        <v>Wednesday</v>
      </c>
      <c r="E888" s="23">
        <v>0.18179999999999999</v>
      </c>
      <c r="F888" s="23">
        <f>YEAR('Merged raw data'!$B888)</f>
        <v>2011</v>
      </c>
      <c r="G888" s="23" t="str">
        <f>TEXT('Merged raw data'!$B888,"mmmm")</f>
        <v>February</v>
      </c>
      <c r="H888" s="37" t="str">
        <f>TEXT(TIME('Merged raw data'!F888,0,0),"h AM/PM")</f>
        <v>10 AM</v>
      </c>
      <c r="I888" s="23" t="str">
        <f>IF(OR('Merged raw data'!H888=1,'Merged raw data'!H888=2,'Merged raw data'!H888=3,'Merged raw data'!H888=4,'Merged raw data'!H888=5),"weekday","weekend")</f>
        <v>weekday</v>
      </c>
      <c r="J888" s="23" t="s">
        <v>23</v>
      </c>
      <c r="K888" s="23" t="str">
        <f>IF('Merged raw data'!I888=1,"Clear",IF('Merged raw data'!I888=2,"Mist",IF('Merged raw data'!I888=3,"Rain",IF('Merged raw data'!I888=4,"Storm","NA"))))</f>
        <v>Clear</v>
      </c>
      <c r="L888" s="24">
        <v>0.36</v>
      </c>
      <c r="M888" s="24">
        <v>0.23</v>
      </c>
      <c r="N888" s="21">
        <f>'Merged raw data'!$J888*100</f>
        <v>14.000000000000002</v>
      </c>
      <c r="O888" s="21">
        <v>8</v>
      </c>
      <c r="P888" s="21">
        <v>51</v>
      </c>
      <c r="Q888" s="21">
        <v>59</v>
      </c>
      <c r="R888" s="21" t="str">
        <f>IF(Q888&gt;=outliers!I890,"High",IF(Q888&lt;=outliers!I889,"Low","Moderate"))</f>
        <v>High</v>
      </c>
      <c r="S888" s="8" t="str">
        <f>IF(OR(Q888&lt;outliers!$I$6,Q888&gt;outliers!$I$7),"Outlier","Normal")</f>
        <v>Normal</v>
      </c>
      <c r="T888" s="8" t="str">
        <f>IF(OR(L888&lt;outliers!$J$6,L888&gt;outliers!$J$7),"Outlier","Normal")</f>
        <v>Normal</v>
      </c>
      <c r="U888" s="8" t="str">
        <f>IF(OR(M888&lt;outliers!$K$6,M888&gt;outliers!$K$7),"Outlier","Normal")</f>
        <v>Normal</v>
      </c>
    </row>
    <row r="889" spans="1:21">
      <c r="A889" s="21">
        <v>888</v>
      </c>
      <c r="B889" s="68">
        <v>40583</v>
      </c>
      <c r="C889" s="22" t="b">
        <v>0</v>
      </c>
      <c r="D889" s="21" t="str">
        <f t="shared" si="13"/>
        <v>Wednesday</v>
      </c>
      <c r="E889" s="23">
        <v>0.1515</v>
      </c>
      <c r="F889" s="23">
        <f>YEAR('Merged raw data'!$B889)</f>
        <v>2011</v>
      </c>
      <c r="G889" s="23" t="str">
        <f>TEXT('Merged raw data'!$B889,"mmmm")</f>
        <v>February</v>
      </c>
      <c r="H889" s="37" t="str">
        <f>TEXT(TIME('Merged raw data'!F889,0,0),"h AM/PM")</f>
        <v>11 AM</v>
      </c>
      <c r="I889" s="23" t="str">
        <f>IF(OR('Merged raw data'!H889=1,'Merged raw data'!H889=2,'Merged raw data'!H889=3,'Merged raw data'!H889=4,'Merged raw data'!H889=5),"weekday","weekend")</f>
        <v>weekday</v>
      </c>
      <c r="J889" s="23" t="s">
        <v>23</v>
      </c>
      <c r="K889" s="23" t="str">
        <f>IF('Merged raw data'!I889=1,"Clear",IF('Merged raw data'!I889=2,"Mist",IF('Merged raw data'!I889=3,"Rain",IF('Merged raw data'!I889=4,"Storm","NA"))))</f>
        <v>Mist</v>
      </c>
      <c r="L889" s="24">
        <v>0.43</v>
      </c>
      <c r="M889" s="24">
        <v>0.16420000000000001</v>
      </c>
      <c r="N889" s="21">
        <f>'Merged raw data'!$J889*100</f>
        <v>14.000000000000002</v>
      </c>
      <c r="O889" s="21">
        <v>1</v>
      </c>
      <c r="P889" s="21">
        <v>40</v>
      </c>
      <c r="Q889" s="21">
        <v>41</v>
      </c>
      <c r="R889" s="21" t="str">
        <f>IF(Q889&gt;=outliers!I891,"High",IF(Q889&lt;=outliers!I890,"Low","Moderate"))</f>
        <v>High</v>
      </c>
      <c r="S889" s="8" t="str">
        <f>IF(OR(Q889&lt;outliers!$I$6,Q889&gt;outliers!$I$7),"Outlier","Normal")</f>
        <v>Normal</v>
      </c>
      <c r="T889" s="8" t="str">
        <f>IF(OR(L889&lt;outliers!$J$6,L889&gt;outliers!$J$7),"Outlier","Normal")</f>
        <v>Normal</v>
      </c>
      <c r="U889" s="8" t="str">
        <f>IF(OR(M889&lt;outliers!$K$6,M889&gt;outliers!$K$7),"Outlier","Normal")</f>
        <v>Normal</v>
      </c>
    </row>
    <row r="890" spans="1:21">
      <c r="A890" s="21">
        <v>889</v>
      </c>
      <c r="B890" s="68">
        <v>40583</v>
      </c>
      <c r="C890" s="22" t="b">
        <v>0</v>
      </c>
      <c r="D890" s="21" t="str">
        <f t="shared" si="13"/>
        <v>Wednesday</v>
      </c>
      <c r="E890" s="23">
        <v>0.18179999999999999</v>
      </c>
      <c r="F890" s="23">
        <f>YEAR('Merged raw data'!$B890)</f>
        <v>2011</v>
      </c>
      <c r="G890" s="23" t="str">
        <f>TEXT('Merged raw data'!$B890,"mmmm")</f>
        <v>February</v>
      </c>
      <c r="H890" s="37" t="str">
        <f>TEXT(TIME('Merged raw data'!F890,0,0),"h AM/PM")</f>
        <v>12 PM</v>
      </c>
      <c r="I890" s="23" t="str">
        <f>IF(OR('Merged raw data'!H890=1,'Merged raw data'!H890=2,'Merged raw data'!H890=3,'Merged raw data'!H890=4,'Merged raw data'!H890=5),"weekday","weekend")</f>
        <v>weekday</v>
      </c>
      <c r="J890" s="23" t="s">
        <v>23</v>
      </c>
      <c r="K890" s="23" t="str">
        <f>IF('Merged raw data'!I890=1,"Clear",IF('Merged raw data'!I890=2,"Mist",IF('Merged raw data'!I890=3,"Rain",IF('Merged raw data'!I890=4,"Storm","NA"))))</f>
        <v>Mist</v>
      </c>
      <c r="L890" s="24">
        <v>0.4</v>
      </c>
      <c r="M890" s="24">
        <v>0.22389999999999999</v>
      </c>
      <c r="N890" s="21">
        <f>'Merged raw data'!$J890*100</f>
        <v>18</v>
      </c>
      <c r="O890" s="21">
        <v>4</v>
      </c>
      <c r="P890" s="21">
        <v>57</v>
      </c>
      <c r="Q890" s="21">
        <v>61</v>
      </c>
      <c r="R890" s="21" t="str">
        <f>IF(Q890&gt;=outliers!I892,"High",IF(Q890&lt;=outliers!I891,"Low","Moderate"))</f>
        <v>High</v>
      </c>
      <c r="S890" s="8" t="str">
        <f>IF(OR(Q890&lt;outliers!$I$6,Q890&gt;outliers!$I$7),"Outlier","Normal")</f>
        <v>Normal</v>
      </c>
      <c r="T890" s="8" t="str">
        <f>IF(OR(L890&lt;outliers!$J$6,L890&gt;outliers!$J$7),"Outlier","Normal")</f>
        <v>Normal</v>
      </c>
      <c r="U890" s="8" t="str">
        <f>IF(OR(M890&lt;outliers!$K$6,M890&gt;outliers!$K$7),"Outlier","Normal")</f>
        <v>Normal</v>
      </c>
    </row>
    <row r="891" spans="1:21">
      <c r="A891" s="21">
        <v>890</v>
      </c>
      <c r="B891" s="68">
        <v>40583</v>
      </c>
      <c r="C891" s="22" t="b">
        <v>0</v>
      </c>
      <c r="D891" s="21" t="str">
        <f t="shared" si="13"/>
        <v>Wednesday</v>
      </c>
      <c r="E891" s="23">
        <v>0.16669999999999999</v>
      </c>
      <c r="F891" s="23">
        <f>YEAR('Merged raw data'!$B891)</f>
        <v>2011</v>
      </c>
      <c r="G891" s="23" t="str">
        <f>TEXT('Merged raw data'!$B891,"mmmm")</f>
        <v>February</v>
      </c>
      <c r="H891" s="37" t="str">
        <f>TEXT(TIME('Merged raw data'!F891,0,0),"h AM/PM")</f>
        <v>1 PM</v>
      </c>
      <c r="I891" s="23" t="str">
        <f>IF(OR('Merged raw data'!H891=1,'Merged raw data'!H891=2,'Merged raw data'!H891=3,'Merged raw data'!H891=4,'Merged raw data'!H891=5),"weekday","weekend")</f>
        <v>weekday</v>
      </c>
      <c r="J891" s="23" t="s">
        <v>23</v>
      </c>
      <c r="K891" s="23" t="str">
        <f>IF('Merged raw data'!I891=1,"Clear",IF('Merged raw data'!I891=2,"Mist",IF('Merged raw data'!I891=3,"Rain",IF('Merged raw data'!I891=4,"Storm","NA"))))</f>
        <v>Clear</v>
      </c>
      <c r="L891" s="24">
        <v>0.4</v>
      </c>
      <c r="M891" s="24">
        <v>0.25369999999999998</v>
      </c>
      <c r="N891" s="21">
        <f>'Merged raw data'!$J891*100</f>
        <v>18</v>
      </c>
      <c r="O891" s="21">
        <v>2</v>
      </c>
      <c r="P891" s="21">
        <v>67</v>
      </c>
      <c r="Q891" s="21">
        <v>69</v>
      </c>
      <c r="R891" s="21" t="str">
        <f>IF(Q891&gt;=outliers!I893,"High",IF(Q891&lt;=outliers!I892,"Low","Moderate"))</f>
        <v>High</v>
      </c>
      <c r="S891" s="8" t="str">
        <f>IF(OR(Q891&lt;outliers!$I$6,Q891&gt;outliers!$I$7),"Outlier","Normal")</f>
        <v>Normal</v>
      </c>
      <c r="T891" s="8" t="str">
        <f>IF(OR(L891&lt;outliers!$J$6,L891&gt;outliers!$J$7),"Outlier","Normal")</f>
        <v>Normal</v>
      </c>
      <c r="U891" s="8" t="str">
        <f>IF(OR(M891&lt;outliers!$K$6,M891&gt;outliers!$K$7),"Outlier","Normal")</f>
        <v>Normal</v>
      </c>
    </row>
    <row r="892" spans="1:21">
      <c r="A892" s="21">
        <v>891</v>
      </c>
      <c r="B892" s="68">
        <v>40583</v>
      </c>
      <c r="C892" s="22" t="b">
        <v>0</v>
      </c>
      <c r="D892" s="21" t="str">
        <f t="shared" si="13"/>
        <v>Wednesday</v>
      </c>
      <c r="E892" s="23">
        <v>0.18179999999999999</v>
      </c>
      <c r="F892" s="23">
        <f>YEAR('Merged raw data'!$B892)</f>
        <v>2011</v>
      </c>
      <c r="G892" s="23" t="str">
        <f>TEXT('Merged raw data'!$B892,"mmmm")</f>
        <v>February</v>
      </c>
      <c r="H892" s="37" t="str">
        <f>TEXT(TIME('Merged raw data'!F892,0,0),"h AM/PM")</f>
        <v>2 PM</v>
      </c>
      <c r="I892" s="23" t="str">
        <f>IF(OR('Merged raw data'!H892=1,'Merged raw data'!H892=2,'Merged raw data'!H892=3,'Merged raw data'!H892=4,'Merged raw data'!H892=5),"weekday","weekend")</f>
        <v>weekday</v>
      </c>
      <c r="J892" s="23" t="s">
        <v>23</v>
      </c>
      <c r="K892" s="23" t="str">
        <f>IF('Merged raw data'!I892=1,"Clear",IF('Merged raw data'!I892=2,"Mist",IF('Merged raw data'!I892=3,"Rain",IF('Merged raw data'!I892=4,"Storm","NA"))))</f>
        <v>Clear</v>
      </c>
      <c r="L892" s="24">
        <v>0.34</v>
      </c>
      <c r="M892" s="24">
        <v>0.29849999999999999</v>
      </c>
      <c r="N892" s="21">
        <f>'Merged raw data'!$J892*100</f>
        <v>20</v>
      </c>
      <c r="O892" s="21">
        <v>2</v>
      </c>
      <c r="P892" s="21">
        <v>56</v>
      </c>
      <c r="Q892" s="21">
        <v>58</v>
      </c>
      <c r="R892" s="21" t="str">
        <f>IF(Q892&gt;=outliers!I894,"High",IF(Q892&lt;=outliers!I893,"Low","Moderate"))</f>
        <v>High</v>
      </c>
      <c r="S892" s="8" t="str">
        <f>IF(OR(Q892&lt;outliers!$I$6,Q892&gt;outliers!$I$7),"Outlier","Normal")</f>
        <v>Normal</v>
      </c>
      <c r="T892" s="8" t="str">
        <f>IF(OR(L892&lt;outliers!$J$6,L892&gt;outliers!$J$7),"Outlier","Normal")</f>
        <v>Normal</v>
      </c>
      <c r="U892" s="8" t="str">
        <f>IF(OR(M892&lt;outliers!$K$6,M892&gt;outliers!$K$7),"Outlier","Normal")</f>
        <v>Normal</v>
      </c>
    </row>
    <row r="893" spans="1:21">
      <c r="A893" s="21">
        <v>892</v>
      </c>
      <c r="B893" s="68">
        <v>40583</v>
      </c>
      <c r="C893" s="22" t="b">
        <v>0</v>
      </c>
      <c r="D893" s="21" t="str">
        <f t="shared" si="13"/>
        <v>Wednesday</v>
      </c>
      <c r="E893" s="23">
        <v>0.18179999999999999</v>
      </c>
      <c r="F893" s="23">
        <f>YEAR('Merged raw data'!$B893)</f>
        <v>2011</v>
      </c>
      <c r="G893" s="23" t="str">
        <f>TEXT('Merged raw data'!$B893,"mmmm")</f>
        <v>February</v>
      </c>
      <c r="H893" s="37" t="str">
        <f>TEXT(TIME('Merged raw data'!F893,0,0),"h AM/PM")</f>
        <v>3 PM</v>
      </c>
      <c r="I893" s="23" t="str">
        <f>IF(OR('Merged raw data'!H893=1,'Merged raw data'!H893=2,'Merged raw data'!H893=3,'Merged raw data'!H893=4,'Merged raw data'!H893=5),"weekday","weekend")</f>
        <v>weekday</v>
      </c>
      <c r="J893" s="23" t="s">
        <v>23</v>
      </c>
      <c r="K893" s="23" t="str">
        <f>IF('Merged raw data'!I893=1,"Clear",IF('Merged raw data'!I893=2,"Mist",IF('Merged raw data'!I893=3,"Rain",IF('Merged raw data'!I893=4,"Storm","NA"))))</f>
        <v>Mist</v>
      </c>
      <c r="L893" s="24">
        <v>0.34</v>
      </c>
      <c r="M893" s="24">
        <v>0.28360000000000002</v>
      </c>
      <c r="N893" s="21">
        <f>'Merged raw data'!$J893*100</f>
        <v>20</v>
      </c>
      <c r="O893" s="21">
        <v>3</v>
      </c>
      <c r="P893" s="21">
        <v>61</v>
      </c>
      <c r="Q893" s="21">
        <v>64</v>
      </c>
      <c r="R893" s="21" t="str">
        <f>IF(Q893&gt;=outliers!I895,"High",IF(Q893&lt;=outliers!I894,"Low","Moderate"))</f>
        <v>High</v>
      </c>
      <c r="S893" s="8" t="str">
        <f>IF(OR(Q893&lt;outliers!$I$6,Q893&gt;outliers!$I$7),"Outlier","Normal")</f>
        <v>Normal</v>
      </c>
      <c r="T893" s="8" t="str">
        <f>IF(OR(L893&lt;outliers!$J$6,L893&gt;outliers!$J$7),"Outlier","Normal")</f>
        <v>Normal</v>
      </c>
      <c r="U893" s="8" t="str">
        <f>IF(OR(M893&lt;outliers!$K$6,M893&gt;outliers!$K$7),"Outlier","Normal")</f>
        <v>Normal</v>
      </c>
    </row>
    <row r="894" spans="1:21">
      <c r="A894" s="21">
        <v>893</v>
      </c>
      <c r="B894" s="68">
        <v>40583</v>
      </c>
      <c r="C894" s="22" t="b">
        <v>0</v>
      </c>
      <c r="D894" s="21" t="str">
        <f t="shared" si="13"/>
        <v>Wednesday</v>
      </c>
      <c r="E894" s="23">
        <v>0.19700000000000001</v>
      </c>
      <c r="F894" s="23">
        <f>YEAR('Merged raw data'!$B894)</f>
        <v>2011</v>
      </c>
      <c r="G894" s="23" t="str">
        <f>TEXT('Merged raw data'!$B894,"mmmm")</f>
        <v>February</v>
      </c>
      <c r="H894" s="37" t="str">
        <f>TEXT(TIME('Merged raw data'!F894,0,0),"h AM/PM")</f>
        <v>4 PM</v>
      </c>
      <c r="I894" s="23" t="str">
        <f>IF(OR('Merged raw data'!H894=1,'Merged raw data'!H894=2,'Merged raw data'!H894=3,'Merged raw data'!H894=4,'Merged raw data'!H894=5),"weekday","weekend")</f>
        <v>weekday</v>
      </c>
      <c r="J894" s="23" t="s">
        <v>23</v>
      </c>
      <c r="K894" s="23" t="str">
        <f>IF('Merged raw data'!I894=1,"Clear",IF('Merged raw data'!I894=2,"Mist",IF('Merged raw data'!I894=3,"Rain",IF('Merged raw data'!I894=4,"Storm","NA"))))</f>
        <v>Mist</v>
      </c>
      <c r="L894" s="24">
        <v>0.37</v>
      </c>
      <c r="M894" s="24">
        <v>0.25369999999999998</v>
      </c>
      <c r="N894" s="21">
        <f>'Merged raw data'!$J894*100</f>
        <v>20</v>
      </c>
      <c r="O894" s="21">
        <v>7</v>
      </c>
      <c r="P894" s="21">
        <v>72</v>
      </c>
      <c r="Q894" s="21">
        <v>79</v>
      </c>
      <c r="R894" s="21" t="str">
        <f>IF(Q894&gt;=outliers!I896,"High",IF(Q894&lt;=outliers!I895,"Low","Moderate"))</f>
        <v>High</v>
      </c>
      <c r="S894" s="8" t="str">
        <f>IF(OR(Q894&lt;outliers!$I$6,Q894&gt;outliers!$I$7),"Outlier","Normal")</f>
        <v>Normal</v>
      </c>
      <c r="T894" s="8" t="str">
        <f>IF(OR(L894&lt;outliers!$J$6,L894&gt;outliers!$J$7),"Outlier","Normal")</f>
        <v>Normal</v>
      </c>
      <c r="U894" s="8" t="str">
        <f>IF(OR(M894&lt;outliers!$K$6,M894&gt;outliers!$K$7),"Outlier","Normal")</f>
        <v>Normal</v>
      </c>
    </row>
    <row r="895" spans="1:21">
      <c r="A895" s="21">
        <v>894</v>
      </c>
      <c r="B895" s="68">
        <v>40583</v>
      </c>
      <c r="C895" s="22" t="b">
        <v>0</v>
      </c>
      <c r="D895" s="21" t="str">
        <f t="shared" si="13"/>
        <v>Wednesday</v>
      </c>
      <c r="E895" s="23">
        <v>0.19700000000000001</v>
      </c>
      <c r="F895" s="23">
        <f>YEAR('Merged raw data'!$B895)</f>
        <v>2011</v>
      </c>
      <c r="G895" s="23" t="str">
        <f>TEXT('Merged raw data'!$B895,"mmmm")</f>
        <v>February</v>
      </c>
      <c r="H895" s="37" t="str">
        <f>TEXT(TIME('Merged raw data'!F895,0,0),"h AM/PM")</f>
        <v>5 PM</v>
      </c>
      <c r="I895" s="23" t="str">
        <f>IF(OR('Merged raw data'!H895=1,'Merged raw data'!H895=2,'Merged raw data'!H895=3,'Merged raw data'!H895=4,'Merged raw data'!H895=5),"weekday","weekend")</f>
        <v>weekday</v>
      </c>
      <c r="J895" s="23" t="s">
        <v>23</v>
      </c>
      <c r="K895" s="23" t="str">
        <f>IF('Merged raw data'!I895=1,"Clear",IF('Merged raw data'!I895=2,"Mist",IF('Merged raw data'!I895=3,"Rain",IF('Merged raw data'!I895=4,"Storm","NA"))))</f>
        <v>Mist</v>
      </c>
      <c r="L895" s="24">
        <v>0.34</v>
      </c>
      <c r="M895" s="24">
        <v>0.25369999999999998</v>
      </c>
      <c r="N895" s="21">
        <f>'Merged raw data'!$J895*100</f>
        <v>20</v>
      </c>
      <c r="O895" s="21">
        <v>9</v>
      </c>
      <c r="P895" s="21">
        <v>157</v>
      </c>
      <c r="Q895" s="21">
        <v>166</v>
      </c>
      <c r="R895" s="21" t="str">
        <f>IF(Q895&gt;=outliers!I897,"High",IF(Q895&lt;=outliers!I896,"Low","Moderate"))</f>
        <v>High</v>
      </c>
      <c r="S895" s="8" t="str">
        <f>IF(OR(Q895&lt;outliers!$I$6,Q895&gt;outliers!$I$7),"Outlier","Normal")</f>
        <v>Normal</v>
      </c>
      <c r="T895" s="8" t="str">
        <f>IF(OR(L895&lt;outliers!$J$6,L895&gt;outliers!$J$7),"Outlier","Normal")</f>
        <v>Normal</v>
      </c>
      <c r="U895" s="8" t="str">
        <f>IF(OR(M895&lt;outliers!$K$6,M895&gt;outliers!$K$7),"Outlier","Normal")</f>
        <v>Normal</v>
      </c>
    </row>
    <row r="896" spans="1:21">
      <c r="A896" s="21">
        <v>895</v>
      </c>
      <c r="B896" s="68">
        <v>40583</v>
      </c>
      <c r="C896" s="22" t="b">
        <v>0</v>
      </c>
      <c r="D896" s="21" t="str">
        <f t="shared" si="13"/>
        <v>Wednesday</v>
      </c>
      <c r="E896" s="23">
        <v>0.16669999999999999</v>
      </c>
      <c r="F896" s="23">
        <f>YEAR('Merged raw data'!$B896)</f>
        <v>2011</v>
      </c>
      <c r="G896" s="23" t="str">
        <f>TEXT('Merged raw data'!$B896,"mmmm")</f>
        <v>February</v>
      </c>
      <c r="H896" s="37" t="str">
        <f>TEXT(TIME('Merged raw data'!F896,0,0),"h AM/PM")</f>
        <v>6 PM</v>
      </c>
      <c r="I896" s="23" t="str">
        <f>IF(OR('Merged raw data'!H896=1,'Merged raw data'!H896=2,'Merged raw data'!H896=3,'Merged raw data'!H896=4,'Merged raw data'!H896=5),"weekday","weekend")</f>
        <v>weekday</v>
      </c>
      <c r="J896" s="23" t="s">
        <v>23</v>
      </c>
      <c r="K896" s="23" t="str">
        <f>IF('Merged raw data'!I896=1,"Clear",IF('Merged raw data'!I896=2,"Mist",IF('Merged raw data'!I896=3,"Rain",IF('Merged raw data'!I896=4,"Storm","NA"))))</f>
        <v>Mist</v>
      </c>
      <c r="L896" s="24">
        <v>0.47</v>
      </c>
      <c r="M896" s="24">
        <v>0.29849999999999999</v>
      </c>
      <c r="N896" s="21">
        <f>'Merged raw data'!$J896*100</f>
        <v>18</v>
      </c>
      <c r="O896" s="21">
        <v>2</v>
      </c>
      <c r="P896" s="21">
        <v>168</v>
      </c>
      <c r="Q896" s="21">
        <v>170</v>
      </c>
      <c r="R896" s="21" t="str">
        <f>IF(Q896&gt;=outliers!I898,"High",IF(Q896&lt;=outliers!I897,"Low","Moderate"))</f>
        <v>High</v>
      </c>
      <c r="S896" s="8" t="str">
        <f>IF(OR(Q896&lt;outliers!$I$6,Q896&gt;outliers!$I$7),"Outlier","Normal")</f>
        <v>Normal</v>
      </c>
      <c r="T896" s="8" t="str">
        <f>IF(OR(L896&lt;outliers!$J$6,L896&gt;outliers!$J$7),"Outlier","Normal")</f>
        <v>Normal</v>
      </c>
      <c r="U896" s="8" t="str">
        <f>IF(OR(M896&lt;outliers!$K$6,M896&gt;outliers!$K$7),"Outlier","Normal")</f>
        <v>Normal</v>
      </c>
    </row>
    <row r="897" spans="1:21">
      <c r="A897" s="21">
        <v>896</v>
      </c>
      <c r="B897" s="68">
        <v>40583</v>
      </c>
      <c r="C897" s="22" t="b">
        <v>0</v>
      </c>
      <c r="D897" s="21" t="str">
        <f t="shared" si="13"/>
        <v>Wednesday</v>
      </c>
      <c r="E897" s="23">
        <v>0.1212</v>
      </c>
      <c r="F897" s="23">
        <f>YEAR('Merged raw data'!$B897)</f>
        <v>2011</v>
      </c>
      <c r="G897" s="23" t="str">
        <f>TEXT('Merged raw data'!$B897,"mmmm")</f>
        <v>February</v>
      </c>
      <c r="H897" s="37" t="str">
        <f>TEXT(TIME('Merged raw data'!F897,0,0),"h AM/PM")</f>
        <v>7 PM</v>
      </c>
      <c r="I897" s="23" t="str">
        <f>IF(OR('Merged raw data'!H897=1,'Merged raw data'!H897=2,'Merged raw data'!H897=3,'Merged raw data'!H897=4,'Merged raw data'!H897=5),"weekday","weekend")</f>
        <v>weekday</v>
      </c>
      <c r="J897" s="23" t="s">
        <v>23</v>
      </c>
      <c r="K897" s="23" t="str">
        <f>IF('Merged raw data'!I897=1,"Clear",IF('Merged raw data'!I897=2,"Mist",IF('Merged raw data'!I897=3,"Rain",IF('Merged raw data'!I897=4,"Storm","NA"))))</f>
        <v>Rain</v>
      </c>
      <c r="L897" s="24">
        <v>0.86</v>
      </c>
      <c r="M897" s="24">
        <v>0.25369999999999998</v>
      </c>
      <c r="N897" s="21">
        <f>'Merged raw data'!$J897*100</f>
        <v>14.000000000000002</v>
      </c>
      <c r="O897" s="21">
        <v>1</v>
      </c>
      <c r="P897" s="21">
        <v>87</v>
      </c>
      <c r="Q897" s="21">
        <v>88</v>
      </c>
      <c r="R897" s="21" t="str">
        <f>IF(Q897&gt;=outliers!I899,"High",IF(Q897&lt;=outliers!I898,"Low","Moderate"))</f>
        <v>High</v>
      </c>
      <c r="S897" s="8" t="str">
        <f>IF(OR(Q897&lt;outliers!$I$6,Q897&gt;outliers!$I$7),"Outlier","Normal")</f>
        <v>Normal</v>
      </c>
      <c r="T897" s="8" t="str">
        <f>IF(OR(L897&lt;outliers!$J$6,L897&gt;outliers!$J$7),"Outlier","Normal")</f>
        <v>Normal</v>
      </c>
      <c r="U897" s="8" t="str">
        <f>IF(OR(M897&lt;outliers!$K$6,M897&gt;outliers!$K$7),"Outlier","Normal")</f>
        <v>Normal</v>
      </c>
    </row>
    <row r="898" spans="1:21">
      <c r="A898" s="21">
        <v>897</v>
      </c>
      <c r="B898" s="68">
        <v>40583</v>
      </c>
      <c r="C898" s="22" t="b">
        <v>0</v>
      </c>
      <c r="D898" s="21" t="str">
        <f t="shared" si="13"/>
        <v>Wednesday</v>
      </c>
      <c r="E898" s="23">
        <v>0.1515</v>
      </c>
      <c r="F898" s="23">
        <f>YEAR('Merged raw data'!$B898)</f>
        <v>2011</v>
      </c>
      <c r="G898" s="23" t="str">
        <f>TEXT('Merged raw data'!$B898,"mmmm")</f>
        <v>February</v>
      </c>
      <c r="H898" s="37" t="str">
        <f>TEXT(TIME('Merged raw data'!F898,0,0),"h AM/PM")</f>
        <v>8 PM</v>
      </c>
      <c r="I898" s="23" t="str">
        <f>IF(OR('Merged raw data'!H898=1,'Merged raw data'!H898=2,'Merged raw data'!H898=3,'Merged raw data'!H898=4,'Merged raw data'!H898=5),"weekday","weekend")</f>
        <v>weekday</v>
      </c>
      <c r="J898" s="23" t="s">
        <v>23</v>
      </c>
      <c r="K898" s="23" t="str">
        <f>IF('Merged raw data'!I898=1,"Clear",IF('Merged raw data'!I898=2,"Mist",IF('Merged raw data'!I898=3,"Rain",IF('Merged raw data'!I898=4,"Storm","NA"))))</f>
        <v>Rain</v>
      </c>
      <c r="L898" s="24">
        <v>0.86</v>
      </c>
      <c r="M898" s="24">
        <v>0.16420000000000001</v>
      </c>
      <c r="N898" s="21">
        <f>'Merged raw data'!$J898*100</f>
        <v>14.000000000000002</v>
      </c>
      <c r="O898" s="21">
        <v>0</v>
      </c>
      <c r="P898" s="21">
        <v>84</v>
      </c>
      <c r="Q898" s="21">
        <v>84</v>
      </c>
      <c r="R898" s="21" t="str">
        <f>IF(Q898&gt;=outliers!I900,"High",IF(Q898&lt;=outliers!I899,"Low","Moderate"))</f>
        <v>High</v>
      </c>
      <c r="S898" s="8" t="str">
        <f>IF(OR(Q898&lt;outliers!$I$6,Q898&gt;outliers!$I$7),"Outlier","Normal")</f>
        <v>Normal</v>
      </c>
      <c r="T898" s="8" t="str">
        <f>IF(OR(L898&lt;outliers!$J$6,L898&gt;outliers!$J$7),"Outlier","Normal")</f>
        <v>Normal</v>
      </c>
      <c r="U898" s="8" t="str">
        <f>IF(OR(M898&lt;outliers!$K$6,M898&gt;outliers!$K$7),"Outlier","Normal")</f>
        <v>Normal</v>
      </c>
    </row>
    <row r="899" spans="1:21">
      <c r="A899" s="21">
        <v>898</v>
      </c>
      <c r="B899" s="68">
        <v>40583</v>
      </c>
      <c r="C899" s="22" t="b">
        <v>0</v>
      </c>
      <c r="D899" s="21" t="str">
        <f t="shared" ref="D899:D962" si="14">TEXT(B899,"dddd")</f>
        <v>Wednesday</v>
      </c>
      <c r="E899" s="23">
        <v>0.1515</v>
      </c>
      <c r="F899" s="23">
        <f>YEAR('Merged raw data'!$B899)</f>
        <v>2011</v>
      </c>
      <c r="G899" s="23" t="str">
        <f>TEXT('Merged raw data'!$B899,"mmmm")</f>
        <v>February</v>
      </c>
      <c r="H899" s="37" t="str">
        <f>TEXT(TIME('Merged raw data'!F899,0,0),"h AM/PM")</f>
        <v>9 PM</v>
      </c>
      <c r="I899" s="23" t="str">
        <f>IF(OR('Merged raw data'!H899=1,'Merged raw data'!H899=2,'Merged raw data'!H899=3,'Merged raw data'!H899=4,'Merged raw data'!H899=5),"weekday","weekend")</f>
        <v>weekday</v>
      </c>
      <c r="J899" s="23" t="s">
        <v>23</v>
      </c>
      <c r="K899" s="23" t="str">
        <f>IF('Merged raw data'!I899=1,"Clear",IF('Merged raw data'!I899=2,"Mist",IF('Merged raw data'!I899=3,"Rain",IF('Merged raw data'!I899=4,"Storm","NA"))))</f>
        <v>Mist</v>
      </c>
      <c r="L899" s="24">
        <v>0.86</v>
      </c>
      <c r="M899" s="24">
        <v>0.16420000000000001</v>
      </c>
      <c r="N899" s="21">
        <f>'Merged raw data'!$J899*100</f>
        <v>14.000000000000002</v>
      </c>
      <c r="O899" s="21">
        <v>0</v>
      </c>
      <c r="P899" s="21">
        <v>83</v>
      </c>
      <c r="Q899" s="21">
        <v>83</v>
      </c>
      <c r="R899" s="21" t="str">
        <f>IF(Q899&gt;=outliers!I901,"High",IF(Q899&lt;=outliers!I900,"Low","Moderate"))</f>
        <v>High</v>
      </c>
      <c r="S899" s="8" t="str">
        <f>IF(OR(Q899&lt;outliers!$I$6,Q899&gt;outliers!$I$7),"Outlier","Normal")</f>
        <v>Normal</v>
      </c>
      <c r="T899" s="8" t="str">
        <f>IF(OR(L899&lt;outliers!$J$6,L899&gt;outliers!$J$7),"Outlier","Normal")</f>
        <v>Normal</v>
      </c>
      <c r="U899" s="8" t="str">
        <f>IF(OR(M899&lt;outliers!$K$6,M899&gt;outliers!$K$7),"Outlier","Normal")</f>
        <v>Normal</v>
      </c>
    </row>
    <row r="900" spans="1:21">
      <c r="A900" s="21">
        <v>899</v>
      </c>
      <c r="B900" s="68">
        <v>40583</v>
      </c>
      <c r="C900" s="22" t="b">
        <v>0</v>
      </c>
      <c r="D900" s="21" t="str">
        <f t="shared" si="14"/>
        <v>Wednesday</v>
      </c>
      <c r="E900" s="23">
        <v>0.16669999999999999</v>
      </c>
      <c r="F900" s="23">
        <f>YEAR('Merged raw data'!$B900)</f>
        <v>2011</v>
      </c>
      <c r="G900" s="23" t="str">
        <f>TEXT('Merged raw data'!$B900,"mmmm")</f>
        <v>February</v>
      </c>
      <c r="H900" s="37" t="str">
        <f>TEXT(TIME('Merged raw data'!F900,0,0),"h AM/PM")</f>
        <v>10 PM</v>
      </c>
      <c r="I900" s="23" t="str">
        <f>IF(OR('Merged raw data'!H900=1,'Merged raw data'!H900=2,'Merged raw data'!H900=3,'Merged raw data'!H900=4,'Merged raw data'!H900=5),"weekday","weekend")</f>
        <v>weekday</v>
      </c>
      <c r="J900" s="23" t="s">
        <v>23</v>
      </c>
      <c r="K900" s="23" t="str">
        <f>IF('Merged raw data'!I900=1,"Clear",IF('Merged raw data'!I900=2,"Mist",IF('Merged raw data'!I900=3,"Rain",IF('Merged raw data'!I900=4,"Storm","NA"))))</f>
        <v>Rain</v>
      </c>
      <c r="L900" s="24">
        <v>0.8</v>
      </c>
      <c r="M900" s="24">
        <v>0.16420000000000001</v>
      </c>
      <c r="N900" s="21">
        <f>'Merged raw data'!$J900*100</f>
        <v>16</v>
      </c>
      <c r="O900" s="21">
        <v>4</v>
      </c>
      <c r="P900" s="21">
        <v>42</v>
      </c>
      <c r="Q900" s="21">
        <v>46</v>
      </c>
      <c r="R900" s="21" t="str">
        <f>IF(Q900&gt;=outliers!I902,"High",IF(Q900&lt;=outliers!I901,"Low","Moderate"))</f>
        <v>High</v>
      </c>
      <c r="S900" s="8" t="str">
        <f>IF(OR(Q900&lt;outliers!$I$6,Q900&gt;outliers!$I$7),"Outlier","Normal")</f>
        <v>Normal</v>
      </c>
      <c r="T900" s="8" t="str">
        <f>IF(OR(L900&lt;outliers!$J$6,L900&gt;outliers!$J$7),"Outlier","Normal")</f>
        <v>Normal</v>
      </c>
      <c r="U900" s="8" t="str">
        <f>IF(OR(M900&lt;outliers!$K$6,M900&gt;outliers!$K$7),"Outlier","Normal")</f>
        <v>Normal</v>
      </c>
    </row>
    <row r="901" spans="1:21">
      <c r="A901" s="21">
        <v>900</v>
      </c>
      <c r="B901" s="68">
        <v>40583</v>
      </c>
      <c r="C901" s="22" t="b">
        <v>0</v>
      </c>
      <c r="D901" s="21" t="str">
        <f t="shared" si="14"/>
        <v>Wednesday</v>
      </c>
      <c r="E901" s="23">
        <v>0.1515</v>
      </c>
      <c r="F901" s="23">
        <f>YEAR('Merged raw data'!$B901)</f>
        <v>2011</v>
      </c>
      <c r="G901" s="23" t="str">
        <f>TEXT('Merged raw data'!$B901,"mmmm")</f>
        <v>February</v>
      </c>
      <c r="H901" s="37" t="str">
        <f>TEXT(TIME('Merged raw data'!F901,0,0),"h AM/PM")</f>
        <v>11 PM</v>
      </c>
      <c r="I901" s="23" t="str">
        <f>IF(OR('Merged raw data'!H901=1,'Merged raw data'!H901=2,'Merged raw data'!H901=3,'Merged raw data'!H901=4,'Merged raw data'!H901=5),"weekday","weekend")</f>
        <v>weekday</v>
      </c>
      <c r="J901" s="23" t="s">
        <v>23</v>
      </c>
      <c r="K901" s="23" t="str">
        <f>IF('Merged raw data'!I901=1,"Clear",IF('Merged raw data'!I901=2,"Mist",IF('Merged raw data'!I901=3,"Rain",IF('Merged raw data'!I901=4,"Storm","NA"))))</f>
        <v>Rain</v>
      </c>
      <c r="L901" s="24">
        <v>0.8</v>
      </c>
      <c r="M901" s="24">
        <v>0.19400000000000001</v>
      </c>
      <c r="N901" s="21">
        <f>'Merged raw data'!$J901*100</f>
        <v>16</v>
      </c>
      <c r="O901" s="21">
        <v>0</v>
      </c>
      <c r="P901" s="21">
        <v>37</v>
      </c>
      <c r="Q901" s="21">
        <v>37</v>
      </c>
      <c r="R901" s="21" t="str">
        <f>IF(Q901&gt;=outliers!I903,"High",IF(Q901&lt;=outliers!I902,"Low","Moderate"))</f>
        <v>High</v>
      </c>
      <c r="S901" s="8" t="str">
        <f>IF(OR(Q901&lt;outliers!$I$6,Q901&gt;outliers!$I$7),"Outlier","Normal")</f>
        <v>Normal</v>
      </c>
      <c r="T901" s="8" t="str">
        <f>IF(OR(L901&lt;outliers!$J$6,L901&gt;outliers!$J$7),"Outlier","Normal")</f>
        <v>Normal</v>
      </c>
      <c r="U901" s="8" t="str">
        <f>IF(OR(M901&lt;outliers!$K$6,M901&gt;outliers!$K$7),"Outlier","Normal")</f>
        <v>Normal</v>
      </c>
    </row>
    <row r="902" spans="1:21">
      <c r="A902" s="21">
        <v>901</v>
      </c>
      <c r="B902" s="68">
        <v>40584</v>
      </c>
      <c r="C902" s="22" t="b">
        <v>0</v>
      </c>
      <c r="D902" s="21" t="str">
        <f t="shared" si="14"/>
        <v>Thursday</v>
      </c>
      <c r="E902" s="23">
        <v>0.13639999999999999</v>
      </c>
      <c r="F902" s="23">
        <f>YEAR('Merged raw data'!$B902)</f>
        <v>2011</v>
      </c>
      <c r="G902" s="23" t="str">
        <f>TEXT('Merged raw data'!$B902,"mmmm")</f>
        <v>February</v>
      </c>
      <c r="H902" s="37" t="str">
        <f>TEXT(TIME('Merged raw data'!F902,0,0),"h AM/PM")</f>
        <v>12 AM</v>
      </c>
      <c r="I902" s="23" t="str">
        <f>IF(OR('Merged raw data'!H902=1,'Merged raw data'!H902=2,'Merged raw data'!H902=3,'Merged raw data'!H902=4,'Merged raw data'!H902=5),"weekday","weekend")</f>
        <v>weekday</v>
      </c>
      <c r="J902" s="23" t="s">
        <v>23</v>
      </c>
      <c r="K902" s="23" t="str">
        <f>IF('Merged raw data'!I902=1,"Clear",IF('Merged raw data'!I902=2,"Mist",IF('Merged raw data'!I902=3,"Rain",IF('Merged raw data'!I902=4,"Storm","NA"))))</f>
        <v>Rain</v>
      </c>
      <c r="L902" s="24">
        <v>0.86</v>
      </c>
      <c r="M902" s="24">
        <v>0.19400000000000001</v>
      </c>
      <c r="N902" s="21">
        <f>'Merged raw data'!$J902*100</f>
        <v>14.000000000000002</v>
      </c>
      <c r="O902" s="21">
        <v>0</v>
      </c>
      <c r="P902" s="21">
        <v>16</v>
      </c>
      <c r="Q902" s="21">
        <v>16</v>
      </c>
      <c r="R902" s="21" t="str">
        <f>IF(Q902&gt;=outliers!I904,"High",IF(Q902&lt;=outliers!I903,"Low","Moderate"))</f>
        <v>High</v>
      </c>
      <c r="S902" s="8" t="str">
        <f>IF(OR(Q902&lt;outliers!$I$6,Q902&gt;outliers!$I$7),"Outlier","Normal")</f>
        <v>Normal</v>
      </c>
      <c r="T902" s="8" t="str">
        <f>IF(OR(L902&lt;outliers!$J$6,L902&gt;outliers!$J$7),"Outlier","Normal")</f>
        <v>Normal</v>
      </c>
      <c r="U902" s="8" t="str">
        <f>IF(OR(M902&lt;outliers!$K$6,M902&gt;outliers!$K$7),"Outlier","Normal")</f>
        <v>Normal</v>
      </c>
    </row>
    <row r="903" spans="1:21">
      <c r="A903" s="21">
        <v>902</v>
      </c>
      <c r="B903" s="68">
        <v>40584</v>
      </c>
      <c r="C903" s="22" t="b">
        <v>0</v>
      </c>
      <c r="D903" s="21" t="str">
        <f t="shared" si="14"/>
        <v>Thursday</v>
      </c>
      <c r="E903" s="23">
        <v>0.1515</v>
      </c>
      <c r="F903" s="23">
        <f>YEAR('Merged raw data'!$B903)</f>
        <v>2011</v>
      </c>
      <c r="G903" s="23" t="str">
        <f>TEXT('Merged raw data'!$B903,"mmmm")</f>
        <v>February</v>
      </c>
      <c r="H903" s="37" t="str">
        <f>TEXT(TIME('Merged raw data'!F903,0,0),"h AM/PM")</f>
        <v>1 AM</v>
      </c>
      <c r="I903" s="23" t="str">
        <f>IF(OR('Merged raw data'!H903=1,'Merged raw data'!H903=2,'Merged raw data'!H903=3,'Merged raw data'!H903=4,'Merged raw data'!H903=5),"weekday","weekend")</f>
        <v>weekday</v>
      </c>
      <c r="J903" s="23" t="s">
        <v>23</v>
      </c>
      <c r="K903" s="23" t="str">
        <f>IF('Merged raw data'!I903=1,"Clear",IF('Merged raw data'!I903=2,"Mist",IF('Merged raw data'!I903=3,"Rain",IF('Merged raw data'!I903=4,"Storm","NA"))))</f>
        <v>Rain</v>
      </c>
      <c r="L903" s="24">
        <v>0.8</v>
      </c>
      <c r="M903" s="24">
        <v>0.1343</v>
      </c>
      <c r="N903" s="21">
        <f>'Merged raw data'!$J903*100</f>
        <v>14.000000000000002</v>
      </c>
      <c r="O903" s="21">
        <v>0</v>
      </c>
      <c r="P903" s="21">
        <v>7</v>
      </c>
      <c r="Q903" s="21">
        <v>7</v>
      </c>
      <c r="R903" s="21" t="str">
        <f>IF(Q903&gt;=outliers!I905,"High",IF(Q903&lt;=outliers!I904,"Low","Moderate"))</f>
        <v>High</v>
      </c>
      <c r="S903" s="8" t="str">
        <f>IF(OR(Q903&lt;outliers!$I$6,Q903&gt;outliers!$I$7),"Outlier","Normal")</f>
        <v>Normal</v>
      </c>
      <c r="T903" s="8" t="str">
        <f>IF(OR(L903&lt;outliers!$J$6,L903&gt;outliers!$J$7),"Outlier","Normal")</f>
        <v>Normal</v>
      </c>
      <c r="U903" s="8" t="str">
        <f>IF(OR(M903&lt;outliers!$K$6,M903&gt;outliers!$K$7),"Outlier","Normal")</f>
        <v>Normal</v>
      </c>
    </row>
    <row r="904" spans="1:21">
      <c r="A904" s="21">
        <v>903</v>
      </c>
      <c r="B904" s="68">
        <v>40584</v>
      </c>
      <c r="C904" s="22" t="b">
        <v>0</v>
      </c>
      <c r="D904" s="21" t="str">
        <f t="shared" si="14"/>
        <v>Thursday</v>
      </c>
      <c r="E904" s="23">
        <v>0.1515</v>
      </c>
      <c r="F904" s="23">
        <f>YEAR('Merged raw data'!$B904)</f>
        <v>2011</v>
      </c>
      <c r="G904" s="23" t="str">
        <f>TEXT('Merged raw data'!$B904,"mmmm")</f>
        <v>February</v>
      </c>
      <c r="H904" s="37" t="str">
        <f>TEXT(TIME('Merged raw data'!F904,0,0),"h AM/PM")</f>
        <v>2 AM</v>
      </c>
      <c r="I904" s="23" t="str">
        <f>IF(OR('Merged raw data'!H904=1,'Merged raw data'!H904=2,'Merged raw data'!H904=3,'Merged raw data'!H904=4,'Merged raw data'!H904=5),"weekday","weekend")</f>
        <v>weekday</v>
      </c>
      <c r="J904" s="23" t="s">
        <v>23</v>
      </c>
      <c r="K904" s="23" t="str">
        <f>IF('Merged raw data'!I904=1,"Clear",IF('Merged raw data'!I904=2,"Mist",IF('Merged raw data'!I904=3,"Rain",IF('Merged raw data'!I904=4,"Storm","NA"))))</f>
        <v>Rain</v>
      </c>
      <c r="L904" s="24">
        <v>0.8</v>
      </c>
      <c r="M904" s="24">
        <v>0.1343</v>
      </c>
      <c r="N904" s="21">
        <f>'Merged raw data'!$J904*100</f>
        <v>14.000000000000002</v>
      </c>
      <c r="O904" s="21">
        <v>0</v>
      </c>
      <c r="P904" s="21">
        <v>3</v>
      </c>
      <c r="Q904" s="21">
        <v>3</v>
      </c>
      <c r="R904" s="21" t="str">
        <f>IF(Q904&gt;=outliers!I906,"High",IF(Q904&lt;=outliers!I905,"Low","Moderate"))</f>
        <v>High</v>
      </c>
      <c r="S904" s="8" t="str">
        <f>IF(OR(Q904&lt;outliers!$I$6,Q904&gt;outliers!$I$7),"Outlier","Normal")</f>
        <v>Normal</v>
      </c>
      <c r="T904" s="8" t="str">
        <f>IF(OR(L904&lt;outliers!$J$6,L904&gt;outliers!$J$7),"Outlier","Normal")</f>
        <v>Normal</v>
      </c>
      <c r="U904" s="8" t="str">
        <f>IF(OR(M904&lt;outliers!$K$6,M904&gt;outliers!$K$7),"Outlier","Normal")</f>
        <v>Normal</v>
      </c>
    </row>
    <row r="905" spans="1:21">
      <c r="A905" s="21">
        <v>904</v>
      </c>
      <c r="B905" s="68">
        <v>40584</v>
      </c>
      <c r="C905" s="22" t="b">
        <v>0</v>
      </c>
      <c r="D905" s="21" t="str">
        <f t="shared" si="14"/>
        <v>Thursday</v>
      </c>
      <c r="E905" s="23">
        <v>0.13639999999999999</v>
      </c>
      <c r="F905" s="23">
        <f>YEAR('Merged raw data'!$B905)</f>
        <v>2011</v>
      </c>
      <c r="G905" s="23" t="str">
        <f>TEXT('Merged raw data'!$B905,"mmmm")</f>
        <v>February</v>
      </c>
      <c r="H905" s="37" t="str">
        <f>TEXT(TIME('Merged raw data'!F905,0,0),"h AM/PM")</f>
        <v>4 AM</v>
      </c>
      <c r="I905" s="23" t="str">
        <f>IF(OR('Merged raw data'!H905=1,'Merged raw data'!H905=2,'Merged raw data'!H905=3,'Merged raw data'!H905=4,'Merged raw data'!H905=5),"weekday","weekend")</f>
        <v>weekday</v>
      </c>
      <c r="J905" s="23" t="s">
        <v>23</v>
      </c>
      <c r="K905" s="23" t="str">
        <f>IF('Merged raw data'!I905=1,"Clear",IF('Merged raw data'!I905=2,"Mist",IF('Merged raw data'!I905=3,"Rain",IF('Merged raw data'!I905=4,"Storm","NA"))))</f>
        <v>Mist</v>
      </c>
      <c r="L905" s="24">
        <v>0.59</v>
      </c>
      <c r="M905" s="24">
        <v>0.22389999999999999</v>
      </c>
      <c r="N905" s="21">
        <f>'Merged raw data'!$J905*100</f>
        <v>14.000000000000002</v>
      </c>
      <c r="O905" s="21">
        <v>0</v>
      </c>
      <c r="P905" s="21">
        <v>1</v>
      </c>
      <c r="Q905" s="21">
        <v>1</v>
      </c>
      <c r="R905" s="21" t="str">
        <f>IF(Q905&gt;=outliers!I907,"High",IF(Q905&lt;=outliers!I906,"Low","Moderate"))</f>
        <v>High</v>
      </c>
      <c r="S905" s="8" t="str">
        <f>IF(OR(Q905&lt;outliers!$I$6,Q905&gt;outliers!$I$7),"Outlier","Normal")</f>
        <v>Normal</v>
      </c>
      <c r="T905" s="8" t="str">
        <f>IF(OR(L905&lt;outliers!$J$6,L905&gt;outliers!$J$7),"Outlier","Normal")</f>
        <v>Normal</v>
      </c>
      <c r="U905" s="8" t="str">
        <f>IF(OR(M905&lt;outliers!$K$6,M905&gt;outliers!$K$7),"Outlier","Normal")</f>
        <v>Normal</v>
      </c>
    </row>
    <row r="906" spans="1:21">
      <c r="A906" s="21">
        <v>905</v>
      </c>
      <c r="B906" s="68">
        <v>40584</v>
      </c>
      <c r="C906" s="22" t="b">
        <v>0</v>
      </c>
      <c r="D906" s="21" t="str">
        <f t="shared" si="14"/>
        <v>Thursday</v>
      </c>
      <c r="E906" s="23">
        <v>0.1212</v>
      </c>
      <c r="F906" s="23">
        <f>YEAR('Merged raw data'!$B906)</f>
        <v>2011</v>
      </c>
      <c r="G906" s="23" t="str">
        <f>TEXT('Merged raw data'!$B906,"mmmm")</f>
        <v>February</v>
      </c>
      <c r="H906" s="37" t="str">
        <f>TEXT(TIME('Merged raw data'!F906,0,0),"h AM/PM")</f>
        <v>5 AM</v>
      </c>
      <c r="I906" s="23" t="str">
        <f>IF(OR('Merged raw data'!H906=1,'Merged raw data'!H906=2,'Merged raw data'!H906=3,'Merged raw data'!H906=4,'Merged raw data'!H906=5),"weekday","weekend")</f>
        <v>weekday</v>
      </c>
      <c r="J906" s="23" t="s">
        <v>23</v>
      </c>
      <c r="K906" s="23" t="str">
        <f>IF('Merged raw data'!I906=1,"Clear",IF('Merged raw data'!I906=2,"Mist",IF('Merged raw data'!I906=3,"Rain",IF('Merged raw data'!I906=4,"Storm","NA"))))</f>
        <v>Mist</v>
      </c>
      <c r="L906" s="24">
        <v>0.5</v>
      </c>
      <c r="M906" s="24">
        <v>0.22389999999999999</v>
      </c>
      <c r="N906" s="21">
        <f>'Merged raw data'!$J906*100</f>
        <v>12</v>
      </c>
      <c r="O906" s="21">
        <v>0</v>
      </c>
      <c r="P906" s="21">
        <v>6</v>
      </c>
      <c r="Q906" s="21">
        <v>6</v>
      </c>
      <c r="R906" s="21" t="str">
        <f>IF(Q906&gt;=outliers!I908,"High",IF(Q906&lt;=outliers!I907,"Low","Moderate"))</f>
        <v>High</v>
      </c>
      <c r="S906" s="8" t="str">
        <f>IF(OR(Q906&lt;outliers!$I$6,Q906&gt;outliers!$I$7),"Outlier","Normal")</f>
        <v>Normal</v>
      </c>
      <c r="T906" s="8" t="str">
        <f>IF(OR(L906&lt;outliers!$J$6,L906&gt;outliers!$J$7),"Outlier","Normal")</f>
        <v>Normal</v>
      </c>
      <c r="U906" s="8" t="str">
        <f>IF(OR(M906&lt;outliers!$K$6,M906&gt;outliers!$K$7),"Outlier","Normal")</f>
        <v>Normal</v>
      </c>
    </row>
    <row r="907" spans="1:21">
      <c r="A907" s="21">
        <v>906</v>
      </c>
      <c r="B907" s="68">
        <v>40584</v>
      </c>
      <c r="C907" s="22" t="b">
        <v>0</v>
      </c>
      <c r="D907" s="21" t="str">
        <f t="shared" si="14"/>
        <v>Thursday</v>
      </c>
      <c r="E907" s="23">
        <v>0.1212</v>
      </c>
      <c r="F907" s="23">
        <f>YEAR('Merged raw data'!$B907)</f>
        <v>2011</v>
      </c>
      <c r="G907" s="23" t="str">
        <f>TEXT('Merged raw data'!$B907,"mmmm")</f>
        <v>February</v>
      </c>
      <c r="H907" s="37" t="str">
        <f>TEXT(TIME('Merged raw data'!F907,0,0),"h AM/PM")</f>
        <v>6 AM</v>
      </c>
      <c r="I907" s="23" t="str">
        <f>IF(OR('Merged raw data'!H907=1,'Merged raw data'!H907=2,'Merged raw data'!H907=3,'Merged raw data'!H907=4,'Merged raw data'!H907=5),"weekday","weekend")</f>
        <v>weekday</v>
      </c>
      <c r="J907" s="23" t="s">
        <v>23</v>
      </c>
      <c r="K907" s="23" t="str">
        <f>IF('Merged raw data'!I907=1,"Clear",IF('Merged raw data'!I907=2,"Mist",IF('Merged raw data'!I907=3,"Rain",IF('Merged raw data'!I907=4,"Storm","NA"))))</f>
        <v>Mist</v>
      </c>
      <c r="L907" s="24">
        <v>0.54</v>
      </c>
      <c r="M907" s="24">
        <v>0.28360000000000002</v>
      </c>
      <c r="N907" s="21">
        <f>'Merged raw data'!$J907*100</f>
        <v>12</v>
      </c>
      <c r="O907" s="21">
        <v>0</v>
      </c>
      <c r="P907" s="21">
        <v>26</v>
      </c>
      <c r="Q907" s="21">
        <v>26</v>
      </c>
      <c r="R907" s="21" t="str">
        <f>IF(Q907&gt;=outliers!I909,"High",IF(Q907&lt;=outliers!I908,"Low","Moderate"))</f>
        <v>High</v>
      </c>
      <c r="S907" s="8" t="str">
        <f>IF(OR(Q907&lt;outliers!$I$6,Q907&gt;outliers!$I$7),"Outlier","Normal")</f>
        <v>Normal</v>
      </c>
      <c r="T907" s="8" t="str">
        <f>IF(OR(L907&lt;outliers!$J$6,L907&gt;outliers!$J$7),"Outlier","Normal")</f>
        <v>Normal</v>
      </c>
      <c r="U907" s="8" t="str">
        <f>IF(OR(M907&lt;outliers!$K$6,M907&gt;outliers!$K$7),"Outlier","Normal")</f>
        <v>Normal</v>
      </c>
    </row>
    <row r="908" spans="1:21">
      <c r="A908" s="21">
        <v>907</v>
      </c>
      <c r="B908" s="68">
        <v>40584</v>
      </c>
      <c r="C908" s="22" t="b">
        <v>0</v>
      </c>
      <c r="D908" s="21" t="str">
        <f t="shared" si="14"/>
        <v>Thursday</v>
      </c>
      <c r="E908" s="23">
        <v>7.5800000000000006E-2</v>
      </c>
      <c r="F908" s="23">
        <f>YEAR('Merged raw data'!$B908)</f>
        <v>2011</v>
      </c>
      <c r="G908" s="23" t="str">
        <f>TEXT('Merged raw data'!$B908,"mmmm")</f>
        <v>February</v>
      </c>
      <c r="H908" s="37" t="str">
        <f>TEXT(TIME('Merged raw data'!F908,0,0),"h AM/PM")</f>
        <v>7 AM</v>
      </c>
      <c r="I908" s="23" t="str">
        <f>IF(OR('Merged raw data'!H908=1,'Merged raw data'!H908=2,'Merged raw data'!H908=3,'Merged raw data'!H908=4,'Merged raw data'!H908=5),"weekday","weekend")</f>
        <v>weekday</v>
      </c>
      <c r="J908" s="23" t="s">
        <v>23</v>
      </c>
      <c r="K908" s="23" t="str">
        <f>IF('Merged raw data'!I908=1,"Clear",IF('Merged raw data'!I908=2,"Mist",IF('Merged raw data'!I908=3,"Rain",IF('Merged raw data'!I908=4,"Storm","NA"))))</f>
        <v>Clear</v>
      </c>
      <c r="L908" s="24">
        <v>0.5</v>
      </c>
      <c r="M908" s="24">
        <v>0.41789999999999999</v>
      </c>
      <c r="N908" s="21">
        <f>'Merged raw data'!$J908*100</f>
        <v>10</v>
      </c>
      <c r="O908" s="21">
        <v>0</v>
      </c>
      <c r="P908" s="21">
        <v>99</v>
      </c>
      <c r="Q908" s="21">
        <v>99</v>
      </c>
      <c r="R908" s="21" t="str">
        <f>IF(Q908&gt;=outliers!I910,"High",IF(Q908&lt;=outliers!I909,"Low","Moderate"))</f>
        <v>High</v>
      </c>
      <c r="S908" s="8" t="str">
        <f>IF(OR(Q908&lt;outliers!$I$6,Q908&gt;outliers!$I$7),"Outlier","Normal")</f>
        <v>Normal</v>
      </c>
      <c r="T908" s="8" t="str">
        <f>IF(OR(L908&lt;outliers!$J$6,L908&gt;outliers!$J$7),"Outlier","Normal")</f>
        <v>Normal</v>
      </c>
      <c r="U908" s="8" t="str">
        <f>IF(OR(M908&lt;outliers!$K$6,M908&gt;outliers!$K$7),"Outlier","Normal")</f>
        <v>Normal</v>
      </c>
    </row>
    <row r="909" spans="1:21">
      <c r="A909" s="21">
        <v>908</v>
      </c>
      <c r="B909" s="68">
        <v>40584</v>
      </c>
      <c r="C909" s="22" t="b">
        <v>0</v>
      </c>
      <c r="D909" s="21" t="str">
        <f t="shared" si="14"/>
        <v>Thursday</v>
      </c>
      <c r="E909" s="23">
        <v>7.5800000000000006E-2</v>
      </c>
      <c r="F909" s="23">
        <f>YEAR('Merged raw data'!$B909)</f>
        <v>2011</v>
      </c>
      <c r="G909" s="23" t="str">
        <f>TEXT('Merged raw data'!$B909,"mmmm")</f>
        <v>February</v>
      </c>
      <c r="H909" s="37" t="str">
        <f>TEXT(TIME('Merged raw data'!F909,0,0),"h AM/PM")</f>
        <v>8 AM</v>
      </c>
      <c r="I909" s="23" t="str">
        <f>IF(OR('Merged raw data'!H909=1,'Merged raw data'!H909=2,'Merged raw data'!H909=3,'Merged raw data'!H909=4,'Merged raw data'!H909=5),"weekday","weekend")</f>
        <v>weekday</v>
      </c>
      <c r="J909" s="23" t="s">
        <v>23</v>
      </c>
      <c r="K909" s="23" t="str">
        <f>IF('Merged raw data'!I909=1,"Clear",IF('Merged raw data'!I909=2,"Mist",IF('Merged raw data'!I909=3,"Rain",IF('Merged raw data'!I909=4,"Storm","NA"))))</f>
        <v>Clear</v>
      </c>
      <c r="L909" s="24">
        <v>0.49</v>
      </c>
      <c r="M909" s="24">
        <v>0.32840000000000003</v>
      </c>
      <c r="N909" s="21">
        <f>'Merged raw data'!$J909*100</f>
        <v>10</v>
      </c>
      <c r="O909" s="21">
        <v>5</v>
      </c>
      <c r="P909" s="21">
        <v>173</v>
      </c>
      <c r="Q909" s="21">
        <v>178</v>
      </c>
      <c r="R909" s="21" t="str">
        <f>IF(Q909&gt;=outliers!I911,"High",IF(Q909&lt;=outliers!I910,"Low","Moderate"))</f>
        <v>High</v>
      </c>
      <c r="S909" s="8" t="str">
        <f>IF(OR(Q909&lt;outliers!$I$6,Q909&gt;outliers!$I$7),"Outlier","Normal")</f>
        <v>Normal</v>
      </c>
      <c r="T909" s="8" t="str">
        <f>IF(OR(L909&lt;outliers!$J$6,L909&gt;outliers!$J$7),"Outlier","Normal")</f>
        <v>Normal</v>
      </c>
      <c r="U909" s="8" t="str">
        <f>IF(OR(M909&lt;outliers!$K$6,M909&gt;outliers!$K$7),"Outlier","Normal")</f>
        <v>Normal</v>
      </c>
    </row>
    <row r="910" spans="1:21">
      <c r="A910" s="21">
        <v>909</v>
      </c>
      <c r="B910" s="68">
        <v>40584</v>
      </c>
      <c r="C910" s="22" t="b">
        <v>0</v>
      </c>
      <c r="D910" s="21" t="str">
        <f t="shared" si="14"/>
        <v>Thursday</v>
      </c>
      <c r="E910" s="23">
        <v>0.1061</v>
      </c>
      <c r="F910" s="23">
        <f>YEAR('Merged raw data'!$B910)</f>
        <v>2011</v>
      </c>
      <c r="G910" s="23" t="str">
        <f>TEXT('Merged raw data'!$B910,"mmmm")</f>
        <v>February</v>
      </c>
      <c r="H910" s="37" t="str">
        <f>TEXT(TIME('Merged raw data'!F910,0,0),"h AM/PM")</f>
        <v>9 AM</v>
      </c>
      <c r="I910" s="23" t="str">
        <f>IF(OR('Merged raw data'!H910=1,'Merged raw data'!H910=2,'Merged raw data'!H910=3,'Merged raw data'!H910=4,'Merged raw data'!H910=5),"weekday","weekend")</f>
        <v>weekday</v>
      </c>
      <c r="J910" s="23" t="s">
        <v>23</v>
      </c>
      <c r="K910" s="23" t="str">
        <f>IF('Merged raw data'!I910=1,"Clear",IF('Merged raw data'!I910=2,"Mist",IF('Merged raw data'!I910=3,"Rain",IF('Merged raw data'!I910=4,"Storm","NA"))))</f>
        <v>Clear</v>
      </c>
      <c r="L910" s="24">
        <v>0.42</v>
      </c>
      <c r="M910" s="24">
        <v>0.35820000000000002</v>
      </c>
      <c r="N910" s="21">
        <f>'Merged raw data'!$J910*100</f>
        <v>12</v>
      </c>
      <c r="O910" s="21">
        <v>1</v>
      </c>
      <c r="P910" s="21">
        <v>121</v>
      </c>
      <c r="Q910" s="21">
        <v>122</v>
      </c>
      <c r="R910" s="21" t="str">
        <f>IF(Q910&gt;=outliers!I912,"High",IF(Q910&lt;=outliers!I911,"Low","Moderate"))</f>
        <v>High</v>
      </c>
      <c r="S910" s="8" t="str">
        <f>IF(OR(Q910&lt;outliers!$I$6,Q910&gt;outliers!$I$7),"Outlier","Normal")</f>
        <v>Normal</v>
      </c>
      <c r="T910" s="8" t="str">
        <f>IF(OR(L910&lt;outliers!$J$6,L910&gt;outliers!$J$7),"Outlier","Normal")</f>
        <v>Normal</v>
      </c>
      <c r="U910" s="8" t="str">
        <f>IF(OR(M910&lt;outliers!$K$6,M910&gt;outliers!$K$7),"Outlier","Normal")</f>
        <v>Normal</v>
      </c>
    </row>
    <row r="911" spans="1:21">
      <c r="A911" s="21">
        <v>910</v>
      </c>
      <c r="B911" s="68">
        <v>40584</v>
      </c>
      <c r="C911" s="22" t="b">
        <v>0</v>
      </c>
      <c r="D911" s="21" t="str">
        <f t="shared" si="14"/>
        <v>Thursday</v>
      </c>
      <c r="E911" s="23">
        <v>0.1061</v>
      </c>
      <c r="F911" s="23">
        <f>YEAR('Merged raw data'!$B911)</f>
        <v>2011</v>
      </c>
      <c r="G911" s="23" t="str">
        <f>TEXT('Merged raw data'!$B911,"mmmm")</f>
        <v>February</v>
      </c>
      <c r="H911" s="37" t="str">
        <f>TEXT(TIME('Merged raw data'!F911,0,0),"h AM/PM")</f>
        <v>10 AM</v>
      </c>
      <c r="I911" s="23" t="str">
        <f>IF(OR('Merged raw data'!H911=1,'Merged raw data'!H911=2,'Merged raw data'!H911=3,'Merged raw data'!H911=4,'Merged raw data'!H911=5),"weekday","weekend")</f>
        <v>weekday</v>
      </c>
      <c r="J911" s="23" t="s">
        <v>23</v>
      </c>
      <c r="K911" s="23" t="str">
        <f>IF('Merged raw data'!I911=1,"Clear",IF('Merged raw data'!I911=2,"Mist",IF('Merged raw data'!I911=3,"Rain",IF('Merged raw data'!I911=4,"Storm","NA"))))</f>
        <v>Clear</v>
      </c>
      <c r="L911" s="24">
        <v>0.42</v>
      </c>
      <c r="M911" s="24">
        <v>0.29849999999999999</v>
      </c>
      <c r="N911" s="21">
        <f>'Merged raw data'!$J911*100</f>
        <v>12</v>
      </c>
      <c r="O911" s="21">
        <v>1</v>
      </c>
      <c r="P911" s="21">
        <v>34</v>
      </c>
      <c r="Q911" s="21">
        <v>35</v>
      </c>
      <c r="R911" s="21" t="str">
        <f>IF(Q911&gt;=outliers!I913,"High",IF(Q911&lt;=outliers!I912,"Low","Moderate"))</f>
        <v>High</v>
      </c>
      <c r="S911" s="8" t="str">
        <f>IF(OR(Q911&lt;outliers!$I$6,Q911&gt;outliers!$I$7),"Outlier","Normal")</f>
        <v>Normal</v>
      </c>
      <c r="T911" s="8" t="str">
        <f>IF(OR(L911&lt;outliers!$J$6,L911&gt;outliers!$J$7),"Outlier","Normal")</f>
        <v>Normal</v>
      </c>
      <c r="U911" s="8" t="str">
        <f>IF(OR(M911&lt;outliers!$K$6,M911&gt;outliers!$K$7),"Outlier","Normal")</f>
        <v>Normal</v>
      </c>
    </row>
    <row r="912" spans="1:21">
      <c r="A912" s="21">
        <v>911</v>
      </c>
      <c r="B912" s="68">
        <v>40584</v>
      </c>
      <c r="C912" s="22" t="b">
        <v>0</v>
      </c>
      <c r="D912" s="21" t="str">
        <f t="shared" si="14"/>
        <v>Thursday</v>
      </c>
      <c r="E912" s="23">
        <v>0.1212</v>
      </c>
      <c r="F912" s="23">
        <f>YEAR('Merged raw data'!$B912)</f>
        <v>2011</v>
      </c>
      <c r="G912" s="23" t="str">
        <f>TEXT('Merged raw data'!$B912,"mmmm")</f>
        <v>February</v>
      </c>
      <c r="H912" s="37" t="str">
        <f>TEXT(TIME('Merged raw data'!F912,0,0),"h AM/PM")</f>
        <v>11 AM</v>
      </c>
      <c r="I912" s="23" t="str">
        <f>IF(OR('Merged raw data'!H912=1,'Merged raw data'!H912=2,'Merged raw data'!H912=3,'Merged raw data'!H912=4,'Merged raw data'!H912=5),"weekday","weekend")</f>
        <v>weekday</v>
      </c>
      <c r="J912" s="23" t="s">
        <v>23</v>
      </c>
      <c r="K912" s="23" t="str">
        <f>IF('Merged raw data'!I912=1,"Clear",IF('Merged raw data'!I912=2,"Mist",IF('Merged raw data'!I912=3,"Rain",IF('Merged raw data'!I912=4,"Storm","NA"))))</f>
        <v>Clear</v>
      </c>
      <c r="L912" s="24">
        <v>0.39</v>
      </c>
      <c r="M912" s="24">
        <v>0.35820000000000002</v>
      </c>
      <c r="N912" s="21">
        <f>'Merged raw data'!$J912*100</f>
        <v>14.000000000000002</v>
      </c>
      <c r="O912" s="21">
        <v>1</v>
      </c>
      <c r="P912" s="21">
        <v>44</v>
      </c>
      <c r="Q912" s="21">
        <v>45</v>
      </c>
      <c r="R912" s="21" t="str">
        <f>IF(Q912&gt;=outliers!I914,"High",IF(Q912&lt;=outliers!I913,"Low","Moderate"))</f>
        <v>High</v>
      </c>
      <c r="S912" s="8" t="str">
        <f>IF(OR(Q912&lt;outliers!$I$6,Q912&gt;outliers!$I$7),"Outlier","Normal")</f>
        <v>Normal</v>
      </c>
      <c r="T912" s="8" t="str">
        <f>IF(OR(L912&lt;outliers!$J$6,L912&gt;outliers!$J$7),"Outlier","Normal")</f>
        <v>Normal</v>
      </c>
      <c r="U912" s="8" t="str">
        <f>IF(OR(M912&lt;outliers!$K$6,M912&gt;outliers!$K$7),"Outlier","Normal")</f>
        <v>Normal</v>
      </c>
    </row>
    <row r="913" spans="1:21">
      <c r="A913" s="21">
        <v>912</v>
      </c>
      <c r="B913" s="68">
        <v>40584</v>
      </c>
      <c r="C913" s="22" t="b">
        <v>0</v>
      </c>
      <c r="D913" s="21" t="str">
        <f t="shared" si="14"/>
        <v>Thursday</v>
      </c>
      <c r="E913" s="23">
        <v>0.13639999999999999</v>
      </c>
      <c r="F913" s="23">
        <f>YEAR('Merged raw data'!$B913)</f>
        <v>2011</v>
      </c>
      <c r="G913" s="23" t="str">
        <f>TEXT('Merged raw data'!$B913,"mmmm")</f>
        <v>February</v>
      </c>
      <c r="H913" s="37" t="str">
        <f>TEXT(TIME('Merged raw data'!F913,0,0),"h AM/PM")</f>
        <v>12 PM</v>
      </c>
      <c r="I913" s="23" t="str">
        <f>IF(OR('Merged raw data'!H913=1,'Merged raw data'!H913=2,'Merged raw data'!H913=3,'Merged raw data'!H913=4,'Merged raw data'!H913=5),"weekday","weekend")</f>
        <v>weekday</v>
      </c>
      <c r="J913" s="23" t="s">
        <v>23</v>
      </c>
      <c r="K913" s="23" t="str">
        <f>IF('Merged raw data'!I913=1,"Clear",IF('Merged raw data'!I913=2,"Mist",IF('Merged raw data'!I913=3,"Rain",IF('Merged raw data'!I913=4,"Storm","NA"))))</f>
        <v>Clear</v>
      </c>
      <c r="L913" s="24">
        <v>0.34</v>
      </c>
      <c r="M913" s="24">
        <v>0.3881</v>
      </c>
      <c r="N913" s="21">
        <f>'Merged raw data'!$J913*100</f>
        <v>16</v>
      </c>
      <c r="O913" s="21">
        <v>4</v>
      </c>
      <c r="P913" s="21">
        <v>65</v>
      </c>
      <c r="Q913" s="21">
        <v>69</v>
      </c>
      <c r="R913" s="21" t="str">
        <f>IF(Q913&gt;=outliers!I915,"High",IF(Q913&lt;=outliers!I914,"Low","Moderate"))</f>
        <v>High</v>
      </c>
      <c r="S913" s="8" t="str">
        <f>IF(OR(Q913&lt;outliers!$I$6,Q913&gt;outliers!$I$7),"Outlier","Normal")</f>
        <v>Normal</v>
      </c>
      <c r="T913" s="8" t="str">
        <f>IF(OR(L913&lt;outliers!$J$6,L913&gt;outliers!$J$7),"Outlier","Normal")</f>
        <v>Normal</v>
      </c>
      <c r="U913" s="8" t="str">
        <f>IF(OR(M913&lt;outliers!$K$6,M913&gt;outliers!$K$7),"Outlier","Normal")</f>
        <v>Normal</v>
      </c>
    </row>
    <row r="914" spans="1:21">
      <c r="A914" s="21">
        <v>913</v>
      </c>
      <c r="B914" s="68">
        <v>40584</v>
      </c>
      <c r="C914" s="22" t="b">
        <v>0</v>
      </c>
      <c r="D914" s="21" t="str">
        <f t="shared" si="14"/>
        <v>Thursday</v>
      </c>
      <c r="E914" s="23">
        <v>0.16669999999999999</v>
      </c>
      <c r="F914" s="23">
        <f>YEAR('Merged raw data'!$B914)</f>
        <v>2011</v>
      </c>
      <c r="G914" s="23" t="str">
        <f>TEXT('Merged raw data'!$B914,"mmmm")</f>
        <v>February</v>
      </c>
      <c r="H914" s="37" t="str">
        <f>TEXT(TIME('Merged raw data'!F914,0,0),"h AM/PM")</f>
        <v>1 PM</v>
      </c>
      <c r="I914" s="23" t="str">
        <f>IF(OR('Merged raw data'!H914=1,'Merged raw data'!H914=2,'Merged raw data'!H914=3,'Merged raw data'!H914=4,'Merged raw data'!H914=5),"weekday","weekend")</f>
        <v>weekday</v>
      </c>
      <c r="J914" s="23" t="s">
        <v>23</v>
      </c>
      <c r="K914" s="23" t="str">
        <f>IF('Merged raw data'!I914=1,"Clear",IF('Merged raw data'!I914=2,"Mist",IF('Merged raw data'!I914=3,"Rain",IF('Merged raw data'!I914=4,"Storm","NA"))))</f>
        <v>Clear</v>
      </c>
      <c r="L914" s="24">
        <v>0.28999999999999998</v>
      </c>
      <c r="M914" s="24">
        <v>0.29849999999999999</v>
      </c>
      <c r="N914" s="21">
        <f>'Merged raw data'!$J914*100</f>
        <v>18</v>
      </c>
      <c r="O914" s="21">
        <v>3</v>
      </c>
      <c r="P914" s="21">
        <v>59</v>
      </c>
      <c r="Q914" s="21">
        <v>62</v>
      </c>
      <c r="R914" s="21" t="str">
        <f>IF(Q914&gt;=outliers!I916,"High",IF(Q914&lt;=outliers!I915,"Low","Moderate"))</f>
        <v>High</v>
      </c>
      <c r="S914" s="8" t="str">
        <f>IF(OR(Q914&lt;outliers!$I$6,Q914&gt;outliers!$I$7),"Outlier","Normal")</f>
        <v>Normal</v>
      </c>
      <c r="T914" s="8" t="str">
        <f>IF(OR(L914&lt;outliers!$J$6,L914&gt;outliers!$J$7),"Outlier","Normal")</f>
        <v>Normal</v>
      </c>
      <c r="U914" s="8" t="str">
        <f>IF(OR(M914&lt;outliers!$K$6,M914&gt;outliers!$K$7),"Outlier","Normal")</f>
        <v>Normal</v>
      </c>
    </row>
    <row r="915" spans="1:21">
      <c r="A915" s="21">
        <v>914</v>
      </c>
      <c r="B915" s="68">
        <v>40584</v>
      </c>
      <c r="C915" s="22" t="b">
        <v>0</v>
      </c>
      <c r="D915" s="21" t="str">
        <f t="shared" si="14"/>
        <v>Thursday</v>
      </c>
      <c r="E915" s="23">
        <v>0.18179999999999999</v>
      </c>
      <c r="F915" s="23">
        <f>YEAR('Merged raw data'!$B915)</f>
        <v>2011</v>
      </c>
      <c r="G915" s="23" t="str">
        <f>TEXT('Merged raw data'!$B915,"mmmm")</f>
        <v>February</v>
      </c>
      <c r="H915" s="37" t="str">
        <f>TEXT(TIME('Merged raw data'!F915,0,0),"h AM/PM")</f>
        <v>2 PM</v>
      </c>
      <c r="I915" s="23" t="str">
        <f>IF(OR('Merged raw data'!H915=1,'Merged raw data'!H915=2,'Merged raw data'!H915=3,'Merged raw data'!H915=4,'Merged raw data'!H915=5),"weekday","weekend")</f>
        <v>weekday</v>
      </c>
      <c r="J915" s="23" t="s">
        <v>23</v>
      </c>
      <c r="K915" s="23" t="str">
        <f>IF('Merged raw data'!I915=1,"Clear",IF('Merged raw data'!I915=2,"Mist",IF('Merged raw data'!I915=3,"Rain",IF('Merged raw data'!I915=4,"Storm","NA"))))</f>
        <v>Clear</v>
      </c>
      <c r="L915" s="24">
        <v>0.27</v>
      </c>
      <c r="M915" s="24">
        <v>0.28360000000000002</v>
      </c>
      <c r="N915" s="21">
        <f>'Merged raw data'!$J915*100</f>
        <v>20</v>
      </c>
      <c r="O915" s="21">
        <v>6</v>
      </c>
      <c r="P915" s="21">
        <v>42</v>
      </c>
      <c r="Q915" s="21">
        <v>48</v>
      </c>
      <c r="R915" s="21" t="str">
        <f>IF(Q915&gt;=outliers!I917,"High",IF(Q915&lt;=outliers!I916,"Low","Moderate"))</f>
        <v>High</v>
      </c>
      <c r="S915" s="8" t="str">
        <f>IF(OR(Q915&lt;outliers!$I$6,Q915&gt;outliers!$I$7),"Outlier","Normal")</f>
        <v>Normal</v>
      </c>
      <c r="T915" s="8" t="str">
        <f>IF(OR(L915&lt;outliers!$J$6,L915&gt;outliers!$J$7),"Outlier","Normal")</f>
        <v>Normal</v>
      </c>
      <c r="U915" s="8" t="str">
        <f>IF(OR(M915&lt;outliers!$K$6,M915&gt;outliers!$K$7),"Outlier","Normal")</f>
        <v>Normal</v>
      </c>
    </row>
    <row r="916" spans="1:21">
      <c r="A916" s="21">
        <v>915</v>
      </c>
      <c r="B916" s="68">
        <v>40584</v>
      </c>
      <c r="C916" s="22" t="b">
        <v>0</v>
      </c>
      <c r="D916" s="21" t="str">
        <f t="shared" si="14"/>
        <v>Thursday</v>
      </c>
      <c r="E916" s="23">
        <v>0.19700000000000001</v>
      </c>
      <c r="F916" s="23">
        <f>YEAR('Merged raw data'!$B916)</f>
        <v>2011</v>
      </c>
      <c r="G916" s="23" t="str">
        <f>TEXT('Merged raw data'!$B916,"mmmm")</f>
        <v>February</v>
      </c>
      <c r="H916" s="37" t="str">
        <f>TEXT(TIME('Merged raw data'!F916,0,0),"h AM/PM")</f>
        <v>3 PM</v>
      </c>
      <c r="I916" s="23" t="str">
        <f>IF(OR('Merged raw data'!H916=1,'Merged raw data'!H916=2,'Merged raw data'!H916=3,'Merged raw data'!H916=4,'Merged raw data'!H916=5),"weekday","weekend")</f>
        <v>weekday</v>
      </c>
      <c r="J916" s="23" t="s">
        <v>23</v>
      </c>
      <c r="K916" s="23" t="str">
        <f>IF('Merged raw data'!I916=1,"Clear",IF('Merged raw data'!I916=2,"Mist",IF('Merged raw data'!I916=3,"Rain",IF('Merged raw data'!I916=4,"Storm","NA"))))</f>
        <v>Clear</v>
      </c>
      <c r="L916" s="24">
        <v>0.25</v>
      </c>
      <c r="M916" s="24">
        <v>0.25369999999999998</v>
      </c>
      <c r="N916" s="21">
        <f>'Merged raw data'!$J916*100</f>
        <v>20</v>
      </c>
      <c r="O916" s="21">
        <v>0</v>
      </c>
      <c r="P916" s="21">
        <v>50</v>
      </c>
      <c r="Q916" s="21">
        <v>50</v>
      </c>
      <c r="R916" s="21" t="str">
        <f>IF(Q916&gt;=outliers!I918,"High",IF(Q916&lt;=outliers!I917,"Low","Moderate"))</f>
        <v>High</v>
      </c>
      <c r="S916" s="8" t="str">
        <f>IF(OR(Q916&lt;outliers!$I$6,Q916&gt;outliers!$I$7),"Outlier","Normal")</f>
        <v>Normal</v>
      </c>
      <c r="T916" s="8" t="str">
        <f>IF(OR(L916&lt;outliers!$J$6,L916&gt;outliers!$J$7),"Outlier","Normal")</f>
        <v>Normal</v>
      </c>
      <c r="U916" s="8" t="str">
        <f>IF(OR(M916&lt;outliers!$K$6,M916&gt;outliers!$K$7),"Outlier","Normal")</f>
        <v>Normal</v>
      </c>
    </row>
    <row r="917" spans="1:21">
      <c r="A917" s="21">
        <v>916</v>
      </c>
      <c r="B917" s="68">
        <v>40584</v>
      </c>
      <c r="C917" s="22" t="b">
        <v>0</v>
      </c>
      <c r="D917" s="21" t="str">
        <f t="shared" si="14"/>
        <v>Thursday</v>
      </c>
      <c r="E917" s="23">
        <v>0.18179999999999999</v>
      </c>
      <c r="F917" s="23">
        <f>YEAR('Merged raw data'!$B917)</f>
        <v>2011</v>
      </c>
      <c r="G917" s="23" t="str">
        <f>TEXT('Merged raw data'!$B917,"mmmm")</f>
        <v>February</v>
      </c>
      <c r="H917" s="37" t="str">
        <f>TEXT(TIME('Merged raw data'!F917,0,0),"h AM/PM")</f>
        <v>4 PM</v>
      </c>
      <c r="I917" s="23" t="str">
        <f>IF(OR('Merged raw data'!H917=1,'Merged raw data'!H917=2,'Merged raw data'!H917=3,'Merged raw data'!H917=4,'Merged raw data'!H917=5),"weekday","weekend")</f>
        <v>weekday</v>
      </c>
      <c r="J917" s="23" t="s">
        <v>23</v>
      </c>
      <c r="K917" s="23" t="str">
        <f>IF('Merged raw data'!I917=1,"Clear",IF('Merged raw data'!I917=2,"Mist",IF('Merged raw data'!I917=3,"Rain",IF('Merged raw data'!I917=4,"Storm","NA"))))</f>
        <v>Clear</v>
      </c>
      <c r="L917" s="24">
        <v>0.27</v>
      </c>
      <c r="M917" s="24">
        <v>0.29849999999999999</v>
      </c>
      <c r="N917" s="21">
        <f>'Merged raw data'!$J917*100</f>
        <v>20</v>
      </c>
      <c r="O917" s="21">
        <v>4</v>
      </c>
      <c r="P917" s="21">
        <v>76</v>
      </c>
      <c r="Q917" s="21">
        <v>80</v>
      </c>
      <c r="R917" s="21" t="str">
        <f>IF(Q917&gt;=outliers!I919,"High",IF(Q917&lt;=outliers!I918,"Low","Moderate"))</f>
        <v>High</v>
      </c>
      <c r="S917" s="8" t="str">
        <f>IF(OR(Q917&lt;outliers!$I$6,Q917&gt;outliers!$I$7),"Outlier","Normal")</f>
        <v>Normal</v>
      </c>
      <c r="T917" s="8" t="str">
        <f>IF(OR(L917&lt;outliers!$J$6,L917&gt;outliers!$J$7),"Outlier","Normal")</f>
        <v>Normal</v>
      </c>
      <c r="U917" s="8" t="str">
        <f>IF(OR(M917&lt;outliers!$K$6,M917&gt;outliers!$K$7),"Outlier","Normal")</f>
        <v>Normal</v>
      </c>
    </row>
    <row r="918" spans="1:21">
      <c r="A918" s="21">
        <v>917</v>
      </c>
      <c r="B918" s="68">
        <v>40584</v>
      </c>
      <c r="C918" s="22" t="b">
        <v>0</v>
      </c>
      <c r="D918" s="21" t="str">
        <f t="shared" si="14"/>
        <v>Thursday</v>
      </c>
      <c r="E918" s="23">
        <v>0.18179999999999999</v>
      </c>
      <c r="F918" s="23">
        <f>YEAR('Merged raw data'!$B918)</f>
        <v>2011</v>
      </c>
      <c r="G918" s="23" t="str">
        <f>TEXT('Merged raw data'!$B918,"mmmm")</f>
        <v>February</v>
      </c>
      <c r="H918" s="37" t="str">
        <f>TEXT(TIME('Merged raw data'!F918,0,0),"h AM/PM")</f>
        <v>5 PM</v>
      </c>
      <c r="I918" s="23" t="str">
        <f>IF(OR('Merged raw data'!H918=1,'Merged raw data'!H918=2,'Merged raw data'!H918=3,'Merged raw data'!H918=4,'Merged raw data'!H918=5),"weekday","weekend")</f>
        <v>weekday</v>
      </c>
      <c r="J918" s="23" t="s">
        <v>23</v>
      </c>
      <c r="K918" s="23" t="str">
        <f>IF('Merged raw data'!I918=1,"Clear",IF('Merged raw data'!I918=2,"Mist",IF('Merged raw data'!I918=3,"Rain",IF('Merged raw data'!I918=4,"Storm","NA"))))</f>
        <v>Clear</v>
      </c>
      <c r="L918" s="24">
        <v>0.26</v>
      </c>
      <c r="M918" s="24">
        <v>0.19400000000000001</v>
      </c>
      <c r="N918" s="21">
        <f>'Merged raw data'!$J918*100</f>
        <v>18</v>
      </c>
      <c r="O918" s="21">
        <v>6</v>
      </c>
      <c r="P918" s="21">
        <v>159</v>
      </c>
      <c r="Q918" s="21">
        <v>165</v>
      </c>
      <c r="R918" s="21" t="str">
        <f>IF(Q918&gt;=outliers!I920,"High",IF(Q918&lt;=outliers!I919,"Low","Moderate"))</f>
        <v>High</v>
      </c>
      <c r="S918" s="8" t="str">
        <f>IF(OR(Q918&lt;outliers!$I$6,Q918&gt;outliers!$I$7),"Outlier","Normal")</f>
        <v>Normal</v>
      </c>
      <c r="T918" s="8" t="str">
        <f>IF(OR(L918&lt;outliers!$J$6,L918&gt;outliers!$J$7),"Outlier","Normal")</f>
        <v>Normal</v>
      </c>
      <c r="U918" s="8" t="str">
        <f>IF(OR(M918&lt;outliers!$K$6,M918&gt;outliers!$K$7),"Outlier","Normal")</f>
        <v>Normal</v>
      </c>
    </row>
    <row r="919" spans="1:21">
      <c r="A919" s="21">
        <v>918</v>
      </c>
      <c r="B919" s="68">
        <v>40584</v>
      </c>
      <c r="C919" s="22" t="b">
        <v>0</v>
      </c>
      <c r="D919" s="21" t="str">
        <f t="shared" si="14"/>
        <v>Thursday</v>
      </c>
      <c r="E919" s="23">
        <v>0.18179999999999999</v>
      </c>
      <c r="F919" s="23">
        <f>YEAR('Merged raw data'!$B919)</f>
        <v>2011</v>
      </c>
      <c r="G919" s="23" t="str">
        <f>TEXT('Merged raw data'!$B919,"mmmm")</f>
        <v>February</v>
      </c>
      <c r="H919" s="37" t="str">
        <f>TEXT(TIME('Merged raw data'!F919,0,0),"h AM/PM")</f>
        <v>6 PM</v>
      </c>
      <c r="I919" s="23" t="str">
        <f>IF(OR('Merged raw data'!H919=1,'Merged raw data'!H919=2,'Merged raw data'!H919=3,'Merged raw data'!H919=4,'Merged raw data'!H919=5),"weekday","weekend")</f>
        <v>weekday</v>
      </c>
      <c r="J919" s="23" t="s">
        <v>23</v>
      </c>
      <c r="K919" s="23" t="str">
        <f>IF('Merged raw data'!I919=1,"Clear",IF('Merged raw data'!I919=2,"Mist",IF('Merged raw data'!I919=3,"Rain",IF('Merged raw data'!I919=4,"Storm","NA"))))</f>
        <v>Clear</v>
      </c>
      <c r="L919" s="24">
        <v>0.28000000000000003</v>
      </c>
      <c r="M919" s="24">
        <v>0.1343</v>
      </c>
      <c r="N919" s="21">
        <f>'Merged raw data'!$J919*100</f>
        <v>16</v>
      </c>
      <c r="O919" s="21">
        <v>3</v>
      </c>
      <c r="P919" s="21">
        <v>157</v>
      </c>
      <c r="Q919" s="21">
        <v>160</v>
      </c>
      <c r="R919" s="21" t="str">
        <f>IF(Q919&gt;=outliers!I921,"High",IF(Q919&lt;=outliers!I920,"Low","Moderate"))</f>
        <v>High</v>
      </c>
      <c r="S919" s="8" t="str">
        <f>IF(OR(Q919&lt;outliers!$I$6,Q919&gt;outliers!$I$7),"Outlier","Normal")</f>
        <v>Normal</v>
      </c>
      <c r="T919" s="8" t="str">
        <f>IF(OR(L919&lt;outliers!$J$6,L919&gt;outliers!$J$7),"Outlier","Normal")</f>
        <v>Normal</v>
      </c>
      <c r="U919" s="8" t="str">
        <f>IF(OR(M919&lt;outliers!$K$6,M919&gt;outliers!$K$7),"Outlier","Normal")</f>
        <v>Normal</v>
      </c>
    </row>
    <row r="920" spans="1:21">
      <c r="A920" s="21">
        <v>919</v>
      </c>
      <c r="B920" s="68">
        <v>40584</v>
      </c>
      <c r="C920" s="22" t="b">
        <v>0</v>
      </c>
      <c r="D920" s="21" t="str">
        <f t="shared" si="14"/>
        <v>Thursday</v>
      </c>
      <c r="E920" s="23">
        <v>0.16669999999999999</v>
      </c>
      <c r="F920" s="23">
        <f>YEAR('Merged raw data'!$B920)</f>
        <v>2011</v>
      </c>
      <c r="G920" s="23" t="str">
        <f>TEXT('Merged raw data'!$B920,"mmmm")</f>
        <v>February</v>
      </c>
      <c r="H920" s="37" t="str">
        <f>TEXT(TIME('Merged raw data'!F920,0,0),"h AM/PM")</f>
        <v>7 PM</v>
      </c>
      <c r="I920" s="23" t="str">
        <f>IF(OR('Merged raw data'!H920=1,'Merged raw data'!H920=2,'Merged raw data'!H920=3,'Merged raw data'!H920=4,'Merged raw data'!H920=5),"weekday","weekend")</f>
        <v>weekday</v>
      </c>
      <c r="J920" s="23" t="s">
        <v>23</v>
      </c>
      <c r="K920" s="23" t="str">
        <f>IF('Merged raw data'!I920=1,"Clear",IF('Merged raw data'!I920=2,"Mist",IF('Merged raw data'!I920=3,"Rain",IF('Merged raw data'!I920=4,"Storm","NA"))))</f>
        <v>Clear</v>
      </c>
      <c r="L920" s="24">
        <v>0.28000000000000003</v>
      </c>
      <c r="M920" s="24">
        <v>0.1045</v>
      </c>
      <c r="N920" s="21">
        <f>'Merged raw data'!$J920*100</f>
        <v>14.000000000000002</v>
      </c>
      <c r="O920" s="21">
        <v>2</v>
      </c>
      <c r="P920" s="21">
        <v>110</v>
      </c>
      <c r="Q920" s="21">
        <v>112</v>
      </c>
      <c r="R920" s="21" t="str">
        <f>IF(Q920&gt;=outliers!I922,"High",IF(Q920&lt;=outliers!I921,"Low","Moderate"))</f>
        <v>High</v>
      </c>
      <c r="S920" s="8" t="str">
        <f>IF(OR(Q920&lt;outliers!$I$6,Q920&gt;outliers!$I$7),"Outlier","Normal")</f>
        <v>Normal</v>
      </c>
      <c r="T920" s="8" t="str">
        <f>IF(OR(L920&lt;outliers!$J$6,L920&gt;outliers!$J$7),"Outlier","Normal")</f>
        <v>Normal</v>
      </c>
      <c r="U920" s="8" t="str">
        <f>IF(OR(M920&lt;outliers!$K$6,M920&gt;outliers!$K$7),"Outlier","Normal")</f>
        <v>Normal</v>
      </c>
    </row>
    <row r="921" spans="1:21">
      <c r="A921" s="21">
        <v>920</v>
      </c>
      <c r="B921" s="68">
        <v>40584</v>
      </c>
      <c r="C921" s="22" t="b">
        <v>0</v>
      </c>
      <c r="D921" s="21" t="str">
        <f t="shared" si="14"/>
        <v>Thursday</v>
      </c>
      <c r="E921" s="23">
        <v>0.18179999999999999</v>
      </c>
      <c r="F921" s="23">
        <f>YEAR('Merged raw data'!$B921)</f>
        <v>2011</v>
      </c>
      <c r="G921" s="23" t="str">
        <f>TEXT('Merged raw data'!$B921,"mmmm")</f>
        <v>February</v>
      </c>
      <c r="H921" s="37" t="str">
        <f>TEXT(TIME('Merged raw data'!F921,0,0),"h AM/PM")</f>
        <v>8 PM</v>
      </c>
      <c r="I921" s="23" t="str">
        <f>IF(OR('Merged raw data'!H921=1,'Merged raw data'!H921=2,'Merged raw data'!H921=3,'Merged raw data'!H921=4,'Merged raw data'!H921=5),"weekday","weekend")</f>
        <v>weekday</v>
      </c>
      <c r="J921" s="23" t="s">
        <v>23</v>
      </c>
      <c r="K921" s="23" t="str">
        <f>IF('Merged raw data'!I921=1,"Clear",IF('Merged raw data'!I921=2,"Mist",IF('Merged raw data'!I921=3,"Rain",IF('Merged raw data'!I921=4,"Storm","NA"))))</f>
        <v>Clear</v>
      </c>
      <c r="L921" s="24">
        <v>0.31</v>
      </c>
      <c r="M921" s="24">
        <v>8.9599999999999999E-2</v>
      </c>
      <c r="N921" s="21">
        <f>'Merged raw data'!$J921*100</f>
        <v>14.000000000000002</v>
      </c>
      <c r="O921" s="21">
        <v>4</v>
      </c>
      <c r="P921" s="21">
        <v>93</v>
      </c>
      <c r="Q921" s="21">
        <v>97</v>
      </c>
      <c r="R921" s="21" t="str">
        <f>IF(Q921&gt;=outliers!I923,"High",IF(Q921&lt;=outliers!I922,"Low","Moderate"))</f>
        <v>High</v>
      </c>
      <c r="S921" s="8" t="str">
        <f>IF(OR(Q921&lt;outliers!$I$6,Q921&gt;outliers!$I$7),"Outlier","Normal")</f>
        <v>Normal</v>
      </c>
      <c r="T921" s="8" t="str">
        <f>IF(OR(L921&lt;outliers!$J$6,L921&gt;outliers!$J$7),"Outlier","Normal")</f>
        <v>Normal</v>
      </c>
      <c r="U921" s="8" t="str">
        <f>IF(OR(M921&lt;outliers!$K$6,M921&gt;outliers!$K$7),"Outlier","Normal")</f>
        <v>Normal</v>
      </c>
    </row>
    <row r="922" spans="1:21">
      <c r="A922" s="21">
        <v>921</v>
      </c>
      <c r="B922" s="68">
        <v>40584</v>
      </c>
      <c r="C922" s="22" t="b">
        <v>0</v>
      </c>
      <c r="D922" s="21" t="str">
        <f t="shared" si="14"/>
        <v>Thursday</v>
      </c>
      <c r="E922" s="23">
        <v>0.21210000000000001</v>
      </c>
      <c r="F922" s="23">
        <f>YEAR('Merged raw data'!$B922)</f>
        <v>2011</v>
      </c>
      <c r="G922" s="23" t="str">
        <f>TEXT('Merged raw data'!$B922,"mmmm")</f>
        <v>February</v>
      </c>
      <c r="H922" s="37" t="str">
        <f>TEXT(TIME('Merged raw data'!F922,0,0),"h AM/PM")</f>
        <v>9 PM</v>
      </c>
      <c r="I922" s="23" t="str">
        <f>IF(OR('Merged raw data'!H922=1,'Merged raw data'!H922=2,'Merged raw data'!H922=3,'Merged raw data'!H922=4,'Merged raw data'!H922=5),"weekday","weekend")</f>
        <v>weekday</v>
      </c>
      <c r="J922" s="23" t="s">
        <v>23</v>
      </c>
      <c r="K922" s="23" t="str">
        <f>IF('Merged raw data'!I922=1,"Clear",IF('Merged raw data'!I922=2,"Mist",IF('Merged raw data'!I922=3,"Rain",IF('Merged raw data'!I922=4,"Storm","NA"))))</f>
        <v>Clear</v>
      </c>
      <c r="L922" s="24">
        <v>0.39</v>
      </c>
      <c r="M922" s="24">
        <v>0.23</v>
      </c>
      <c r="N922" s="21">
        <f>'Merged raw data'!$J922*100</f>
        <v>14.000000000000002</v>
      </c>
      <c r="O922" s="21">
        <v>2</v>
      </c>
      <c r="P922" s="21">
        <v>70</v>
      </c>
      <c r="Q922" s="21">
        <v>72</v>
      </c>
      <c r="R922" s="21" t="str">
        <f>IF(Q922&gt;=outliers!I924,"High",IF(Q922&lt;=outliers!I923,"Low","Moderate"))</f>
        <v>High</v>
      </c>
      <c r="S922" s="8" t="str">
        <f>IF(OR(Q922&lt;outliers!$I$6,Q922&gt;outliers!$I$7),"Outlier","Normal")</f>
        <v>Normal</v>
      </c>
      <c r="T922" s="8" t="str">
        <f>IF(OR(L922&lt;outliers!$J$6,L922&gt;outliers!$J$7),"Outlier","Normal")</f>
        <v>Normal</v>
      </c>
      <c r="U922" s="8" t="str">
        <f>IF(OR(M922&lt;outliers!$K$6,M922&gt;outliers!$K$7),"Outlier","Normal")</f>
        <v>Normal</v>
      </c>
    </row>
    <row r="923" spans="1:21">
      <c r="A923" s="21">
        <v>922</v>
      </c>
      <c r="B923" s="68">
        <v>40584</v>
      </c>
      <c r="C923" s="22" t="b">
        <v>0</v>
      </c>
      <c r="D923" s="21" t="str">
        <f t="shared" si="14"/>
        <v>Thursday</v>
      </c>
      <c r="E923" s="23">
        <v>0.19700000000000001</v>
      </c>
      <c r="F923" s="23">
        <f>YEAR('Merged raw data'!$B923)</f>
        <v>2011</v>
      </c>
      <c r="G923" s="23" t="str">
        <f>TEXT('Merged raw data'!$B923,"mmmm")</f>
        <v>February</v>
      </c>
      <c r="H923" s="37" t="str">
        <f>TEXT(TIME('Merged raw data'!F923,0,0),"h AM/PM")</f>
        <v>10 PM</v>
      </c>
      <c r="I923" s="23" t="str">
        <f>IF(OR('Merged raw data'!H923=1,'Merged raw data'!H923=2,'Merged raw data'!H923=3,'Merged raw data'!H923=4,'Merged raw data'!H923=5),"weekday","weekend")</f>
        <v>weekday</v>
      </c>
      <c r="J923" s="23" t="s">
        <v>23</v>
      </c>
      <c r="K923" s="23" t="str">
        <f>IF('Merged raw data'!I923=1,"Clear",IF('Merged raw data'!I923=2,"Mist",IF('Merged raw data'!I923=3,"Rain",IF('Merged raw data'!I923=4,"Storm","NA"))))</f>
        <v>Clear</v>
      </c>
      <c r="L923" s="24">
        <v>0.39</v>
      </c>
      <c r="M923" s="24">
        <v>0.23</v>
      </c>
      <c r="N923" s="21">
        <f>'Merged raw data'!$J923*100</f>
        <v>12</v>
      </c>
      <c r="O923" s="21">
        <v>4</v>
      </c>
      <c r="P923" s="21">
        <v>47</v>
      </c>
      <c r="Q923" s="21">
        <v>51</v>
      </c>
      <c r="R923" s="21" t="str">
        <f>IF(Q923&gt;=outliers!I925,"High",IF(Q923&lt;=outliers!I924,"Low","Moderate"))</f>
        <v>High</v>
      </c>
      <c r="S923" s="8" t="str">
        <f>IF(OR(Q923&lt;outliers!$I$6,Q923&gt;outliers!$I$7),"Outlier","Normal")</f>
        <v>Normal</v>
      </c>
      <c r="T923" s="8" t="str">
        <f>IF(OR(L923&lt;outliers!$J$6,L923&gt;outliers!$J$7),"Outlier","Normal")</f>
        <v>Normal</v>
      </c>
      <c r="U923" s="8" t="str">
        <f>IF(OR(M923&lt;outliers!$K$6,M923&gt;outliers!$K$7),"Outlier","Normal")</f>
        <v>Normal</v>
      </c>
    </row>
    <row r="924" spans="1:21">
      <c r="A924" s="21">
        <v>923</v>
      </c>
      <c r="B924" s="68">
        <v>40584</v>
      </c>
      <c r="C924" s="22" t="b">
        <v>0</v>
      </c>
      <c r="D924" s="21" t="str">
        <f t="shared" si="14"/>
        <v>Thursday</v>
      </c>
      <c r="E924" s="23">
        <v>0.1515</v>
      </c>
      <c r="F924" s="23">
        <f>YEAR('Merged raw data'!$B924)</f>
        <v>2011</v>
      </c>
      <c r="G924" s="23" t="str">
        <f>TEXT('Merged raw data'!$B924,"mmmm")</f>
        <v>February</v>
      </c>
      <c r="H924" s="37" t="str">
        <f>TEXT(TIME('Merged raw data'!F924,0,0),"h AM/PM")</f>
        <v>11 PM</v>
      </c>
      <c r="I924" s="23" t="str">
        <f>IF(OR('Merged raw data'!H924=1,'Merged raw data'!H924=2,'Merged raw data'!H924=3,'Merged raw data'!H924=4,'Merged raw data'!H924=5),"weekday","weekend")</f>
        <v>weekday</v>
      </c>
      <c r="J924" s="23" t="s">
        <v>23</v>
      </c>
      <c r="K924" s="23" t="str">
        <f>IF('Merged raw data'!I924=1,"Clear",IF('Merged raw data'!I924=2,"Mist",IF('Merged raw data'!I924=3,"Rain",IF('Merged raw data'!I924=4,"Storm","NA"))))</f>
        <v>Clear</v>
      </c>
      <c r="L924" s="24">
        <v>0.42</v>
      </c>
      <c r="M924" s="24">
        <v>0.1045</v>
      </c>
      <c r="N924" s="21">
        <f>'Merged raw data'!$J924*100</f>
        <v>12</v>
      </c>
      <c r="O924" s="21">
        <v>1</v>
      </c>
      <c r="P924" s="21">
        <v>33</v>
      </c>
      <c r="Q924" s="21">
        <v>34</v>
      </c>
      <c r="R924" s="21" t="str">
        <f>IF(Q924&gt;=outliers!I926,"High",IF(Q924&lt;=outliers!I925,"Low","Moderate"))</f>
        <v>High</v>
      </c>
      <c r="S924" s="8" t="str">
        <f>IF(OR(Q924&lt;outliers!$I$6,Q924&gt;outliers!$I$7),"Outlier","Normal")</f>
        <v>Normal</v>
      </c>
      <c r="T924" s="8" t="str">
        <f>IF(OR(L924&lt;outliers!$J$6,L924&gt;outliers!$J$7),"Outlier","Normal")</f>
        <v>Normal</v>
      </c>
      <c r="U924" s="8" t="str">
        <f>IF(OR(M924&lt;outliers!$K$6,M924&gt;outliers!$K$7),"Outlier","Normal")</f>
        <v>Normal</v>
      </c>
    </row>
    <row r="925" spans="1:21">
      <c r="A925" s="21">
        <v>924</v>
      </c>
      <c r="B925" s="68">
        <v>40585</v>
      </c>
      <c r="C925" s="22" t="b">
        <v>0</v>
      </c>
      <c r="D925" s="21" t="str">
        <f t="shared" si="14"/>
        <v>Friday</v>
      </c>
      <c r="E925" s="23">
        <v>0.13639999999999999</v>
      </c>
      <c r="F925" s="23">
        <f>YEAR('Merged raw data'!$B925)</f>
        <v>2011</v>
      </c>
      <c r="G925" s="23" t="str">
        <f>TEXT('Merged raw data'!$B925,"mmmm")</f>
        <v>February</v>
      </c>
      <c r="H925" s="37" t="str">
        <f>TEXT(TIME('Merged raw data'!F925,0,0),"h AM/PM")</f>
        <v>12 AM</v>
      </c>
      <c r="I925" s="23" t="str">
        <f>IF(OR('Merged raw data'!H925=1,'Merged raw data'!H925=2,'Merged raw data'!H925=3,'Merged raw data'!H925=4,'Merged raw data'!H925=5),"weekday","weekend")</f>
        <v>weekday</v>
      </c>
      <c r="J925" s="23" t="s">
        <v>23</v>
      </c>
      <c r="K925" s="23" t="str">
        <f>IF('Merged raw data'!I925=1,"Clear",IF('Merged raw data'!I925=2,"Mist",IF('Merged raw data'!I925=3,"Rain",IF('Merged raw data'!I925=4,"Storm","NA"))))</f>
        <v>Clear</v>
      </c>
      <c r="L925" s="24">
        <v>0.49</v>
      </c>
      <c r="M925" s="24">
        <v>0.1045</v>
      </c>
      <c r="N925" s="21">
        <f>'Merged raw data'!$J925*100</f>
        <v>10</v>
      </c>
      <c r="O925" s="21">
        <v>2</v>
      </c>
      <c r="P925" s="21">
        <v>12</v>
      </c>
      <c r="Q925" s="21">
        <v>14</v>
      </c>
      <c r="R925" s="21" t="str">
        <f>IF(Q925&gt;=outliers!I927,"High",IF(Q925&lt;=outliers!I926,"Low","Moderate"))</f>
        <v>High</v>
      </c>
      <c r="S925" s="8" t="str">
        <f>IF(OR(Q925&lt;outliers!$I$6,Q925&gt;outliers!$I$7),"Outlier","Normal")</f>
        <v>Normal</v>
      </c>
      <c r="T925" s="8" t="str">
        <f>IF(OR(L925&lt;outliers!$J$6,L925&gt;outliers!$J$7),"Outlier","Normal")</f>
        <v>Normal</v>
      </c>
      <c r="U925" s="8" t="str">
        <f>IF(OR(M925&lt;outliers!$K$6,M925&gt;outliers!$K$7),"Outlier","Normal")</f>
        <v>Normal</v>
      </c>
    </row>
    <row r="926" spans="1:21">
      <c r="A926" s="21">
        <v>925</v>
      </c>
      <c r="B926" s="68">
        <v>40585</v>
      </c>
      <c r="C926" s="22" t="b">
        <v>0</v>
      </c>
      <c r="D926" s="21" t="str">
        <f t="shared" si="14"/>
        <v>Friday</v>
      </c>
      <c r="E926" s="23">
        <v>0.13639999999999999</v>
      </c>
      <c r="F926" s="23">
        <f>YEAR('Merged raw data'!$B926)</f>
        <v>2011</v>
      </c>
      <c r="G926" s="23" t="str">
        <f>TEXT('Merged raw data'!$B926,"mmmm")</f>
        <v>February</v>
      </c>
      <c r="H926" s="37" t="str">
        <f>TEXT(TIME('Merged raw data'!F926,0,0),"h AM/PM")</f>
        <v>1 AM</v>
      </c>
      <c r="I926" s="23" t="str">
        <f>IF(OR('Merged raw data'!H926=1,'Merged raw data'!H926=2,'Merged raw data'!H926=3,'Merged raw data'!H926=4,'Merged raw data'!H926=5),"weekday","weekend")</f>
        <v>weekday</v>
      </c>
      <c r="J926" s="23" t="s">
        <v>23</v>
      </c>
      <c r="K926" s="23" t="str">
        <f>IF('Merged raw data'!I926=1,"Clear",IF('Merged raw data'!I926=2,"Mist",IF('Merged raw data'!I926=3,"Rain",IF('Merged raw data'!I926=4,"Storm","NA"))))</f>
        <v>Clear</v>
      </c>
      <c r="L926" s="24">
        <v>0.54</v>
      </c>
      <c r="M926" s="24">
        <v>8.9599999999999999E-2</v>
      </c>
      <c r="N926" s="21">
        <f>'Merged raw data'!$J926*100</f>
        <v>10</v>
      </c>
      <c r="O926" s="21">
        <v>1</v>
      </c>
      <c r="P926" s="21">
        <v>6</v>
      </c>
      <c r="Q926" s="21">
        <v>7</v>
      </c>
      <c r="R926" s="21" t="str">
        <f>IF(Q926&gt;=outliers!I928,"High",IF(Q926&lt;=outliers!I927,"Low","Moderate"))</f>
        <v>High</v>
      </c>
      <c r="S926" s="8" t="str">
        <f>IF(OR(Q926&lt;outliers!$I$6,Q926&gt;outliers!$I$7),"Outlier","Normal")</f>
        <v>Normal</v>
      </c>
      <c r="T926" s="8" t="str">
        <f>IF(OR(L926&lt;outliers!$J$6,L926&gt;outliers!$J$7),"Outlier","Normal")</f>
        <v>Normal</v>
      </c>
      <c r="U926" s="8" t="str">
        <f>IF(OR(M926&lt;outliers!$K$6,M926&gt;outliers!$K$7),"Outlier","Normal")</f>
        <v>Normal</v>
      </c>
    </row>
    <row r="927" spans="1:21">
      <c r="A927" s="21">
        <v>926</v>
      </c>
      <c r="B927" s="68">
        <v>40585</v>
      </c>
      <c r="C927" s="22" t="b">
        <v>0</v>
      </c>
      <c r="D927" s="21" t="str">
        <f t="shared" si="14"/>
        <v>Friday</v>
      </c>
      <c r="E927" s="23">
        <v>0.13639999999999999</v>
      </c>
      <c r="F927" s="23">
        <f>YEAR('Merged raw data'!$B927)</f>
        <v>2011</v>
      </c>
      <c r="G927" s="23" t="str">
        <f>TEXT('Merged raw data'!$B927,"mmmm")</f>
        <v>February</v>
      </c>
      <c r="H927" s="37" t="str">
        <f>TEXT(TIME('Merged raw data'!F927,0,0),"h AM/PM")</f>
        <v>2 AM</v>
      </c>
      <c r="I927" s="23" t="str">
        <f>IF(OR('Merged raw data'!H927=1,'Merged raw data'!H927=2,'Merged raw data'!H927=3,'Merged raw data'!H927=4,'Merged raw data'!H927=5),"weekday","weekend")</f>
        <v>weekday</v>
      </c>
      <c r="J927" s="23" t="s">
        <v>23</v>
      </c>
      <c r="K927" s="23" t="str">
        <f>IF('Merged raw data'!I927=1,"Clear",IF('Merged raw data'!I927=2,"Mist",IF('Merged raw data'!I927=3,"Rain",IF('Merged raw data'!I927=4,"Storm","NA"))))</f>
        <v>Clear</v>
      </c>
      <c r="L927" s="24">
        <v>0.54</v>
      </c>
      <c r="M927" s="24">
        <v>8.9599999999999999E-2</v>
      </c>
      <c r="N927" s="21">
        <f>'Merged raw data'!$J927*100</f>
        <v>10</v>
      </c>
      <c r="O927" s="21">
        <v>0</v>
      </c>
      <c r="P927" s="21">
        <v>3</v>
      </c>
      <c r="Q927" s="21">
        <v>3</v>
      </c>
      <c r="R927" s="21" t="str">
        <f>IF(Q927&gt;=outliers!I929,"High",IF(Q927&lt;=outliers!I928,"Low","Moderate"))</f>
        <v>High</v>
      </c>
      <c r="S927" s="8" t="str">
        <f>IF(OR(Q927&lt;outliers!$I$6,Q927&gt;outliers!$I$7),"Outlier","Normal")</f>
        <v>Normal</v>
      </c>
      <c r="T927" s="8" t="str">
        <f>IF(OR(L927&lt;outliers!$J$6,L927&gt;outliers!$J$7),"Outlier","Normal")</f>
        <v>Normal</v>
      </c>
      <c r="U927" s="8" t="str">
        <f>IF(OR(M927&lt;outliers!$K$6,M927&gt;outliers!$K$7),"Outlier","Normal")</f>
        <v>Normal</v>
      </c>
    </row>
    <row r="928" spans="1:21">
      <c r="A928" s="21">
        <v>927</v>
      </c>
      <c r="B928" s="68">
        <v>40585</v>
      </c>
      <c r="C928" s="22" t="b">
        <v>0</v>
      </c>
      <c r="D928" s="21" t="str">
        <f t="shared" si="14"/>
        <v>Friday</v>
      </c>
      <c r="E928" s="23">
        <v>0.1212</v>
      </c>
      <c r="F928" s="23">
        <f>YEAR('Merged raw data'!$B928)</f>
        <v>2011</v>
      </c>
      <c r="G928" s="23" t="str">
        <f>TEXT('Merged raw data'!$B928,"mmmm")</f>
        <v>February</v>
      </c>
      <c r="H928" s="37" t="str">
        <f>TEXT(TIME('Merged raw data'!F928,0,0),"h AM/PM")</f>
        <v>5 AM</v>
      </c>
      <c r="I928" s="23" t="str">
        <f>IF(OR('Merged raw data'!H928=1,'Merged raw data'!H928=2,'Merged raw data'!H928=3,'Merged raw data'!H928=4,'Merged raw data'!H928=5),"weekday","weekend")</f>
        <v>weekday</v>
      </c>
      <c r="J928" s="23" t="s">
        <v>23</v>
      </c>
      <c r="K928" s="23" t="str">
        <f>IF('Merged raw data'!I928=1,"Clear",IF('Merged raw data'!I928=2,"Mist",IF('Merged raw data'!I928=3,"Rain",IF('Merged raw data'!I928=4,"Storm","NA"))))</f>
        <v>Clear</v>
      </c>
      <c r="L928" s="24">
        <v>0.63</v>
      </c>
      <c r="M928" s="24">
        <v>8.9599999999999999E-2</v>
      </c>
      <c r="N928" s="21">
        <f>'Merged raw data'!$J928*100</f>
        <v>8</v>
      </c>
      <c r="O928" s="21">
        <v>0</v>
      </c>
      <c r="P928" s="21">
        <v>4</v>
      </c>
      <c r="Q928" s="21">
        <v>4</v>
      </c>
      <c r="R928" s="21" t="str">
        <f>IF(Q928&gt;=outliers!I930,"High",IF(Q928&lt;=outliers!I929,"Low","Moderate"))</f>
        <v>High</v>
      </c>
      <c r="S928" s="8" t="str">
        <f>IF(OR(Q928&lt;outliers!$I$6,Q928&gt;outliers!$I$7),"Outlier","Normal")</f>
        <v>Normal</v>
      </c>
      <c r="T928" s="8" t="str">
        <f>IF(OR(L928&lt;outliers!$J$6,L928&gt;outliers!$J$7),"Outlier","Normal")</f>
        <v>Normal</v>
      </c>
      <c r="U928" s="8" t="str">
        <f>IF(OR(M928&lt;outliers!$K$6,M928&gt;outliers!$K$7),"Outlier","Normal")</f>
        <v>Normal</v>
      </c>
    </row>
    <row r="929" spans="1:21">
      <c r="A929" s="21">
        <v>928</v>
      </c>
      <c r="B929" s="68">
        <v>40585</v>
      </c>
      <c r="C929" s="22" t="b">
        <v>0</v>
      </c>
      <c r="D929" s="21" t="str">
        <f t="shared" si="14"/>
        <v>Friday</v>
      </c>
      <c r="E929" s="23">
        <v>0.18179999999999999</v>
      </c>
      <c r="F929" s="23">
        <f>YEAR('Merged raw data'!$B929)</f>
        <v>2011</v>
      </c>
      <c r="G929" s="23" t="str">
        <f>TEXT('Merged raw data'!$B929,"mmmm")</f>
        <v>February</v>
      </c>
      <c r="H929" s="37" t="str">
        <f>TEXT(TIME('Merged raw data'!F929,0,0),"h AM/PM")</f>
        <v>6 AM</v>
      </c>
      <c r="I929" s="23" t="str">
        <f>IF(OR('Merged raw data'!H929=1,'Merged raw data'!H929=2,'Merged raw data'!H929=3,'Merged raw data'!H929=4,'Merged raw data'!H929=5),"weekday","weekend")</f>
        <v>weekday</v>
      </c>
      <c r="J929" s="23" t="s">
        <v>23</v>
      </c>
      <c r="K929" s="23" t="str">
        <f>IF('Merged raw data'!I929=1,"Clear",IF('Merged raw data'!I929=2,"Mist",IF('Merged raw data'!I929=3,"Rain",IF('Merged raw data'!I929=4,"Storm","NA"))))</f>
        <v>Clear</v>
      </c>
      <c r="L929" s="24">
        <v>0.68</v>
      </c>
      <c r="M929" s="24">
        <v>0.23</v>
      </c>
      <c r="N929" s="21">
        <f>'Merged raw data'!$J929*100</f>
        <v>10</v>
      </c>
      <c r="O929" s="21">
        <v>1</v>
      </c>
      <c r="P929" s="21">
        <v>23</v>
      </c>
      <c r="Q929" s="21">
        <v>24</v>
      </c>
      <c r="R929" s="21" t="str">
        <f>IF(Q929&gt;=outliers!I931,"High",IF(Q929&lt;=outliers!I930,"Low","Moderate"))</f>
        <v>High</v>
      </c>
      <c r="S929" s="8" t="str">
        <f>IF(OR(Q929&lt;outliers!$I$6,Q929&gt;outliers!$I$7),"Outlier","Normal")</f>
        <v>Normal</v>
      </c>
      <c r="T929" s="8" t="str">
        <f>IF(OR(L929&lt;outliers!$J$6,L929&gt;outliers!$J$7),"Outlier","Normal")</f>
        <v>Normal</v>
      </c>
      <c r="U929" s="8" t="str">
        <f>IF(OR(M929&lt;outliers!$K$6,M929&gt;outliers!$K$7),"Outlier","Normal")</f>
        <v>Normal</v>
      </c>
    </row>
    <row r="930" spans="1:21">
      <c r="A930" s="21">
        <v>929</v>
      </c>
      <c r="B930" s="68">
        <v>40585</v>
      </c>
      <c r="C930" s="22" t="b">
        <v>0</v>
      </c>
      <c r="D930" s="21" t="str">
        <f t="shared" si="14"/>
        <v>Friday</v>
      </c>
      <c r="E930" s="23">
        <v>0.16669999999999999</v>
      </c>
      <c r="F930" s="23">
        <f>YEAR('Merged raw data'!$B930)</f>
        <v>2011</v>
      </c>
      <c r="G930" s="23" t="str">
        <f>TEXT('Merged raw data'!$B930,"mmmm")</f>
        <v>February</v>
      </c>
      <c r="H930" s="37" t="str">
        <f>TEXT(TIME('Merged raw data'!F930,0,0),"h AM/PM")</f>
        <v>7 AM</v>
      </c>
      <c r="I930" s="23" t="str">
        <f>IF(OR('Merged raw data'!H930=1,'Merged raw data'!H930=2,'Merged raw data'!H930=3,'Merged raw data'!H930=4,'Merged raw data'!H930=5),"weekday","weekend")</f>
        <v>weekday</v>
      </c>
      <c r="J930" s="23" t="s">
        <v>23</v>
      </c>
      <c r="K930" s="23" t="str">
        <f>IF('Merged raw data'!I930=1,"Clear",IF('Merged raw data'!I930=2,"Mist",IF('Merged raw data'!I930=3,"Rain",IF('Merged raw data'!I930=4,"Storm","NA"))))</f>
        <v>Clear</v>
      </c>
      <c r="L930" s="24">
        <v>0.73</v>
      </c>
      <c r="M930" s="24">
        <v>0.23</v>
      </c>
      <c r="N930" s="21">
        <f>'Merged raw data'!$J930*100</f>
        <v>8</v>
      </c>
      <c r="O930" s="21">
        <v>1</v>
      </c>
      <c r="P930" s="21">
        <v>73</v>
      </c>
      <c r="Q930" s="21">
        <v>74</v>
      </c>
      <c r="R930" s="21" t="str">
        <f>IF(Q930&gt;=outliers!I932,"High",IF(Q930&lt;=outliers!I931,"Low","Moderate"))</f>
        <v>High</v>
      </c>
      <c r="S930" s="8" t="str">
        <f>IF(OR(Q930&lt;outliers!$I$6,Q930&gt;outliers!$I$7),"Outlier","Normal")</f>
        <v>Normal</v>
      </c>
      <c r="T930" s="8" t="str">
        <f>IF(OR(L930&lt;outliers!$J$6,L930&gt;outliers!$J$7),"Outlier","Normal")</f>
        <v>Normal</v>
      </c>
      <c r="U930" s="8" t="str">
        <f>IF(OR(M930&lt;outliers!$K$6,M930&gt;outliers!$K$7),"Outlier","Normal")</f>
        <v>Normal</v>
      </c>
    </row>
    <row r="931" spans="1:21">
      <c r="A931" s="21">
        <v>930</v>
      </c>
      <c r="B931" s="68">
        <v>40585</v>
      </c>
      <c r="C931" s="22" t="b">
        <v>0</v>
      </c>
      <c r="D931" s="21" t="str">
        <f t="shared" si="14"/>
        <v>Friday</v>
      </c>
      <c r="E931" s="23">
        <v>0.1212</v>
      </c>
      <c r="F931" s="23">
        <f>YEAR('Merged raw data'!$B931)</f>
        <v>2011</v>
      </c>
      <c r="G931" s="23" t="str">
        <f>TEXT('Merged raw data'!$B931,"mmmm")</f>
        <v>February</v>
      </c>
      <c r="H931" s="37" t="str">
        <f>TEXT(TIME('Merged raw data'!F931,0,0),"h AM/PM")</f>
        <v>8 AM</v>
      </c>
      <c r="I931" s="23" t="str">
        <f>IF(OR('Merged raw data'!H931=1,'Merged raw data'!H931=2,'Merged raw data'!H931=3,'Merged raw data'!H931=4,'Merged raw data'!H931=5),"weekday","weekend")</f>
        <v>weekday</v>
      </c>
      <c r="J931" s="23" t="s">
        <v>23</v>
      </c>
      <c r="K931" s="23" t="str">
        <f>IF('Merged raw data'!I931=1,"Clear",IF('Merged raw data'!I931=2,"Mist",IF('Merged raw data'!I931=3,"Rain",IF('Merged raw data'!I931=4,"Storm","NA"))))</f>
        <v>Clear</v>
      </c>
      <c r="L931" s="24">
        <v>0.74</v>
      </c>
      <c r="M931" s="24">
        <v>0.16420000000000001</v>
      </c>
      <c r="N931" s="21">
        <f>'Merged raw data'!$J931*100</f>
        <v>10</v>
      </c>
      <c r="O931" s="21">
        <v>4</v>
      </c>
      <c r="P931" s="21">
        <v>212</v>
      </c>
      <c r="Q931" s="21">
        <v>216</v>
      </c>
      <c r="R931" s="21" t="str">
        <f>IF(Q931&gt;=outliers!I933,"High",IF(Q931&lt;=outliers!I932,"Low","Moderate"))</f>
        <v>High</v>
      </c>
      <c r="S931" s="8" t="str">
        <f>IF(OR(Q931&lt;outliers!$I$6,Q931&gt;outliers!$I$7),"Outlier","Normal")</f>
        <v>Outlier</v>
      </c>
      <c r="T931" s="8" t="str">
        <f>IF(OR(L931&lt;outliers!$J$6,L931&gt;outliers!$J$7),"Outlier","Normal")</f>
        <v>Normal</v>
      </c>
      <c r="U931" s="8" t="str">
        <f>IF(OR(M931&lt;outliers!$K$6,M931&gt;outliers!$K$7),"Outlier","Normal")</f>
        <v>Normal</v>
      </c>
    </row>
    <row r="932" spans="1:21">
      <c r="A932" s="21">
        <v>931</v>
      </c>
      <c r="B932" s="68">
        <v>40585</v>
      </c>
      <c r="C932" s="22" t="b">
        <v>0</v>
      </c>
      <c r="D932" s="21" t="str">
        <f t="shared" si="14"/>
        <v>Friday</v>
      </c>
      <c r="E932" s="23">
        <v>0.1212</v>
      </c>
      <c r="F932" s="23">
        <f>YEAR('Merged raw data'!$B932)</f>
        <v>2011</v>
      </c>
      <c r="G932" s="23" t="str">
        <f>TEXT('Merged raw data'!$B932,"mmmm")</f>
        <v>February</v>
      </c>
      <c r="H932" s="37" t="str">
        <f>TEXT(TIME('Merged raw data'!F932,0,0),"h AM/PM")</f>
        <v>9 AM</v>
      </c>
      <c r="I932" s="23" t="str">
        <f>IF(OR('Merged raw data'!H932=1,'Merged raw data'!H932=2,'Merged raw data'!H932=3,'Merged raw data'!H932=4,'Merged raw data'!H932=5),"weekday","weekend")</f>
        <v>weekday</v>
      </c>
      <c r="J932" s="23" t="s">
        <v>23</v>
      </c>
      <c r="K932" s="23" t="str">
        <f>IF('Merged raw data'!I932=1,"Clear",IF('Merged raw data'!I932=2,"Mist",IF('Merged raw data'!I932=3,"Rain",IF('Merged raw data'!I932=4,"Storm","NA"))))</f>
        <v>Clear</v>
      </c>
      <c r="L932" s="24">
        <v>0.74</v>
      </c>
      <c r="M932" s="24">
        <v>0.22389999999999999</v>
      </c>
      <c r="N932" s="21">
        <f>'Merged raw data'!$J932*100</f>
        <v>12</v>
      </c>
      <c r="O932" s="21">
        <v>8</v>
      </c>
      <c r="P932" s="21">
        <v>132</v>
      </c>
      <c r="Q932" s="21">
        <v>140</v>
      </c>
      <c r="R932" s="21" t="str">
        <f>IF(Q932&gt;=outliers!I934,"High",IF(Q932&lt;=outliers!I933,"Low","Moderate"))</f>
        <v>High</v>
      </c>
      <c r="S932" s="8" t="str">
        <f>IF(OR(Q932&lt;outliers!$I$6,Q932&gt;outliers!$I$7),"Outlier","Normal")</f>
        <v>Normal</v>
      </c>
      <c r="T932" s="8" t="str">
        <f>IF(OR(L932&lt;outliers!$J$6,L932&gt;outliers!$J$7),"Outlier","Normal")</f>
        <v>Normal</v>
      </c>
      <c r="U932" s="8" t="str">
        <f>IF(OR(M932&lt;outliers!$K$6,M932&gt;outliers!$K$7),"Outlier","Normal")</f>
        <v>Normal</v>
      </c>
    </row>
    <row r="933" spans="1:21">
      <c r="A933" s="21">
        <v>932</v>
      </c>
      <c r="B933" s="68">
        <v>40585</v>
      </c>
      <c r="C933" s="22" t="b">
        <v>0</v>
      </c>
      <c r="D933" s="21" t="str">
        <f t="shared" si="14"/>
        <v>Friday</v>
      </c>
      <c r="E933" s="23">
        <v>0.13639999999999999</v>
      </c>
      <c r="F933" s="23">
        <f>YEAR('Merged raw data'!$B933)</f>
        <v>2011</v>
      </c>
      <c r="G933" s="23" t="str">
        <f>TEXT('Merged raw data'!$B933,"mmmm")</f>
        <v>February</v>
      </c>
      <c r="H933" s="37" t="str">
        <f>TEXT(TIME('Merged raw data'!F933,0,0),"h AM/PM")</f>
        <v>10 AM</v>
      </c>
      <c r="I933" s="23" t="str">
        <f>IF(OR('Merged raw data'!H933=1,'Merged raw data'!H933=2,'Merged raw data'!H933=3,'Merged raw data'!H933=4,'Merged raw data'!H933=5),"weekday","weekend")</f>
        <v>weekday</v>
      </c>
      <c r="J933" s="23" t="s">
        <v>23</v>
      </c>
      <c r="K933" s="23" t="str">
        <f>IF('Merged raw data'!I933=1,"Clear",IF('Merged raw data'!I933=2,"Mist",IF('Merged raw data'!I933=3,"Rain",IF('Merged raw data'!I933=4,"Storm","NA"))))</f>
        <v>Clear</v>
      </c>
      <c r="L933" s="24">
        <v>0.69</v>
      </c>
      <c r="M933" s="24">
        <v>0.19400000000000001</v>
      </c>
      <c r="N933" s="21">
        <f>'Merged raw data'!$J933*100</f>
        <v>14.000000000000002</v>
      </c>
      <c r="O933" s="21">
        <v>5</v>
      </c>
      <c r="P933" s="21">
        <v>39</v>
      </c>
      <c r="Q933" s="21">
        <v>44</v>
      </c>
      <c r="R933" s="21" t="str">
        <f>IF(Q933&gt;=outliers!I935,"High",IF(Q933&lt;=outliers!I934,"Low","Moderate"))</f>
        <v>High</v>
      </c>
      <c r="S933" s="8" t="str">
        <f>IF(OR(Q933&lt;outliers!$I$6,Q933&gt;outliers!$I$7),"Outlier","Normal")</f>
        <v>Normal</v>
      </c>
      <c r="T933" s="8" t="str">
        <f>IF(OR(L933&lt;outliers!$J$6,L933&gt;outliers!$J$7),"Outlier","Normal")</f>
        <v>Normal</v>
      </c>
      <c r="U933" s="8" t="str">
        <f>IF(OR(M933&lt;outliers!$K$6,M933&gt;outliers!$K$7),"Outlier","Normal")</f>
        <v>Normal</v>
      </c>
    </row>
    <row r="934" spans="1:21">
      <c r="A934" s="21">
        <v>933</v>
      </c>
      <c r="B934" s="68">
        <v>40585</v>
      </c>
      <c r="C934" s="22" t="b">
        <v>0</v>
      </c>
      <c r="D934" s="21" t="str">
        <f t="shared" si="14"/>
        <v>Friday</v>
      </c>
      <c r="E934" s="23">
        <v>0.2273</v>
      </c>
      <c r="F934" s="23">
        <f>YEAR('Merged raw data'!$B934)</f>
        <v>2011</v>
      </c>
      <c r="G934" s="23" t="str">
        <f>TEXT('Merged raw data'!$B934,"mmmm")</f>
        <v>February</v>
      </c>
      <c r="H934" s="37" t="str">
        <f>TEXT(TIME('Merged raw data'!F934,0,0),"h AM/PM")</f>
        <v>11 AM</v>
      </c>
      <c r="I934" s="23" t="str">
        <f>IF(OR('Merged raw data'!H934=1,'Merged raw data'!H934=2,'Merged raw data'!H934=3,'Merged raw data'!H934=4,'Merged raw data'!H934=5),"weekday","weekend")</f>
        <v>weekday</v>
      </c>
      <c r="J934" s="23" t="s">
        <v>23</v>
      </c>
      <c r="K934" s="23" t="str">
        <f>IF('Merged raw data'!I934=1,"Clear",IF('Merged raw data'!I934=2,"Mist",IF('Merged raw data'!I934=3,"Rain",IF('Merged raw data'!I934=4,"Storm","NA"))))</f>
        <v>Clear</v>
      </c>
      <c r="L934" s="24">
        <v>0.47</v>
      </c>
      <c r="M934" s="24">
        <v>0.1343</v>
      </c>
      <c r="N934" s="21">
        <f>'Merged raw data'!$J934*100</f>
        <v>22</v>
      </c>
      <c r="O934" s="21">
        <v>12</v>
      </c>
      <c r="P934" s="21">
        <v>52</v>
      </c>
      <c r="Q934" s="21">
        <v>64</v>
      </c>
      <c r="R934" s="21" t="str">
        <f>IF(Q934&gt;=outliers!I936,"High",IF(Q934&lt;=outliers!I935,"Low","Moderate"))</f>
        <v>High</v>
      </c>
      <c r="S934" s="8" t="str">
        <f>IF(OR(Q934&lt;outliers!$I$6,Q934&gt;outliers!$I$7),"Outlier","Normal")</f>
        <v>Normal</v>
      </c>
      <c r="T934" s="8" t="str">
        <f>IF(OR(L934&lt;outliers!$J$6,L934&gt;outliers!$J$7),"Outlier","Normal")</f>
        <v>Normal</v>
      </c>
      <c r="U934" s="8" t="str">
        <f>IF(OR(M934&lt;outliers!$K$6,M934&gt;outliers!$K$7),"Outlier","Normal")</f>
        <v>Normal</v>
      </c>
    </row>
    <row r="935" spans="1:21">
      <c r="A935" s="21">
        <v>934</v>
      </c>
      <c r="B935" s="68">
        <v>40585</v>
      </c>
      <c r="C935" s="22" t="b">
        <v>0</v>
      </c>
      <c r="D935" s="21" t="str">
        <f t="shared" si="14"/>
        <v>Friday</v>
      </c>
      <c r="E935" s="23">
        <v>0.2273</v>
      </c>
      <c r="F935" s="23">
        <f>YEAR('Merged raw data'!$B935)</f>
        <v>2011</v>
      </c>
      <c r="G935" s="23" t="str">
        <f>TEXT('Merged raw data'!$B935,"mmmm")</f>
        <v>February</v>
      </c>
      <c r="H935" s="37" t="str">
        <f>TEXT(TIME('Merged raw data'!F935,0,0),"h AM/PM")</f>
        <v>12 PM</v>
      </c>
      <c r="I935" s="23" t="str">
        <f>IF(OR('Merged raw data'!H935=1,'Merged raw data'!H935=2,'Merged raw data'!H935=3,'Merged raw data'!H935=4,'Merged raw data'!H935=5),"weekday","weekend")</f>
        <v>weekday</v>
      </c>
      <c r="J935" s="23" t="s">
        <v>23</v>
      </c>
      <c r="K935" s="23" t="str">
        <f>IF('Merged raw data'!I935=1,"Clear",IF('Merged raw data'!I935=2,"Mist",IF('Merged raw data'!I935=3,"Rain",IF('Merged raw data'!I935=4,"Storm","NA"))))</f>
        <v>Clear</v>
      </c>
      <c r="L935" s="24">
        <v>0.47</v>
      </c>
      <c r="M935" s="24">
        <v>0.1343</v>
      </c>
      <c r="N935" s="21">
        <f>'Merged raw data'!$J935*100</f>
        <v>22</v>
      </c>
      <c r="O935" s="21">
        <v>7</v>
      </c>
      <c r="P935" s="21">
        <v>64</v>
      </c>
      <c r="Q935" s="21">
        <v>71</v>
      </c>
      <c r="R935" s="21" t="str">
        <f>IF(Q935&gt;=outliers!I937,"High",IF(Q935&lt;=outliers!I936,"Low","Moderate"))</f>
        <v>High</v>
      </c>
      <c r="S935" s="8" t="str">
        <f>IF(OR(Q935&lt;outliers!$I$6,Q935&gt;outliers!$I$7),"Outlier","Normal")</f>
        <v>Normal</v>
      </c>
      <c r="T935" s="8" t="str">
        <f>IF(OR(L935&lt;outliers!$J$6,L935&gt;outliers!$J$7),"Outlier","Normal")</f>
        <v>Normal</v>
      </c>
      <c r="U935" s="8" t="str">
        <f>IF(OR(M935&lt;outliers!$K$6,M935&gt;outliers!$K$7),"Outlier","Normal")</f>
        <v>Normal</v>
      </c>
    </row>
    <row r="936" spans="1:21">
      <c r="A936" s="21">
        <v>935</v>
      </c>
      <c r="B936" s="68">
        <v>40585</v>
      </c>
      <c r="C936" s="22" t="b">
        <v>0</v>
      </c>
      <c r="D936" s="21" t="str">
        <f t="shared" si="14"/>
        <v>Friday</v>
      </c>
      <c r="E936" s="23">
        <v>0.2273</v>
      </c>
      <c r="F936" s="23">
        <f>YEAR('Merged raw data'!$B936)</f>
        <v>2011</v>
      </c>
      <c r="G936" s="23" t="str">
        <f>TEXT('Merged raw data'!$B936,"mmmm")</f>
        <v>February</v>
      </c>
      <c r="H936" s="37" t="str">
        <f>TEXT(TIME('Merged raw data'!F936,0,0),"h AM/PM")</f>
        <v>1 PM</v>
      </c>
      <c r="I936" s="23" t="str">
        <f>IF(OR('Merged raw data'!H936=1,'Merged raw data'!H936=2,'Merged raw data'!H936=3,'Merged raw data'!H936=4,'Merged raw data'!H936=5),"weekday","weekend")</f>
        <v>weekday</v>
      </c>
      <c r="J936" s="23" t="s">
        <v>23</v>
      </c>
      <c r="K936" s="23" t="str">
        <f>IF('Merged raw data'!I936=1,"Clear",IF('Merged raw data'!I936=2,"Mist",IF('Merged raw data'!I936=3,"Rain",IF('Merged raw data'!I936=4,"Storm","NA"))))</f>
        <v>Clear</v>
      </c>
      <c r="L936" s="24">
        <v>0.35</v>
      </c>
      <c r="M936" s="24">
        <v>0.19400000000000001</v>
      </c>
      <c r="N936" s="21">
        <f>'Merged raw data'!$J936*100</f>
        <v>24</v>
      </c>
      <c r="O936" s="21">
        <v>21</v>
      </c>
      <c r="P936" s="21">
        <v>89</v>
      </c>
      <c r="Q936" s="21">
        <v>110</v>
      </c>
      <c r="R936" s="21" t="str">
        <f>IF(Q936&gt;=outliers!I938,"High",IF(Q936&lt;=outliers!I937,"Low","Moderate"))</f>
        <v>High</v>
      </c>
      <c r="S936" s="8" t="str">
        <f>IF(OR(Q936&lt;outliers!$I$6,Q936&gt;outliers!$I$7),"Outlier","Normal")</f>
        <v>Normal</v>
      </c>
      <c r="T936" s="8" t="str">
        <f>IF(OR(L936&lt;outliers!$J$6,L936&gt;outliers!$J$7),"Outlier","Normal")</f>
        <v>Normal</v>
      </c>
      <c r="U936" s="8" t="str">
        <f>IF(OR(M936&lt;outliers!$K$6,M936&gt;outliers!$K$7),"Outlier","Normal")</f>
        <v>Normal</v>
      </c>
    </row>
    <row r="937" spans="1:21">
      <c r="A937" s="21">
        <v>936</v>
      </c>
      <c r="B937" s="68">
        <v>40585</v>
      </c>
      <c r="C937" s="22" t="b">
        <v>0</v>
      </c>
      <c r="D937" s="21" t="str">
        <f t="shared" si="14"/>
        <v>Friday</v>
      </c>
      <c r="E937" s="23">
        <v>0.28789999999999999</v>
      </c>
      <c r="F937" s="23">
        <f>YEAR('Merged raw data'!$B937)</f>
        <v>2011</v>
      </c>
      <c r="G937" s="23" t="str">
        <f>TEXT('Merged raw data'!$B937,"mmmm")</f>
        <v>February</v>
      </c>
      <c r="H937" s="37" t="str">
        <f>TEXT(TIME('Merged raw data'!F937,0,0),"h AM/PM")</f>
        <v>2 PM</v>
      </c>
      <c r="I937" s="23" t="str">
        <f>IF(OR('Merged raw data'!H937=1,'Merged raw data'!H937=2,'Merged raw data'!H937=3,'Merged raw data'!H937=4,'Merged raw data'!H937=5),"weekday","weekend")</f>
        <v>weekday</v>
      </c>
      <c r="J937" s="23" t="s">
        <v>23</v>
      </c>
      <c r="K937" s="23" t="str">
        <f>IF('Merged raw data'!I937=1,"Clear",IF('Merged raw data'!I937=2,"Mist",IF('Merged raw data'!I937=3,"Rain",IF('Merged raw data'!I937=4,"Storm","NA"))))</f>
        <v>Clear</v>
      </c>
      <c r="L937" s="24">
        <v>0.26</v>
      </c>
      <c r="M937" s="24">
        <v>0.25369999999999998</v>
      </c>
      <c r="N937" s="21">
        <f>'Merged raw data'!$J937*100</f>
        <v>30</v>
      </c>
      <c r="O937" s="21">
        <v>17</v>
      </c>
      <c r="P937" s="21">
        <v>67</v>
      </c>
      <c r="Q937" s="21">
        <v>84</v>
      </c>
      <c r="R937" s="21" t="str">
        <f>IF(Q937&gt;=outliers!I939,"High",IF(Q937&lt;=outliers!I938,"Low","Moderate"))</f>
        <v>High</v>
      </c>
      <c r="S937" s="8" t="str">
        <f>IF(OR(Q937&lt;outliers!$I$6,Q937&gt;outliers!$I$7),"Outlier","Normal")</f>
        <v>Normal</v>
      </c>
      <c r="T937" s="8" t="str">
        <f>IF(OR(L937&lt;outliers!$J$6,L937&gt;outliers!$J$7),"Outlier","Normal")</f>
        <v>Normal</v>
      </c>
      <c r="U937" s="8" t="str">
        <f>IF(OR(M937&lt;outliers!$K$6,M937&gt;outliers!$K$7),"Outlier","Normal")</f>
        <v>Normal</v>
      </c>
    </row>
    <row r="938" spans="1:21">
      <c r="A938" s="21">
        <v>937</v>
      </c>
      <c r="B938" s="68">
        <v>40585</v>
      </c>
      <c r="C938" s="22" t="b">
        <v>0</v>
      </c>
      <c r="D938" s="21" t="str">
        <f t="shared" si="14"/>
        <v>Friday</v>
      </c>
      <c r="E938" s="23">
        <v>0.31819999999999998</v>
      </c>
      <c r="F938" s="23">
        <f>YEAR('Merged raw data'!$B938)</f>
        <v>2011</v>
      </c>
      <c r="G938" s="23" t="str">
        <f>TEXT('Merged raw data'!$B938,"mmmm")</f>
        <v>February</v>
      </c>
      <c r="H938" s="37" t="str">
        <f>TEXT(TIME('Merged raw data'!F938,0,0),"h AM/PM")</f>
        <v>3 PM</v>
      </c>
      <c r="I938" s="23" t="str">
        <f>IF(OR('Merged raw data'!H938=1,'Merged raw data'!H938=2,'Merged raw data'!H938=3,'Merged raw data'!H938=4,'Merged raw data'!H938=5),"weekday","weekend")</f>
        <v>weekday</v>
      </c>
      <c r="J938" s="23" t="s">
        <v>23</v>
      </c>
      <c r="K938" s="23" t="str">
        <f>IF('Merged raw data'!I938=1,"Clear",IF('Merged raw data'!I938=2,"Mist",IF('Merged raw data'!I938=3,"Rain",IF('Merged raw data'!I938=4,"Storm","NA"))))</f>
        <v>Clear</v>
      </c>
      <c r="L938" s="24">
        <v>0.21</v>
      </c>
      <c r="M938" s="24">
        <v>0.16420000000000001</v>
      </c>
      <c r="N938" s="21">
        <f>'Merged raw data'!$J938*100</f>
        <v>32</v>
      </c>
      <c r="O938" s="21">
        <v>12</v>
      </c>
      <c r="P938" s="21">
        <v>62</v>
      </c>
      <c r="Q938" s="21">
        <v>74</v>
      </c>
      <c r="R938" s="21" t="str">
        <f>IF(Q938&gt;=outliers!I940,"High",IF(Q938&lt;=outliers!I939,"Low","Moderate"))</f>
        <v>High</v>
      </c>
      <c r="S938" s="8" t="str">
        <f>IF(OR(Q938&lt;outliers!$I$6,Q938&gt;outliers!$I$7),"Outlier","Normal")</f>
        <v>Normal</v>
      </c>
      <c r="T938" s="8" t="str">
        <f>IF(OR(L938&lt;outliers!$J$6,L938&gt;outliers!$J$7),"Outlier","Normal")</f>
        <v>Normal</v>
      </c>
      <c r="U938" s="8" t="str">
        <f>IF(OR(M938&lt;outliers!$K$6,M938&gt;outliers!$K$7),"Outlier","Normal")</f>
        <v>Normal</v>
      </c>
    </row>
    <row r="939" spans="1:21">
      <c r="A939" s="21">
        <v>938</v>
      </c>
      <c r="B939" s="68">
        <v>40585</v>
      </c>
      <c r="C939" s="22" t="b">
        <v>0</v>
      </c>
      <c r="D939" s="21" t="str">
        <f t="shared" si="14"/>
        <v>Friday</v>
      </c>
      <c r="E939" s="23">
        <v>0.28789999999999999</v>
      </c>
      <c r="F939" s="23">
        <f>YEAR('Merged raw data'!$B939)</f>
        <v>2011</v>
      </c>
      <c r="G939" s="23" t="str">
        <f>TEXT('Merged raw data'!$B939,"mmmm")</f>
        <v>February</v>
      </c>
      <c r="H939" s="37" t="str">
        <f>TEXT(TIME('Merged raw data'!F939,0,0),"h AM/PM")</f>
        <v>4 PM</v>
      </c>
      <c r="I939" s="23" t="str">
        <f>IF(OR('Merged raw data'!H939=1,'Merged raw data'!H939=2,'Merged raw data'!H939=3,'Merged raw data'!H939=4,'Merged raw data'!H939=5),"weekday","weekend")</f>
        <v>weekday</v>
      </c>
      <c r="J939" s="23" t="s">
        <v>23</v>
      </c>
      <c r="K939" s="23" t="str">
        <f>IF('Merged raw data'!I939=1,"Clear",IF('Merged raw data'!I939=2,"Mist",IF('Merged raw data'!I939=3,"Rain",IF('Merged raw data'!I939=4,"Storm","NA"))))</f>
        <v>Clear</v>
      </c>
      <c r="L939" s="24">
        <v>0.28000000000000003</v>
      </c>
      <c r="M939" s="24">
        <v>0.19400000000000001</v>
      </c>
      <c r="N939" s="21">
        <f>'Merged raw data'!$J939*100</f>
        <v>30</v>
      </c>
      <c r="O939" s="21">
        <v>14</v>
      </c>
      <c r="P939" s="21">
        <v>111</v>
      </c>
      <c r="Q939" s="21">
        <v>125</v>
      </c>
      <c r="R939" s="21" t="str">
        <f>IF(Q939&gt;=outliers!I941,"High",IF(Q939&lt;=outliers!I940,"Low","Moderate"))</f>
        <v>High</v>
      </c>
      <c r="S939" s="8" t="str">
        <f>IF(OR(Q939&lt;outliers!$I$6,Q939&gt;outliers!$I$7),"Outlier","Normal")</f>
        <v>Normal</v>
      </c>
      <c r="T939" s="8" t="str">
        <f>IF(OR(L939&lt;outliers!$J$6,L939&gt;outliers!$J$7),"Outlier","Normal")</f>
        <v>Normal</v>
      </c>
      <c r="U939" s="8" t="str">
        <f>IF(OR(M939&lt;outliers!$K$6,M939&gt;outliers!$K$7),"Outlier","Normal")</f>
        <v>Normal</v>
      </c>
    </row>
    <row r="940" spans="1:21">
      <c r="A940" s="21">
        <v>939</v>
      </c>
      <c r="B940" s="68">
        <v>40585</v>
      </c>
      <c r="C940" s="22" t="b">
        <v>0</v>
      </c>
      <c r="D940" s="21" t="str">
        <f t="shared" si="14"/>
        <v>Friday</v>
      </c>
      <c r="E940" s="23">
        <v>0.33329999999999999</v>
      </c>
      <c r="F940" s="23">
        <f>YEAR('Merged raw data'!$B940)</f>
        <v>2011</v>
      </c>
      <c r="G940" s="23" t="str">
        <f>TEXT('Merged raw data'!$B940,"mmmm")</f>
        <v>February</v>
      </c>
      <c r="H940" s="37" t="str">
        <f>TEXT(TIME('Merged raw data'!F940,0,0),"h AM/PM")</f>
        <v>5 PM</v>
      </c>
      <c r="I940" s="23" t="str">
        <f>IF(OR('Merged raw data'!H940=1,'Merged raw data'!H940=2,'Merged raw data'!H940=3,'Merged raw data'!H940=4,'Merged raw data'!H940=5),"weekday","weekend")</f>
        <v>weekday</v>
      </c>
      <c r="J940" s="23" t="s">
        <v>23</v>
      </c>
      <c r="K940" s="23" t="str">
        <f>IF('Merged raw data'!I940=1,"Clear",IF('Merged raw data'!I940=2,"Mist",IF('Merged raw data'!I940=3,"Rain",IF('Merged raw data'!I940=4,"Storm","NA"))))</f>
        <v>Clear</v>
      </c>
      <c r="L940" s="24">
        <v>0.24</v>
      </c>
      <c r="M940" s="24">
        <v>0.23</v>
      </c>
      <c r="N940" s="21">
        <f>'Merged raw data'!$J940*100</f>
        <v>30</v>
      </c>
      <c r="O940" s="21">
        <v>18</v>
      </c>
      <c r="P940" s="21">
        <v>193</v>
      </c>
      <c r="Q940" s="21">
        <v>211</v>
      </c>
      <c r="R940" s="21" t="str">
        <f>IF(Q940&gt;=outliers!I942,"High",IF(Q940&lt;=outliers!I941,"Low","Moderate"))</f>
        <v>High</v>
      </c>
      <c r="S940" s="8" t="str">
        <f>IF(OR(Q940&lt;outliers!$I$6,Q940&gt;outliers!$I$7),"Outlier","Normal")</f>
        <v>Outlier</v>
      </c>
      <c r="T940" s="8" t="str">
        <f>IF(OR(L940&lt;outliers!$J$6,L940&gt;outliers!$J$7),"Outlier","Normal")</f>
        <v>Normal</v>
      </c>
      <c r="U940" s="8" t="str">
        <f>IF(OR(M940&lt;outliers!$K$6,M940&gt;outliers!$K$7),"Outlier","Normal")</f>
        <v>Normal</v>
      </c>
    </row>
    <row r="941" spans="1:21">
      <c r="A941" s="21">
        <v>940</v>
      </c>
      <c r="B941" s="68">
        <v>40585</v>
      </c>
      <c r="C941" s="22" t="b">
        <v>0</v>
      </c>
      <c r="D941" s="21" t="str">
        <f t="shared" si="14"/>
        <v>Friday</v>
      </c>
      <c r="E941" s="23">
        <v>0.31819999999999998</v>
      </c>
      <c r="F941" s="23">
        <f>YEAR('Merged raw data'!$B941)</f>
        <v>2011</v>
      </c>
      <c r="G941" s="23" t="str">
        <f>TEXT('Merged raw data'!$B941,"mmmm")</f>
        <v>February</v>
      </c>
      <c r="H941" s="37" t="str">
        <f>TEXT(TIME('Merged raw data'!F941,0,0),"h AM/PM")</f>
        <v>6 PM</v>
      </c>
      <c r="I941" s="23" t="str">
        <f>IF(OR('Merged raw data'!H941=1,'Merged raw data'!H941=2,'Merged raw data'!H941=3,'Merged raw data'!H941=4,'Merged raw data'!H941=5),"weekday","weekend")</f>
        <v>weekday</v>
      </c>
      <c r="J941" s="23" t="s">
        <v>23</v>
      </c>
      <c r="K941" s="23" t="str">
        <f>IF('Merged raw data'!I941=1,"Clear",IF('Merged raw data'!I941=2,"Mist",IF('Merged raw data'!I941=3,"Rain",IF('Merged raw data'!I941=4,"Storm","NA"))))</f>
        <v>Clear</v>
      </c>
      <c r="L941" s="24">
        <v>0.28000000000000003</v>
      </c>
      <c r="M941" s="24">
        <v>0.23</v>
      </c>
      <c r="N941" s="21">
        <f>'Merged raw data'!$J941*100</f>
        <v>28.000000000000004</v>
      </c>
      <c r="O941" s="21">
        <v>9</v>
      </c>
      <c r="P941" s="21">
        <v>165</v>
      </c>
      <c r="Q941" s="21">
        <v>174</v>
      </c>
      <c r="R941" s="21" t="str">
        <f>IF(Q941&gt;=outliers!I943,"High",IF(Q941&lt;=outliers!I942,"Low","Moderate"))</f>
        <v>High</v>
      </c>
      <c r="S941" s="8" t="str">
        <f>IF(OR(Q941&lt;outliers!$I$6,Q941&gt;outliers!$I$7),"Outlier","Normal")</f>
        <v>Normal</v>
      </c>
      <c r="T941" s="8" t="str">
        <f>IF(OR(L941&lt;outliers!$J$6,L941&gt;outliers!$J$7),"Outlier","Normal")</f>
        <v>Normal</v>
      </c>
      <c r="U941" s="8" t="str">
        <f>IF(OR(M941&lt;outliers!$K$6,M941&gt;outliers!$K$7),"Outlier","Normal")</f>
        <v>Normal</v>
      </c>
    </row>
    <row r="942" spans="1:21">
      <c r="A942" s="21">
        <v>941</v>
      </c>
      <c r="B942" s="68">
        <v>40585</v>
      </c>
      <c r="C942" s="22" t="b">
        <v>0</v>
      </c>
      <c r="D942" s="21" t="str">
        <f t="shared" si="14"/>
        <v>Friday</v>
      </c>
      <c r="E942" s="23">
        <v>0.30299999999999999</v>
      </c>
      <c r="F942" s="23">
        <f>YEAR('Merged raw data'!$B942)</f>
        <v>2011</v>
      </c>
      <c r="G942" s="23" t="str">
        <f>TEXT('Merged raw data'!$B942,"mmmm")</f>
        <v>February</v>
      </c>
      <c r="H942" s="37" t="str">
        <f>TEXT(TIME('Merged raw data'!F942,0,0),"h AM/PM")</f>
        <v>7 PM</v>
      </c>
      <c r="I942" s="23" t="str">
        <f>IF(OR('Merged raw data'!H942=1,'Merged raw data'!H942=2,'Merged raw data'!H942=3,'Merged raw data'!H942=4,'Merged raw data'!H942=5),"weekday","weekend")</f>
        <v>weekday</v>
      </c>
      <c r="J942" s="23" t="s">
        <v>23</v>
      </c>
      <c r="K942" s="23" t="str">
        <f>IF('Merged raw data'!I942=1,"Clear",IF('Merged raw data'!I942=2,"Mist",IF('Merged raw data'!I942=3,"Rain",IF('Merged raw data'!I942=4,"Storm","NA"))))</f>
        <v>Clear</v>
      </c>
      <c r="L942" s="24">
        <v>0.33</v>
      </c>
      <c r="M942" s="24">
        <v>0.23</v>
      </c>
      <c r="N942" s="21">
        <f>'Merged raw data'!$J942*100</f>
        <v>26</v>
      </c>
      <c r="O942" s="21">
        <v>7</v>
      </c>
      <c r="P942" s="21">
        <v>94</v>
      </c>
      <c r="Q942" s="21">
        <v>101</v>
      </c>
      <c r="R942" s="21" t="str">
        <f>IF(Q942&gt;=outliers!I944,"High",IF(Q942&lt;=outliers!I943,"Low","Moderate"))</f>
        <v>High</v>
      </c>
      <c r="S942" s="8" t="str">
        <f>IF(OR(Q942&lt;outliers!$I$6,Q942&gt;outliers!$I$7),"Outlier","Normal")</f>
        <v>Normal</v>
      </c>
      <c r="T942" s="8" t="str">
        <f>IF(OR(L942&lt;outliers!$J$6,L942&gt;outliers!$J$7),"Outlier","Normal")</f>
        <v>Normal</v>
      </c>
      <c r="U942" s="8" t="str">
        <f>IF(OR(M942&lt;outliers!$K$6,M942&gt;outliers!$K$7),"Outlier","Normal")</f>
        <v>Normal</v>
      </c>
    </row>
    <row r="943" spans="1:21">
      <c r="A943" s="21">
        <v>942</v>
      </c>
      <c r="B943" s="68">
        <v>40585</v>
      </c>
      <c r="C943" s="22" t="b">
        <v>0</v>
      </c>
      <c r="D943" s="21" t="str">
        <f t="shared" si="14"/>
        <v>Friday</v>
      </c>
      <c r="E943" s="23">
        <v>0.2273</v>
      </c>
      <c r="F943" s="23">
        <f>YEAR('Merged raw data'!$B943)</f>
        <v>2011</v>
      </c>
      <c r="G943" s="23" t="str">
        <f>TEXT('Merged raw data'!$B943,"mmmm")</f>
        <v>February</v>
      </c>
      <c r="H943" s="37" t="str">
        <f>TEXT(TIME('Merged raw data'!F943,0,0),"h AM/PM")</f>
        <v>8 PM</v>
      </c>
      <c r="I943" s="23" t="str">
        <f>IF(OR('Merged raw data'!H943=1,'Merged raw data'!H943=2,'Merged raw data'!H943=3,'Merged raw data'!H943=4,'Merged raw data'!H943=5),"weekday","weekend")</f>
        <v>weekday</v>
      </c>
      <c r="J943" s="23" t="s">
        <v>23</v>
      </c>
      <c r="K943" s="23" t="str">
        <f>IF('Merged raw data'!I943=1,"Clear",IF('Merged raw data'!I943=2,"Mist",IF('Merged raw data'!I943=3,"Rain",IF('Merged raw data'!I943=4,"Storm","NA"))))</f>
        <v>Clear</v>
      </c>
      <c r="L943" s="24">
        <v>0.55000000000000004</v>
      </c>
      <c r="M943" s="24">
        <v>0.1343</v>
      </c>
      <c r="N943" s="21">
        <f>'Merged raw data'!$J943*100</f>
        <v>22</v>
      </c>
      <c r="O943" s="21">
        <v>2</v>
      </c>
      <c r="P943" s="21">
        <v>61</v>
      </c>
      <c r="Q943" s="21">
        <v>63</v>
      </c>
      <c r="R943" s="21" t="str">
        <f>IF(Q943&gt;=outliers!I945,"High",IF(Q943&lt;=outliers!I944,"Low","Moderate"))</f>
        <v>High</v>
      </c>
      <c r="S943" s="8" t="str">
        <f>IF(OR(Q943&lt;outliers!$I$6,Q943&gt;outliers!$I$7),"Outlier","Normal")</f>
        <v>Normal</v>
      </c>
      <c r="T943" s="8" t="str">
        <f>IF(OR(L943&lt;outliers!$J$6,L943&gt;outliers!$J$7),"Outlier","Normal")</f>
        <v>Normal</v>
      </c>
      <c r="U943" s="8" t="str">
        <f>IF(OR(M943&lt;outliers!$K$6,M943&gt;outliers!$K$7),"Outlier","Normal")</f>
        <v>Normal</v>
      </c>
    </row>
    <row r="944" spans="1:21">
      <c r="A944" s="21">
        <v>943</v>
      </c>
      <c r="B944" s="68">
        <v>40585</v>
      </c>
      <c r="C944" s="22" t="b">
        <v>0</v>
      </c>
      <c r="D944" s="21" t="str">
        <f t="shared" si="14"/>
        <v>Friday</v>
      </c>
      <c r="E944" s="23">
        <v>0.21210000000000001</v>
      </c>
      <c r="F944" s="23">
        <f>YEAR('Merged raw data'!$B944)</f>
        <v>2011</v>
      </c>
      <c r="G944" s="23" t="str">
        <f>TEXT('Merged raw data'!$B944,"mmmm")</f>
        <v>February</v>
      </c>
      <c r="H944" s="37" t="str">
        <f>TEXT(TIME('Merged raw data'!F944,0,0),"h AM/PM")</f>
        <v>9 PM</v>
      </c>
      <c r="I944" s="23" t="str">
        <f>IF(OR('Merged raw data'!H944=1,'Merged raw data'!H944=2,'Merged raw data'!H944=3,'Merged raw data'!H944=4,'Merged raw data'!H944=5),"weekday","weekend")</f>
        <v>weekday</v>
      </c>
      <c r="J944" s="23" t="s">
        <v>23</v>
      </c>
      <c r="K944" s="23" t="str">
        <f>IF('Merged raw data'!I944=1,"Clear",IF('Merged raw data'!I944=2,"Mist",IF('Merged raw data'!I944=3,"Rain",IF('Merged raw data'!I944=4,"Storm","NA"))))</f>
        <v>Clear</v>
      </c>
      <c r="L944" s="24">
        <v>0.59</v>
      </c>
      <c r="M944" s="24">
        <v>0.1343</v>
      </c>
      <c r="N944" s="21">
        <f>'Merged raw data'!$J944*100</f>
        <v>20</v>
      </c>
      <c r="O944" s="21">
        <v>1</v>
      </c>
      <c r="P944" s="21">
        <v>46</v>
      </c>
      <c r="Q944" s="21">
        <v>47</v>
      </c>
      <c r="R944" s="21" t="str">
        <f>IF(Q944&gt;=outliers!I946,"High",IF(Q944&lt;=outliers!I945,"Low","Moderate"))</f>
        <v>High</v>
      </c>
      <c r="S944" s="8" t="str">
        <f>IF(OR(Q944&lt;outliers!$I$6,Q944&gt;outliers!$I$7),"Outlier","Normal")</f>
        <v>Normal</v>
      </c>
      <c r="T944" s="8" t="str">
        <f>IF(OR(L944&lt;outliers!$J$6,L944&gt;outliers!$J$7),"Outlier","Normal")</f>
        <v>Normal</v>
      </c>
      <c r="U944" s="8" t="str">
        <f>IF(OR(M944&lt;outliers!$K$6,M944&gt;outliers!$K$7),"Outlier","Normal")</f>
        <v>Normal</v>
      </c>
    </row>
    <row r="945" spans="1:21">
      <c r="A945" s="21">
        <v>944</v>
      </c>
      <c r="B945" s="68">
        <v>40585</v>
      </c>
      <c r="C945" s="22" t="b">
        <v>0</v>
      </c>
      <c r="D945" s="21" t="str">
        <f t="shared" si="14"/>
        <v>Friday</v>
      </c>
      <c r="E945" s="23">
        <v>0.2273</v>
      </c>
      <c r="F945" s="23">
        <f>YEAR('Merged raw data'!$B945)</f>
        <v>2011</v>
      </c>
      <c r="G945" s="23" t="str">
        <f>TEXT('Merged raw data'!$B945,"mmmm")</f>
        <v>February</v>
      </c>
      <c r="H945" s="37" t="str">
        <f>TEXT(TIME('Merged raw data'!F945,0,0),"h AM/PM")</f>
        <v>10 PM</v>
      </c>
      <c r="I945" s="23" t="str">
        <f>IF(OR('Merged raw data'!H945=1,'Merged raw data'!H945=2,'Merged raw data'!H945=3,'Merged raw data'!H945=4,'Merged raw data'!H945=5),"weekday","weekend")</f>
        <v>weekday</v>
      </c>
      <c r="J945" s="23" t="s">
        <v>23</v>
      </c>
      <c r="K945" s="23" t="str">
        <f>IF('Merged raw data'!I945=1,"Clear",IF('Merged raw data'!I945=2,"Mist",IF('Merged raw data'!I945=3,"Rain",IF('Merged raw data'!I945=4,"Storm","NA"))))</f>
        <v>Clear</v>
      </c>
      <c r="L945" s="24">
        <v>0.64</v>
      </c>
      <c r="M945" s="24">
        <v>8.9599999999999999E-2</v>
      </c>
      <c r="N945" s="21">
        <f>'Merged raw data'!$J945*100</f>
        <v>20</v>
      </c>
      <c r="O945" s="21">
        <v>2</v>
      </c>
      <c r="P945" s="21">
        <v>41</v>
      </c>
      <c r="Q945" s="21">
        <v>43</v>
      </c>
      <c r="R945" s="21" t="str">
        <f>IF(Q945&gt;=outliers!I947,"High",IF(Q945&lt;=outliers!I946,"Low","Moderate"))</f>
        <v>High</v>
      </c>
      <c r="S945" s="8" t="str">
        <f>IF(OR(Q945&lt;outliers!$I$6,Q945&gt;outliers!$I$7),"Outlier","Normal")</f>
        <v>Normal</v>
      </c>
      <c r="T945" s="8" t="str">
        <f>IF(OR(L945&lt;outliers!$J$6,L945&gt;outliers!$J$7),"Outlier","Normal")</f>
        <v>Normal</v>
      </c>
      <c r="U945" s="8" t="str">
        <f>IF(OR(M945&lt;outliers!$K$6,M945&gt;outliers!$K$7),"Outlier","Normal")</f>
        <v>Normal</v>
      </c>
    </row>
    <row r="946" spans="1:21">
      <c r="A946" s="21">
        <v>945</v>
      </c>
      <c r="B946" s="68">
        <v>40585</v>
      </c>
      <c r="C946" s="22" t="b">
        <v>0</v>
      </c>
      <c r="D946" s="21" t="str">
        <f t="shared" si="14"/>
        <v>Friday</v>
      </c>
      <c r="E946" s="23">
        <v>0.2424</v>
      </c>
      <c r="F946" s="23">
        <f>YEAR('Merged raw data'!$B946)</f>
        <v>2011</v>
      </c>
      <c r="G946" s="23" t="str">
        <f>TEXT('Merged raw data'!$B946,"mmmm")</f>
        <v>February</v>
      </c>
      <c r="H946" s="37" t="str">
        <f>TEXT(TIME('Merged raw data'!F946,0,0),"h AM/PM")</f>
        <v>11 PM</v>
      </c>
      <c r="I946" s="23" t="str">
        <f>IF(OR('Merged raw data'!H946=1,'Merged raw data'!H946=2,'Merged raw data'!H946=3,'Merged raw data'!H946=4,'Merged raw data'!H946=5),"weekday","weekend")</f>
        <v>weekday</v>
      </c>
      <c r="J946" s="23" t="s">
        <v>23</v>
      </c>
      <c r="K946" s="23" t="str">
        <f>IF('Merged raw data'!I946=1,"Clear",IF('Merged raw data'!I946=2,"Mist",IF('Merged raw data'!I946=3,"Rain",IF('Merged raw data'!I946=4,"Storm","NA"))))</f>
        <v>Clear</v>
      </c>
      <c r="L946" s="24">
        <v>0.69</v>
      </c>
      <c r="M946" s="24">
        <v>0.23</v>
      </c>
      <c r="N946" s="21">
        <f>'Merged raw data'!$J946*100</f>
        <v>18</v>
      </c>
      <c r="O946" s="21">
        <v>5</v>
      </c>
      <c r="P946" s="21">
        <v>48</v>
      </c>
      <c r="Q946" s="21">
        <v>53</v>
      </c>
      <c r="R946" s="21" t="str">
        <f>IF(Q946&gt;=outliers!I948,"High",IF(Q946&lt;=outliers!I947,"Low","Moderate"))</f>
        <v>High</v>
      </c>
      <c r="S946" s="8" t="str">
        <f>IF(OR(Q946&lt;outliers!$I$6,Q946&gt;outliers!$I$7),"Outlier","Normal")</f>
        <v>Normal</v>
      </c>
      <c r="T946" s="8" t="str">
        <f>IF(OR(L946&lt;outliers!$J$6,L946&gt;outliers!$J$7),"Outlier","Normal")</f>
        <v>Normal</v>
      </c>
      <c r="U946" s="8" t="str">
        <f>IF(OR(M946&lt;outliers!$K$6,M946&gt;outliers!$K$7),"Outlier","Normal")</f>
        <v>Normal</v>
      </c>
    </row>
    <row r="947" spans="1:21">
      <c r="A947" s="21">
        <v>946</v>
      </c>
      <c r="B947" s="68">
        <v>40586</v>
      </c>
      <c r="C947" s="22" t="b">
        <v>0</v>
      </c>
      <c r="D947" s="21" t="str">
        <f t="shared" si="14"/>
        <v>Saturday</v>
      </c>
      <c r="E947" s="23">
        <v>0.19700000000000001</v>
      </c>
      <c r="F947" s="23">
        <f>YEAR('Merged raw data'!$B947)</f>
        <v>2011</v>
      </c>
      <c r="G947" s="23" t="str">
        <f>TEXT('Merged raw data'!$B947,"mmmm")</f>
        <v>February</v>
      </c>
      <c r="H947" s="37" t="str">
        <f>TEXT(TIME('Merged raw data'!F947,0,0),"h AM/PM")</f>
        <v>12 AM</v>
      </c>
      <c r="I947" s="23" t="str">
        <f>IF(OR('Merged raw data'!H947=1,'Merged raw data'!H947=2,'Merged raw data'!H947=3,'Merged raw data'!H947=4,'Merged raw data'!H947=5),"weekday","weekend")</f>
        <v>weekend</v>
      </c>
      <c r="J947" s="23" t="s">
        <v>23</v>
      </c>
      <c r="K947" s="23" t="str">
        <f>IF('Merged raw data'!I947=1,"Clear",IF('Merged raw data'!I947=2,"Mist",IF('Merged raw data'!I947=3,"Rain",IF('Merged raw data'!I947=4,"Storm","NA"))))</f>
        <v>Clear</v>
      </c>
      <c r="L947" s="24">
        <v>0.69</v>
      </c>
      <c r="M947" s="24">
        <v>8.9599999999999999E-2</v>
      </c>
      <c r="N947" s="21">
        <f>'Merged raw data'!$J947*100</f>
        <v>16</v>
      </c>
      <c r="O947" s="21">
        <v>3</v>
      </c>
      <c r="P947" s="21">
        <v>27</v>
      </c>
      <c r="Q947" s="21">
        <v>30</v>
      </c>
      <c r="R947" s="21" t="str">
        <f>IF(Q947&gt;=outliers!I949,"High",IF(Q947&lt;=outliers!I948,"Low","Moderate"))</f>
        <v>High</v>
      </c>
      <c r="S947" s="8" t="str">
        <f>IF(OR(Q947&lt;outliers!$I$6,Q947&gt;outliers!$I$7),"Outlier","Normal")</f>
        <v>Normal</v>
      </c>
      <c r="T947" s="8" t="str">
        <f>IF(OR(L947&lt;outliers!$J$6,L947&gt;outliers!$J$7),"Outlier","Normal")</f>
        <v>Normal</v>
      </c>
      <c r="U947" s="8" t="str">
        <f>IF(OR(M947&lt;outliers!$K$6,M947&gt;outliers!$K$7),"Outlier","Normal")</f>
        <v>Normal</v>
      </c>
    </row>
    <row r="948" spans="1:21">
      <c r="A948" s="21">
        <v>947</v>
      </c>
      <c r="B948" s="68">
        <v>40586</v>
      </c>
      <c r="C948" s="22" t="b">
        <v>0</v>
      </c>
      <c r="D948" s="21" t="str">
        <f t="shared" si="14"/>
        <v>Saturday</v>
      </c>
      <c r="E948" s="23">
        <v>0.21210000000000001</v>
      </c>
      <c r="F948" s="23">
        <f>YEAR('Merged raw data'!$B948)</f>
        <v>2011</v>
      </c>
      <c r="G948" s="23" t="str">
        <f>TEXT('Merged raw data'!$B948,"mmmm")</f>
        <v>February</v>
      </c>
      <c r="H948" s="37" t="str">
        <f>TEXT(TIME('Merged raw data'!F948,0,0),"h AM/PM")</f>
        <v>1 AM</v>
      </c>
      <c r="I948" s="23" t="str">
        <f>IF(OR('Merged raw data'!H948=1,'Merged raw data'!H948=2,'Merged raw data'!H948=3,'Merged raw data'!H948=4,'Merged raw data'!H948=5),"weekday","weekend")</f>
        <v>weekend</v>
      </c>
      <c r="J948" s="23" t="s">
        <v>23</v>
      </c>
      <c r="K948" s="23" t="str">
        <f>IF('Merged raw data'!I948=1,"Clear",IF('Merged raw data'!I948=2,"Mist",IF('Merged raw data'!I948=3,"Rain",IF('Merged raw data'!I948=4,"Storm","NA"))))</f>
        <v>Clear</v>
      </c>
      <c r="L948" s="24">
        <v>0.86</v>
      </c>
      <c r="M948" s="24">
        <v>0.23</v>
      </c>
      <c r="N948" s="21">
        <f>'Merged raw data'!$J948*100</f>
        <v>14.000000000000002</v>
      </c>
      <c r="O948" s="21">
        <v>2</v>
      </c>
      <c r="P948" s="21">
        <v>22</v>
      </c>
      <c r="Q948" s="21">
        <v>24</v>
      </c>
      <c r="R948" s="21" t="str">
        <f>IF(Q948&gt;=outliers!I950,"High",IF(Q948&lt;=outliers!I949,"Low","Moderate"))</f>
        <v>High</v>
      </c>
      <c r="S948" s="8" t="str">
        <f>IF(OR(Q948&lt;outliers!$I$6,Q948&gt;outliers!$I$7),"Outlier","Normal")</f>
        <v>Normal</v>
      </c>
      <c r="T948" s="8" t="str">
        <f>IF(OR(L948&lt;outliers!$J$6,L948&gt;outliers!$J$7),"Outlier","Normal")</f>
        <v>Normal</v>
      </c>
      <c r="U948" s="8" t="str">
        <f>IF(OR(M948&lt;outliers!$K$6,M948&gt;outliers!$K$7),"Outlier","Normal")</f>
        <v>Normal</v>
      </c>
    </row>
    <row r="949" spans="1:21">
      <c r="A949" s="21">
        <v>948</v>
      </c>
      <c r="B949" s="68">
        <v>40586</v>
      </c>
      <c r="C949" s="22" t="b">
        <v>0</v>
      </c>
      <c r="D949" s="21" t="str">
        <f t="shared" si="14"/>
        <v>Saturday</v>
      </c>
      <c r="E949" s="23">
        <v>0.21210000000000001</v>
      </c>
      <c r="F949" s="23">
        <f>YEAR('Merged raw data'!$B949)</f>
        <v>2011</v>
      </c>
      <c r="G949" s="23" t="str">
        <f>TEXT('Merged raw data'!$B949,"mmmm")</f>
        <v>February</v>
      </c>
      <c r="H949" s="37" t="str">
        <f>TEXT(TIME('Merged raw data'!F949,0,0),"h AM/PM")</f>
        <v>2 AM</v>
      </c>
      <c r="I949" s="23" t="str">
        <f>IF(OR('Merged raw data'!H949=1,'Merged raw data'!H949=2,'Merged raw data'!H949=3,'Merged raw data'!H949=4,'Merged raw data'!H949=5),"weekday","weekend")</f>
        <v>weekend</v>
      </c>
      <c r="J949" s="23" t="s">
        <v>23</v>
      </c>
      <c r="K949" s="23" t="str">
        <f>IF('Merged raw data'!I949=1,"Clear",IF('Merged raw data'!I949=2,"Mist",IF('Merged raw data'!I949=3,"Rain",IF('Merged raw data'!I949=4,"Storm","NA"))))</f>
        <v>Clear</v>
      </c>
      <c r="L949" s="24">
        <v>0.8</v>
      </c>
      <c r="M949" s="24">
        <v>0.23</v>
      </c>
      <c r="N949" s="21">
        <f>'Merged raw data'!$J949*100</f>
        <v>14.000000000000002</v>
      </c>
      <c r="O949" s="21">
        <v>2</v>
      </c>
      <c r="P949" s="21">
        <v>13</v>
      </c>
      <c r="Q949" s="21">
        <v>15</v>
      </c>
      <c r="R949" s="21" t="str">
        <f>IF(Q949&gt;=outliers!I951,"High",IF(Q949&lt;=outliers!I950,"Low","Moderate"))</f>
        <v>High</v>
      </c>
      <c r="S949" s="8" t="str">
        <f>IF(OR(Q949&lt;outliers!$I$6,Q949&gt;outliers!$I$7),"Outlier","Normal")</f>
        <v>Normal</v>
      </c>
      <c r="T949" s="8" t="str">
        <f>IF(OR(L949&lt;outliers!$J$6,L949&gt;outliers!$J$7),"Outlier","Normal")</f>
        <v>Normal</v>
      </c>
      <c r="U949" s="8" t="str">
        <f>IF(OR(M949&lt;outliers!$K$6,M949&gt;outliers!$K$7),"Outlier","Normal")</f>
        <v>Normal</v>
      </c>
    </row>
    <row r="950" spans="1:21">
      <c r="A950" s="21">
        <v>949</v>
      </c>
      <c r="B950" s="68">
        <v>40586</v>
      </c>
      <c r="C950" s="22" t="b">
        <v>0</v>
      </c>
      <c r="D950" s="21" t="str">
        <f t="shared" si="14"/>
        <v>Saturday</v>
      </c>
      <c r="E950" s="23">
        <v>0.19700000000000001</v>
      </c>
      <c r="F950" s="23">
        <f>YEAR('Merged raw data'!$B950)</f>
        <v>2011</v>
      </c>
      <c r="G950" s="23" t="str">
        <f>TEXT('Merged raw data'!$B950,"mmmm")</f>
        <v>February</v>
      </c>
      <c r="H950" s="37" t="str">
        <f>TEXT(TIME('Merged raw data'!F950,0,0),"h AM/PM")</f>
        <v>3 AM</v>
      </c>
      <c r="I950" s="23" t="str">
        <f>IF(OR('Merged raw data'!H950=1,'Merged raw data'!H950=2,'Merged raw data'!H950=3,'Merged raw data'!H950=4,'Merged raw data'!H950=5),"weekday","weekend")</f>
        <v>weekend</v>
      </c>
      <c r="J950" s="23" t="s">
        <v>23</v>
      </c>
      <c r="K950" s="23" t="str">
        <f>IF('Merged raw data'!I950=1,"Clear",IF('Merged raw data'!I950=2,"Mist",IF('Merged raw data'!I950=3,"Rain",IF('Merged raw data'!I950=4,"Storm","NA"))))</f>
        <v>Clear</v>
      </c>
      <c r="L950" s="24">
        <v>0.8</v>
      </c>
      <c r="M950" s="24">
        <v>0.23</v>
      </c>
      <c r="N950" s="21">
        <f>'Merged raw data'!$J950*100</f>
        <v>12</v>
      </c>
      <c r="O950" s="21">
        <v>3</v>
      </c>
      <c r="P950" s="21">
        <v>7</v>
      </c>
      <c r="Q950" s="21">
        <v>10</v>
      </c>
      <c r="R950" s="21" t="str">
        <f>IF(Q950&gt;=outliers!I952,"High",IF(Q950&lt;=outliers!I951,"Low","Moderate"))</f>
        <v>High</v>
      </c>
      <c r="S950" s="8" t="str">
        <f>IF(OR(Q950&lt;outliers!$I$6,Q950&gt;outliers!$I$7),"Outlier","Normal")</f>
        <v>Normal</v>
      </c>
      <c r="T950" s="8" t="str">
        <f>IF(OR(L950&lt;outliers!$J$6,L950&gt;outliers!$J$7),"Outlier","Normal")</f>
        <v>Normal</v>
      </c>
      <c r="U950" s="8" t="str">
        <f>IF(OR(M950&lt;outliers!$K$6,M950&gt;outliers!$K$7),"Outlier","Normal")</f>
        <v>Normal</v>
      </c>
    </row>
    <row r="951" spans="1:21">
      <c r="A951" s="21">
        <v>950</v>
      </c>
      <c r="B951" s="68">
        <v>40586</v>
      </c>
      <c r="C951" s="22" t="b">
        <v>0</v>
      </c>
      <c r="D951" s="21" t="str">
        <f t="shared" si="14"/>
        <v>Saturday</v>
      </c>
      <c r="E951" s="23">
        <v>0.16669999999999999</v>
      </c>
      <c r="F951" s="23">
        <f>YEAR('Merged raw data'!$B951)</f>
        <v>2011</v>
      </c>
      <c r="G951" s="23" t="str">
        <f>TEXT('Merged raw data'!$B951,"mmmm")</f>
        <v>February</v>
      </c>
      <c r="H951" s="37" t="str">
        <f>TEXT(TIME('Merged raw data'!F951,0,0),"h AM/PM")</f>
        <v>4 AM</v>
      </c>
      <c r="I951" s="23" t="str">
        <f>IF(OR('Merged raw data'!H951=1,'Merged raw data'!H951=2,'Merged raw data'!H951=3,'Merged raw data'!H951=4,'Merged raw data'!H951=5),"weekday","weekend")</f>
        <v>weekend</v>
      </c>
      <c r="J951" s="23" t="s">
        <v>23</v>
      </c>
      <c r="K951" s="23" t="str">
        <f>IF('Merged raw data'!I951=1,"Clear",IF('Merged raw data'!I951=2,"Mist",IF('Merged raw data'!I951=3,"Rain",IF('Merged raw data'!I951=4,"Storm","NA"))))</f>
        <v>Clear</v>
      </c>
      <c r="L951" s="24">
        <v>0.74</v>
      </c>
      <c r="M951" s="24">
        <v>8.9599999999999999E-2</v>
      </c>
      <c r="N951" s="21">
        <f>'Merged raw data'!$J951*100</f>
        <v>12</v>
      </c>
      <c r="O951" s="21">
        <v>0</v>
      </c>
      <c r="P951" s="21">
        <v>4</v>
      </c>
      <c r="Q951" s="21">
        <v>4</v>
      </c>
      <c r="R951" s="21" t="str">
        <f>IF(Q951&gt;=outliers!I953,"High",IF(Q951&lt;=outliers!I952,"Low","Moderate"))</f>
        <v>High</v>
      </c>
      <c r="S951" s="8" t="str">
        <f>IF(OR(Q951&lt;outliers!$I$6,Q951&gt;outliers!$I$7),"Outlier","Normal")</f>
        <v>Normal</v>
      </c>
      <c r="T951" s="8" t="str">
        <f>IF(OR(L951&lt;outliers!$J$6,L951&gt;outliers!$J$7),"Outlier","Normal")</f>
        <v>Normal</v>
      </c>
      <c r="U951" s="8" t="str">
        <f>IF(OR(M951&lt;outliers!$K$6,M951&gt;outliers!$K$7),"Outlier","Normal")</f>
        <v>Normal</v>
      </c>
    </row>
    <row r="952" spans="1:21">
      <c r="A952" s="21">
        <v>951</v>
      </c>
      <c r="B952" s="68">
        <v>40586</v>
      </c>
      <c r="C952" s="22" t="b">
        <v>0</v>
      </c>
      <c r="D952" s="21" t="str">
        <f t="shared" si="14"/>
        <v>Saturday</v>
      </c>
      <c r="E952" s="23">
        <v>0.16669999999999999</v>
      </c>
      <c r="F952" s="23">
        <f>YEAR('Merged raw data'!$B952)</f>
        <v>2011</v>
      </c>
      <c r="G952" s="23" t="str">
        <f>TEXT('Merged raw data'!$B952,"mmmm")</f>
        <v>February</v>
      </c>
      <c r="H952" s="37" t="str">
        <f>TEXT(TIME('Merged raw data'!F952,0,0),"h AM/PM")</f>
        <v>5 AM</v>
      </c>
      <c r="I952" s="23" t="str">
        <f>IF(OR('Merged raw data'!H952=1,'Merged raw data'!H952=2,'Merged raw data'!H952=3,'Merged raw data'!H952=4,'Merged raw data'!H952=5),"weekday","weekend")</f>
        <v>weekend</v>
      </c>
      <c r="J952" s="23" t="s">
        <v>23</v>
      </c>
      <c r="K952" s="23" t="str">
        <f>IF('Merged raw data'!I952=1,"Clear",IF('Merged raw data'!I952=2,"Mist",IF('Merged raw data'!I952=3,"Rain",IF('Merged raw data'!I952=4,"Storm","NA"))))</f>
        <v>Clear</v>
      </c>
      <c r="L952" s="24">
        <v>0.74</v>
      </c>
      <c r="M952" s="24">
        <v>8.9599999999999999E-2</v>
      </c>
      <c r="N952" s="21">
        <f>'Merged raw data'!$J952*100</f>
        <v>12</v>
      </c>
      <c r="O952" s="21">
        <v>0</v>
      </c>
      <c r="P952" s="21">
        <v>1</v>
      </c>
      <c r="Q952" s="21">
        <v>1</v>
      </c>
      <c r="R952" s="21" t="str">
        <f>IF(Q952&gt;=outliers!I954,"High",IF(Q952&lt;=outliers!I953,"Low","Moderate"))</f>
        <v>High</v>
      </c>
      <c r="S952" s="8" t="str">
        <f>IF(OR(Q952&lt;outliers!$I$6,Q952&gt;outliers!$I$7),"Outlier","Normal")</f>
        <v>Normal</v>
      </c>
      <c r="T952" s="8" t="str">
        <f>IF(OR(L952&lt;outliers!$J$6,L952&gt;outliers!$J$7),"Outlier","Normal")</f>
        <v>Normal</v>
      </c>
      <c r="U952" s="8" t="str">
        <f>IF(OR(M952&lt;outliers!$K$6,M952&gt;outliers!$K$7),"Outlier","Normal")</f>
        <v>Normal</v>
      </c>
    </row>
    <row r="953" spans="1:21">
      <c r="A953" s="21">
        <v>952</v>
      </c>
      <c r="B953" s="68">
        <v>40586</v>
      </c>
      <c r="C953" s="22" t="b">
        <v>0</v>
      </c>
      <c r="D953" s="21" t="str">
        <f t="shared" si="14"/>
        <v>Saturday</v>
      </c>
      <c r="E953" s="23">
        <v>0.13639999999999999</v>
      </c>
      <c r="F953" s="23">
        <f>YEAR('Merged raw data'!$B953)</f>
        <v>2011</v>
      </c>
      <c r="G953" s="23" t="str">
        <f>TEXT('Merged raw data'!$B953,"mmmm")</f>
        <v>February</v>
      </c>
      <c r="H953" s="37" t="str">
        <f>TEXT(TIME('Merged raw data'!F953,0,0),"h AM/PM")</f>
        <v>6 AM</v>
      </c>
      <c r="I953" s="23" t="str">
        <f>IF(OR('Merged raw data'!H953=1,'Merged raw data'!H953=2,'Merged raw data'!H953=3,'Merged raw data'!H953=4,'Merged raw data'!H953=5),"weekday","weekend")</f>
        <v>weekend</v>
      </c>
      <c r="J953" s="23" t="s">
        <v>23</v>
      </c>
      <c r="K953" s="23" t="str">
        <f>IF('Merged raw data'!I953=1,"Clear",IF('Merged raw data'!I953=2,"Mist",IF('Merged raw data'!I953=3,"Rain",IF('Merged raw data'!I953=4,"Storm","NA"))))</f>
        <v>Clear</v>
      </c>
      <c r="L953" s="24">
        <v>0.93</v>
      </c>
      <c r="M953" s="24">
        <v>0.19400000000000001</v>
      </c>
      <c r="N953" s="21">
        <f>'Merged raw data'!$J953*100</f>
        <v>12</v>
      </c>
      <c r="O953" s="21">
        <v>1</v>
      </c>
      <c r="P953" s="21">
        <v>1</v>
      </c>
      <c r="Q953" s="21">
        <v>2</v>
      </c>
      <c r="R953" s="21" t="str">
        <f>IF(Q953&gt;=outliers!I955,"High",IF(Q953&lt;=outliers!I954,"Low","Moderate"))</f>
        <v>High</v>
      </c>
      <c r="S953" s="8" t="str">
        <f>IF(OR(Q953&lt;outliers!$I$6,Q953&gt;outliers!$I$7),"Outlier","Normal")</f>
        <v>Normal</v>
      </c>
      <c r="T953" s="8" t="str">
        <f>IF(OR(L953&lt;outliers!$J$6,L953&gt;outliers!$J$7),"Outlier","Normal")</f>
        <v>Normal</v>
      </c>
      <c r="U953" s="8" t="str">
        <f>IF(OR(M953&lt;outliers!$K$6,M953&gt;outliers!$K$7),"Outlier","Normal")</f>
        <v>Normal</v>
      </c>
    </row>
    <row r="954" spans="1:21">
      <c r="A954" s="21">
        <v>953</v>
      </c>
      <c r="B954" s="68">
        <v>40586</v>
      </c>
      <c r="C954" s="22" t="b">
        <v>0</v>
      </c>
      <c r="D954" s="21" t="str">
        <f t="shared" si="14"/>
        <v>Saturday</v>
      </c>
      <c r="E954" s="23">
        <v>0.1515</v>
      </c>
      <c r="F954" s="23">
        <f>YEAR('Merged raw data'!$B954)</f>
        <v>2011</v>
      </c>
      <c r="G954" s="23" t="str">
        <f>TEXT('Merged raw data'!$B954,"mmmm")</f>
        <v>February</v>
      </c>
      <c r="H954" s="37" t="str">
        <f>TEXT(TIME('Merged raw data'!F954,0,0),"h AM/PM")</f>
        <v>7 AM</v>
      </c>
      <c r="I954" s="23" t="str">
        <f>IF(OR('Merged raw data'!H954=1,'Merged raw data'!H954=2,'Merged raw data'!H954=3,'Merged raw data'!H954=4,'Merged raw data'!H954=5),"weekday","weekend")</f>
        <v>weekend</v>
      </c>
      <c r="J954" s="23" t="s">
        <v>23</v>
      </c>
      <c r="K954" s="23" t="str">
        <f>IF('Merged raw data'!I954=1,"Clear",IF('Merged raw data'!I954=2,"Mist",IF('Merged raw data'!I954=3,"Rain",IF('Merged raw data'!I954=4,"Storm","NA"))))</f>
        <v>Clear</v>
      </c>
      <c r="L954" s="24">
        <v>0.8</v>
      </c>
      <c r="M954" s="24">
        <v>0.1045</v>
      </c>
      <c r="N954" s="21">
        <f>'Merged raw data'!$J954*100</f>
        <v>12</v>
      </c>
      <c r="O954" s="21">
        <v>2</v>
      </c>
      <c r="P954" s="21">
        <v>9</v>
      </c>
      <c r="Q954" s="21">
        <v>11</v>
      </c>
      <c r="R954" s="21" t="str">
        <f>IF(Q954&gt;=outliers!I956,"High",IF(Q954&lt;=outliers!I955,"Low","Moderate"))</f>
        <v>High</v>
      </c>
      <c r="S954" s="8" t="str">
        <f>IF(OR(Q954&lt;outliers!$I$6,Q954&gt;outliers!$I$7),"Outlier","Normal")</f>
        <v>Normal</v>
      </c>
      <c r="T954" s="8" t="str">
        <f>IF(OR(L954&lt;outliers!$J$6,L954&gt;outliers!$J$7),"Outlier","Normal")</f>
        <v>Normal</v>
      </c>
      <c r="U954" s="8" t="str">
        <f>IF(OR(M954&lt;outliers!$K$6,M954&gt;outliers!$K$7),"Outlier","Normal")</f>
        <v>Normal</v>
      </c>
    </row>
    <row r="955" spans="1:21">
      <c r="A955" s="21">
        <v>954</v>
      </c>
      <c r="B955" s="68">
        <v>40586</v>
      </c>
      <c r="C955" s="22" t="b">
        <v>0</v>
      </c>
      <c r="D955" s="21" t="str">
        <f t="shared" si="14"/>
        <v>Saturday</v>
      </c>
      <c r="E955" s="23">
        <v>0.1515</v>
      </c>
      <c r="F955" s="23">
        <f>YEAR('Merged raw data'!$B955)</f>
        <v>2011</v>
      </c>
      <c r="G955" s="23" t="str">
        <f>TEXT('Merged raw data'!$B955,"mmmm")</f>
        <v>February</v>
      </c>
      <c r="H955" s="37" t="str">
        <f>TEXT(TIME('Merged raw data'!F955,0,0),"h AM/PM")</f>
        <v>8 AM</v>
      </c>
      <c r="I955" s="23" t="str">
        <f>IF(OR('Merged raw data'!H955=1,'Merged raw data'!H955=2,'Merged raw data'!H955=3,'Merged raw data'!H955=4,'Merged raw data'!H955=5),"weekday","weekend")</f>
        <v>weekend</v>
      </c>
      <c r="J955" s="23" t="s">
        <v>23</v>
      </c>
      <c r="K955" s="23" t="str">
        <f>IF('Merged raw data'!I955=1,"Clear",IF('Merged raw data'!I955=2,"Mist",IF('Merged raw data'!I955=3,"Rain",IF('Merged raw data'!I955=4,"Storm","NA"))))</f>
        <v>Clear</v>
      </c>
      <c r="L955" s="24">
        <v>0.86</v>
      </c>
      <c r="M955" s="24">
        <v>0.1343</v>
      </c>
      <c r="N955" s="21">
        <f>'Merged raw data'!$J955*100</f>
        <v>14.000000000000002</v>
      </c>
      <c r="O955" s="21">
        <v>2</v>
      </c>
      <c r="P955" s="21">
        <v>28</v>
      </c>
      <c r="Q955" s="21">
        <v>30</v>
      </c>
      <c r="R955" s="21" t="str">
        <f>IF(Q955&gt;=outliers!I957,"High",IF(Q955&lt;=outliers!I956,"Low","Moderate"))</f>
        <v>High</v>
      </c>
      <c r="S955" s="8" t="str">
        <f>IF(OR(Q955&lt;outliers!$I$6,Q955&gt;outliers!$I$7),"Outlier","Normal")</f>
        <v>Normal</v>
      </c>
      <c r="T955" s="8" t="str">
        <f>IF(OR(L955&lt;outliers!$J$6,L955&gt;outliers!$J$7),"Outlier","Normal")</f>
        <v>Normal</v>
      </c>
      <c r="U955" s="8" t="str">
        <f>IF(OR(M955&lt;outliers!$K$6,M955&gt;outliers!$K$7),"Outlier","Normal")</f>
        <v>Normal</v>
      </c>
    </row>
    <row r="956" spans="1:21">
      <c r="A956" s="21">
        <v>955</v>
      </c>
      <c r="B956" s="68">
        <v>40586</v>
      </c>
      <c r="C956" s="22" t="b">
        <v>0</v>
      </c>
      <c r="D956" s="21" t="str">
        <f t="shared" si="14"/>
        <v>Saturday</v>
      </c>
      <c r="E956" s="23">
        <v>0.18179999999999999</v>
      </c>
      <c r="F956" s="23">
        <f>YEAR('Merged raw data'!$B956)</f>
        <v>2011</v>
      </c>
      <c r="G956" s="23" t="str">
        <f>TEXT('Merged raw data'!$B956,"mmmm")</f>
        <v>February</v>
      </c>
      <c r="H956" s="37" t="str">
        <f>TEXT(TIME('Merged raw data'!F956,0,0),"h AM/PM")</f>
        <v>9 AM</v>
      </c>
      <c r="I956" s="23" t="str">
        <f>IF(OR('Merged raw data'!H956=1,'Merged raw data'!H956=2,'Merged raw data'!H956=3,'Merged raw data'!H956=4,'Merged raw data'!H956=5),"weekday","weekend")</f>
        <v>weekend</v>
      </c>
      <c r="J956" s="23" t="s">
        <v>23</v>
      </c>
      <c r="K956" s="23" t="str">
        <f>IF('Merged raw data'!I956=1,"Clear",IF('Merged raw data'!I956=2,"Mist",IF('Merged raw data'!I956=3,"Rain",IF('Merged raw data'!I956=4,"Storm","NA"))))</f>
        <v>Clear</v>
      </c>
      <c r="L956" s="24">
        <v>0.64</v>
      </c>
      <c r="M956" s="24">
        <v>0.1343</v>
      </c>
      <c r="N956" s="21">
        <f>'Merged raw data'!$J956*100</f>
        <v>16</v>
      </c>
      <c r="O956" s="21">
        <v>5</v>
      </c>
      <c r="P956" s="21">
        <v>38</v>
      </c>
      <c r="Q956" s="21">
        <v>43</v>
      </c>
      <c r="R956" s="21" t="str">
        <f>IF(Q956&gt;=outliers!I958,"High",IF(Q956&lt;=outliers!I957,"Low","Moderate"))</f>
        <v>High</v>
      </c>
      <c r="S956" s="8" t="str">
        <f>IF(OR(Q956&lt;outliers!$I$6,Q956&gt;outliers!$I$7),"Outlier","Normal")</f>
        <v>Normal</v>
      </c>
      <c r="T956" s="8" t="str">
        <f>IF(OR(L956&lt;outliers!$J$6,L956&gt;outliers!$J$7),"Outlier","Normal")</f>
        <v>Normal</v>
      </c>
      <c r="U956" s="8" t="str">
        <f>IF(OR(M956&lt;outliers!$K$6,M956&gt;outliers!$K$7),"Outlier","Normal")</f>
        <v>Normal</v>
      </c>
    </row>
    <row r="957" spans="1:21">
      <c r="A957" s="21">
        <v>956</v>
      </c>
      <c r="B957" s="68">
        <v>40586</v>
      </c>
      <c r="C957" s="22" t="b">
        <v>0</v>
      </c>
      <c r="D957" s="21" t="str">
        <f t="shared" si="14"/>
        <v>Saturday</v>
      </c>
      <c r="E957" s="23">
        <v>0.21210000000000001</v>
      </c>
      <c r="F957" s="23">
        <f>YEAR('Merged raw data'!$B957)</f>
        <v>2011</v>
      </c>
      <c r="G957" s="23" t="str">
        <f>TEXT('Merged raw data'!$B957,"mmmm")</f>
        <v>February</v>
      </c>
      <c r="H957" s="37" t="str">
        <f>TEXT(TIME('Merged raw data'!F957,0,0),"h AM/PM")</f>
        <v>10 AM</v>
      </c>
      <c r="I957" s="23" t="str">
        <f>IF(OR('Merged raw data'!H957=1,'Merged raw data'!H957=2,'Merged raw data'!H957=3,'Merged raw data'!H957=4,'Merged raw data'!H957=5),"weekday","weekend")</f>
        <v>weekend</v>
      </c>
      <c r="J957" s="23" t="s">
        <v>23</v>
      </c>
      <c r="K957" s="23" t="str">
        <f>IF('Merged raw data'!I957=1,"Clear",IF('Merged raw data'!I957=2,"Mist",IF('Merged raw data'!I957=3,"Rain",IF('Merged raw data'!I957=4,"Storm","NA"))))</f>
        <v>Clear</v>
      </c>
      <c r="L957" s="24">
        <v>0.41</v>
      </c>
      <c r="M957" s="24">
        <v>0.25369999999999998</v>
      </c>
      <c r="N957" s="21">
        <f>'Merged raw data'!$J957*100</f>
        <v>22</v>
      </c>
      <c r="O957" s="21">
        <v>13</v>
      </c>
      <c r="P957" s="21">
        <v>71</v>
      </c>
      <c r="Q957" s="21">
        <v>84</v>
      </c>
      <c r="R957" s="21" t="str">
        <f>IF(Q957&gt;=outliers!I959,"High",IF(Q957&lt;=outliers!I958,"Low","Moderate"))</f>
        <v>High</v>
      </c>
      <c r="S957" s="8" t="str">
        <f>IF(OR(Q957&lt;outliers!$I$6,Q957&gt;outliers!$I$7),"Outlier","Normal")</f>
        <v>Normal</v>
      </c>
      <c r="T957" s="8" t="str">
        <f>IF(OR(L957&lt;outliers!$J$6,L957&gt;outliers!$J$7),"Outlier","Normal")</f>
        <v>Normal</v>
      </c>
      <c r="U957" s="8" t="str">
        <f>IF(OR(M957&lt;outliers!$K$6,M957&gt;outliers!$K$7),"Outlier","Normal")</f>
        <v>Normal</v>
      </c>
    </row>
    <row r="958" spans="1:21">
      <c r="A958" s="21">
        <v>957</v>
      </c>
      <c r="B958" s="68">
        <v>40586</v>
      </c>
      <c r="C958" s="22" t="b">
        <v>0</v>
      </c>
      <c r="D958" s="21" t="str">
        <f t="shared" si="14"/>
        <v>Saturday</v>
      </c>
      <c r="E958" s="23">
        <v>0.2727</v>
      </c>
      <c r="F958" s="23">
        <f>YEAR('Merged raw data'!$B958)</f>
        <v>2011</v>
      </c>
      <c r="G958" s="23" t="str">
        <f>TEXT('Merged raw data'!$B958,"mmmm")</f>
        <v>February</v>
      </c>
      <c r="H958" s="37" t="str">
        <f>TEXT(TIME('Merged raw data'!F958,0,0),"h AM/PM")</f>
        <v>11 AM</v>
      </c>
      <c r="I958" s="23" t="str">
        <f>IF(OR('Merged raw data'!H958=1,'Merged raw data'!H958=2,'Merged raw data'!H958=3,'Merged raw data'!H958=4,'Merged raw data'!H958=5),"weekday","weekend")</f>
        <v>weekend</v>
      </c>
      <c r="J958" s="23" t="s">
        <v>23</v>
      </c>
      <c r="K958" s="23" t="str">
        <f>IF('Merged raw data'!I958=1,"Clear",IF('Merged raw data'!I958=2,"Mist",IF('Merged raw data'!I958=3,"Rain",IF('Merged raw data'!I958=4,"Storm","NA"))))</f>
        <v>Clear</v>
      </c>
      <c r="L958" s="24">
        <v>0.28000000000000003</v>
      </c>
      <c r="M958" s="24">
        <v>0.32840000000000003</v>
      </c>
      <c r="N958" s="21">
        <f>'Merged raw data'!$J958*100</f>
        <v>30</v>
      </c>
      <c r="O958" s="21">
        <v>30</v>
      </c>
      <c r="P958" s="21">
        <v>84</v>
      </c>
      <c r="Q958" s="21">
        <v>114</v>
      </c>
      <c r="R958" s="21" t="str">
        <f>IF(Q958&gt;=outliers!I960,"High",IF(Q958&lt;=outliers!I959,"Low","Moderate"))</f>
        <v>High</v>
      </c>
      <c r="S958" s="8" t="str">
        <f>IF(OR(Q958&lt;outliers!$I$6,Q958&gt;outliers!$I$7),"Outlier","Normal")</f>
        <v>Normal</v>
      </c>
      <c r="T958" s="8" t="str">
        <f>IF(OR(L958&lt;outliers!$J$6,L958&gt;outliers!$J$7),"Outlier","Normal")</f>
        <v>Normal</v>
      </c>
      <c r="U958" s="8" t="str">
        <f>IF(OR(M958&lt;outliers!$K$6,M958&gt;outliers!$K$7),"Outlier","Normal")</f>
        <v>Normal</v>
      </c>
    </row>
    <row r="959" spans="1:21">
      <c r="A959" s="21">
        <v>958</v>
      </c>
      <c r="B959" s="68">
        <v>40586</v>
      </c>
      <c r="C959" s="22" t="b">
        <v>0</v>
      </c>
      <c r="D959" s="21" t="str">
        <f t="shared" si="14"/>
        <v>Saturday</v>
      </c>
      <c r="E959" s="23">
        <v>0.2727</v>
      </c>
      <c r="F959" s="23">
        <f>YEAR('Merged raw data'!$B959)</f>
        <v>2011</v>
      </c>
      <c r="G959" s="23" t="str">
        <f>TEXT('Merged raw data'!$B959,"mmmm")</f>
        <v>February</v>
      </c>
      <c r="H959" s="37" t="str">
        <f>TEXT(TIME('Merged raw data'!F959,0,0),"h AM/PM")</f>
        <v>12 PM</v>
      </c>
      <c r="I959" s="23" t="str">
        <f>IF(OR('Merged raw data'!H959=1,'Merged raw data'!H959=2,'Merged raw data'!H959=3,'Merged raw data'!H959=4,'Merged raw data'!H959=5),"weekday","weekend")</f>
        <v>weekend</v>
      </c>
      <c r="J959" s="23" t="s">
        <v>23</v>
      </c>
      <c r="K959" s="23" t="str">
        <f>IF('Merged raw data'!I959=1,"Clear",IF('Merged raw data'!I959=2,"Mist",IF('Merged raw data'!I959=3,"Rain",IF('Merged raw data'!I959=4,"Storm","NA"))))</f>
        <v>Clear</v>
      </c>
      <c r="L959" s="24">
        <v>0.39</v>
      </c>
      <c r="M959" s="24">
        <v>0.4627</v>
      </c>
      <c r="N959" s="21">
        <f>'Merged raw data'!$J959*100</f>
        <v>30</v>
      </c>
      <c r="O959" s="21">
        <v>27</v>
      </c>
      <c r="P959" s="21">
        <v>93</v>
      </c>
      <c r="Q959" s="21">
        <v>120</v>
      </c>
      <c r="R959" s="21" t="str">
        <f>IF(Q959&gt;=outliers!I961,"High",IF(Q959&lt;=outliers!I960,"Low","Moderate"))</f>
        <v>High</v>
      </c>
      <c r="S959" s="8" t="str">
        <f>IF(OR(Q959&lt;outliers!$I$6,Q959&gt;outliers!$I$7),"Outlier","Normal")</f>
        <v>Normal</v>
      </c>
      <c r="T959" s="8" t="str">
        <f>IF(OR(L959&lt;outliers!$J$6,L959&gt;outliers!$J$7),"Outlier","Normal")</f>
        <v>Normal</v>
      </c>
      <c r="U959" s="8" t="str">
        <f>IF(OR(M959&lt;outliers!$K$6,M959&gt;outliers!$K$7),"Outlier","Normal")</f>
        <v>Normal</v>
      </c>
    </row>
    <row r="960" spans="1:21">
      <c r="A960" s="21">
        <v>959</v>
      </c>
      <c r="B960" s="68">
        <v>40586</v>
      </c>
      <c r="C960" s="22" t="b">
        <v>0</v>
      </c>
      <c r="D960" s="21" t="str">
        <f t="shared" si="14"/>
        <v>Saturday</v>
      </c>
      <c r="E960" s="23">
        <v>0.2727</v>
      </c>
      <c r="F960" s="23">
        <f>YEAR('Merged raw data'!$B960)</f>
        <v>2011</v>
      </c>
      <c r="G960" s="23" t="str">
        <f>TEXT('Merged raw data'!$B960,"mmmm")</f>
        <v>February</v>
      </c>
      <c r="H960" s="37" t="str">
        <f>TEXT(TIME('Merged raw data'!F960,0,0),"h AM/PM")</f>
        <v>1 PM</v>
      </c>
      <c r="I960" s="23" t="str">
        <f>IF(OR('Merged raw data'!H960=1,'Merged raw data'!H960=2,'Merged raw data'!H960=3,'Merged raw data'!H960=4,'Merged raw data'!H960=5),"weekday","weekend")</f>
        <v>weekend</v>
      </c>
      <c r="J960" s="23" t="s">
        <v>23</v>
      </c>
      <c r="K960" s="23" t="str">
        <f>IF('Merged raw data'!I960=1,"Clear",IF('Merged raw data'!I960=2,"Mist",IF('Merged raw data'!I960=3,"Rain",IF('Merged raw data'!I960=4,"Storm","NA"))))</f>
        <v>Clear</v>
      </c>
      <c r="L960" s="24">
        <v>0.39</v>
      </c>
      <c r="M960" s="24">
        <v>0.41789999999999999</v>
      </c>
      <c r="N960" s="21">
        <f>'Merged raw data'!$J960*100</f>
        <v>30</v>
      </c>
      <c r="O960" s="21">
        <v>32</v>
      </c>
      <c r="P960" s="21">
        <v>103</v>
      </c>
      <c r="Q960" s="21">
        <v>135</v>
      </c>
      <c r="R960" s="21" t="str">
        <f>IF(Q960&gt;=outliers!I962,"High",IF(Q960&lt;=outliers!I961,"Low","Moderate"))</f>
        <v>High</v>
      </c>
      <c r="S960" s="8" t="str">
        <f>IF(OR(Q960&lt;outliers!$I$6,Q960&gt;outliers!$I$7),"Outlier","Normal")</f>
        <v>Normal</v>
      </c>
      <c r="T960" s="8" t="str">
        <f>IF(OR(L960&lt;outliers!$J$6,L960&gt;outliers!$J$7),"Outlier","Normal")</f>
        <v>Normal</v>
      </c>
      <c r="U960" s="8" t="str">
        <f>IF(OR(M960&lt;outliers!$K$6,M960&gt;outliers!$K$7),"Outlier","Normal")</f>
        <v>Normal</v>
      </c>
    </row>
    <row r="961" spans="1:21">
      <c r="A961" s="21">
        <v>960</v>
      </c>
      <c r="B961" s="68">
        <v>40586</v>
      </c>
      <c r="C961" s="22" t="b">
        <v>0</v>
      </c>
      <c r="D961" s="21" t="str">
        <f t="shared" si="14"/>
        <v>Saturday</v>
      </c>
      <c r="E961" s="23">
        <v>0.31819999999999998</v>
      </c>
      <c r="F961" s="23">
        <f>YEAR('Merged raw data'!$B961)</f>
        <v>2011</v>
      </c>
      <c r="G961" s="23" t="str">
        <f>TEXT('Merged raw data'!$B961,"mmmm")</f>
        <v>February</v>
      </c>
      <c r="H961" s="37" t="str">
        <f>TEXT(TIME('Merged raw data'!F961,0,0),"h AM/PM")</f>
        <v>2 PM</v>
      </c>
      <c r="I961" s="23" t="str">
        <f>IF(OR('Merged raw data'!H961=1,'Merged raw data'!H961=2,'Merged raw data'!H961=3,'Merged raw data'!H961=4,'Merged raw data'!H961=5),"weekday","weekend")</f>
        <v>weekend</v>
      </c>
      <c r="J961" s="23" t="s">
        <v>23</v>
      </c>
      <c r="K961" s="23" t="str">
        <f>IF('Merged raw data'!I961=1,"Clear",IF('Merged raw data'!I961=2,"Mist",IF('Merged raw data'!I961=3,"Rain",IF('Merged raw data'!I961=4,"Storm","NA"))))</f>
        <v>Clear</v>
      </c>
      <c r="L961" s="24">
        <v>0.31</v>
      </c>
      <c r="M961" s="24">
        <v>0.28360000000000002</v>
      </c>
      <c r="N961" s="21">
        <f>'Merged raw data'!$J961*100</f>
        <v>34</v>
      </c>
      <c r="O961" s="21">
        <v>30</v>
      </c>
      <c r="P961" s="21">
        <v>90</v>
      </c>
      <c r="Q961" s="21">
        <v>120</v>
      </c>
      <c r="R961" s="21" t="str">
        <f>IF(Q961&gt;=outliers!I963,"High",IF(Q961&lt;=outliers!I962,"Low","Moderate"))</f>
        <v>High</v>
      </c>
      <c r="S961" s="8" t="str">
        <f>IF(OR(Q961&lt;outliers!$I$6,Q961&gt;outliers!$I$7),"Outlier","Normal")</f>
        <v>Normal</v>
      </c>
      <c r="T961" s="8" t="str">
        <f>IF(OR(L961&lt;outliers!$J$6,L961&gt;outliers!$J$7),"Outlier","Normal")</f>
        <v>Normal</v>
      </c>
      <c r="U961" s="8" t="str">
        <f>IF(OR(M961&lt;outliers!$K$6,M961&gt;outliers!$K$7),"Outlier","Normal")</f>
        <v>Normal</v>
      </c>
    </row>
    <row r="962" spans="1:21">
      <c r="A962" s="21">
        <v>961</v>
      </c>
      <c r="B962" s="68">
        <v>40586</v>
      </c>
      <c r="C962" s="22" t="b">
        <v>0</v>
      </c>
      <c r="D962" s="21" t="str">
        <f t="shared" si="14"/>
        <v>Saturday</v>
      </c>
      <c r="E962" s="23">
        <v>0.30299999999999999</v>
      </c>
      <c r="F962" s="23">
        <f>YEAR('Merged raw data'!$B962)</f>
        <v>2011</v>
      </c>
      <c r="G962" s="23" t="str">
        <f>TEXT('Merged raw data'!$B962,"mmmm")</f>
        <v>February</v>
      </c>
      <c r="H962" s="37" t="str">
        <f>TEXT(TIME('Merged raw data'!F962,0,0),"h AM/PM")</f>
        <v>3 PM</v>
      </c>
      <c r="I962" s="23" t="str">
        <f>IF(OR('Merged raw data'!H962=1,'Merged raw data'!H962=2,'Merged raw data'!H962=3,'Merged raw data'!H962=4,'Merged raw data'!H962=5),"weekday","weekend")</f>
        <v>weekend</v>
      </c>
      <c r="J962" s="23" t="s">
        <v>23</v>
      </c>
      <c r="K962" s="23" t="str">
        <f>IF('Merged raw data'!I962=1,"Clear",IF('Merged raw data'!I962=2,"Mist",IF('Merged raw data'!I962=3,"Rain",IF('Merged raw data'!I962=4,"Storm","NA"))))</f>
        <v>Clear</v>
      </c>
      <c r="L962" s="24">
        <v>0.28999999999999998</v>
      </c>
      <c r="M962" s="24">
        <v>0.41789999999999999</v>
      </c>
      <c r="N962" s="21">
        <f>'Merged raw data'!$J962*100</f>
        <v>34</v>
      </c>
      <c r="O962" s="21">
        <v>47</v>
      </c>
      <c r="P962" s="21">
        <v>127</v>
      </c>
      <c r="Q962" s="21">
        <v>174</v>
      </c>
      <c r="R962" s="21" t="str">
        <f>IF(Q962&gt;=outliers!I964,"High",IF(Q962&lt;=outliers!I963,"Low","Moderate"))</f>
        <v>High</v>
      </c>
      <c r="S962" s="8" t="str">
        <f>IF(OR(Q962&lt;outliers!$I$6,Q962&gt;outliers!$I$7),"Outlier","Normal")</f>
        <v>Normal</v>
      </c>
      <c r="T962" s="8" t="str">
        <f>IF(OR(L962&lt;outliers!$J$6,L962&gt;outliers!$J$7),"Outlier","Normal")</f>
        <v>Normal</v>
      </c>
      <c r="U962" s="8" t="str">
        <f>IF(OR(M962&lt;outliers!$K$6,M962&gt;outliers!$K$7),"Outlier","Normal")</f>
        <v>Normal</v>
      </c>
    </row>
    <row r="963" spans="1:21">
      <c r="A963" s="21">
        <v>962</v>
      </c>
      <c r="B963" s="68">
        <v>40586</v>
      </c>
      <c r="C963" s="22" t="b">
        <v>0</v>
      </c>
      <c r="D963" s="21" t="str">
        <f t="shared" ref="D963:D1001" si="15">TEXT(B963,"dddd")</f>
        <v>Saturday</v>
      </c>
      <c r="E963" s="23">
        <v>0.30299999999999999</v>
      </c>
      <c r="F963" s="23">
        <f>YEAR('Merged raw data'!$B963)</f>
        <v>2011</v>
      </c>
      <c r="G963" s="23" t="str">
        <f>TEXT('Merged raw data'!$B963,"mmmm")</f>
        <v>February</v>
      </c>
      <c r="H963" s="37" t="str">
        <f>TEXT(TIME('Merged raw data'!F963,0,0),"h AM/PM")</f>
        <v>4 PM</v>
      </c>
      <c r="I963" s="23" t="str">
        <f>IF(OR('Merged raw data'!H963=1,'Merged raw data'!H963=2,'Merged raw data'!H963=3,'Merged raw data'!H963=4,'Merged raw data'!H963=5),"weekday","weekend")</f>
        <v>weekend</v>
      </c>
      <c r="J963" s="23" t="s">
        <v>23</v>
      </c>
      <c r="K963" s="23" t="str">
        <f>IF('Merged raw data'!I963=1,"Clear",IF('Merged raw data'!I963=2,"Mist",IF('Merged raw data'!I963=3,"Rain",IF('Merged raw data'!I963=4,"Storm","NA"))))</f>
        <v>Clear</v>
      </c>
      <c r="L963" s="24">
        <v>0.28999999999999998</v>
      </c>
      <c r="M963" s="24">
        <v>0.41789999999999999</v>
      </c>
      <c r="N963" s="21">
        <f>'Merged raw data'!$J963*100</f>
        <v>34</v>
      </c>
      <c r="O963" s="21">
        <v>42</v>
      </c>
      <c r="P963" s="21">
        <v>103</v>
      </c>
      <c r="Q963" s="21">
        <v>145</v>
      </c>
      <c r="R963" s="21" t="str">
        <f>IF(Q963&gt;=outliers!I965,"High",IF(Q963&lt;=outliers!I964,"Low","Moderate"))</f>
        <v>High</v>
      </c>
      <c r="S963" s="8" t="str">
        <f>IF(OR(Q963&lt;outliers!$I$6,Q963&gt;outliers!$I$7),"Outlier","Normal")</f>
        <v>Normal</v>
      </c>
      <c r="T963" s="8" t="str">
        <f>IF(OR(L963&lt;outliers!$J$6,L963&gt;outliers!$J$7),"Outlier","Normal")</f>
        <v>Normal</v>
      </c>
      <c r="U963" s="8" t="str">
        <f>IF(OR(M963&lt;outliers!$K$6,M963&gt;outliers!$K$7),"Outlier","Normal")</f>
        <v>Normal</v>
      </c>
    </row>
    <row r="964" spans="1:21">
      <c r="A964" s="21">
        <v>963</v>
      </c>
      <c r="B964" s="68">
        <v>40586</v>
      </c>
      <c r="C964" s="22" t="b">
        <v>0</v>
      </c>
      <c r="D964" s="21" t="str">
        <f t="shared" si="15"/>
        <v>Saturday</v>
      </c>
      <c r="E964" s="23">
        <v>0.28789999999999999</v>
      </c>
      <c r="F964" s="23">
        <f>YEAR('Merged raw data'!$B964)</f>
        <v>2011</v>
      </c>
      <c r="G964" s="23" t="str">
        <f>TEXT('Merged raw data'!$B964,"mmmm")</f>
        <v>February</v>
      </c>
      <c r="H964" s="37" t="str">
        <f>TEXT(TIME('Merged raw data'!F964,0,0),"h AM/PM")</f>
        <v>5 PM</v>
      </c>
      <c r="I964" s="23" t="str">
        <f>IF(OR('Merged raw data'!H964=1,'Merged raw data'!H964=2,'Merged raw data'!H964=3,'Merged raw data'!H964=4,'Merged raw data'!H964=5),"weekday","weekend")</f>
        <v>weekend</v>
      </c>
      <c r="J964" s="23" t="s">
        <v>23</v>
      </c>
      <c r="K964" s="23" t="str">
        <f>IF('Merged raw data'!I964=1,"Clear",IF('Merged raw data'!I964=2,"Mist",IF('Merged raw data'!I964=3,"Rain",IF('Merged raw data'!I964=4,"Storm","NA"))))</f>
        <v>Clear</v>
      </c>
      <c r="L964" s="24">
        <v>0.31</v>
      </c>
      <c r="M964" s="24">
        <v>0.52239999999999998</v>
      </c>
      <c r="N964" s="21">
        <f>'Merged raw data'!$J964*100</f>
        <v>32</v>
      </c>
      <c r="O964" s="21">
        <v>24</v>
      </c>
      <c r="P964" s="21">
        <v>113</v>
      </c>
      <c r="Q964" s="21">
        <v>137</v>
      </c>
      <c r="R964" s="21" t="str">
        <f>IF(Q964&gt;=outliers!I966,"High",IF(Q964&lt;=outliers!I965,"Low","Moderate"))</f>
        <v>High</v>
      </c>
      <c r="S964" s="8" t="str">
        <f>IF(OR(Q964&lt;outliers!$I$6,Q964&gt;outliers!$I$7),"Outlier","Normal")</f>
        <v>Normal</v>
      </c>
      <c r="T964" s="8" t="str">
        <f>IF(OR(L964&lt;outliers!$J$6,L964&gt;outliers!$J$7),"Outlier","Normal")</f>
        <v>Normal</v>
      </c>
      <c r="U964" s="8" t="str">
        <f>IF(OR(M964&lt;outliers!$K$6,M964&gt;outliers!$K$7),"Outlier","Normal")</f>
        <v>Outlier</v>
      </c>
    </row>
    <row r="965" spans="1:21">
      <c r="A965" s="21">
        <v>964</v>
      </c>
      <c r="B965" s="68">
        <v>40586</v>
      </c>
      <c r="C965" s="22" t="b">
        <v>0</v>
      </c>
      <c r="D965" s="21" t="str">
        <f t="shared" si="15"/>
        <v>Saturday</v>
      </c>
      <c r="E965" s="23">
        <v>0.2576</v>
      </c>
      <c r="F965" s="23">
        <f>YEAR('Merged raw data'!$B965)</f>
        <v>2011</v>
      </c>
      <c r="G965" s="23" t="str">
        <f>TEXT('Merged raw data'!$B965,"mmmm")</f>
        <v>February</v>
      </c>
      <c r="H965" s="37" t="str">
        <f>TEXT(TIME('Merged raw data'!F965,0,0),"h AM/PM")</f>
        <v>6 PM</v>
      </c>
      <c r="I965" s="23" t="str">
        <f>IF(OR('Merged raw data'!H965=1,'Merged raw data'!H965=2,'Merged raw data'!H965=3,'Merged raw data'!H965=4,'Merged raw data'!H965=5),"weekday","weekend")</f>
        <v>weekend</v>
      </c>
      <c r="J965" s="23" t="s">
        <v>23</v>
      </c>
      <c r="K965" s="23" t="str">
        <f>IF('Merged raw data'!I965=1,"Clear",IF('Merged raw data'!I965=2,"Mist",IF('Merged raw data'!I965=3,"Rain",IF('Merged raw data'!I965=4,"Storm","NA"))))</f>
        <v>Clear</v>
      </c>
      <c r="L965" s="24">
        <v>0.38</v>
      </c>
      <c r="M965" s="24">
        <v>0.32840000000000003</v>
      </c>
      <c r="N965" s="21">
        <f>'Merged raw data'!$J965*100</f>
        <v>28.000000000000004</v>
      </c>
      <c r="O965" s="21">
        <v>4</v>
      </c>
      <c r="P965" s="21">
        <v>60</v>
      </c>
      <c r="Q965" s="21">
        <v>64</v>
      </c>
      <c r="R965" s="21" t="str">
        <f>IF(Q965&gt;=outliers!I967,"High",IF(Q965&lt;=outliers!I966,"Low","Moderate"))</f>
        <v>High</v>
      </c>
      <c r="S965" s="8" t="str">
        <f>IF(OR(Q965&lt;outliers!$I$6,Q965&gt;outliers!$I$7),"Outlier","Normal")</f>
        <v>Normal</v>
      </c>
      <c r="T965" s="8" t="str">
        <f>IF(OR(L965&lt;outliers!$J$6,L965&gt;outliers!$J$7),"Outlier","Normal")</f>
        <v>Normal</v>
      </c>
      <c r="U965" s="8" t="str">
        <f>IF(OR(M965&lt;outliers!$K$6,M965&gt;outliers!$K$7),"Outlier","Normal")</f>
        <v>Normal</v>
      </c>
    </row>
    <row r="966" spans="1:21">
      <c r="A966" s="21">
        <v>965</v>
      </c>
      <c r="B966" s="68">
        <v>40586</v>
      </c>
      <c r="C966" s="22" t="b">
        <v>0</v>
      </c>
      <c r="D966" s="21" t="str">
        <f t="shared" si="15"/>
        <v>Saturday</v>
      </c>
      <c r="E966" s="23">
        <v>0.2727</v>
      </c>
      <c r="F966" s="23">
        <f>YEAR('Merged raw data'!$B966)</f>
        <v>2011</v>
      </c>
      <c r="G966" s="23" t="str">
        <f>TEXT('Merged raw data'!$B966,"mmmm")</f>
        <v>February</v>
      </c>
      <c r="H966" s="37" t="str">
        <f>TEXT(TIME('Merged raw data'!F966,0,0),"h AM/PM")</f>
        <v>7 PM</v>
      </c>
      <c r="I966" s="23" t="str">
        <f>IF(OR('Merged raw data'!H966=1,'Merged raw data'!H966=2,'Merged raw data'!H966=3,'Merged raw data'!H966=4,'Merged raw data'!H966=5),"weekday","weekend")</f>
        <v>weekend</v>
      </c>
      <c r="J966" s="23" t="s">
        <v>23</v>
      </c>
      <c r="K966" s="23" t="str">
        <f>IF('Merged raw data'!I966=1,"Clear",IF('Merged raw data'!I966=2,"Mist",IF('Merged raw data'!I966=3,"Rain",IF('Merged raw data'!I966=4,"Storm","NA"))))</f>
        <v>Clear</v>
      </c>
      <c r="L966" s="24">
        <v>0.38</v>
      </c>
      <c r="M966" s="24">
        <v>0.16420000000000001</v>
      </c>
      <c r="N966" s="21">
        <f>'Merged raw data'!$J966*100</f>
        <v>28.000000000000004</v>
      </c>
      <c r="O966" s="21">
        <v>2</v>
      </c>
      <c r="P966" s="21">
        <v>39</v>
      </c>
      <c r="Q966" s="21">
        <v>41</v>
      </c>
      <c r="R966" s="21" t="str">
        <f>IF(Q966&gt;=outliers!I968,"High",IF(Q966&lt;=outliers!I967,"Low","Moderate"))</f>
        <v>High</v>
      </c>
      <c r="S966" s="8" t="str">
        <f>IF(OR(Q966&lt;outliers!$I$6,Q966&gt;outliers!$I$7),"Outlier","Normal")</f>
        <v>Normal</v>
      </c>
      <c r="T966" s="8" t="str">
        <f>IF(OR(L966&lt;outliers!$J$6,L966&gt;outliers!$J$7),"Outlier","Normal")</f>
        <v>Normal</v>
      </c>
      <c r="U966" s="8" t="str">
        <f>IF(OR(M966&lt;outliers!$K$6,M966&gt;outliers!$K$7),"Outlier","Normal")</f>
        <v>Normal</v>
      </c>
    </row>
    <row r="967" spans="1:21">
      <c r="A967" s="21">
        <v>966</v>
      </c>
      <c r="B967" s="68">
        <v>40586</v>
      </c>
      <c r="C967" s="22" t="b">
        <v>0</v>
      </c>
      <c r="D967" s="21" t="str">
        <f t="shared" si="15"/>
        <v>Saturday</v>
      </c>
      <c r="E967" s="23">
        <v>0.2576</v>
      </c>
      <c r="F967" s="23">
        <f>YEAR('Merged raw data'!$B967)</f>
        <v>2011</v>
      </c>
      <c r="G967" s="23" t="str">
        <f>TEXT('Merged raw data'!$B967,"mmmm")</f>
        <v>February</v>
      </c>
      <c r="H967" s="37" t="str">
        <f>TEXT(TIME('Merged raw data'!F967,0,0),"h AM/PM")</f>
        <v>8 PM</v>
      </c>
      <c r="I967" s="23" t="str">
        <f>IF(OR('Merged raw data'!H967=1,'Merged raw data'!H967=2,'Merged raw data'!H967=3,'Merged raw data'!H967=4,'Merged raw data'!H967=5),"weekday","weekend")</f>
        <v>weekend</v>
      </c>
      <c r="J967" s="23" t="s">
        <v>23</v>
      </c>
      <c r="K967" s="23" t="str">
        <f>IF('Merged raw data'!I967=1,"Clear",IF('Merged raw data'!I967=2,"Mist",IF('Merged raw data'!I967=3,"Rain",IF('Merged raw data'!I967=4,"Storm","NA"))))</f>
        <v>Clear</v>
      </c>
      <c r="L967" s="24">
        <v>0.41</v>
      </c>
      <c r="M967" s="24">
        <v>0.22389999999999999</v>
      </c>
      <c r="N967" s="21">
        <f>'Merged raw data'!$J967*100</f>
        <v>26</v>
      </c>
      <c r="O967" s="21">
        <v>1</v>
      </c>
      <c r="P967" s="21">
        <v>39</v>
      </c>
      <c r="Q967" s="21">
        <v>40</v>
      </c>
      <c r="R967" s="21" t="str">
        <f>IF(Q967&gt;=outliers!I969,"High",IF(Q967&lt;=outliers!I968,"Low","Moderate"))</f>
        <v>High</v>
      </c>
      <c r="S967" s="8" t="str">
        <f>IF(OR(Q967&lt;outliers!$I$6,Q967&gt;outliers!$I$7),"Outlier","Normal")</f>
        <v>Normal</v>
      </c>
      <c r="T967" s="8" t="str">
        <f>IF(OR(L967&lt;outliers!$J$6,L967&gt;outliers!$J$7),"Outlier","Normal")</f>
        <v>Normal</v>
      </c>
      <c r="U967" s="8" t="str">
        <f>IF(OR(M967&lt;outliers!$K$6,M967&gt;outliers!$K$7),"Outlier","Normal")</f>
        <v>Normal</v>
      </c>
    </row>
    <row r="968" spans="1:21">
      <c r="A968" s="21">
        <v>967</v>
      </c>
      <c r="B968" s="68">
        <v>40586</v>
      </c>
      <c r="C968" s="22" t="b">
        <v>0</v>
      </c>
      <c r="D968" s="21" t="str">
        <f t="shared" si="15"/>
        <v>Saturday</v>
      </c>
      <c r="E968" s="23">
        <v>0.30299999999999999</v>
      </c>
      <c r="F968" s="23">
        <f>YEAR('Merged raw data'!$B968)</f>
        <v>2011</v>
      </c>
      <c r="G968" s="23" t="str">
        <f>TEXT('Merged raw data'!$B968,"mmmm")</f>
        <v>February</v>
      </c>
      <c r="H968" s="37" t="str">
        <f>TEXT(TIME('Merged raw data'!F968,0,0),"h AM/PM")</f>
        <v>9 PM</v>
      </c>
      <c r="I968" s="23" t="str">
        <f>IF(OR('Merged raw data'!H968=1,'Merged raw data'!H968=2,'Merged raw data'!H968=3,'Merged raw data'!H968=4,'Merged raw data'!H968=5),"weekday","weekend")</f>
        <v>weekend</v>
      </c>
      <c r="J968" s="23" t="s">
        <v>23</v>
      </c>
      <c r="K968" s="23" t="str">
        <f>IF('Merged raw data'!I968=1,"Clear",IF('Merged raw data'!I968=2,"Mist",IF('Merged raw data'!I968=3,"Rain",IF('Merged raw data'!I968=4,"Storm","NA"))))</f>
        <v>Clear</v>
      </c>
      <c r="L968" s="24">
        <v>0.41</v>
      </c>
      <c r="M968" s="24">
        <v>0.23</v>
      </c>
      <c r="N968" s="21">
        <f>'Merged raw data'!$J968*100</f>
        <v>26</v>
      </c>
      <c r="O968" s="21">
        <v>9</v>
      </c>
      <c r="P968" s="21">
        <v>42</v>
      </c>
      <c r="Q968" s="21">
        <v>51</v>
      </c>
      <c r="R968" s="21" t="str">
        <f>IF(Q968&gt;=outliers!I970,"High",IF(Q968&lt;=outliers!I969,"Low","Moderate"))</f>
        <v>High</v>
      </c>
      <c r="S968" s="8" t="str">
        <f>IF(OR(Q968&lt;outliers!$I$6,Q968&gt;outliers!$I$7),"Outlier","Normal")</f>
        <v>Normal</v>
      </c>
      <c r="T968" s="8" t="str">
        <f>IF(OR(L968&lt;outliers!$J$6,L968&gt;outliers!$J$7),"Outlier","Normal")</f>
        <v>Normal</v>
      </c>
      <c r="U968" s="8" t="str">
        <f>IF(OR(M968&lt;outliers!$K$6,M968&gt;outliers!$K$7),"Outlier","Normal")</f>
        <v>Normal</v>
      </c>
    </row>
    <row r="969" spans="1:21">
      <c r="A969" s="21">
        <v>968</v>
      </c>
      <c r="B969" s="68">
        <v>40586</v>
      </c>
      <c r="C969" s="22" t="b">
        <v>0</v>
      </c>
      <c r="D969" s="21" t="str">
        <f t="shared" si="15"/>
        <v>Saturday</v>
      </c>
      <c r="E969" s="23">
        <v>0.2576</v>
      </c>
      <c r="F969" s="23">
        <f>YEAR('Merged raw data'!$B969)</f>
        <v>2011</v>
      </c>
      <c r="G969" s="23" t="str">
        <f>TEXT('Merged raw data'!$B969,"mmmm")</f>
        <v>February</v>
      </c>
      <c r="H969" s="37" t="str">
        <f>TEXT(TIME('Merged raw data'!F969,0,0),"h AM/PM")</f>
        <v>10 PM</v>
      </c>
      <c r="I969" s="23" t="str">
        <f>IF(OR('Merged raw data'!H969=1,'Merged raw data'!H969=2,'Merged raw data'!H969=3,'Merged raw data'!H969=4,'Merged raw data'!H969=5),"weekday","weekend")</f>
        <v>weekend</v>
      </c>
      <c r="J969" s="23" t="s">
        <v>23</v>
      </c>
      <c r="K969" s="23" t="str">
        <f>IF('Merged raw data'!I969=1,"Clear",IF('Merged raw data'!I969=2,"Mist",IF('Merged raw data'!I969=3,"Rain",IF('Merged raw data'!I969=4,"Storm","NA"))))</f>
        <v>Clear</v>
      </c>
      <c r="L969" s="24">
        <v>0.44</v>
      </c>
      <c r="M969" s="24">
        <v>8.9599999999999999E-2</v>
      </c>
      <c r="N969" s="21">
        <f>'Merged raw data'!$J969*100</f>
        <v>24</v>
      </c>
      <c r="O969" s="21">
        <v>6</v>
      </c>
      <c r="P969" s="21">
        <v>39</v>
      </c>
      <c r="Q969" s="21">
        <v>45</v>
      </c>
      <c r="R969" s="21" t="str">
        <f>IF(Q969&gt;=outliers!I971,"High",IF(Q969&lt;=outliers!I970,"Low","Moderate"))</f>
        <v>High</v>
      </c>
      <c r="S969" s="8" t="str">
        <f>IF(OR(Q969&lt;outliers!$I$6,Q969&gt;outliers!$I$7),"Outlier","Normal")</f>
        <v>Normal</v>
      </c>
      <c r="T969" s="8" t="str">
        <f>IF(OR(L969&lt;outliers!$J$6,L969&gt;outliers!$J$7),"Outlier","Normal")</f>
        <v>Normal</v>
      </c>
      <c r="U969" s="8" t="str">
        <f>IF(OR(M969&lt;outliers!$K$6,M969&gt;outliers!$K$7),"Outlier","Normal")</f>
        <v>Normal</v>
      </c>
    </row>
    <row r="970" spans="1:21">
      <c r="A970" s="21">
        <v>969</v>
      </c>
      <c r="B970" s="68">
        <v>40586</v>
      </c>
      <c r="C970" s="22" t="b">
        <v>0</v>
      </c>
      <c r="D970" s="21" t="str">
        <f t="shared" si="15"/>
        <v>Saturday</v>
      </c>
      <c r="E970" s="23">
        <v>0.2273</v>
      </c>
      <c r="F970" s="23">
        <f>YEAR('Merged raw data'!$B970)</f>
        <v>2011</v>
      </c>
      <c r="G970" s="23" t="str">
        <f>TEXT('Merged raw data'!$B970,"mmmm")</f>
        <v>February</v>
      </c>
      <c r="H970" s="37" t="str">
        <f>TEXT(TIME('Merged raw data'!F970,0,0),"h AM/PM")</f>
        <v>11 PM</v>
      </c>
      <c r="I970" s="23" t="str">
        <f>IF(OR('Merged raw data'!H970=1,'Merged raw data'!H970=2,'Merged raw data'!H970=3,'Merged raw data'!H970=4,'Merged raw data'!H970=5),"weekday","weekend")</f>
        <v>weekend</v>
      </c>
      <c r="J970" s="23" t="s">
        <v>23</v>
      </c>
      <c r="K970" s="23" t="str">
        <f>IF('Merged raw data'!I970=1,"Clear",IF('Merged raw data'!I970=2,"Mist",IF('Merged raw data'!I970=3,"Rain",IF('Merged raw data'!I970=4,"Storm","NA"))))</f>
        <v>Clear</v>
      </c>
      <c r="L970" s="24">
        <v>0.51</v>
      </c>
      <c r="M970" s="24">
        <v>0.1343</v>
      </c>
      <c r="N970" s="21">
        <f>'Merged raw data'!$J970*100</f>
        <v>22</v>
      </c>
      <c r="O970" s="21">
        <v>1</v>
      </c>
      <c r="P970" s="21">
        <v>31</v>
      </c>
      <c r="Q970" s="21">
        <v>32</v>
      </c>
      <c r="R970" s="21" t="str">
        <f>IF(Q970&gt;=outliers!I972,"High",IF(Q970&lt;=outliers!I971,"Low","Moderate"))</f>
        <v>High</v>
      </c>
      <c r="S970" s="8" t="str">
        <f>IF(OR(Q970&lt;outliers!$I$6,Q970&gt;outliers!$I$7),"Outlier","Normal")</f>
        <v>Normal</v>
      </c>
      <c r="T970" s="8" t="str">
        <f>IF(OR(L970&lt;outliers!$J$6,L970&gt;outliers!$J$7),"Outlier","Normal")</f>
        <v>Normal</v>
      </c>
      <c r="U970" s="8" t="str">
        <f>IF(OR(M970&lt;outliers!$K$6,M970&gt;outliers!$K$7),"Outlier","Normal")</f>
        <v>Normal</v>
      </c>
    </row>
    <row r="971" spans="1:21">
      <c r="A971" s="21">
        <v>970</v>
      </c>
      <c r="B971" s="68">
        <v>40587</v>
      </c>
      <c r="C971" s="22" t="b">
        <v>0</v>
      </c>
      <c r="D971" s="21" t="str">
        <f t="shared" si="15"/>
        <v>Sunday</v>
      </c>
      <c r="E971" s="23">
        <v>0.2273</v>
      </c>
      <c r="F971" s="23">
        <f>YEAR('Merged raw data'!$B971)</f>
        <v>2011</v>
      </c>
      <c r="G971" s="23" t="str">
        <f>TEXT('Merged raw data'!$B971,"mmmm")</f>
        <v>February</v>
      </c>
      <c r="H971" s="37" t="str">
        <f>TEXT(TIME('Merged raw data'!F971,0,0),"h AM/PM")</f>
        <v>12 AM</v>
      </c>
      <c r="I971" s="23" t="str">
        <f>IF(OR('Merged raw data'!H971=1,'Merged raw data'!H971=2,'Merged raw data'!H971=3,'Merged raw data'!H971=4,'Merged raw data'!H971=5),"weekday","weekend")</f>
        <v>weekend</v>
      </c>
      <c r="J971" s="23" t="s">
        <v>23</v>
      </c>
      <c r="K971" s="23" t="str">
        <f>IF('Merged raw data'!I971=1,"Clear",IF('Merged raw data'!I971=2,"Mist",IF('Merged raw data'!I971=3,"Rain",IF('Merged raw data'!I971=4,"Storm","NA"))))</f>
        <v>Clear</v>
      </c>
      <c r="L971" s="24">
        <v>0.64</v>
      </c>
      <c r="M971" s="24">
        <v>0.1045</v>
      </c>
      <c r="N971" s="21">
        <f>'Merged raw data'!$J971*100</f>
        <v>20</v>
      </c>
      <c r="O971" s="21">
        <v>5</v>
      </c>
      <c r="P971" s="21">
        <v>34</v>
      </c>
      <c r="Q971" s="21">
        <v>39</v>
      </c>
      <c r="R971" s="21" t="str">
        <f>IF(Q971&gt;=outliers!I973,"High",IF(Q971&lt;=outliers!I972,"Low","Moderate"))</f>
        <v>High</v>
      </c>
      <c r="S971" s="8" t="str">
        <f>IF(OR(Q971&lt;outliers!$I$6,Q971&gt;outliers!$I$7),"Outlier","Normal")</f>
        <v>Normal</v>
      </c>
      <c r="T971" s="8" t="str">
        <f>IF(OR(L971&lt;outliers!$J$6,L971&gt;outliers!$J$7),"Outlier","Normal")</f>
        <v>Normal</v>
      </c>
      <c r="U971" s="8" t="str">
        <f>IF(OR(M971&lt;outliers!$K$6,M971&gt;outliers!$K$7),"Outlier","Normal")</f>
        <v>Normal</v>
      </c>
    </row>
    <row r="972" spans="1:21">
      <c r="A972" s="21">
        <v>971</v>
      </c>
      <c r="B972" s="68">
        <v>40587</v>
      </c>
      <c r="C972" s="22" t="b">
        <v>0</v>
      </c>
      <c r="D972" s="21" t="str">
        <f t="shared" si="15"/>
        <v>Sunday</v>
      </c>
      <c r="E972" s="23">
        <v>0.2273</v>
      </c>
      <c r="F972" s="23">
        <f>YEAR('Merged raw data'!$B972)</f>
        <v>2011</v>
      </c>
      <c r="G972" s="23" t="str">
        <f>TEXT('Merged raw data'!$B972,"mmmm")</f>
        <v>February</v>
      </c>
      <c r="H972" s="37" t="str">
        <f>TEXT(TIME('Merged raw data'!F972,0,0),"h AM/PM")</f>
        <v>1 AM</v>
      </c>
      <c r="I972" s="23" t="str">
        <f>IF(OR('Merged raw data'!H972=1,'Merged raw data'!H972=2,'Merged raw data'!H972=3,'Merged raw data'!H972=4,'Merged raw data'!H972=5),"weekday","weekend")</f>
        <v>weekend</v>
      </c>
      <c r="J972" s="23" t="s">
        <v>23</v>
      </c>
      <c r="K972" s="23" t="str">
        <f>IF('Merged raw data'!I972=1,"Clear",IF('Merged raw data'!I972=2,"Mist",IF('Merged raw data'!I972=3,"Rain",IF('Merged raw data'!I972=4,"Storm","NA"))))</f>
        <v>Clear</v>
      </c>
      <c r="L972" s="24">
        <v>0.59</v>
      </c>
      <c r="M972" s="24">
        <v>8.9599999999999999E-2</v>
      </c>
      <c r="N972" s="21">
        <f>'Merged raw data'!$J972*100</f>
        <v>20</v>
      </c>
      <c r="O972" s="21">
        <v>1</v>
      </c>
      <c r="P972" s="21">
        <v>23</v>
      </c>
      <c r="Q972" s="21">
        <v>24</v>
      </c>
      <c r="R972" s="21" t="str">
        <f>IF(Q972&gt;=outliers!I974,"High",IF(Q972&lt;=outliers!I973,"Low","Moderate"))</f>
        <v>High</v>
      </c>
      <c r="S972" s="8" t="str">
        <f>IF(OR(Q972&lt;outliers!$I$6,Q972&gt;outliers!$I$7),"Outlier","Normal")</f>
        <v>Normal</v>
      </c>
      <c r="T972" s="8" t="str">
        <f>IF(OR(L972&lt;outliers!$J$6,L972&gt;outliers!$J$7),"Outlier","Normal")</f>
        <v>Normal</v>
      </c>
      <c r="U972" s="8" t="str">
        <f>IF(OR(M972&lt;outliers!$K$6,M972&gt;outliers!$K$7),"Outlier","Normal")</f>
        <v>Normal</v>
      </c>
    </row>
    <row r="973" spans="1:21">
      <c r="A973" s="21">
        <v>972</v>
      </c>
      <c r="B973" s="68">
        <v>40587</v>
      </c>
      <c r="C973" s="22" t="b">
        <v>0</v>
      </c>
      <c r="D973" s="21" t="str">
        <f t="shared" si="15"/>
        <v>Sunday</v>
      </c>
      <c r="E973" s="23">
        <v>0.2273</v>
      </c>
      <c r="F973" s="23">
        <f>YEAR('Merged raw data'!$B973)</f>
        <v>2011</v>
      </c>
      <c r="G973" s="23" t="str">
        <f>TEXT('Merged raw data'!$B973,"mmmm")</f>
        <v>February</v>
      </c>
      <c r="H973" s="37" t="str">
        <f>TEXT(TIME('Merged raw data'!F973,0,0),"h AM/PM")</f>
        <v>2 AM</v>
      </c>
      <c r="I973" s="23" t="str">
        <f>IF(OR('Merged raw data'!H973=1,'Merged raw data'!H973=2,'Merged raw data'!H973=3,'Merged raw data'!H973=4,'Merged raw data'!H973=5),"weekday","weekend")</f>
        <v>weekend</v>
      </c>
      <c r="J973" s="23" t="s">
        <v>23</v>
      </c>
      <c r="K973" s="23" t="str">
        <f>IF('Merged raw data'!I973=1,"Clear",IF('Merged raw data'!I973=2,"Mist",IF('Merged raw data'!I973=3,"Rain",IF('Merged raw data'!I973=4,"Storm","NA"))))</f>
        <v>Mist</v>
      </c>
      <c r="L973" s="24">
        <v>0.75</v>
      </c>
      <c r="M973" s="24">
        <v>8.9599999999999999E-2</v>
      </c>
      <c r="N973" s="21">
        <f>'Merged raw data'!$J973*100</f>
        <v>20</v>
      </c>
      <c r="O973" s="21">
        <v>1</v>
      </c>
      <c r="P973" s="21">
        <v>19</v>
      </c>
      <c r="Q973" s="21">
        <v>20</v>
      </c>
      <c r="R973" s="21" t="str">
        <f>IF(Q973&gt;=outliers!I975,"High",IF(Q973&lt;=outliers!I974,"Low","Moderate"))</f>
        <v>High</v>
      </c>
      <c r="S973" s="8" t="str">
        <f>IF(OR(Q973&lt;outliers!$I$6,Q973&gt;outliers!$I$7),"Outlier","Normal")</f>
        <v>Normal</v>
      </c>
      <c r="T973" s="8" t="str">
        <f>IF(OR(L973&lt;outliers!$J$6,L973&gt;outliers!$J$7),"Outlier","Normal")</f>
        <v>Normal</v>
      </c>
      <c r="U973" s="8" t="str">
        <f>IF(OR(M973&lt;outliers!$K$6,M973&gt;outliers!$K$7),"Outlier","Normal")</f>
        <v>Normal</v>
      </c>
    </row>
    <row r="974" spans="1:21">
      <c r="A974" s="21">
        <v>973</v>
      </c>
      <c r="B974" s="68">
        <v>40587</v>
      </c>
      <c r="C974" s="22" t="b">
        <v>0</v>
      </c>
      <c r="D974" s="21" t="str">
        <f t="shared" si="15"/>
        <v>Sunday</v>
      </c>
      <c r="E974" s="23">
        <v>0.2273</v>
      </c>
      <c r="F974" s="23">
        <f>YEAR('Merged raw data'!$B974)</f>
        <v>2011</v>
      </c>
      <c r="G974" s="23" t="str">
        <f>TEXT('Merged raw data'!$B974,"mmmm")</f>
        <v>February</v>
      </c>
      <c r="H974" s="37" t="str">
        <f>TEXT(TIME('Merged raw data'!F974,0,0),"h AM/PM")</f>
        <v>3 AM</v>
      </c>
      <c r="I974" s="23" t="str">
        <f>IF(OR('Merged raw data'!H974=1,'Merged raw data'!H974=2,'Merged raw data'!H974=3,'Merged raw data'!H974=4,'Merged raw data'!H974=5),"weekday","weekend")</f>
        <v>weekend</v>
      </c>
      <c r="J974" s="23" t="s">
        <v>23</v>
      </c>
      <c r="K974" s="23" t="str">
        <f>IF('Merged raw data'!I974=1,"Clear",IF('Merged raw data'!I974=2,"Mist",IF('Merged raw data'!I974=3,"Rain",IF('Merged raw data'!I974=4,"Storm","NA"))))</f>
        <v>Mist</v>
      </c>
      <c r="L974" s="24">
        <v>0.69</v>
      </c>
      <c r="M974" s="24">
        <v>0.1045</v>
      </c>
      <c r="N974" s="21">
        <f>'Merged raw data'!$J974*100</f>
        <v>20</v>
      </c>
      <c r="O974" s="21">
        <v>4</v>
      </c>
      <c r="P974" s="21">
        <v>8</v>
      </c>
      <c r="Q974" s="21">
        <v>12</v>
      </c>
      <c r="R974" s="21" t="str">
        <f>IF(Q974&gt;=outliers!I976,"High",IF(Q974&lt;=outliers!I975,"Low","Moderate"))</f>
        <v>High</v>
      </c>
      <c r="S974" s="8" t="str">
        <f>IF(OR(Q974&lt;outliers!$I$6,Q974&gt;outliers!$I$7),"Outlier","Normal")</f>
        <v>Normal</v>
      </c>
      <c r="T974" s="8" t="str">
        <f>IF(OR(L974&lt;outliers!$J$6,L974&gt;outliers!$J$7),"Outlier","Normal")</f>
        <v>Normal</v>
      </c>
      <c r="U974" s="8" t="str">
        <f>IF(OR(M974&lt;outliers!$K$6,M974&gt;outliers!$K$7),"Outlier","Normal")</f>
        <v>Normal</v>
      </c>
    </row>
    <row r="975" spans="1:21">
      <c r="A975" s="21">
        <v>974</v>
      </c>
      <c r="B975" s="68">
        <v>40587</v>
      </c>
      <c r="C975" s="22" t="b">
        <v>0</v>
      </c>
      <c r="D975" s="21" t="str">
        <f t="shared" si="15"/>
        <v>Sunday</v>
      </c>
      <c r="E975" s="23">
        <v>0.21210000000000001</v>
      </c>
      <c r="F975" s="23">
        <f>YEAR('Merged raw data'!$B975)</f>
        <v>2011</v>
      </c>
      <c r="G975" s="23" t="str">
        <f>TEXT('Merged raw data'!$B975,"mmmm")</f>
        <v>February</v>
      </c>
      <c r="H975" s="37" t="str">
        <f>TEXT(TIME('Merged raw data'!F975,0,0),"h AM/PM")</f>
        <v>4 AM</v>
      </c>
      <c r="I975" s="23" t="str">
        <f>IF(OR('Merged raw data'!H975=1,'Merged raw data'!H975=2,'Merged raw data'!H975=3,'Merged raw data'!H975=4,'Merged raw data'!H975=5),"weekday","weekend")</f>
        <v>weekend</v>
      </c>
      <c r="J975" s="23" t="s">
        <v>23</v>
      </c>
      <c r="K975" s="23" t="str">
        <f>IF('Merged raw data'!I975=1,"Clear",IF('Merged raw data'!I975=2,"Mist",IF('Merged raw data'!I975=3,"Rain",IF('Merged raw data'!I975=4,"Storm","NA"))))</f>
        <v>Mist</v>
      </c>
      <c r="L975" s="24">
        <v>0.69</v>
      </c>
      <c r="M975" s="24">
        <v>0.16420000000000001</v>
      </c>
      <c r="N975" s="21">
        <f>'Merged raw data'!$J975*100</f>
        <v>20</v>
      </c>
      <c r="O975" s="21">
        <v>0</v>
      </c>
      <c r="P975" s="21">
        <v>2</v>
      </c>
      <c r="Q975" s="21">
        <v>2</v>
      </c>
      <c r="R975" s="21" t="str">
        <f>IF(Q975&gt;=outliers!I977,"High",IF(Q975&lt;=outliers!I976,"Low","Moderate"))</f>
        <v>High</v>
      </c>
      <c r="S975" s="8" t="str">
        <f>IF(OR(Q975&lt;outliers!$I$6,Q975&gt;outliers!$I$7),"Outlier","Normal")</f>
        <v>Normal</v>
      </c>
      <c r="T975" s="8" t="str">
        <f>IF(OR(L975&lt;outliers!$J$6,L975&gt;outliers!$J$7),"Outlier","Normal")</f>
        <v>Normal</v>
      </c>
      <c r="U975" s="8" t="str">
        <f>IF(OR(M975&lt;outliers!$K$6,M975&gt;outliers!$K$7),"Outlier","Normal")</f>
        <v>Normal</v>
      </c>
    </row>
    <row r="976" spans="1:21">
      <c r="A976" s="21">
        <v>975</v>
      </c>
      <c r="B976" s="68">
        <v>40587</v>
      </c>
      <c r="C976" s="22" t="b">
        <v>0</v>
      </c>
      <c r="D976" s="21" t="str">
        <f t="shared" si="15"/>
        <v>Sunday</v>
      </c>
      <c r="E976" s="23">
        <v>0.21210000000000001</v>
      </c>
      <c r="F976" s="23">
        <f>YEAR('Merged raw data'!$B976)</f>
        <v>2011</v>
      </c>
      <c r="G976" s="23" t="str">
        <f>TEXT('Merged raw data'!$B976,"mmmm")</f>
        <v>February</v>
      </c>
      <c r="H976" s="37" t="str">
        <f>TEXT(TIME('Merged raw data'!F976,0,0),"h AM/PM")</f>
        <v>6 AM</v>
      </c>
      <c r="I976" s="23" t="str">
        <f>IF(OR('Merged raw data'!H976=1,'Merged raw data'!H976=2,'Merged raw data'!H976=3,'Merged raw data'!H976=4,'Merged raw data'!H976=5),"weekday","weekend")</f>
        <v>weekend</v>
      </c>
      <c r="J976" s="23" t="s">
        <v>23</v>
      </c>
      <c r="K976" s="23" t="str">
        <f>IF('Merged raw data'!I976=1,"Clear",IF('Merged raw data'!I976=2,"Mist",IF('Merged raw data'!I976=3,"Rain",IF('Merged raw data'!I976=4,"Storm","NA"))))</f>
        <v>Mist</v>
      </c>
      <c r="L976" s="24">
        <v>0.69</v>
      </c>
      <c r="M976" s="24">
        <v>0.1343</v>
      </c>
      <c r="N976" s="21">
        <f>'Merged raw data'!$J976*100</f>
        <v>20</v>
      </c>
      <c r="O976" s="21">
        <v>2</v>
      </c>
      <c r="P976" s="21">
        <v>3</v>
      </c>
      <c r="Q976" s="21">
        <v>5</v>
      </c>
      <c r="R976" s="21" t="str">
        <f>IF(Q976&gt;=outliers!I978,"High",IF(Q976&lt;=outliers!I977,"Low","Moderate"))</f>
        <v>High</v>
      </c>
      <c r="S976" s="8" t="str">
        <f>IF(OR(Q976&lt;outliers!$I$6,Q976&gt;outliers!$I$7),"Outlier","Normal")</f>
        <v>Normal</v>
      </c>
      <c r="T976" s="8" t="str">
        <f>IF(OR(L976&lt;outliers!$J$6,L976&gt;outliers!$J$7),"Outlier","Normal")</f>
        <v>Normal</v>
      </c>
      <c r="U976" s="8" t="str">
        <f>IF(OR(M976&lt;outliers!$K$6,M976&gt;outliers!$K$7),"Outlier","Normal")</f>
        <v>Normal</v>
      </c>
    </row>
    <row r="977" spans="1:21">
      <c r="A977" s="21">
        <v>976</v>
      </c>
      <c r="B977" s="68">
        <v>40587</v>
      </c>
      <c r="C977" s="22" t="b">
        <v>0</v>
      </c>
      <c r="D977" s="21" t="str">
        <f t="shared" si="15"/>
        <v>Sunday</v>
      </c>
      <c r="E977" s="23">
        <v>0.2727</v>
      </c>
      <c r="F977" s="23">
        <f>YEAR('Merged raw data'!$B977)</f>
        <v>2011</v>
      </c>
      <c r="G977" s="23" t="str">
        <f>TEXT('Merged raw data'!$B977,"mmmm")</f>
        <v>February</v>
      </c>
      <c r="H977" s="37" t="str">
        <f>TEXT(TIME('Merged raw data'!F977,0,0),"h AM/PM")</f>
        <v>7 AM</v>
      </c>
      <c r="I977" s="23" t="str">
        <f>IF(OR('Merged raw data'!H977=1,'Merged raw data'!H977=2,'Merged raw data'!H977=3,'Merged raw data'!H977=4,'Merged raw data'!H977=5),"weekday","weekend")</f>
        <v>weekend</v>
      </c>
      <c r="J977" s="23" t="s">
        <v>23</v>
      </c>
      <c r="K977" s="23" t="str">
        <f>IF('Merged raw data'!I977=1,"Clear",IF('Merged raw data'!I977=2,"Mist",IF('Merged raw data'!I977=3,"Rain",IF('Merged raw data'!I977=4,"Storm","NA"))))</f>
        <v>Mist</v>
      </c>
      <c r="L977" s="24">
        <v>0.55000000000000004</v>
      </c>
      <c r="M977" s="24">
        <v>0.23</v>
      </c>
      <c r="N977" s="21">
        <f>'Merged raw data'!$J977*100</f>
        <v>22</v>
      </c>
      <c r="O977" s="21">
        <v>0</v>
      </c>
      <c r="P977" s="21">
        <v>3</v>
      </c>
      <c r="Q977" s="21">
        <v>3</v>
      </c>
      <c r="R977" s="21" t="str">
        <f>IF(Q977&gt;=outliers!I979,"High",IF(Q977&lt;=outliers!I978,"Low","Moderate"))</f>
        <v>High</v>
      </c>
      <c r="S977" s="8" t="str">
        <f>IF(OR(Q977&lt;outliers!$I$6,Q977&gt;outliers!$I$7),"Outlier","Normal")</f>
        <v>Normal</v>
      </c>
      <c r="T977" s="8" t="str">
        <f>IF(OR(L977&lt;outliers!$J$6,L977&gt;outliers!$J$7),"Outlier","Normal")</f>
        <v>Normal</v>
      </c>
      <c r="U977" s="8" t="str">
        <f>IF(OR(M977&lt;outliers!$K$6,M977&gt;outliers!$K$7),"Outlier","Normal")</f>
        <v>Normal</v>
      </c>
    </row>
    <row r="978" spans="1:21">
      <c r="A978" s="21">
        <v>977</v>
      </c>
      <c r="B978" s="68">
        <v>40587</v>
      </c>
      <c r="C978" s="22" t="b">
        <v>0</v>
      </c>
      <c r="D978" s="21" t="str">
        <f t="shared" si="15"/>
        <v>Sunday</v>
      </c>
      <c r="E978" s="23">
        <v>0.2273</v>
      </c>
      <c r="F978" s="23">
        <f>YEAR('Merged raw data'!$B978)</f>
        <v>2011</v>
      </c>
      <c r="G978" s="23" t="str">
        <f>TEXT('Merged raw data'!$B978,"mmmm")</f>
        <v>February</v>
      </c>
      <c r="H978" s="37" t="str">
        <f>TEXT(TIME('Merged raw data'!F978,0,0),"h AM/PM")</f>
        <v>8 AM</v>
      </c>
      <c r="I978" s="23" t="str">
        <f>IF(OR('Merged raw data'!H978=1,'Merged raw data'!H978=2,'Merged raw data'!H978=3,'Merged raw data'!H978=4,'Merged raw data'!H978=5),"weekday","weekend")</f>
        <v>weekend</v>
      </c>
      <c r="J978" s="23" t="s">
        <v>23</v>
      </c>
      <c r="K978" s="23" t="str">
        <f>IF('Merged raw data'!I978=1,"Clear",IF('Merged raw data'!I978=2,"Mist",IF('Merged raw data'!I978=3,"Rain",IF('Merged raw data'!I978=4,"Storm","NA"))))</f>
        <v>Mist</v>
      </c>
      <c r="L978" s="24">
        <v>0.64</v>
      </c>
      <c r="M978" s="24">
        <v>0.19400000000000001</v>
      </c>
      <c r="N978" s="21">
        <f>'Merged raw data'!$J978*100</f>
        <v>22</v>
      </c>
      <c r="O978" s="21">
        <v>1</v>
      </c>
      <c r="P978" s="21">
        <v>11</v>
      </c>
      <c r="Q978" s="21">
        <v>12</v>
      </c>
      <c r="R978" s="21" t="str">
        <f>IF(Q978&gt;=outliers!I980,"High",IF(Q978&lt;=outliers!I979,"Low","Moderate"))</f>
        <v>High</v>
      </c>
      <c r="S978" s="8" t="str">
        <f>IF(OR(Q978&lt;outliers!$I$6,Q978&gt;outliers!$I$7),"Outlier","Normal")</f>
        <v>Normal</v>
      </c>
      <c r="T978" s="8" t="str">
        <f>IF(OR(L978&lt;outliers!$J$6,L978&gt;outliers!$J$7),"Outlier","Normal")</f>
        <v>Normal</v>
      </c>
      <c r="U978" s="8" t="str">
        <f>IF(OR(M978&lt;outliers!$K$6,M978&gt;outliers!$K$7),"Outlier","Normal")</f>
        <v>Normal</v>
      </c>
    </row>
    <row r="979" spans="1:21">
      <c r="A979" s="21">
        <v>978</v>
      </c>
      <c r="B979" s="68">
        <v>40587</v>
      </c>
      <c r="C979" s="22" t="b">
        <v>0</v>
      </c>
      <c r="D979" s="21" t="str">
        <f t="shared" si="15"/>
        <v>Sunday</v>
      </c>
      <c r="E979" s="23">
        <v>0.2273</v>
      </c>
      <c r="F979" s="23">
        <f>YEAR('Merged raw data'!$B979)</f>
        <v>2011</v>
      </c>
      <c r="G979" s="23" t="str">
        <f>TEXT('Merged raw data'!$B979,"mmmm")</f>
        <v>February</v>
      </c>
      <c r="H979" s="37" t="str">
        <f>TEXT(TIME('Merged raw data'!F979,0,0),"h AM/PM")</f>
        <v>9 AM</v>
      </c>
      <c r="I979" s="23" t="str">
        <f>IF(OR('Merged raw data'!H979=1,'Merged raw data'!H979=2,'Merged raw data'!H979=3,'Merged raw data'!H979=4,'Merged raw data'!H979=5),"weekday","weekend")</f>
        <v>weekend</v>
      </c>
      <c r="J979" s="23" t="s">
        <v>23</v>
      </c>
      <c r="K979" s="23" t="str">
        <f>IF('Merged raw data'!I979=1,"Clear",IF('Merged raw data'!I979=2,"Mist",IF('Merged raw data'!I979=3,"Rain",IF('Merged raw data'!I979=4,"Storm","NA"))))</f>
        <v>Mist</v>
      </c>
      <c r="L979" s="24">
        <v>0.6</v>
      </c>
      <c r="M979" s="24">
        <v>0.22389999999999999</v>
      </c>
      <c r="N979" s="21">
        <f>'Merged raw data'!$J979*100</f>
        <v>24</v>
      </c>
      <c r="O979" s="21">
        <v>12</v>
      </c>
      <c r="P979" s="21">
        <v>35</v>
      </c>
      <c r="Q979" s="21">
        <v>47</v>
      </c>
      <c r="R979" s="21" t="str">
        <f>IF(Q979&gt;=outliers!I981,"High",IF(Q979&lt;=outliers!I980,"Low","Moderate"))</f>
        <v>High</v>
      </c>
      <c r="S979" s="8" t="str">
        <f>IF(OR(Q979&lt;outliers!$I$6,Q979&gt;outliers!$I$7),"Outlier","Normal")</f>
        <v>Normal</v>
      </c>
      <c r="T979" s="8" t="str">
        <f>IF(OR(L979&lt;outliers!$J$6,L979&gt;outliers!$J$7),"Outlier","Normal")</f>
        <v>Normal</v>
      </c>
      <c r="U979" s="8" t="str">
        <f>IF(OR(M979&lt;outliers!$K$6,M979&gt;outliers!$K$7),"Outlier","Normal")</f>
        <v>Normal</v>
      </c>
    </row>
    <row r="980" spans="1:21">
      <c r="A980" s="21">
        <v>979</v>
      </c>
      <c r="B980" s="68">
        <v>40587</v>
      </c>
      <c r="C980" s="22" t="b">
        <v>0</v>
      </c>
      <c r="D980" s="21" t="str">
        <f t="shared" si="15"/>
        <v>Sunday</v>
      </c>
      <c r="E980" s="23">
        <v>0.2727</v>
      </c>
      <c r="F980" s="23">
        <f>YEAR('Merged raw data'!$B980)</f>
        <v>2011</v>
      </c>
      <c r="G980" s="23" t="str">
        <f>TEXT('Merged raw data'!$B980,"mmmm")</f>
        <v>February</v>
      </c>
      <c r="H980" s="37" t="str">
        <f>TEXT(TIME('Merged raw data'!F980,0,0),"h AM/PM")</f>
        <v>10 AM</v>
      </c>
      <c r="I980" s="23" t="str">
        <f>IF(OR('Merged raw data'!H980=1,'Merged raw data'!H980=2,'Merged raw data'!H980=3,'Merged raw data'!H980=4,'Merged raw data'!H980=5),"weekday","weekend")</f>
        <v>weekend</v>
      </c>
      <c r="J980" s="23" t="s">
        <v>23</v>
      </c>
      <c r="K980" s="23" t="str">
        <f>IF('Merged raw data'!I980=1,"Clear",IF('Merged raw data'!I980=2,"Mist",IF('Merged raw data'!I980=3,"Rain",IF('Merged raw data'!I980=4,"Storm","NA"))))</f>
        <v>Clear</v>
      </c>
      <c r="L980" s="24">
        <v>0.45</v>
      </c>
      <c r="M980" s="24">
        <v>0.32840000000000003</v>
      </c>
      <c r="N980" s="21">
        <f>'Merged raw data'!$J980*100</f>
        <v>30</v>
      </c>
      <c r="O980" s="21">
        <v>19</v>
      </c>
      <c r="P980" s="21">
        <v>86</v>
      </c>
      <c r="Q980" s="21">
        <v>105</v>
      </c>
      <c r="R980" s="21" t="str">
        <f>IF(Q980&gt;=outliers!I982,"High",IF(Q980&lt;=outliers!I981,"Low","Moderate"))</f>
        <v>High</v>
      </c>
      <c r="S980" s="8" t="str">
        <f>IF(OR(Q980&lt;outliers!$I$6,Q980&gt;outliers!$I$7),"Outlier","Normal")</f>
        <v>Normal</v>
      </c>
      <c r="T980" s="8" t="str">
        <f>IF(OR(L980&lt;outliers!$J$6,L980&gt;outliers!$J$7),"Outlier","Normal")</f>
        <v>Normal</v>
      </c>
      <c r="U980" s="8" t="str">
        <f>IF(OR(M980&lt;outliers!$K$6,M980&gt;outliers!$K$7),"Outlier","Normal")</f>
        <v>Normal</v>
      </c>
    </row>
    <row r="981" spans="1:21">
      <c r="A981" s="21">
        <v>980</v>
      </c>
      <c r="B981" s="68">
        <v>40587</v>
      </c>
      <c r="C981" s="22" t="b">
        <v>0</v>
      </c>
      <c r="D981" s="21" t="str">
        <f t="shared" si="15"/>
        <v>Sunday</v>
      </c>
      <c r="E981" s="23">
        <v>0.28789999999999999</v>
      </c>
      <c r="F981" s="23">
        <f>YEAR('Merged raw data'!$B981)</f>
        <v>2011</v>
      </c>
      <c r="G981" s="23" t="str">
        <f>TEXT('Merged raw data'!$B981,"mmmm")</f>
        <v>February</v>
      </c>
      <c r="H981" s="37" t="str">
        <f>TEXT(TIME('Merged raw data'!F981,0,0),"h AM/PM")</f>
        <v>11 AM</v>
      </c>
      <c r="I981" s="23" t="str">
        <f>IF(OR('Merged raw data'!H981=1,'Merged raw data'!H981=2,'Merged raw data'!H981=3,'Merged raw data'!H981=4,'Merged raw data'!H981=5),"weekday","weekend")</f>
        <v>weekend</v>
      </c>
      <c r="J981" s="23" t="s">
        <v>23</v>
      </c>
      <c r="K981" s="23" t="str">
        <f>IF('Merged raw data'!I981=1,"Clear",IF('Merged raw data'!I981=2,"Mist",IF('Merged raw data'!I981=3,"Rain",IF('Merged raw data'!I981=4,"Storm","NA"))))</f>
        <v>Clear</v>
      </c>
      <c r="L981" s="24">
        <v>0.39</v>
      </c>
      <c r="M981" s="24">
        <v>0.44779999999999998</v>
      </c>
      <c r="N981" s="21">
        <f>'Merged raw data'!$J981*100</f>
        <v>32</v>
      </c>
      <c r="O981" s="21">
        <v>26</v>
      </c>
      <c r="P981" s="21">
        <v>86</v>
      </c>
      <c r="Q981" s="21">
        <v>112</v>
      </c>
      <c r="R981" s="21" t="str">
        <f>IF(Q981&gt;=outliers!I983,"High",IF(Q981&lt;=outliers!I982,"Low","Moderate"))</f>
        <v>High</v>
      </c>
      <c r="S981" s="8" t="str">
        <f>IF(OR(Q981&lt;outliers!$I$6,Q981&gt;outliers!$I$7),"Outlier","Normal")</f>
        <v>Normal</v>
      </c>
      <c r="T981" s="8" t="str">
        <f>IF(OR(L981&lt;outliers!$J$6,L981&gt;outliers!$J$7),"Outlier","Normal")</f>
        <v>Normal</v>
      </c>
      <c r="U981" s="8" t="str">
        <f>IF(OR(M981&lt;outliers!$K$6,M981&gt;outliers!$K$7),"Outlier","Normal")</f>
        <v>Normal</v>
      </c>
    </row>
    <row r="982" spans="1:21">
      <c r="A982" s="21">
        <v>981</v>
      </c>
      <c r="B982" s="68">
        <v>40587</v>
      </c>
      <c r="C982" s="22" t="b">
        <v>0</v>
      </c>
      <c r="D982" s="21" t="str">
        <f t="shared" si="15"/>
        <v>Sunday</v>
      </c>
      <c r="E982" s="23">
        <v>0.31819999999999998</v>
      </c>
      <c r="F982" s="23">
        <f>YEAR('Merged raw data'!$B982)</f>
        <v>2011</v>
      </c>
      <c r="G982" s="23" t="str">
        <f>TEXT('Merged raw data'!$B982,"mmmm")</f>
        <v>February</v>
      </c>
      <c r="H982" s="37" t="str">
        <f>TEXT(TIME('Merged raw data'!F982,0,0),"h AM/PM")</f>
        <v>12 PM</v>
      </c>
      <c r="I982" s="23" t="str">
        <f>IF(OR('Merged raw data'!H982=1,'Merged raw data'!H982=2,'Merged raw data'!H982=3,'Merged raw data'!H982=4,'Merged raw data'!H982=5),"weekday","weekend")</f>
        <v>weekend</v>
      </c>
      <c r="J982" s="23" t="s">
        <v>23</v>
      </c>
      <c r="K982" s="23" t="str">
        <f>IF('Merged raw data'!I982=1,"Clear",IF('Merged raw data'!I982=2,"Mist",IF('Merged raw data'!I982=3,"Rain",IF('Merged raw data'!I982=4,"Storm","NA"))))</f>
        <v>Clear</v>
      </c>
      <c r="L982" s="24">
        <v>0.32</v>
      </c>
      <c r="M982" s="24">
        <v>0.4627</v>
      </c>
      <c r="N982" s="21">
        <f>'Merged raw data'!$J982*100</f>
        <v>36</v>
      </c>
      <c r="O982" s="21">
        <v>58</v>
      </c>
      <c r="P982" s="21">
        <v>94</v>
      </c>
      <c r="Q982" s="21">
        <v>152</v>
      </c>
      <c r="R982" s="21" t="str">
        <f>IF(Q982&gt;=outliers!I984,"High",IF(Q982&lt;=outliers!I983,"Low","Moderate"))</f>
        <v>High</v>
      </c>
      <c r="S982" s="8" t="str">
        <f>IF(OR(Q982&lt;outliers!$I$6,Q982&gt;outliers!$I$7),"Outlier","Normal")</f>
        <v>Normal</v>
      </c>
      <c r="T982" s="8" t="str">
        <f>IF(OR(L982&lt;outliers!$J$6,L982&gt;outliers!$J$7),"Outlier","Normal")</f>
        <v>Normal</v>
      </c>
      <c r="U982" s="8" t="str">
        <f>IF(OR(M982&lt;outliers!$K$6,M982&gt;outliers!$K$7),"Outlier","Normal")</f>
        <v>Normal</v>
      </c>
    </row>
    <row r="983" spans="1:21">
      <c r="A983" s="21">
        <v>982</v>
      </c>
      <c r="B983" s="68">
        <v>40587</v>
      </c>
      <c r="C983" s="22" t="b">
        <v>0</v>
      </c>
      <c r="D983" s="21" t="str">
        <f t="shared" si="15"/>
        <v>Sunday</v>
      </c>
      <c r="E983" s="23">
        <v>0.39389999999999997</v>
      </c>
      <c r="F983" s="23">
        <f>YEAR('Merged raw data'!$B983)</f>
        <v>2011</v>
      </c>
      <c r="G983" s="23" t="str">
        <f>TEXT('Merged raw data'!$B983,"mmmm")</f>
        <v>February</v>
      </c>
      <c r="H983" s="37" t="str">
        <f>TEXT(TIME('Merged raw data'!F983,0,0),"h AM/PM")</f>
        <v>1 PM</v>
      </c>
      <c r="I983" s="23" t="str">
        <f>IF(OR('Merged raw data'!H983=1,'Merged raw data'!H983=2,'Merged raw data'!H983=3,'Merged raw data'!H983=4,'Merged raw data'!H983=5),"weekday","weekend")</f>
        <v>weekend</v>
      </c>
      <c r="J983" s="23" t="s">
        <v>23</v>
      </c>
      <c r="K983" s="23" t="str">
        <f>IF('Merged raw data'!I983=1,"Clear",IF('Merged raw data'!I983=2,"Mist",IF('Merged raw data'!I983=3,"Rain",IF('Merged raw data'!I983=4,"Storm","NA"))))</f>
        <v>Clear</v>
      </c>
      <c r="L983" s="24">
        <v>0.28999999999999998</v>
      </c>
      <c r="M983" s="24">
        <v>0.35820000000000002</v>
      </c>
      <c r="N983" s="21">
        <f>'Merged raw data'!$J983*100</f>
        <v>38</v>
      </c>
      <c r="O983" s="21">
        <v>62</v>
      </c>
      <c r="P983" s="21">
        <v>92</v>
      </c>
      <c r="Q983" s="21">
        <v>154</v>
      </c>
      <c r="R983" s="21" t="str">
        <f>IF(Q983&gt;=outliers!I985,"High",IF(Q983&lt;=outliers!I984,"Low","Moderate"))</f>
        <v>High</v>
      </c>
      <c r="S983" s="8" t="str">
        <f>IF(OR(Q983&lt;outliers!$I$6,Q983&gt;outliers!$I$7),"Outlier","Normal")</f>
        <v>Normal</v>
      </c>
      <c r="T983" s="8" t="str">
        <f>IF(OR(L983&lt;outliers!$J$6,L983&gt;outliers!$J$7),"Outlier","Normal")</f>
        <v>Normal</v>
      </c>
      <c r="U983" s="8" t="str">
        <f>IF(OR(M983&lt;outliers!$K$6,M983&gt;outliers!$K$7),"Outlier","Normal")</f>
        <v>Normal</v>
      </c>
    </row>
    <row r="984" spans="1:21">
      <c r="A984" s="21">
        <v>983</v>
      </c>
      <c r="B984" s="68">
        <v>40587</v>
      </c>
      <c r="C984" s="22" t="b">
        <v>0</v>
      </c>
      <c r="D984" s="21" t="str">
        <f t="shared" si="15"/>
        <v>Sunday</v>
      </c>
      <c r="E984" s="23">
        <v>0.40910000000000002</v>
      </c>
      <c r="F984" s="23">
        <f>YEAR('Merged raw data'!$B984)</f>
        <v>2011</v>
      </c>
      <c r="G984" s="23" t="str">
        <f>TEXT('Merged raw data'!$B984,"mmmm")</f>
        <v>February</v>
      </c>
      <c r="H984" s="37" t="str">
        <f>TEXT(TIME('Merged raw data'!F984,0,0),"h AM/PM")</f>
        <v>2 PM</v>
      </c>
      <c r="I984" s="23" t="str">
        <f>IF(OR('Merged raw data'!H984=1,'Merged raw data'!H984=2,'Merged raw data'!H984=3,'Merged raw data'!H984=4,'Merged raw data'!H984=5),"weekday","weekend")</f>
        <v>weekend</v>
      </c>
      <c r="J984" s="23" t="s">
        <v>23</v>
      </c>
      <c r="K984" s="23" t="str">
        <f>IF('Merged raw data'!I984=1,"Clear",IF('Merged raw data'!I984=2,"Mist",IF('Merged raw data'!I984=3,"Rain",IF('Merged raw data'!I984=4,"Storm","NA"))))</f>
        <v>Mist</v>
      </c>
      <c r="L984" s="24">
        <v>0.3</v>
      </c>
      <c r="M984" s="24">
        <v>0.41789999999999999</v>
      </c>
      <c r="N984" s="21">
        <f>'Merged raw data'!$J984*100</f>
        <v>40</v>
      </c>
      <c r="O984" s="21">
        <v>51</v>
      </c>
      <c r="P984" s="21">
        <v>110</v>
      </c>
      <c r="Q984" s="21">
        <v>161</v>
      </c>
      <c r="R984" s="21" t="str">
        <f>IF(Q984&gt;=outliers!I986,"High",IF(Q984&lt;=outliers!I985,"Low","Moderate"))</f>
        <v>High</v>
      </c>
      <c r="S984" s="8" t="str">
        <f>IF(OR(Q984&lt;outliers!$I$6,Q984&gt;outliers!$I$7),"Outlier","Normal")</f>
        <v>Normal</v>
      </c>
      <c r="T984" s="8" t="str">
        <f>IF(OR(L984&lt;outliers!$J$6,L984&gt;outliers!$J$7),"Outlier","Normal")</f>
        <v>Normal</v>
      </c>
      <c r="U984" s="8" t="str">
        <f>IF(OR(M984&lt;outliers!$K$6,M984&gt;outliers!$K$7),"Outlier","Normal")</f>
        <v>Normal</v>
      </c>
    </row>
    <row r="985" spans="1:21">
      <c r="A985" s="21">
        <v>984</v>
      </c>
      <c r="B985" s="68">
        <v>40587</v>
      </c>
      <c r="C985" s="22" t="b">
        <v>0</v>
      </c>
      <c r="D985" s="21" t="str">
        <f t="shared" si="15"/>
        <v>Sunday</v>
      </c>
      <c r="E985" s="23">
        <v>0.40910000000000002</v>
      </c>
      <c r="F985" s="23">
        <f>YEAR('Merged raw data'!$B985)</f>
        <v>2011</v>
      </c>
      <c r="G985" s="23" t="str">
        <f>TEXT('Merged raw data'!$B985,"mmmm")</f>
        <v>February</v>
      </c>
      <c r="H985" s="37" t="str">
        <f>TEXT(TIME('Merged raw data'!F985,0,0),"h AM/PM")</f>
        <v>3 PM</v>
      </c>
      <c r="I985" s="23" t="str">
        <f>IF(OR('Merged raw data'!H985=1,'Merged raw data'!H985=2,'Merged raw data'!H985=3,'Merged raw data'!H985=4,'Merged raw data'!H985=5),"weekday","weekend")</f>
        <v>weekend</v>
      </c>
      <c r="J985" s="23" t="s">
        <v>23</v>
      </c>
      <c r="K985" s="23" t="str">
        <f>IF('Merged raw data'!I985=1,"Clear",IF('Merged raw data'!I985=2,"Mist",IF('Merged raw data'!I985=3,"Rain",IF('Merged raw data'!I985=4,"Storm","NA"))))</f>
        <v>Mist</v>
      </c>
      <c r="L985" s="24">
        <v>0.3</v>
      </c>
      <c r="M985" s="24">
        <v>0.29849999999999999</v>
      </c>
      <c r="N985" s="21">
        <f>'Merged raw data'!$J985*100</f>
        <v>40</v>
      </c>
      <c r="O985" s="21">
        <v>40</v>
      </c>
      <c r="P985" s="21">
        <v>122</v>
      </c>
      <c r="Q985" s="21">
        <v>162</v>
      </c>
      <c r="R985" s="21" t="str">
        <f>IF(Q985&gt;=outliers!I987,"High",IF(Q985&lt;=outliers!I986,"Low","Moderate"))</f>
        <v>High</v>
      </c>
      <c r="S985" s="8" t="str">
        <f>IF(OR(Q985&lt;outliers!$I$6,Q985&gt;outliers!$I$7),"Outlier","Normal")</f>
        <v>Normal</v>
      </c>
      <c r="T985" s="8" t="str">
        <f>IF(OR(L985&lt;outliers!$J$6,L985&gt;outliers!$J$7),"Outlier","Normal")</f>
        <v>Normal</v>
      </c>
      <c r="U985" s="8" t="str">
        <f>IF(OR(M985&lt;outliers!$K$6,M985&gt;outliers!$K$7),"Outlier","Normal")</f>
        <v>Normal</v>
      </c>
    </row>
    <row r="986" spans="1:21">
      <c r="A986" s="21">
        <v>985</v>
      </c>
      <c r="B986" s="68">
        <v>40587</v>
      </c>
      <c r="C986" s="22" t="b">
        <v>0</v>
      </c>
      <c r="D986" s="21" t="str">
        <f t="shared" si="15"/>
        <v>Sunday</v>
      </c>
      <c r="E986" s="23">
        <v>0.42420000000000002</v>
      </c>
      <c r="F986" s="23">
        <f>YEAR('Merged raw data'!$B986)</f>
        <v>2011</v>
      </c>
      <c r="G986" s="23" t="str">
        <f>TEXT('Merged raw data'!$B986,"mmmm")</f>
        <v>February</v>
      </c>
      <c r="H986" s="37" t="str">
        <f>TEXT(TIME('Merged raw data'!F986,0,0),"h AM/PM")</f>
        <v>4 PM</v>
      </c>
      <c r="I986" s="23" t="str">
        <f>IF(OR('Merged raw data'!H986=1,'Merged raw data'!H986=2,'Merged raw data'!H986=3,'Merged raw data'!H986=4,'Merged raw data'!H986=5),"weekday","weekend")</f>
        <v>weekend</v>
      </c>
      <c r="J986" s="23" t="s">
        <v>23</v>
      </c>
      <c r="K986" s="23" t="str">
        <f>IF('Merged raw data'!I986=1,"Clear",IF('Merged raw data'!I986=2,"Mist",IF('Merged raw data'!I986=3,"Rain",IF('Merged raw data'!I986=4,"Storm","NA"))))</f>
        <v>Mist</v>
      </c>
      <c r="L986" s="24">
        <v>0.28000000000000003</v>
      </c>
      <c r="M986" s="24">
        <v>0.32840000000000003</v>
      </c>
      <c r="N986" s="21">
        <f>'Merged raw data'!$J986*100</f>
        <v>42</v>
      </c>
      <c r="O986" s="21">
        <v>28</v>
      </c>
      <c r="P986" s="21">
        <v>106</v>
      </c>
      <c r="Q986" s="21">
        <v>134</v>
      </c>
      <c r="R986" s="21" t="str">
        <f>IF(Q986&gt;=outliers!I988,"High",IF(Q986&lt;=outliers!I987,"Low","Moderate"))</f>
        <v>High</v>
      </c>
      <c r="S986" s="8" t="str">
        <f>IF(OR(Q986&lt;outliers!$I$6,Q986&gt;outliers!$I$7),"Outlier","Normal")</f>
        <v>Normal</v>
      </c>
      <c r="T986" s="8" t="str">
        <f>IF(OR(L986&lt;outliers!$J$6,L986&gt;outliers!$J$7),"Outlier","Normal")</f>
        <v>Normal</v>
      </c>
      <c r="U986" s="8" t="str">
        <f>IF(OR(M986&lt;outliers!$K$6,M986&gt;outliers!$K$7),"Outlier","Normal")</f>
        <v>Normal</v>
      </c>
    </row>
    <row r="987" spans="1:21">
      <c r="A987" s="21">
        <v>986</v>
      </c>
      <c r="B987" s="68">
        <v>40587</v>
      </c>
      <c r="C987" s="22" t="b">
        <v>0</v>
      </c>
      <c r="D987" s="21" t="str">
        <f t="shared" si="15"/>
        <v>Sunday</v>
      </c>
      <c r="E987" s="23">
        <v>0.42420000000000002</v>
      </c>
      <c r="F987" s="23">
        <f>YEAR('Merged raw data'!$B987)</f>
        <v>2011</v>
      </c>
      <c r="G987" s="23" t="str">
        <f>TEXT('Merged raw data'!$B987,"mmmm")</f>
        <v>February</v>
      </c>
      <c r="H987" s="37" t="str">
        <f>TEXT(TIME('Merged raw data'!F987,0,0),"h AM/PM")</f>
        <v>5 PM</v>
      </c>
      <c r="I987" s="23" t="str">
        <f>IF(OR('Merged raw data'!H987=1,'Merged raw data'!H987=2,'Merged raw data'!H987=3,'Merged raw data'!H987=4,'Merged raw data'!H987=5),"weekday","weekend")</f>
        <v>weekend</v>
      </c>
      <c r="J987" s="23" t="s">
        <v>23</v>
      </c>
      <c r="K987" s="23" t="str">
        <f>IF('Merged raw data'!I987=1,"Clear",IF('Merged raw data'!I987=2,"Mist",IF('Merged raw data'!I987=3,"Rain",IF('Merged raw data'!I987=4,"Storm","NA"))))</f>
        <v>Clear</v>
      </c>
      <c r="L987" s="24">
        <v>0.28000000000000003</v>
      </c>
      <c r="M987" s="24">
        <v>0.32840000000000003</v>
      </c>
      <c r="N987" s="21">
        <f>'Merged raw data'!$J987*100</f>
        <v>42</v>
      </c>
      <c r="O987" s="21">
        <v>30</v>
      </c>
      <c r="P987" s="21">
        <v>95</v>
      </c>
      <c r="Q987" s="21">
        <v>125</v>
      </c>
      <c r="R987" s="21" t="str">
        <f>IF(Q987&gt;=outliers!I989,"High",IF(Q987&lt;=outliers!I988,"Low","Moderate"))</f>
        <v>High</v>
      </c>
      <c r="S987" s="8" t="str">
        <f>IF(OR(Q987&lt;outliers!$I$6,Q987&gt;outliers!$I$7),"Outlier","Normal")</f>
        <v>Normal</v>
      </c>
      <c r="T987" s="8" t="str">
        <f>IF(OR(L987&lt;outliers!$J$6,L987&gt;outliers!$J$7),"Outlier","Normal")</f>
        <v>Normal</v>
      </c>
      <c r="U987" s="8" t="str">
        <f>IF(OR(M987&lt;outliers!$K$6,M987&gt;outliers!$K$7),"Outlier","Normal")</f>
        <v>Normal</v>
      </c>
    </row>
    <row r="988" spans="1:21">
      <c r="A988" s="21">
        <v>987</v>
      </c>
      <c r="B988" s="68">
        <v>40587</v>
      </c>
      <c r="C988" s="22" t="b">
        <v>0</v>
      </c>
      <c r="D988" s="21" t="str">
        <f t="shared" si="15"/>
        <v>Sunday</v>
      </c>
      <c r="E988" s="23">
        <v>0.40910000000000002</v>
      </c>
      <c r="F988" s="23">
        <f>YEAR('Merged raw data'!$B988)</f>
        <v>2011</v>
      </c>
      <c r="G988" s="23" t="str">
        <f>TEXT('Merged raw data'!$B988,"mmmm")</f>
        <v>February</v>
      </c>
      <c r="H988" s="37" t="str">
        <f>TEXT(TIME('Merged raw data'!F988,0,0),"h AM/PM")</f>
        <v>6 PM</v>
      </c>
      <c r="I988" s="23" t="str">
        <f>IF(OR('Merged raw data'!H988=1,'Merged raw data'!H988=2,'Merged raw data'!H988=3,'Merged raw data'!H988=4,'Merged raw data'!H988=5),"weekday","weekend")</f>
        <v>weekend</v>
      </c>
      <c r="J988" s="23" t="s">
        <v>23</v>
      </c>
      <c r="K988" s="23" t="str">
        <f>IF('Merged raw data'!I988=1,"Clear",IF('Merged raw data'!I988=2,"Mist",IF('Merged raw data'!I988=3,"Rain",IF('Merged raw data'!I988=4,"Storm","NA"))))</f>
        <v>Clear</v>
      </c>
      <c r="L988" s="24">
        <v>0.32</v>
      </c>
      <c r="M988" s="24">
        <v>0.29849999999999999</v>
      </c>
      <c r="N988" s="21">
        <f>'Merged raw data'!$J988*100</f>
        <v>40</v>
      </c>
      <c r="O988" s="21">
        <v>17</v>
      </c>
      <c r="P988" s="21">
        <v>78</v>
      </c>
      <c r="Q988" s="21">
        <v>95</v>
      </c>
      <c r="R988" s="21" t="str">
        <f>IF(Q988&gt;=outliers!I990,"High",IF(Q988&lt;=outliers!I989,"Low","Moderate"))</f>
        <v>High</v>
      </c>
      <c r="S988" s="8" t="str">
        <f>IF(OR(Q988&lt;outliers!$I$6,Q988&gt;outliers!$I$7),"Outlier","Normal")</f>
        <v>Normal</v>
      </c>
      <c r="T988" s="8" t="str">
        <f>IF(OR(L988&lt;outliers!$J$6,L988&gt;outliers!$J$7),"Outlier","Normal")</f>
        <v>Normal</v>
      </c>
      <c r="U988" s="8" t="str">
        <f>IF(OR(M988&lt;outliers!$K$6,M988&gt;outliers!$K$7),"Outlier","Normal")</f>
        <v>Normal</v>
      </c>
    </row>
    <row r="989" spans="1:21">
      <c r="A989" s="21">
        <v>988</v>
      </c>
      <c r="B989" s="68">
        <v>40587</v>
      </c>
      <c r="C989" s="22" t="b">
        <v>0</v>
      </c>
      <c r="D989" s="21" t="str">
        <f t="shared" si="15"/>
        <v>Sunday</v>
      </c>
      <c r="E989" s="23">
        <v>0.40910000000000002</v>
      </c>
      <c r="F989" s="23">
        <f>YEAR('Merged raw data'!$B989)</f>
        <v>2011</v>
      </c>
      <c r="G989" s="23" t="str">
        <f>TEXT('Merged raw data'!$B989,"mmmm")</f>
        <v>February</v>
      </c>
      <c r="H989" s="37" t="str">
        <f>TEXT(TIME('Merged raw data'!F989,0,0),"h AM/PM")</f>
        <v>7 PM</v>
      </c>
      <c r="I989" s="23" t="str">
        <f>IF(OR('Merged raw data'!H989=1,'Merged raw data'!H989=2,'Merged raw data'!H989=3,'Merged raw data'!H989=4,'Merged raw data'!H989=5),"weekday","weekend")</f>
        <v>weekend</v>
      </c>
      <c r="J989" s="23" t="s">
        <v>23</v>
      </c>
      <c r="K989" s="23" t="str">
        <f>IF('Merged raw data'!I989=1,"Clear",IF('Merged raw data'!I989=2,"Mist",IF('Merged raw data'!I989=3,"Rain",IF('Merged raw data'!I989=4,"Storm","NA"))))</f>
        <v>Clear</v>
      </c>
      <c r="L989" s="24">
        <v>0.35</v>
      </c>
      <c r="M989" s="24">
        <v>0.28360000000000002</v>
      </c>
      <c r="N989" s="21">
        <f>'Merged raw data'!$J989*100</f>
        <v>40</v>
      </c>
      <c r="O989" s="21">
        <v>11</v>
      </c>
      <c r="P989" s="21">
        <v>50</v>
      </c>
      <c r="Q989" s="21">
        <v>61</v>
      </c>
      <c r="R989" s="21" t="str">
        <f>IF(Q989&gt;=outliers!I991,"High",IF(Q989&lt;=outliers!I990,"Low","Moderate"))</f>
        <v>High</v>
      </c>
      <c r="S989" s="8" t="str">
        <f>IF(OR(Q989&lt;outliers!$I$6,Q989&gt;outliers!$I$7),"Outlier","Normal")</f>
        <v>Normal</v>
      </c>
      <c r="T989" s="8" t="str">
        <f>IF(OR(L989&lt;outliers!$J$6,L989&gt;outliers!$J$7),"Outlier","Normal")</f>
        <v>Normal</v>
      </c>
      <c r="U989" s="8" t="str">
        <f>IF(OR(M989&lt;outliers!$K$6,M989&gt;outliers!$K$7),"Outlier","Normal")</f>
        <v>Normal</v>
      </c>
    </row>
    <row r="990" spans="1:21">
      <c r="A990" s="21">
        <v>989</v>
      </c>
      <c r="B990" s="68">
        <v>40587</v>
      </c>
      <c r="C990" s="22" t="b">
        <v>0</v>
      </c>
      <c r="D990" s="21" t="str">
        <f t="shared" si="15"/>
        <v>Sunday</v>
      </c>
      <c r="E990" s="23">
        <v>0.40910000000000002</v>
      </c>
      <c r="F990" s="23">
        <f>YEAR('Merged raw data'!$B990)</f>
        <v>2011</v>
      </c>
      <c r="G990" s="23" t="str">
        <f>TEXT('Merged raw data'!$B990,"mmmm")</f>
        <v>February</v>
      </c>
      <c r="H990" s="37" t="str">
        <f>TEXT(TIME('Merged raw data'!F990,0,0),"h AM/PM")</f>
        <v>8 PM</v>
      </c>
      <c r="I990" s="23" t="str">
        <f>IF(OR('Merged raw data'!H990=1,'Merged raw data'!H990=2,'Merged raw data'!H990=3,'Merged raw data'!H990=4,'Merged raw data'!H990=5),"weekday","weekend")</f>
        <v>weekend</v>
      </c>
      <c r="J990" s="23" t="s">
        <v>23</v>
      </c>
      <c r="K990" s="23" t="str">
        <f>IF('Merged raw data'!I990=1,"Clear",IF('Merged raw data'!I990=2,"Mist",IF('Merged raw data'!I990=3,"Rain",IF('Merged raw data'!I990=4,"Storm","NA"))))</f>
        <v>Clear</v>
      </c>
      <c r="L990" s="24">
        <v>0.35</v>
      </c>
      <c r="M990" s="24">
        <v>0.32840000000000003</v>
      </c>
      <c r="N990" s="21">
        <f>'Merged raw data'!$J990*100</f>
        <v>40</v>
      </c>
      <c r="O990" s="21">
        <v>15</v>
      </c>
      <c r="P990" s="21">
        <v>32</v>
      </c>
      <c r="Q990" s="21">
        <v>47</v>
      </c>
      <c r="R990" s="21" t="str">
        <f>IF(Q990&gt;=outliers!I992,"High",IF(Q990&lt;=outliers!I991,"Low","Moderate"))</f>
        <v>High</v>
      </c>
      <c r="S990" s="8" t="str">
        <f>IF(OR(Q990&lt;outliers!$I$6,Q990&gt;outliers!$I$7),"Outlier","Normal")</f>
        <v>Normal</v>
      </c>
      <c r="T990" s="8" t="str">
        <f>IF(OR(L990&lt;outliers!$J$6,L990&gt;outliers!$J$7),"Outlier","Normal")</f>
        <v>Normal</v>
      </c>
      <c r="U990" s="8" t="str">
        <f>IF(OR(M990&lt;outliers!$K$6,M990&gt;outliers!$K$7),"Outlier","Normal")</f>
        <v>Normal</v>
      </c>
    </row>
    <row r="991" spans="1:21">
      <c r="A991" s="21">
        <v>990</v>
      </c>
      <c r="B991" s="68">
        <v>40587</v>
      </c>
      <c r="C991" s="22" t="b">
        <v>0</v>
      </c>
      <c r="D991" s="21" t="str">
        <f t="shared" si="15"/>
        <v>Sunday</v>
      </c>
      <c r="E991" s="23">
        <v>0.40910000000000002</v>
      </c>
      <c r="F991" s="23">
        <f>YEAR('Merged raw data'!$B991)</f>
        <v>2011</v>
      </c>
      <c r="G991" s="23" t="str">
        <f>TEXT('Merged raw data'!$B991,"mmmm")</f>
        <v>February</v>
      </c>
      <c r="H991" s="37" t="str">
        <f>TEXT(TIME('Merged raw data'!F991,0,0),"h AM/PM")</f>
        <v>9 PM</v>
      </c>
      <c r="I991" s="23" t="str">
        <f>IF(OR('Merged raw data'!H991=1,'Merged raw data'!H991=2,'Merged raw data'!H991=3,'Merged raw data'!H991=4,'Merged raw data'!H991=5),"weekday","weekend")</f>
        <v>weekend</v>
      </c>
      <c r="J991" s="23" t="s">
        <v>23</v>
      </c>
      <c r="K991" s="23" t="str">
        <f>IF('Merged raw data'!I991=1,"Clear",IF('Merged raw data'!I991=2,"Mist",IF('Merged raw data'!I991=3,"Rain",IF('Merged raw data'!I991=4,"Storm","NA"))))</f>
        <v>Clear</v>
      </c>
      <c r="L991" s="24">
        <v>0.35</v>
      </c>
      <c r="M991" s="24">
        <v>0.35820000000000002</v>
      </c>
      <c r="N991" s="21">
        <f>'Merged raw data'!$J991*100</f>
        <v>40</v>
      </c>
      <c r="O991" s="21">
        <v>6</v>
      </c>
      <c r="P991" s="21">
        <v>45</v>
      </c>
      <c r="Q991" s="21">
        <v>51</v>
      </c>
      <c r="R991" s="21" t="str">
        <f>IF(Q991&gt;=outliers!I993,"High",IF(Q991&lt;=outliers!I992,"Low","Moderate"))</f>
        <v>High</v>
      </c>
      <c r="S991" s="8" t="str">
        <f>IF(OR(Q991&lt;outliers!$I$6,Q991&gt;outliers!$I$7),"Outlier","Normal")</f>
        <v>Normal</v>
      </c>
      <c r="T991" s="8" t="str">
        <f>IF(OR(L991&lt;outliers!$J$6,L991&gt;outliers!$J$7),"Outlier","Normal")</f>
        <v>Normal</v>
      </c>
      <c r="U991" s="8" t="str">
        <f>IF(OR(M991&lt;outliers!$K$6,M991&gt;outliers!$K$7),"Outlier","Normal")</f>
        <v>Normal</v>
      </c>
    </row>
    <row r="992" spans="1:21">
      <c r="A992" s="21">
        <v>991</v>
      </c>
      <c r="B992" s="68">
        <v>40587</v>
      </c>
      <c r="C992" s="22" t="b">
        <v>0</v>
      </c>
      <c r="D992" s="21" t="str">
        <f t="shared" si="15"/>
        <v>Sunday</v>
      </c>
      <c r="E992" s="23">
        <v>0.40910000000000002</v>
      </c>
      <c r="F992" s="23">
        <f>YEAR('Merged raw data'!$B992)</f>
        <v>2011</v>
      </c>
      <c r="G992" s="23" t="str">
        <f>TEXT('Merged raw data'!$B992,"mmmm")</f>
        <v>February</v>
      </c>
      <c r="H992" s="37" t="str">
        <f>TEXT(TIME('Merged raw data'!F992,0,0),"h AM/PM")</f>
        <v>10 PM</v>
      </c>
      <c r="I992" s="23" t="str">
        <f>IF(OR('Merged raw data'!H992=1,'Merged raw data'!H992=2,'Merged raw data'!H992=3,'Merged raw data'!H992=4,'Merged raw data'!H992=5),"weekday","weekend")</f>
        <v>weekend</v>
      </c>
      <c r="J992" s="23" t="s">
        <v>23</v>
      </c>
      <c r="K992" s="23" t="str">
        <f>IF('Merged raw data'!I992=1,"Clear",IF('Merged raw data'!I992=2,"Mist",IF('Merged raw data'!I992=3,"Rain",IF('Merged raw data'!I992=4,"Storm","NA"))))</f>
        <v>Clear</v>
      </c>
      <c r="L992" s="24">
        <v>0.35</v>
      </c>
      <c r="M992" s="24">
        <v>0.29849999999999999</v>
      </c>
      <c r="N992" s="21">
        <f>'Merged raw data'!$J992*100</f>
        <v>40</v>
      </c>
      <c r="O992" s="21">
        <v>5</v>
      </c>
      <c r="P992" s="21">
        <v>31</v>
      </c>
      <c r="Q992" s="21">
        <v>36</v>
      </c>
      <c r="R992" s="21" t="str">
        <f>IF(Q992&gt;=outliers!I994,"High",IF(Q992&lt;=outliers!I993,"Low","Moderate"))</f>
        <v>High</v>
      </c>
      <c r="S992" s="8" t="str">
        <f>IF(OR(Q992&lt;outliers!$I$6,Q992&gt;outliers!$I$7),"Outlier","Normal")</f>
        <v>Normal</v>
      </c>
      <c r="T992" s="8" t="str">
        <f>IF(OR(L992&lt;outliers!$J$6,L992&gt;outliers!$J$7),"Outlier","Normal")</f>
        <v>Normal</v>
      </c>
      <c r="U992" s="8" t="str">
        <f>IF(OR(M992&lt;outliers!$K$6,M992&gt;outliers!$K$7),"Outlier","Normal")</f>
        <v>Normal</v>
      </c>
    </row>
    <row r="993" spans="1:21">
      <c r="A993" s="21">
        <v>992</v>
      </c>
      <c r="B993" s="68">
        <v>40587</v>
      </c>
      <c r="C993" s="22" t="b">
        <v>0</v>
      </c>
      <c r="D993" s="21" t="str">
        <f t="shared" si="15"/>
        <v>Sunday</v>
      </c>
      <c r="E993" s="23">
        <v>0.40910000000000002</v>
      </c>
      <c r="F993" s="23">
        <f>YEAR('Merged raw data'!$B993)</f>
        <v>2011</v>
      </c>
      <c r="G993" s="23" t="str">
        <f>TEXT('Merged raw data'!$B993,"mmmm")</f>
        <v>February</v>
      </c>
      <c r="H993" s="37" t="str">
        <f>TEXT(TIME('Merged raw data'!F993,0,0),"h AM/PM")</f>
        <v>11 PM</v>
      </c>
      <c r="I993" s="23" t="str">
        <f>IF(OR('Merged raw data'!H993=1,'Merged raw data'!H993=2,'Merged raw data'!H993=3,'Merged raw data'!H993=4,'Merged raw data'!H993=5),"weekday","weekend")</f>
        <v>weekend</v>
      </c>
      <c r="J993" s="23" t="s">
        <v>23</v>
      </c>
      <c r="K993" s="23" t="str">
        <f>IF('Merged raw data'!I993=1,"Clear",IF('Merged raw data'!I993=2,"Mist",IF('Merged raw data'!I993=3,"Rain",IF('Merged raw data'!I993=4,"Storm","NA"))))</f>
        <v>Clear</v>
      </c>
      <c r="L993" s="24">
        <v>0.35</v>
      </c>
      <c r="M993" s="24">
        <v>0.35820000000000002</v>
      </c>
      <c r="N993" s="21">
        <f>'Merged raw data'!$J993*100</f>
        <v>40</v>
      </c>
      <c r="O993" s="21">
        <v>3</v>
      </c>
      <c r="P993" s="21">
        <v>27</v>
      </c>
      <c r="Q993" s="21">
        <v>30</v>
      </c>
      <c r="R993" s="21" t="str">
        <f>IF(Q993&gt;=outliers!I995,"High",IF(Q993&lt;=outliers!I994,"Low","Moderate"))</f>
        <v>High</v>
      </c>
      <c r="S993" s="8" t="str">
        <f>IF(OR(Q993&lt;outliers!$I$6,Q993&gt;outliers!$I$7),"Outlier","Normal")</f>
        <v>Normal</v>
      </c>
      <c r="T993" s="8" t="str">
        <f>IF(OR(L993&lt;outliers!$J$6,L993&gt;outliers!$J$7),"Outlier","Normal")</f>
        <v>Normal</v>
      </c>
      <c r="U993" s="8" t="str">
        <f>IF(OR(M993&lt;outliers!$K$6,M993&gt;outliers!$K$7),"Outlier","Normal")</f>
        <v>Normal</v>
      </c>
    </row>
    <row r="994" spans="1:21">
      <c r="A994" s="21">
        <v>993</v>
      </c>
      <c r="B994" s="68">
        <v>40588</v>
      </c>
      <c r="C994" s="22" t="b">
        <v>0</v>
      </c>
      <c r="D994" s="21" t="str">
        <f t="shared" si="15"/>
        <v>Monday</v>
      </c>
      <c r="E994" s="23">
        <v>0.39389999999999997</v>
      </c>
      <c r="F994" s="23">
        <f>YEAR('Merged raw data'!$B994)</f>
        <v>2011</v>
      </c>
      <c r="G994" s="23" t="str">
        <f>TEXT('Merged raw data'!$B994,"mmmm")</f>
        <v>February</v>
      </c>
      <c r="H994" s="37" t="str">
        <f>TEXT(TIME('Merged raw data'!F994,0,0),"h AM/PM")</f>
        <v>12 AM</v>
      </c>
      <c r="I994" s="23" t="str">
        <f>IF(OR('Merged raw data'!H994=1,'Merged raw data'!H994=2,'Merged raw data'!H994=3,'Merged raw data'!H994=4,'Merged raw data'!H994=5),"weekday","weekend")</f>
        <v>weekday</v>
      </c>
      <c r="J994" s="23" t="s">
        <v>23</v>
      </c>
      <c r="K994" s="23" t="str">
        <f>IF('Merged raw data'!I994=1,"Clear",IF('Merged raw data'!I994=2,"Mist",IF('Merged raw data'!I994=3,"Rain",IF('Merged raw data'!I994=4,"Storm","NA"))))</f>
        <v>Clear</v>
      </c>
      <c r="L994" s="24">
        <v>0.37</v>
      </c>
      <c r="M994" s="24">
        <v>0.35820000000000002</v>
      </c>
      <c r="N994" s="21">
        <f>'Merged raw data'!$J994*100</f>
        <v>38</v>
      </c>
      <c r="O994" s="21">
        <v>3</v>
      </c>
      <c r="P994" s="21">
        <v>8</v>
      </c>
      <c r="Q994" s="21">
        <v>11</v>
      </c>
      <c r="R994" s="21" t="str">
        <f>IF(Q994&gt;=outliers!I996,"High",IF(Q994&lt;=outliers!I995,"Low","Moderate"))</f>
        <v>High</v>
      </c>
      <c r="S994" s="8" t="str">
        <f>IF(OR(Q994&lt;outliers!$I$6,Q994&gt;outliers!$I$7),"Outlier","Normal")</f>
        <v>Normal</v>
      </c>
      <c r="T994" s="8" t="str">
        <f>IF(OR(L994&lt;outliers!$J$6,L994&gt;outliers!$J$7),"Outlier","Normal")</f>
        <v>Normal</v>
      </c>
      <c r="U994" s="8" t="str">
        <f>IF(OR(M994&lt;outliers!$K$6,M994&gt;outliers!$K$7),"Outlier","Normal")</f>
        <v>Normal</v>
      </c>
    </row>
    <row r="995" spans="1:21">
      <c r="A995" s="21">
        <v>994</v>
      </c>
      <c r="B995" s="68">
        <v>40588</v>
      </c>
      <c r="C995" s="22" t="b">
        <v>0</v>
      </c>
      <c r="D995" s="21" t="str">
        <f t="shared" si="15"/>
        <v>Monday</v>
      </c>
      <c r="E995" s="23">
        <v>0.39389999999999997</v>
      </c>
      <c r="F995" s="23">
        <f>YEAR('Merged raw data'!$B995)</f>
        <v>2011</v>
      </c>
      <c r="G995" s="23" t="str">
        <f>TEXT('Merged raw data'!$B995,"mmmm")</f>
        <v>February</v>
      </c>
      <c r="H995" s="37" t="str">
        <f>TEXT(TIME('Merged raw data'!F995,0,0),"h AM/PM")</f>
        <v>1 AM</v>
      </c>
      <c r="I995" s="23" t="str">
        <f>IF(OR('Merged raw data'!H995=1,'Merged raw data'!H995=2,'Merged raw data'!H995=3,'Merged raw data'!H995=4,'Merged raw data'!H995=5),"weekday","weekend")</f>
        <v>weekday</v>
      </c>
      <c r="J995" s="23" t="s">
        <v>23</v>
      </c>
      <c r="K995" s="23" t="str">
        <f>IF('Merged raw data'!I995=1,"Clear",IF('Merged raw data'!I995=2,"Mist",IF('Merged raw data'!I995=3,"Rain",IF('Merged raw data'!I995=4,"Storm","NA"))))</f>
        <v>Clear</v>
      </c>
      <c r="L995" s="24">
        <v>0.37</v>
      </c>
      <c r="M995" s="24">
        <v>0.35820000000000002</v>
      </c>
      <c r="N995" s="21">
        <f>'Merged raw data'!$J995*100</f>
        <v>38</v>
      </c>
      <c r="O995" s="21">
        <v>1</v>
      </c>
      <c r="P995" s="21">
        <v>6</v>
      </c>
      <c r="Q995" s="21">
        <v>7</v>
      </c>
      <c r="R995" s="21" t="str">
        <f>IF(Q995&gt;=outliers!I997,"High",IF(Q995&lt;=outliers!I996,"Low","Moderate"))</f>
        <v>High</v>
      </c>
      <c r="S995" s="8" t="str">
        <f>IF(OR(Q995&lt;outliers!$I$6,Q995&gt;outliers!$I$7),"Outlier","Normal")</f>
        <v>Normal</v>
      </c>
      <c r="T995" s="8" t="str">
        <f>IF(OR(L995&lt;outliers!$J$6,L995&gt;outliers!$J$7),"Outlier","Normal")</f>
        <v>Normal</v>
      </c>
      <c r="U995" s="8" t="str">
        <f>IF(OR(M995&lt;outliers!$K$6,M995&gt;outliers!$K$7),"Outlier","Normal")</f>
        <v>Normal</v>
      </c>
    </row>
    <row r="996" spans="1:21">
      <c r="A996" s="21">
        <v>995</v>
      </c>
      <c r="B996" s="68">
        <v>40588</v>
      </c>
      <c r="C996" s="22" t="b">
        <v>0</v>
      </c>
      <c r="D996" s="21" t="str">
        <f t="shared" si="15"/>
        <v>Monday</v>
      </c>
      <c r="E996" s="23">
        <v>0.33329999999999999</v>
      </c>
      <c r="F996" s="23">
        <f>YEAR('Merged raw data'!$B996)</f>
        <v>2011</v>
      </c>
      <c r="G996" s="23" t="str">
        <f>TEXT('Merged raw data'!$B996,"mmmm")</f>
        <v>February</v>
      </c>
      <c r="H996" s="37" t="str">
        <f>TEXT(TIME('Merged raw data'!F996,0,0),"h AM/PM")</f>
        <v>2 AM</v>
      </c>
      <c r="I996" s="23" t="str">
        <f>IF(OR('Merged raw data'!H996=1,'Merged raw data'!H996=2,'Merged raw data'!H996=3,'Merged raw data'!H996=4,'Merged raw data'!H996=5),"weekday","weekend")</f>
        <v>weekday</v>
      </c>
      <c r="J996" s="23" t="s">
        <v>23</v>
      </c>
      <c r="K996" s="23" t="str">
        <f>IF('Merged raw data'!I996=1,"Clear",IF('Merged raw data'!I996=2,"Mist",IF('Merged raw data'!I996=3,"Rain",IF('Merged raw data'!I996=4,"Storm","NA"))))</f>
        <v>Clear</v>
      </c>
      <c r="L996" s="24">
        <v>0.4</v>
      </c>
      <c r="M996" s="24">
        <v>0.29849999999999999</v>
      </c>
      <c r="N996" s="21">
        <f>'Merged raw data'!$J996*100</f>
        <v>36</v>
      </c>
      <c r="O996" s="21">
        <v>0</v>
      </c>
      <c r="P996" s="21">
        <v>2</v>
      </c>
      <c r="Q996" s="21">
        <v>2</v>
      </c>
      <c r="R996" s="21" t="str">
        <f>IF(Q996&gt;=outliers!I998,"High",IF(Q996&lt;=outliers!I997,"Low","Moderate"))</f>
        <v>High</v>
      </c>
      <c r="S996" s="8" t="str">
        <f>IF(OR(Q996&lt;outliers!$I$6,Q996&gt;outliers!$I$7),"Outlier","Normal")</f>
        <v>Normal</v>
      </c>
      <c r="T996" s="8" t="str">
        <f>IF(OR(L996&lt;outliers!$J$6,L996&gt;outliers!$J$7),"Outlier","Normal")</f>
        <v>Normal</v>
      </c>
      <c r="U996" s="8" t="str">
        <f>IF(OR(M996&lt;outliers!$K$6,M996&gt;outliers!$K$7),"Outlier","Normal")</f>
        <v>Normal</v>
      </c>
    </row>
    <row r="997" spans="1:21">
      <c r="A997" s="21">
        <v>996</v>
      </c>
      <c r="B997" s="68">
        <v>40588</v>
      </c>
      <c r="C997" s="22" t="b">
        <v>0</v>
      </c>
      <c r="D997" s="21" t="str">
        <f t="shared" si="15"/>
        <v>Monday</v>
      </c>
      <c r="E997" s="23">
        <v>0.31819999999999998</v>
      </c>
      <c r="F997" s="23">
        <f>YEAR('Merged raw data'!$B997)</f>
        <v>2011</v>
      </c>
      <c r="G997" s="23" t="str">
        <f>TEXT('Merged raw data'!$B997,"mmmm")</f>
        <v>February</v>
      </c>
      <c r="H997" s="37" t="str">
        <f>TEXT(TIME('Merged raw data'!F997,0,0),"h AM/PM")</f>
        <v>3 AM</v>
      </c>
      <c r="I997" s="23" t="str">
        <f>IF(OR('Merged raw data'!H997=1,'Merged raw data'!H997=2,'Merged raw data'!H997=3,'Merged raw data'!H997=4,'Merged raw data'!H997=5),"weekday","weekend")</f>
        <v>weekday</v>
      </c>
      <c r="J997" s="23" t="s">
        <v>23</v>
      </c>
      <c r="K997" s="23" t="str">
        <f>IF('Merged raw data'!I997=1,"Clear",IF('Merged raw data'!I997=2,"Mist",IF('Merged raw data'!I997=3,"Rain",IF('Merged raw data'!I997=4,"Storm","NA"))))</f>
        <v>Clear</v>
      </c>
      <c r="L997" s="24">
        <v>0.46</v>
      </c>
      <c r="M997" s="24">
        <v>0.22389999999999999</v>
      </c>
      <c r="N997" s="21">
        <f>'Merged raw data'!$J997*100</f>
        <v>34</v>
      </c>
      <c r="O997" s="21">
        <v>1</v>
      </c>
      <c r="P997" s="21">
        <v>1</v>
      </c>
      <c r="Q997" s="21">
        <v>2</v>
      </c>
      <c r="R997" s="21" t="str">
        <f>IF(Q997&gt;=outliers!I999,"High",IF(Q997&lt;=outliers!I998,"Low","Moderate"))</f>
        <v>High</v>
      </c>
      <c r="S997" s="8" t="str">
        <f>IF(OR(Q997&lt;outliers!$I$6,Q997&gt;outliers!$I$7),"Outlier","Normal")</f>
        <v>Normal</v>
      </c>
      <c r="T997" s="8" t="str">
        <f>IF(OR(L997&lt;outliers!$J$6,L997&gt;outliers!$J$7),"Outlier","Normal")</f>
        <v>Normal</v>
      </c>
      <c r="U997" s="8" t="str">
        <f>IF(OR(M997&lt;outliers!$K$6,M997&gt;outliers!$K$7),"Outlier","Normal")</f>
        <v>Normal</v>
      </c>
    </row>
    <row r="998" spans="1:21">
      <c r="A998" s="21">
        <v>997</v>
      </c>
      <c r="B998" s="68">
        <v>40588</v>
      </c>
      <c r="C998" s="22" t="b">
        <v>0</v>
      </c>
      <c r="D998" s="21" t="str">
        <f t="shared" si="15"/>
        <v>Monday</v>
      </c>
      <c r="E998" s="23">
        <v>0.30299999999999999</v>
      </c>
      <c r="F998" s="23">
        <f>YEAR('Merged raw data'!$B998)</f>
        <v>2011</v>
      </c>
      <c r="G998" s="23" t="str">
        <f>TEXT('Merged raw data'!$B998,"mmmm")</f>
        <v>February</v>
      </c>
      <c r="H998" s="37" t="str">
        <f>TEXT(TIME('Merged raw data'!F998,0,0),"h AM/PM")</f>
        <v>4 AM</v>
      </c>
      <c r="I998" s="23" t="str">
        <f>IF(OR('Merged raw data'!H998=1,'Merged raw data'!H998=2,'Merged raw data'!H998=3,'Merged raw data'!H998=4,'Merged raw data'!H998=5),"weekday","weekend")</f>
        <v>weekday</v>
      </c>
      <c r="J998" s="23" t="s">
        <v>23</v>
      </c>
      <c r="K998" s="23" t="str">
        <f>IF('Merged raw data'!I998=1,"Clear",IF('Merged raw data'!I998=2,"Mist",IF('Merged raw data'!I998=3,"Rain",IF('Merged raw data'!I998=4,"Storm","NA"))))</f>
        <v>Clear</v>
      </c>
      <c r="L998" s="24">
        <v>0.53</v>
      </c>
      <c r="M998" s="24">
        <v>0.28360000000000002</v>
      </c>
      <c r="N998" s="21">
        <f>'Merged raw data'!$J998*100</f>
        <v>32</v>
      </c>
      <c r="O998" s="21">
        <v>0</v>
      </c>
      <c r="P998" s="21">
        <v>2</v>
      </c>
      <c r="Q998" s="21">
        <v>2</v>
      </c>
      <c r="R998" s="21" t="str">
        <f>IF(Q998&gt;=outliers!I1000,"High",IF(Q998&lt;=outliers!I999,"Low","Moderate"))</f>
        <v>High</v>
      </c>
      <c r="S998" s="8" t="str">
        <f>IF(OR(Q998&lt;outliers!$I$6,Q998&gt;outliers!$I$7),"Outlier","Normal")</f>
        <v>Normal</v>
      </c>
      <c r="T998" s="8" t="str">
        <f>IF(OR(L998&lt;outliers!$J$6,L998&gt;outliers!$J$7),"Outlier","Normal")</f>
        <v>Normal</v>
      </c>
      <c r="U998" s="8" t="str">
        <f>IF(OR(M998&lt;outliers!$K$6,M998&gt;outliers!$K$7),"Outlier","Normal")</f>
        <v>Normal</v>
      </c>
    </row>
    <row r="999" spans="1:21">
      <c r="A999" s="21">
        <v>998</v>
      </c>
      <c r="B999" s="68">
        <v>40588</v>
      </c>
      <c r="C999" s="22" t="b">
        <v>0</v>
      </c>
      <c r="D999" s="21" t="str">
        <f t="shared" si="15"/>
        <v>Monday</v>
      </c>
      <c r="E999" s="23">
        <v>0.30299999999999999</v>
      </c>
      <c r="F999" s="23">
        <f>YEAR('Merged raw data'!$B999)</f>
        <v>2011</v>
      </c>
      <c r="G999" s="23" t="str">
        <f>TEXT('Merged raw data'!$B999,"mmmm")</f>
        <v>February</v>
      </c>
      <c r="H999" s="37" t="str">
        <f>TEXT(TIME('Merged raw data'!F999,0,0),"h AM/PM")</f>
        <v>5 AM</v>
      </c>
      <c r="I999" s="23" t="str">
        <f>IF(OR('Merged raw data'!H999=1,'Merged raw data'!H999=2,'Merged raw data'!H999=3,'Merged raw data'!H999=4,'Merged raw data'!H999=5),"weekday","weekend")</f>
        <v>weekday</v>
      </c>
      <c r="J999" s="23" t="s">
        <v>23</v>
      </c>
      <c r="K999" s="23" t="str">
        <f>IF('Merged raw data'!I999=1,"Clear",IF('Merged raw data'!I999=2,"Mist",IF('Merged raw data'!I999=3,"Rain",IF('Merged raw data'!I999=4,"Storm","NA"))))</f>
        <v>Clear</v>
      </c>
      <c r="L999" s="24">
        <v>0.53</v>
      </c>
      <c r="M999" s="24">
        <v>0.28360000000000002</v>
      </c>
      <c r="N999" s="21">
        <f>'Merged raw data'!$J999*100</f>
        <v>32</v>
      </c>
      <c r="O999" s="21">
        <v>0</v>
      </c>
      <c r="P999" s="21">
        <v>3</v>
      </c>
      <c r="Q999" s="21">
        <v>3</v>
      </c>
      <c r="R999" s="21" t="str">
        <f>IF(Q999&gt;=outliers!I1001,"High",IF(Q999&lt;=outliers!I1000,"Low","Moderate"))</f>
        <v>High</v>
      </c>
      <c r="S999" s="8" t="str">
        <f>IF(OR(Q999&lt;outliers!$I$6,Q999&gt;outliers!$I$7),"Outlier","Normal")</f>
        <v>Normal</v>
      </c>
      <c r="T999" s="8" t="str">
        <f>IF(OR(L999&lt;outliers!$J$6,L999&gt;outliers!$J$7),"Outlier","Normal")</f>
        <v>Normal</v>
      </c>
      <c r="U999" s="8" t="str">
        <f>IF(OR(M999&lt;outliers!$K$6,M999&gt;outliers!$K$7),"Outlier","Normal")</f>
        <v>Normal</v>
      </c>
    </row>
    <row r="1000" spans="1:21">
      <c r="A1000" s="21">
        <v>999</v>
      </c>
      <c r="B1000" s="68">
        <v>40588</v>
      </c>
      <c r="C1000" s="22" t="b">
        <v>0</v>
      </c>
      <c r="D1000" s="21" t="str">
        <f t="shared" si="15"/>
        <v>Monday</v>
      </c>
      <c r="E1000" s="23">
        <v>0.30299999999999999</v>
      </c>
      <c r="F1000" s="23">
        <f>YEAR('Merged raw data'!$B1000)</f>
        <v>2011</v>
      </c>
      <c r="G1000" s="23" t="str">
        <f>TEXT('Merged raw data'!$B1000,"mmmm")</f>
        <v>February</v>
      </c>
      <c r="H1000" s="37" t="str">
        <f>TEXT(TIME('Merged raw data'!F1000,0,0),"h AM/PM")</f>
        <v>6 AM</v>
      </c>
      <c r="I1000" s="23" t="str">
        <f>IF(OR('Merged raw data'!H1000=1,'Merged raw data'!H1000=2,'Merged raw data'!H1000=3,'Merged raw data'!H1000=4,'Merged raw data'!H1000=5),"weekday","weekend")</f>
        <v>weekday</v>
      </c>
      <c r="J1000" s="23" t="s">
        <v>23</v>
      </c>
      <c r="K1000" s="23" t="str">
        <f>IF('Merged raw data'!I1000=1,"Clear",IF('Merged raw data'!I1000=2,"Mist",IF('Merged raw data'!I1000=3,"Rain",IF('Merged raw data'!I1000=4,"Storm","NA"))))</f>
        <v>Clear</v>
      </c>
      <c r="L1000" s="24">
        <v>0.46</v>
      </c>
      <c r="M1000" s="24">
        <v>0.29849999999999999</v>
      </c>
      <c r="N1000" s="21">
        <f>'Merged raw data'!$J1000*100</f>
        <v>34</v>
      </c>
      <c r="O1000" s="21">
        <v>1</v>
      </c>
      <c r="P1000" s="21">
        <v>25</v>
      </c>
      <c r="Q1000" s="21">
        <v>26</v>
      </c>
      <c r="R1000" s="21" t="str">
        <f>IF(Q1000&gt;=outliers!I1002,"High",IF(Q1000&lt;=outliers!I1001,"Low","Moderate"))</f>
        <v>High</v>
      </c>
      <c r="S1000" s="8" t="str">
        <f>IF(OR(Q1000&lt;outliers!$I$6,Q1000&gt;outliers!$I$7),"Outlier","Normal")</f>
        <v>Normal</v>
      </c>
      <c r="T1000" s="8" t="str">
        <f>IF(OR(L1000&lt;outliers!$J$6,L1000&gt;outliers!$J$7),"Outlier","Normal")</f>
        <v>Normal</v>
      </c>
      <c r="U1000" s="8" t="str">
        <f>IF(OR(M1000&lt;outliers!$K$6,M1000&gt;outliers!$K$7),"Outlier","Normal")</f>
        <v>Normal</v>
      </c>
    </row>
    <row r="1001" spans="1:21">
      <c r="A1001" s="21">
        <v>1000</v>
      </c>
      <c r="B1001" s="68">
        <v>40588</v>
      </c>
      <c r="C1001" s="22" t="b">
        <v>0</v>
      </c>
      <c r="D1001" s="21" t="str">
        <f t="shared" si="15"/>
        <v>Monday</v>
      </c>
      <c r="E1001" s="23">
        <v>0.30299999999999999</v>
      </c>
      <c r="F1001" s="23">
        <f>YEAR('Merged raw data'!$B1001)</f>
        <v>2011</v>
      </c>
      <c r="G1001" s="23" t="str">
        <f>TEXT('Merged raw data'!$B1001,"mmmm")</f>
        <v>February</v>
      </c>
      <c r="H1001" s="37" t="str">
        <f>TEXT(TIME('Merged raw data'!F1001,0,0),"h AM/PM")</f>
        <v>7 AM</v>
      </c>
      <c r="I1001" s="23" t="str">
        <f>IF(OR('Merged raw data'!H1001=1,'Merged raw data'!H1001=2,'Merged raw data'!H1001=3,'Merged raw data'!H1001=4,'Merged raw data'!H1001=5),"weekday","weekend")</f>
        <v>weekday</v>
      </c>
      <c r="J1001" s="23" t="s">
        <v>23</v>
      </c>
      <c r="K1001" s="23" t="str">
        <f>IF('Merged raw data'!I1001=1,"Clear",IF('Merged raw data'!I1001=2,"Mist",IF('Merged raw data'!I1001=3,"Rain",IF('Merged raw data'!I1001=4,"Storm","NA"))))</f>
        <v>Clear</v>
      </c>
      <c r="L1001" s="24">
        <v>0.46</v>
      </c>
      <c r="M1001" s="24">
        <v>0.29849999999999999</v>
      </c>
      <c r="N1001" s="21">
        <f>'Merged raw data'!$J1001*100</f>
        <v>34</v>
      </c>
      <c r="O1001" s="21">
        <v>2</v>
      </c>
      <c r="P1001" s="21">
        <v>96</v>
      </c>
      <c r="Q1001" s="21">
        <v>98</v>
      </c>
      <c r="R1001" s="21" t="str">
        <f>IF(Q1001&gt;=outliers!I1003,"High",IF(Q1001&lt;=outliers!I1002,"Low","Moderate"))</f>
        <v>High</v>
      </c>
      <c r="S1001" s="8" t="str">
        <f>IF(OR(Q1001&lt;outliers!$I$6,Q1001&gt;outliers!$I$7),"Outlier","Normal")</f>
        <v>Normal</v>
      </c>
      <c r="T1001" s="8" t="str">
        <f>IF(OR(L1001&lt;outliers!$J$6,L1001&gt;outliers!$J$7),"Outlier","Normal")</f>
        <v>Normal</v>
      </c>
      <c r="U1001" s="8" t="str">
        <f>IF(OR(M1001&lt;outliers!$K$6,M1001&gt;outliers!$K$7),"Outlier","Normal")</f>
        <v>Normal</v>
      </c>
    </row>
    <row r="1002" spans="1:21">
      <c r="A1002" s="32"/>
      <c r="B1002" s="69"/>
      <c r="C1002" s="33"/>
      <c r="D1002" s="32"/>
      <c r="E1002" s="34"/>
      <c r="F1002" s="34"/>
      <c r="G1002" s="34"/>
      <c r="H1002" s="38"/>
      <c r="I1002" s="34"/>
      <c r="J1002" s="34"/>
      <c r="K1002" s="34"/>
      <c r="L1002" s="35"/>
      <c r="M1002" s="35"/>
      <c r="N1002" s="32"/>
      <c r="O1002" s="32"/>
      <c r="P1002" s="32"/>
      <c r="Q1002" s="32"/>
      <c r="R1002" s="32"/>
    </row>
    <row r="1003" spans="1:21">
      <c r="O1003" s="6">
        <v>4921</v>
      </c>
      <c r="P1003" s="6">
        <v>53383</v>
      </c>
      <c r="Q1003" s="6">
        <v>58304</v>
      </c>
    </row>
    <row r="1004" spans="1:21">
      <c r="O1004" s="6"/>
      <c r="P1004" s="6"/>
      <c r="Q1004" s="6"/>
    </row>
  </sheetData>
  <conditionalFormatting sqref="A1:A1002">
    <cfRule type="duplicateValues" dxfId="1"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BF7D-92CF-4047-83A1-1A43B8D792F5}">
  <dimension ref="A1:P1001"/>
  <sheetViews>
    <sheetView workbookViewId="0">
      <selection activeCell="F17" sqref="F17"/>
    </sheetView>
  </sheetViews>
  <sheetFormatPr defaultRowHeight="14.4"/>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0" t="s">
        <v>15</v>
      </c>
    </row>
    <row r="2" spans="1:16">
      <c r="A2" s="41">
        <v>1</v>
      </c>
      <c r="B2" s="42">
        <v>40544</v>
      </c>
      <c r="C2" s="43">
        <v>1</v>
      </c>
      <c r="D2" s="43">
        <v>0</v>
      </c>
      <c r="E2" s="43">
        <v>1</v>
      </c>
      <c r="F2" s="43">
        <v>0</v>
      </c>
      <c r="G2" s="43" t="b">
        <v>0</v>
      </c>
      <c r="H2" s="43">
        <v>6</v>
      </c>
      <c r="I2" s="43">
        <v>1</v>
      </c>
      <c r="J2" s="43">
        <v>0.24</v>
      </c>
      <c r="K2" s="43">
        <v>0.28789999999999999</v>
      </c>
      <c r="L2" s="43">
        <v>0.81</v>
      </c>
      <c r="M2" s="43">
        <v>0</v>
      </c>
      <c r="N2" s="43">
        <v>3</v>
      </c>
      <c r="O2" s="43">
        <v>13</v>
      </c>
      <c r="P2" s="44">
        <v>16</v>
      </c>
    </row>
    <row r="3" spans="1:16">
      <c r="A3" s="45">
        <v>2</v>
      </c>
      <c r="B3" s="46">
        <v>40544</v>
      </c>
      <c r="C3" s="47">
        <v>1</v>
      </c>
      <c r="D3" s="47">
        <v>0</v>
      </c>
      <c r="E3" s="47">
        <v>1</v>
      </c>
      <c r="F3" s="47">
        <v>1</v>
      </c>
      <c r="G3" s="47" t="b">
        <v>0</v>
      </c>
      <c r="H3" s="47">
        <v>6</v>
      </c>
      <c r="I3" s="47">
        <v>1</v>
      </c>
      <c r="J3" s="47">
        <v>0.22</v>
      </c>
      <c r="K3" s="47">
        <v>0.2727</v>
      </c>
      <c r="L3" s="47">
        <v>0.8</v>
      </c>
      <c r="M3" s="47">
        <v>0</v>
      </c>
      <c r="N3" s="47">
        <v>8</v>
      </c>
      <c r="O3" s="47">
        <v>32</v>
      </c>
      <c r="P3" s="48">
        <v>40</v>
      </c>
    </row>
    <row r="4" spans="1:16">
      <c r="A4" s="41">
        <v>3</v>
      </c>
      <c r="B4" s="42">
        <v>40544</v>
      </c>
      <c r="C4" s="43">
        <v>1</v>
      </c>
      <c r="D4" s="43">
        <v>0</v>
      </c>
      <c r="E4" s="43">
        <v>1</v>
      </c>
      <c r="F4" s="43">
        <v>2</v>
      </c>
      <c r="G4" s="43" t="b">
        <v>0</v>
      </c>
      <c r="H4" s="43">
        <v>6</v>
      </c>
      <c r="I4" s="43">
        <v>1</v>
      </c>
      <c r="J4" s="43">
        <v>0.22</v>
      </c>
      <c r="K4" s="43">
        <v>0.2727</v>
      </c>
      <c r="L4" s="43">
        <v>0.8</v>
      </c>
      <c r="M4" s="43">
        <v>0</v>
      </c>
      <c r="N4" s="43">
        <v>5</v>
      </c>
      <c r="O4" s="43">
        <v>27</v>
      </c>
      <c r="P4" s="44">
        <v>32</v>
      </c>
    </row>
    <row r="5" spans="1:16">
      <c r="A5" s="45">
        <v>4</v>
      </c>
      <c r="B5" s="46">
        <v>40544</v>
      </c>
      <c r="C5" s="47">
        <v>1</v>
      </c>
      <c r="D5" s="47">
        <v>0</v>
      </c>
      <c r="E5" s="47">
        <v>1</v>
      </c>
      <c r="F5" s="47">
        <v>3</v>
      </c>
      <c r="G5" s="47" t="b">
        <v>0</v>
      </c>
      <c r="H5" s="47">
        <v>6</v>
      </c>
      <c r="I5" s="47">
        <v>1</v>
      </c>
      <c r="J5" s="47">
        <v>0.24</v>
      </c>
      <c r="K5" s="47">
        <v>0.28789999999999999</v>
      </c>
      <c r="L5" s="47">
        <v>0.75</v>
      </c>
      <c r="M5" s="47">
        <v>0</v>
      </c>
      <c r="N5" s="47">
        <v>3</v>
      </c>
      <c r="O5" s="47">
        <v>10</v>
      </c>
      <c r="P5" s="48">
        <v>13</v>
      </c>
    </row>
    <row r="6" spans="1:16">
      <c r="A6" s="41">
        <v>5</v>
      </c>
      <c r="B6" s="42">
        <v>40544</v>
      </c>
      <c r="C6" s="43">
        <v>1</v>
      </c>
      <c r="D6" s="43">
        <v>0</v>
      </c>
      <c r="E6" s="43">
        <v>1</v>
      </c>
      <c r="F6" s="43">
        <v>4</v>
      </c>
      <c r="G6" s="43" t="b">
        <v>0</v>
      </c>
      <c r="H6" s="43">
        <v>6</v>
      </c>
      <c r="I6" s="43">
        <v>1</v>
      </c>
      <c r="J6" s="43">
        <v>0.24</v>
      </c>
      <c r="K6" s="43">
        <v>0.28789999999999999</v>
      </c>
      <c r="L6" s="43">
        <v>0.75</v>
      </c>
      <c r="M6" s="43">
        <v>0</v>
      </c>
      <c r="N6" s="43">
        <v>0</v>
      </c>
      <c r="O6" s="43">
        <v>1</v>
      </c>
      <c r="P6" s="44">
        <v>1</v>
      </c>
    </row>
    <row r="7" spans="1:16">
      <c r="A7" s="45">
        <v>6</v>
      </c>
      <c r="B7" s="46">
        <v>40544</v>
      </c>
      <c r="C7" s="47">
        <v>1</v>
      </c>
      <c r="D7" s="47">
        <v>0</v>
      </c>
      <c r="E7" s="47">
        <v>1</v>
      </c>
      <c r="F7" s="47">
        <v>5</v>
      </c>
      <c r="G7" s="47" t="b">
        <v>0</v>
      </c>
      <c r="H7" s="47">
        <v>6</v>
      </c>
      <c r="I7" s="47">
        <v>2</v>
      </c>
      <c r="J7" s="47">
        <v>0.24</v>
      </c>
      <c r="K7" s="47">
        <v>0.2576</v>
      </c>
      <c r="L7" s="47">
        <v>0.75</v>
      </c>
      <c r="M7" s="47">
        <v>8.9599999999999999E-2</v>
      </c>
      <c r="N7" s="47">
        <v>0</v>
      </c>
      <c r="O7" s="47">
        <v>1</v>
      </c>
      <c r="P7" s="48">
        <v>1</v>
      </c>
    </row>
    <row r="8" spans="1:16">
      <c r="A8" s="41">
        <v>7</v>
      </c>
      <c r="B8" s="42">
        <v>40544</v>
      </c>
      <c r="C8" s="43">
        <v>1</v>
      </c>
      <c r="D8" s="43">
        <v>0</v>
      </c>
      <c r="E8" s="43">
        <v>1</v>
      </c>
      <c r="F8" s="43">
        <v>6</v>
      </c>
      <c r="G8" s="43" t="b">
        <v>0</v>
      </c>
      <c r="H8" s="43">
        <v>6</v>
      </c>
      <c r="I8" s="43">
        <v>1</v>
      </c>
      <c r="J8" s="43">
        <v>0.22</v>
      </c>
      <c r="K8" s="43">
        <v>0.2727</v>
      </c>
      <c r="L8" s="43">
        <v>0.8</v>
      </c>
      <c r="M8" s="43">
        <v>0</v>
      </c>
      <c r="N8" s="43">
        <v>2</v>
      </c>
      <c r="O8" s="43">
        <v>0</v>
      </c>
      <c r="P8" s="44">
        <v>2</v>
      </c>
    </row>
    <row r="9" spans="1:16">
      <c r="A9" s="45">
        <v>8</v>
      </c>
      <c r="B9" s="46">
        <v>40544</v>
      </c>
      <c r="C9" s="47">
        <v>1</v>
      </c>
      <c r="D9" s="47">
        <v>0</v>
      </c>
      <c r="E9" s="47">
        <v>1</v>
      </c>
      <c r="F9" s="47">
        <v>7</v>
      </c>
      <c r="G9" s="47" t="b">
        <v>0</v>
      </c>
      <c r="H9" s="47">
        <v>6</v>
      </c>
      <c r="I9" s="47">
        <v>1</v>
      </c>
      <c r="J9" s="47">
        <v>0.2</v>
      </c>
      <c r="K9" s="47">
        <v>0.2576</v>
      </c>
      <c r="L9" s="47">
        <v>0.86</v>
      </c>
      <c r="M9" s="47">
        <v>0</v>
      </c>
      <c r="N9" s="47">
        <v>1</v>
      </c>
      <c r="O9" s="47">
        <v>2</v>
      </c>
      <c r="P9" s="48">
        <v>3</v>
      </c>
    </row>
    <row r="10" spans="1:16">
      <c r="A10" s="41">
        <v>9</v>
      </c>
      <c r="B10" s="42">
        <v>40544</v>
      </c>
      <c r="C10" s="43">
        <v>1</v>
      </c>
      <c r="D10" s="43">
        <v>0</v>
      </c>
      <c r="E10" s="43">
        <v>1</v>
      </c>
      <c r="F10" s="43">
        <v>8</v>
      </c>
      <c r="G10" s="43" t="b">
        <v>0</v>
      </c>
      <c r="H10" s="43">
        <v>6</v>
      </c>
      <c r="I10" s="43">
        <v>1</v>
      </c>
      <c r="J10" s="43">
        <v>0.24</v>
      </c>
      <c r="K10" s="43"/>
      <c r="L10" s="43">
        <v>0.75</v>
      </c>
      <c r="M10" s="43">
        <v>0</v>
      </c>
      <c r="N10" s="43">
        <v>1</v>
      </c>
      <c r="O10" s="43">
        <v>7</v>
      </c>
      <c r="P10" s="44">
        <v>8</v>
      </c>
    </row>
    <row r="11" spans="1:16">
      <c r="A11" s="45">
        <v>10</v>
      </c>
      <c r="B11" s="46">
        <v>40544</v>
      </c>
      <c r="C11" s="47">
        <v>1</v>
      </c>
      <c r="D11" s="47">
        <v>0</v>
      </c>
      <c r="E11" s="47">
        <v>1</v>
      </c>
      <c r="F11" s="47">
        <v>9</v>
      </c>
      <c r="G11" s="47" t="b">
        <v>0</v>
      </c>
      <c r="H11" s="47">
        <v>6</v>
      </c>
      <c r="I11" s="47">
        <v>1</v>
      </c>
      <c r="J11" s="47">
        <v>0.32</v>
      </c>
      <c r="K11" s="47">
        <v>0.34849999999999998</v>
      </c>
      <c r="L11" s="47">
        <v>0.76</v>
      </c>
      <c r="M11" s="47">
        <v>0</v>
      </c>
      <c r="N11" s="47">
        <v>8</v>
      </c>
      <c r="O11" s="47">
        <v>6</v>
      </c>
      <c r="P11" s="48">
        <v>14</v>
      </c>
    </row>
    <row r="12" spans="1:16">
      <c r="A12" s="41">
        <v>11</v>
      </c>
      <c r="B12" s="42">
        <v>40544</v>
      </c>
      <c r="C12" s="43">
        <v>1</v>
      </c>
      <c r="D12" s="43">
        <v>0</v>
      </c>
      <c r="E12" s="43">
        <v>1</v>
      </c>
      <c r="F12" s="43">
        <v>10</v>
      </c>
      <c r="G12" s="43" t="b">
        <v>0</v>
      </c>
      <c r="H12" s="43">
        <v>6</v>
      </c>
      <c r="I12" s="43">
        <v>1</v>
      </c>
      <c r="J12" s="43">
        <v>0.38</v>
      </c>
      <c r="K12" s="43">
        <v>0.39389999999999997</v>
      </c>
      <c r="L12" s="43">
        <v>0.76</v>
      </c>
      <c r="M12" s="43">
        <v>0.25369999999999998</v>
      </c>
      <c r="N12" s="43">
        <v>12</v>
      </c>
      <c r="O12" s="43">
        <v>24</v>
      </c>
      <c r="P12" s="44">
        <v>36</v>
      </c>
    </row>
    <row r="13" spans="1:16">
      <c r="A13" s="45">
        <v>12</v>
      </c>
      <c r="B13" s="46">
        <v>40544</v>
      </c>
      <c r="C13" s="47">
        <v>1</v>
      </c>
      <c r="D13" s="47">
        <v>0</v>
      </c>
      <c r="E13" s="47">
        <v>1</v>
      </c>
      <c r="F13" s="47">
        <v>11</v>
      </c>
      <c r="G13" s="47" t="b">
        <v>0</v>
      </c>
      <c r="H13" s="47">
        <v>6</v>
      </c>
      <c r="I13" s="47">
        <v>1</v>
      </c>
      <c r="J13" s="47">
        <v>0.36</v>
      </c>
      <c r="K13" s="47">
        <v>0.33329999999999999</v>
      </c>
      <c r="L13" s="47">
        <v>0.81</v>
      </c>
      <c r="M13" s="47">
        <v>0.28360000000000002</v>
      </c>
      <c r="N13" s="47">
        <v>26</v>
      </c>
      <c r="O13" s="47">
        <v>30</v>
      </c>
      <c r="P13" s="48">
        <v>56</v>
      </c>
    </row>
    <row r="14" spans="1:16">
      <c r="A14" s="41">
        <v>13</v>
      </c>
      <c r="B14" s="42">
        <v>40544</v>
      </c>
      <c r="C14" s="43">
        <v>1</v>
      </c>
      <c r="D14" s="43">
        <v>0</v>
      </c>
      <c r="E14" s="43">
        <v>1</v>
      </c>
      <c r="F14" s="43">
        <v>12</v>
      </c>
      <c r="G14" s="43" t="b">
        <v>0</v>
      </c>
      <c r="H14" s="43">
        <v>6</v>
      </c>
      <c r="I14" s="43">
        <v>1</v>
      </c>
      <c r="J14" s="43">
        <v>0.42</v>
      </c>
      <c r="K14" s="43">
        <v>0.42420000000000002</v>
      </c>
      <c r="L14" s="43">
        <v>0.77</v>
      </c>
      <c r="M14" s="43">
        <v>0.28360000000000002</v>
      </c>
      <c r="N14" s="43">
        <v>29</v>
      </c>
      <c r="O14" s="43">
        <v>55</v>
      </c>
      <c r="P14" s="44">
        <v>84</v>
      </c>
    </row>
    <row r="15" spans="1:16">
      <c r="A15" s="45">
        <v>14</v>
      </c>
      <c r="B15" s="46">
        <v>40544</v>
      </c>
      <c r="C15" s="47">
        <v>1</v>
      </c>
      <c r="D15" s="47">
        <v>0</v>
      </c>
      <c r="E15" s="47">
        <v>1</v>
      </c>
      <c r="F15" s="47">
        <v>13</v>
      </c>
      <c r="G15" s="47" t="b">
        <v>0</v>
      </c>
      <c r="H15" s="47">
        <v>6</v>
      </c>
      <c r="I15" s="47">
        <v>2</v>
      </c>
      <c r="J15" s="47">
        <v>0.46</v>
      </c>
      <c r="K15" s="47">
        <v>0.45450000000000002</v>
      </c>
      <c r="L15" s="47">
        <v>0.72</v>
      </c>
      <c r="M15" s="47">
        <v>0.29849999999999999</v>
      </c>
      <c r="N15" s="47">
        <v>47</v>
      </c>
      <c r="O15" s="47">
        <v>47</v>
      </c>
      <c r="P15" s="48">
        <v>94</v>
      </c>
    </row>
    <row r="16" spans="1:16">
      <c r="A16" s="41">
        <v>15</v>
      </c>
      <c r="B16" s="42">
        <v>40544</v>
      </c>
      <c r="C16" s="43">
        <v>1</v>
      </c>
      <c r="D16" s="43">
        <v>0</v>
      </c>
      <c r="E16" s="43">
        <v>1</v>
      </c>
      <c r="F16" s="43">
        <v>14</v>
      </c>
      <c r="G16" s="43" t="b">
        <v>0</v>
      </c>
      <c r="H16" s="43">
        <v>6</v>
      </c>
      <c r="I16" s="43">
        <v>2</v>
      </c>
      <c r="J16" s="43">
        <v>0.46</v>
      </c>
      <c r="K16" s="43">
        <v>0.45450000000000002</v>
      </c>
      <c r="L16" s="43">
        <v>0.72</v>
      </c>
      <c r="M16" s="43">
        <v>0.28360000000000002</v>
      </c>
      <c r="N16" s="43">
        <v>35</v>
      </c>
      <c r="O16" s="43">
        <v>71</v>
      </c>
      <c r="P16" s="44">
        <v>106</v>
      </c>
    </row>
    <row r="17" spans="1:16">
      <c r="A17" s="45">
        <v>16</v>
      </c>
      <c r="B17" s="46">
        <v>40544</v>
      </c>
      <c r="C17" s="47">
        <v>1</v>
      </c>
      <c r="D17" s="47">
        <v>0</v>
      </c>
      <c r="E17" s="47">
        <v>1</v>
      </c>
      <c r="F17" s="47">
        <v>15</v>
      </c>
      <c r="G17" s="47" t="b">
        <v>0</v>
      </c>
      <c r="H17" s="47">
        <v>6</v>
      </c>
      <c r="I17" s="47">
        <v>2</v>
      </c>
      <c r="J17" s="47">
        <v>0.44</v>
      </c>
      <c r="K17" s="47">
        <v>0.43940000000000001</v>
      </c>
      <c r="L17" s="47">
        <v>0.77</v>
      </c>
      <c r="M17" s="47">
        <v>0.29849999999999999</v>
      </c>
      <c r="N17" s="47">
        <v>40</v>
      </c>
      <c r="O17" s="47">
        <v>70</v>
      </c>
      <c r="P17" s="48">
        <v>110</v>
      </c>
    </row>
    <row r="18" spans="1:16">
      <c r="A18" s="41">
        <v>17</v>
      </c>
      <c r="B18" s="42">
        <v>40544</v>
      </c>
      <c r="C18" s="43">
        <v>1</v>
      </c>
      <c r="D18" s="43">
        <v>0</v>
      </c>
      <c r="E18" s="43">
        <v>1</v>
      </c>
      <c r="F18" s="43">
        <v>16</v>
      </c>
      <c r="G18" s="43" t="b">
        <v>0</v>
      </c>
      <c r="H18" s="43">
        <v>6</v>
      </c>
      <c r="I18" s="43">
        <v>2</v>
      </c>
      <c r="J18" s="43">
        <v>0.42</v>
      </c>
      <c r="K18" s="43">
        <v>0.42420000000000002</v>
      </c>
      <c r="L18" s="43">
        <v>0.82</v>
      </c>
      <c r="M18" s="43">
        <v>0.29849999999999999</v>
      </c>
      <c r="N18" s="43">
        <v>41</v>
      </c>
      <c r="O18" s="43">
        <v>52</v>
      </c>
      <c r="P18" s="44">
        <v>93</v>
      </c>
    </row>
    <row r="19" spans="1:16">
      <c r="A19" s="45">
        <v>18</v>
      </c>
      <c r="B19" s="46">
        <v>40544</v>
      </c>
      <c r="C19" s="47">
        <v>1</v>
      </c>
      <c r="D19" s="47">
        <v>0</v>
      </c>
      <c r="E19" s="47">
        <v>1</v>
      </c>
      <c r="F19" s="47">
        <v>17</v>
      </c>
      <c r="G19" s="47" t="b">
        <v>0</v>
      </c>
      <c r="H19" s="47">
        <v>6</v>
      </c>
      <c r="I19" s="47">
        <v>2</v>
      </c>
      <c r="J19" s="47">
        <v>0.44</v>
      </c>
      <c r="K19" s="47"/>
      <c r="L19" s="47">
        <v>0.82</v>
      </c>
      <c r="M19" s="47">
        <v>0.28360000000000002</v>
      </c>
      <c r="N19" s="47">
        <v>15</v>
      </c>
      <c r="O19" s="47">
        <v>52</v>
      </c>
      <c r="P19" s="48">
        <v>67</v>
      </c>
    </row>
    <row r="20" spans="1:16">
      <c r="A20" s="41">
        <v>19</v>
      </c>
      <c r="B20" s="42">
        <v>40544</v>
      </c>
      <c r="C20" s="43">
        <v>1</v>
      </c>
      <c r="D20" s="43">
        <v>0</v>
      </c>
      <c r="E20" s="43">
        <v>1</v>
      </c>
      <c r="F20" s="43">
        <v>18</v>
      </c>
      <c r="G20" s="43" t="b">
        <v>0</v>
      </c>
      <c r="H20" s="43">
        <v>6</v>
      </c>
      <c r="I20" s="43">
        <v>3</v>
      </c>
      <c r="J20" s="43">
        <v>0.42</v>
      </c>
      <c r="K20" s="43">
        <v>0.42420000000000002</v>
      </c>
      <c r="L20" s="43">
        <v>0.88</v>
      </c>
      <c r="M20" s="43">
        <v>0.25369999999999998</v>
      </c>
      <c r="N20" s="43">
        <v>9</v>
      </c>
      <c r="O20" s="43">
        <v>26</v>
      </c>
      <c r="P20" s="44">
        <v>35</v>
      </c>
    </row>
    <row r="21" spans="1:16">
      <c r="A21" s="45">
        <v>20</v>
      </c>
      <c r="B21" s="46">
        <v>40544</v>
      </c>
      <c r="C21" s="47">
        <v>1</v>
      </c>
      <c r="D21" s="47">
        <v>0</v>
      </c>
      <c r="E21" s="47">
        <v>1</v>
      </c>
      <c r="F21" s="47">
        <v>19</v>
      </c>
      <c r="G21" s="47" t="b">
        <v>0</v>
      </c>
      <c r="H21" s="47">
        <v>6</v>
      </c>
      <c r="I21" s="47">
        <v>3</v>
      </c>
      <c r="J21" s="47">
        <v>0.42</v>
      </c>
      <c r="K21" s="47">
        <v>0.42420000000000002</v>
      </c>
      <c r="L21" s="47">
        <v>0.88</v>
      </c>
      <c r="M21" s="47">
        <v>0.25369999999999998</v>
      </c>
      <c r="N21" s="47">
        <v>6</v>
      </c>
      <c r="O21" s="47">
        <v>31</v>
      </c>
      <c r="P21" s="48">
        <v>37</v>
      </c>
    </row>
    <row r="22" spans="1:16">
      <c r="A22" s="41">
        <v>21</v>
      </c>
      <c r="B22" s="42">
        <v>40544</v>
      </c>
      <c r="C22" s="43">
        <v>1</v>
      </c>
      <c r="D22" s="43">
        <v>0</v>
      </c>
      <c r="E22" s="43">
        <v>1</v>
      </c>
      <c r="F22" s="43">
        <v>20</v>
      </c>
      <c r="G22" s="43" t="b">
        <v>0</v>
      </c>
      <c r="H22" s="43">
        <v>6</v>
      </c>
      <c r="I22" s="43">
        <v>2</v>
      </c>
      <c r="J22" s="43">
        <v>0.4</v>
      </c>
      <c r="K22" s="43">
        <v>0.40910000000000002</v>
      </c>
      <c r="L22" s="43">
        <v>0.87</v>
      </c>
      <c r="M22" s="43">
        <v>0.25369999999999998</v>
      </c>
      <c r="N22" s="43">
        <v>11</v>
      </c>
      <c r="O22" s="43">
        <v>25</v>
      </c>
      <c r="P22" s="44">
        <v>36</v>
      </c>
    </row>
    <row r="23" spans="1:16">
      <c r="A23" s="45">
        <v>22</v>
      </c>
      <c r="B23" s="46">
        <v>40544</v>
      </c>
      <c r="C23" s="47">
        <v>1</v>
      </c>
      <c r="D23" s="47">
        <v>0</v>
      </c>
      <c r="E23" s="47">
        <v>1</v>
      </c>
      <c r="F23" s="47">
        <v>21</v>
      </c>
      <c r="G23" s="47" t="b">
        <v>0</v>
      </c>
      <c r="H23" s="47">
        <v>6</v>
      </c>
      <c r="I23" s="47">
        <v>2</v>
      </c>
      <c r="J23" s="47">
        <v>0.4</v>
      </c>
      <c r="K23" s="47">
        <v>0.40910000000000002</v>
      </c>
      <c r="L23" s="47">
        <v>0.87</v>
      </c>
      <c r="M23" s="47">
        <v>0.19400000000000001</v>
      </c>
      <c r="N23" s="47">
        <v>3</v>
      </c>
      <c r="O23" s="47">
        <v>31</v>
      </c>
      <c r="P23" s="48">
        <v>34</v>
      </c>
    </row>
    <row r="24" spans="1:16">
      <c r="A24" s="41">
        <v>23</v>
      </c>
      <c r="B24" s="42">
        <v>40544</v>
      </c>
      <c r="C24" s="43">
        <v>1</v>
      </c>
      <c r="D24" s="43">
        <v>0</v>
      </c>
      <c r="E24" s="43">
        <v>1</v>
      </c>
      <c r="F24" s="43">
        <v>22</v>
      </c>
      <c r="G24" s="43" t="b">
        <v>0</v>
      </c>
      <c r="H24" s="43">
        <v>6</v>
      </c>
      <c r="I24" s="43">
        <v>2</v>
      </c>
      <c r="J24" s="43">
        <v>0.4</v>
      </c>
      <c r="K24" s="43">
        <v>0.40910000000000002</v>
      </c>
      <c r="L24" s="43">
        <v>0.94</v>
      </c>
      <c r="M24" s="43">
        <v>0.22389999999999999</v>
      </c>
      <c r="N24" s="43">
        <v>11</v>
      </c>
      <c r="O24" s="43">
        <v>17</v>
      </c>
      <c r="P24" s="44">
        <v>28</v>
      </c>
    </row>
    <row r="25" spans="1:16">
      <c r="A25" s="45">
        <v>24</v>
      </c>
      <c r="B25" s="46">
        <v>40544</v>
      </c>
      <c r="C25" s="47">
        <v>1</v>
      </c>
      <c r="D25" s="47">
        <v>0</v>
      </c>
      <c r="E25" s="47">
        <v>1</v>
      </c>
      <c r="F25" s="47">
        <v>23</v>
      </c>
      <c r="G25" s="47" t="b">
        <v>0</v>
      </c>
      <c r="H25" s="47">
        <v>6</v>
      </c>
      <c r="I25" s="47">
        <v>2</v>
      </c>
      <c r="J25" s="47">
        <v>0.46</v>
      </c>
      <c r="K25" s="47"/>
      <c r="L25" s="47">
        <v>0.88</v>
      </c>
      <c r="M25" s="47">
        <v>0.29849999999999999</v>
      </c>
      <c r="N25" s="47">
        <v>15</v>
      </c>
      <c r="O25" s="47">
        <v>24</v>
      </c>
      <c r="P25" s="48">
        <v>39</v>
      </c>
    </row>
    <row r="26" spans="1:16">
      <c r="A26" s="41">
        <v>25</v>
      </c>
      <c r="B26" s="42">
        <v>40545</v>
      </c>
      <c r="C26" s="43">
        <v>1</v>
      </c>
      <c r="D26" s="43">
        <v>0</v>
      </c>
      <c r="E26" s="43">
        <v>1</v>
      </c>
      <c r="F26" s="43">
        <v>0</v>
      </c>
      <c r="G26" s="43" t="b">
        <v>0</v>
      </c>
      <c r="H26" s="43">
        <v>0</v>
      </c>
      <c r="I26" s="43">
        <v>2</v>
      </c>
      <c r="J26" s="43">
        <v>0.46</v>
      </c>
      <c r="K26" s="43">
        <v>0.45450000000000002</v>
      </c>
      <c r="L26" s="43">
        <v>0.88</v>
      </c>
      <c r="M26" s="43">
        <v>0.29849999999999999</v>
      </c>
      <c r="N26" s="43">
        <v>4</v>
      </c>
      <c r="O26" s="43">
        <v>13</v>
      </c>
      <c r="P26" s="44">
        <v>17</v>
      </c>
    </row>
    <row r="27" spans="1:16">
      <c r="A27" s="45">
        <v>26</v>
      </c>
      <c r="B27" s="46">
        <v>40545</v>
      </c>
      <c r="C27" s="47">
        <v>1</v>
      </c>
      <c r="D27" s="47">
        <v>0</v>
      </c>
      <c r="E27" s="47">
        <v>1</v>
      </c>
      <c r="F27" s="47">
        <v>1</v>
      </c>
      <c r="G27" s="47" t="b">
        <v>0</v>
      </c>
      <c r="H27" s="47">
        <v>0</v>
      </c>
      <c r="I27" s="47">
        <v>2</v>
      </c>
      <c r="J27" s="47">
        <v>0.44</v>
      </c>
      <c r="K27" s="47">
        <v>0.43940000000000001</v>
      </c>
      <c r="L27" s="47">
        <v>0.94</v>
      </c>
      <c r="M27" s="47">
        <v>0.25369999999999998</v>
      </c>
      <c r="N27" s="47">
        <v>1</v>
      </c>
      <c r="O27" s="47">
        <v>16</v>
      </c>
      <c r="P27" s="48">
        <v>17</v>
      </c>
    </row>
    <row r="28" spans="1:16">
      <c r="A28" s="41">
        <v>27</v>
      </c>
      <c r="B28" s="42">
        <v>40545</v>
      </c>
      <c r="C28" s="43">
        <v>1</v>
      </c>
      <c r="D28" s="43">
        <v>0</v>
      </c>
      <c r="E28" s="43">
        <v>1</v>
      </c>
      <c r="F28" s="43">
        <v>2</v>
      </c>
      <c r="G28" s="43" t="b">
        <v>0</v>
      </c>
      <c r="H28" s="43">
        <v>0</v>
      </c>
      <c r="I28" s="43">
        <v>2</v>
      </c>
      <c r="J28" s="43">
        <v>0.42</v>
      </c>
      <c r="K28" s="43">
        <v>0.42420000000000002</v>
      </c>
      <c r="L28" s="43">
        <v>1</v>
      </c>
      <c r="M28" s="43">
        <v>0.28360000000000002</v>
      </c>
      <c r="N28" s="43">
        <v>1</v>
      </c>
      <c r="O28" s="43">
        <v>8</v>
      </c>
      <c r="P28" s="44">
        <v>9</v>
      </c>
    </row>
    <row r="29" spans="1:16">
      <c r="A29" s="45">
        <v>28</v>
      </c>
      <c r="B29" s="46">
        <v>40545</v>
      </c>
      <c r="C29" s="47">
        <v>1</v>
      </c>
      <c r="D29" s="47">
        <v>0</v>
      </c>
      <c r="E29" s="47">
        <v>1</v>
      </c>
      <c r="F29" s="47">
        <v>3</v>
      </c>
      <c r="G29" s="47" t="b">
        <v>0</v>
      </c>
      <c r="H29" s="47">
        <v>0</v>
      </c>
      <c r="I29" s="47">
        <v>2</v>
      </c>
      <c r="J29" s="47">
        <v>0.46</v>
      </c>
      <c r="K29" s="47">
        <v>0.45450000000000002</v>
      </c>
      <c r="L29" s="47">
        <v>0.94</v>
      </c>
      <c r="M29" s="47">
        <v>0.19400000000000001</v>
      </c>
      <c r="N29" s="47">
        <v>2</v>
      </c>
      <c r="O29" s="47">
        <v>4</v>
      </c>
      <c r="P29" s="48">
        <v>6</v>
      </c>
    </row>
    <row r="30" spans="1:16">
      <c r="A30" s="41">
        <v>29</v>
      </c>
      <c r="B30" s="42">
        <v>40545</v>
      </c>
      <c r="C30" s="43">
        <v>1</v>
      </c>
      <c r="D30" s="43">
        <v>0</v>
      </c>
      <c r="E30" s="43">
        <v>1</v>
      </c>
      <c r="F30" s="43">
        <v>4</v>
      </c>
      <c r="G30" s="43" t="b">
        <v>0</v>
      </c>
      <c r="H30" s="43">
        <v>0</v>
      </c>
      <c r="I30" s="43">
        <v>2</v>
      </c>
      <c r="J30" s="43">
        <v>0.46</v>
      </c>
      <c r="K30" s="43"/>
      <c r="L30" s="43">
        <v>0.94</v>
      </c>
      <c r="M30" s="43">
        <v>0.19400000000000001</v>
      </c>
      <c r="N30" s="43">
        <v>2</v>
      </c>
      <c r="O30" s="43">
        <v>1</v>
      </c>
      <c r="P30" s="44">
        <v>3</v>
      </c>
    </row>
    <row r="31" spans="1:16">
      <c r="A31" s="45">
        <v>30</v>
      </c>
      <c r="B31" s="46">
        <v>40545</v>
      </c>
      <c r="C31" s="47">
        <v>1</v>
      </c>
      <c r="D31" s="47">
        <v>0</v>
      </c>
      <c r="E31" s="47">
        <v>1</v>
      </c>
      <c r="F31" s="47">
        <v>6</v>
      </c>
      <c r="G31" s="47" t="b">
        <v>0</v>
      </c>
      <c r="H31" s="47">
        <v>0</v>
      </c>
      <c r="I31" s="47">
        <v>3</v>
      </c>
      <c r="J31" s="47">
        <v>0.42</v>
      </c>
      <c r="K31" s="47">
        <v>0.42420000000000002</v>
      </c>
      <c r="L31" s="47">
        <v>0.77</v>
      </c>
      <c r="M31" s="47">
        <v>0.29849999999999999</v>
      </c>
      <c r="N31" s="47">
        <v>0</v>
      </c>
      <c r="O31" s="47">
        <v>2</v>
      </c>
      <c r="P31" s="48">
        <v>2</v>
      </c>
    </row>
    <row r="32" spans="1:16">
      <c r="A32" s="41">
        <v>31</v>
      </c>
      <c r="B32" s="42">
        <v>40545</v>
      </c>
      <c r="C32" s="43">
        <v>1</v>
      </c>
      <c r="D32" s="43">
        <v>0</v>
      </c>
      <c r="E32" s="43">
        <v>1</v>
      </c>
      <c r="F32" s="43">
        <v>7</v>
      </c>
      <c r="G32" s="43" t="b">
        <v>0</v>
      </c>
      <c r="H32" s="43">
        <v>0</v>
      </c>
      <c r="I32" s="43">
        <v>2</v>
      </c>
      <c r="J32" s="43">
        <v>0.4</v>
      </c>
      <c r="K32" s="43">
        <v>0.40910000000000002</v>
      </c>
      <c r="L32" s="43">
        <v>0.76</v>
      </c>
      <c r="M32" s="43">
        <v>0.19400000000000001</v>
      </c>
      <c r="N32" s="43">
        <v>0</v>
      </c>
      <c r="O32" s="43">
        <v>1</v>
      </c>
      <c r="P32" s="44">
        <v>1</v>
      </c>
    </row>
    <row r="33" spans="1:16">
      <c r="A33" s="45">
        <v>32</v>
      </c>
      <c r="B33" s="46">
        <v>40545</v>
      </c>
      <c r="C33" s="47">
        <v>1</v>
      </c>
      <c r="D33" s="47">
        <v>0</v>
      </c>
      <c r="E33" s="47">
        <v>1</v>
      </c>
      <c r="F33" s="47">
        <v>8</v>
      </c>
      <c r="G33" s="47" t="b">
        <v>0</v>
      </c>
      <c r="H33" s="47">
        <v>0</v>
      </c>
      <c r="I33" s="47">
        <v>3</v>
      </c>
      <c r="J33" s="47">
        <v>0.4</v>
      </c>
      <c r="K33" s="47">
        <v>0.40910000000000002</v>
      </c>
      <c r="L33" s="47">
        <v>0.71</v>
      </c>
      <c r="M33" s="47">
        <v>0.22389999999999999</v>
      </c>
      <c r="N33" s="47">
        <v>0</v>
      </c>
      <c r="O33" s="47">
        <v>8</v>
      </c>
      <c r="P33" s="48">
        <v>8</v>
      </c>
    </row>
    <row r="34" spans="1:16">
      <c r="A34" s="41">
        <v>33</v>
      </c>
      <c r="B34" s="42">
        <v>40545</v>
      </c>
      <c r="C34" s="43">
        <v>1</v>
      </c>
      <c r="D34" s="43">
        <v>0</v>
      </c>
      <c r="E34" s="43">
        <v>1</v>
      </c>
      <c r="F34" s="43">
        <v>9</v>
      </c>
      <c r="G34" s="43" t="b">
        <v>0</v>
      </c>
      <c r="H34" s="43">
        <v>0</v>
      </c>
      <c r="I34" s="43">
        <v>2</v>
      </c>
      <c r="J34" s="43">
        <v>0.38</v>
      </c>
      <c r="K34" s="43"/>
      <c r="L34" s="43">
        <v>0.76</v>
      </c>
      <c r="M34" s="43">
        <v>0.22389999999999999</v>
      </c>
      <c r="N34" s="43">
        <v>1</v>
      </c>
      <c r="O34" s="43">
        <v>19</v>
      </c>
      <c r="P34" s="44">
        <v>20</v>
      </c>
    </row>
    <row r="35" spans="1:16">
      <c r="A35" s="45">
        <v>34</v>
      </c>
      <c r="B35" s="46">
        <v>40545</v>
      </c>
      <c r="C35" s="47">
        <v>1</v>
      </c>
      <c r="D35" s="47">
        <v>0</v>
      </c>
      <c r="E35" s="47">
        <v>1</v>
      </c>
      <c r="F35" s="47">
        <v>10</v>
      </c>
      <c r="G35" s="47" t="b">
        <v>0</v>
      </c>
      <c r="H35" s="47">
        <v>0</v>
      </c>
      <c r="I35" s="47">
        <v>2</v>
      </c>
      <c r="J35" s="47">
        <v>0.36</v>
      </c>
      <c r="K35" s="47">
        <v>0.34849999999999998</v>
      </c>
      <c r="L35" s="47">
        <v>0.81</v>
      </c>
      <c r="M35" s="47">
        <v>0.22389999999999999</v>
      </c>
      <c r="N35" s="47">
        <v>7</v>
      </c>
      <c r="O35" s="47">
        <v>46</v>
      </c>
      <c r="P35" s="48">
        <v>53</v>
      </c>
    </row>
    <row r="36" spans="1:16">
      <c r="A36" s="41">
        <v>35</v>
      </c>
      <c r="B36" s="42">
        <v>40545</v>
      </c>
      <c r="C36" s="43">
        <v>1</v>
      </c>
      <c r="D36" s="43">
        <v>0</v>
      </c>
      <c r="E36" s="43">
        <v>1</v>
      </c>
      <c r="F36" s="43">
        <v>11</v>
      </c>
      <c r="G36" s="43" t="b">
        <v>0</v>
      </c>
      <c r="H36" s="43">
        <v>0</v>
      </c>
      <c r="I36" s="43">
        <v>2</v>
      </c>
      <c r="J36" s="43">
        <v>0.36</v>
      </c>
      <c r="K36" s="43">
        <v>0.33329999999999999</v>
      </c>
      <c r="L36" s="43">
        <v>0.71</v>
      </c>
      <c r="M36" s="43">
        <v>0.25369999999999998</v>
      </c>
      <c r="N36" s="43">
        <v>16</v>
      </c>
      <c r="O36" s="43">
        <v>54</v>
      </c>
      <c r="P36" s="44">
        <v>70</v>
      </c>
    </row>
    <row r="37" spans="1:16">
      <c r="A37" s="45">
        <v>36</v>
      </c>
      <c r="B37" s="46">
        <v>40545</v>
      </c>
      <c r="C37" s="47">
        <v>1</v>
      </c>
      <c r="D37" s="47">
        <v>0</v>
      </c>
      <c r="E37" s="47">
        <v>1</v>
      </c>
      <c r="F37" s="47">
        <v>12</v>
      </c>
      <c r="G37" s="47" t="b">
        <v>0</v>
      </c>
      <c r="H37" s="47">
        <v>0</v>
      </c>
      <c r="I37" s="47">
        <v>2</v>
      </c>
      <c r="J37" s="47">
        <v>0.36</v>
      </c>
      <c r="K37" s="47">
        <v>0.33329999999999999</v>
      </c>
      <c r="L37" s="47">
        <v>0.66</v>
      </c>
      <c r="M37" s="47">
        <v>0.29849999999999999</v>
      </c>
      <c r="N37" s="47">
        <v>20</v>
      </c>
      <c r="O37" s="47">
        <v>73</v>
      </c>
      <c r="P37" s="48">
        <v>93</v>
      </c>
    </row>
    <row r="38" spans="1:16">
      <c r="A38" s="41">
        <v>37</v>
      </c>
      <c r="B38" s="42">
        <v>40545</v>
      </c>
      <c r="C38" s="43">
        <v>1</v>
      </c>
      <c r="D38" s="43">
        <v>0</v>
      </c>
      <c r="E38" s="43">
        <v>1</v>
      </c>
      <c r="F38" s="43">
        <v>13</v>
      </c>
      <c r="G38" s="43" t="b">
        <v>0</v>
      </c>
      <c r="H38" s="43">
        <v>0</v>
      </c>
      <c r="I38" s="43">
        <v>2</v>
      </c>
      <c r="J38" s="43">
        <v>0.36</v>
      </c>
      <c r="K38" s="43">
        <v>0.34849999999999998</v>
      </c>
      <c r="L38" s="43">
        <v>0.66</v>
      </c>
      <c r="M38" s="43">
        <v>0.1343</v>
      </c>
      <c r="N38" s="43">
        <v>11</v>
      </c>
      <c r="O38" s="43">
        <v>64</v>
      </c>
      <c r="P38" s="44">
        <v>75</v>
      </c>
    </row>
    <row r="39" spans="1:16">
      <c r="A39" s="45">
        <v>38</v>
      </c>
      <c r="B39" s="46">
        <v>40545</v>
      </c>
      <c r="C39" s="47">
        <v>1</v>
      </c>
      <c r="D39" s="47">
        <v>0</v>
      </c>
      <c r="E39" s="47">
        <v>1</v>
      </c>
      <c r="F39" s="47">
        <v>14</v>
      </c>
      <c r="G39" s="47" t="b">
        <v>0</v>
      </c>
      <c r="H39" s="47">
        <v>0</v>
      </c>
      <c r="I39" s="47">
        <v>3</v>
      </c>
      <c r="J39" s="47">
        <v>0.36</v>
      </c>
      <c r="K39" s="47"/>
      <c r="L39" s="47">
        <v>0.76</v>
      </c>
      <c r="M39" s="47">
        <v>0.19400000000000001</v>
      </c>
      <c r="N39" s="47">
        <v>4</v>
      </c>
      <c r="O39" s="47">
        <v>55</v>
      </c>
      <c r="P39" s="48">
        <v>59</v>
      </c>
    </row>
    <row r="40" spans="1:16">
      <c r="A40" s="41">
        <v>39</v>
      </c>
      <c r="B40" s="42">
        <v>40545</v>
      </c>
      <c r="C40" s="43">
        <v>1</v>
      </c>
      <c r="D40" s="43">
        <v>0</v>
      </c>
      <c r="E40" s="43">
        <v>1</v>
      </c>
      <c r="F40" s="43">
        <v>15</v>
      </c>
      <c r="G40" s="43" t="b">
        <v>0</v>
      </c>
      <c r="H40" s="43">
        <v>0</v>
      </c>
      <c r="I40" s="43">
        <v>3</v>
      </c>
      <c r="J40" s="43">
        <v>0.34</v>
      </c>
      <c r="K40" s="43">
        <v>0.33329999999999999</v>
      </c>
      <c r="L40" s="43">
        <v>0.81</v>
      </c>
      <c r="M40" s="43">
        <v>0.16420000000000001</v>
      </c>
      <c r="N40" s="43">
        <v>19</v>
      </c>
      <c r="O40" s="43">
        <v>55</v>
      </c>
      <c r="P40" s="44">
        <v>74</v>
      </c>
    </row>
    <row r="41" spans="1:16">
      <c r="A41" s="45">
        <v>40</v>
      </c>
      <c r="B41" s="46">
        <v>40545</v>
      </c>
      <c r="C41" s="47">
        <v>1</v>
      </c>
      <c r="D41" s="47">
        <v>0</v>
      </c>
      <c r="E41" s="47">
        <v>1</v>
      </c>
      <c r="F41" s="47">
        <v>16</v>
      </c>
      <c r="G41" s="47" t="b">
        <v>0</v>
      </c>
      <c r="H41" s="47">
        <v>0</v>
      </c>
      <c r="I41" s="47">
        <v>3</v>
      </c>
      <c r="J41" s="47">
        <v>0.34</v>
      </c>
      <c r="K41" s="47">
        <v>0.33329999999999999</v>
      </c>
      <c r="L41" s="47">
        <v>0.71</v>
      </c>
      <c r="M41" s="47">
        <v>0.16420000000000001</v>
      </c>
      <c r="N41" s="47">
        <v>9</v>
      </c>
      <c r="O41" s="47">
        <v>67</v>
      </c>
      <c r="P41" s="48">
        <v>76</v>
      </c>
    </row>
    <row r="42" spans="1:16">
      <c r="A42" s="41">
        <v>41</v>
      </c>
      <c r="B42" s="42">
        <v>40545</v>
      </c>
      <c r="C42" s="43">
        <v>1</v>
      </c>
      <c r="D42" s="43">
        <v>0</v>
      </c>
      <c r="E42" s="43">
        <v>1</v>
      </c>
      <c r="F42" s="43">
        <v>17</v>
      </c>
      <c r="G42" s="43" t="b">
        <v>0</v>
      </c>
      <c r="H42" s="43">
        <v>0</v>
      </c>
      <c r="I42" s="43">
        <v>1</v>
      </c>
      <c r="J42" s="43">
        <v>0.34</v>
      </c>
      <c r="K42" s="43">
        <v>0.33329999999999999</v>
      </c>
      <c r="L42" s="43">
        <v>0.56999999999999995</v>
      </c>
      <c r="M42" s="43">
        <v>0.19400000000000001</v>
      </c>
      <c r="N42" s="43">
        <v>7</v>
      </c>
      <c r="O42" s="43">
        <v>58</v>
      </c>
      <c r="P42" s="44">
        <v>65</v>
      </c>
    </row>
    <row r="43" spans="1:16">
      <c r="A43" s="45">
        <v>42</v>
      </c>
      <c r="B43" s="46">
        <v>40545</v>
      </c>
      <c r="C43" s="47">
        <v>1</v>
      </c>
      <c r="D43" s="47">
        <v>0</v>
      </c>
      <c r="E43" s="47">
        <v>1</v>
      </c>
      <c r="F43" s="47">
        <v>18</v>
      </c>
      <c r="G43" s="47" t="b">
        <v>0</v>
      </c>
      <c r="H43" s="47">
        <v>0</v>
      </c>
      <c r="I43" s="47">
        <v>2</v>
      </c>
      <c r="J43" s="47">
        <v>0.36</v>
      </c>
      <c r="K43" s="47">
        <v>0.33329999999999999</v>
      </c>
      <c r="L43" s="47">
        <v>0.46</v>
      </c>
      <c r="M43" s="47">
        <v>0.32840000000000003</v>
      </c>
      <c r="N43" s="47">
        <v>10</v>
      </c>
      <c r="O43" s="47">
        <v>43</v>
      </c>
      <c r="P43" s="48">
        <v>53</v>
      </c>
    </row>
    <row r="44" spans="1:16">
      <c r="A44" s="41">
        <v>43</v>
      </c>
      <c r="B44" s="42">
        <v>40545</v>
      </c>
      <c r="C44" s="43">
        <v>1</v>
      </c>
      <c r="D44" s="43">
        <v>0</v>
      </c>
      <c r="E44" s="43">
        <v>1</v>
      </c>
      <c r="F44" s="43">
        <v>19</v>
      </c>
      <c r="G44" s="43" t="b">
        <v>0</v>
      </c>
      <c r="H44" s="43">
        <v>0</v>
      </c>
      <c r="I44" s="43">
        <v>1</v>
      </c>
      <c r="J44" s="43">
        <v>0.32</v>
      </c>
      <c r="K44" s="43">
        <v>0.28789999999999999</v>
      </c>
      <c r="L44" s="43">
        <v>0.42</v>
      </c>
      <c r="M44" s="43">
        <v>0.44779999999999998</v>
      </c>
      <c r="N44" s="43">
        <v>1</v>
      </c>
      <c r="O44" s="43">
        <v>29</v>
      </c>
      <c r="P44" s="44">
        <v>30</v>
      </c>
    </row>
    <row r="45" spans="1:16">
      <c r="A45" s="45">
        <v>44</v>
      </c>
      <c r="B45" s="46">
        <v>40545</v>
      </c>
      <c r="C45" s="47">
        <v>1</v>
      </c>
      <c r="D45" s="47">
        <v>0</v>
      </c>
      <c r="E45" s="47">
        <v>1</v>
      </c>
      <c r="F45" s="47">
        <v>20</v>
      </c>
      <c r="G45" s="47" t="b">
        <v>0</v>
      </c>
      <c r="H45" s="47">
        <v>0</v>
      </c>
      <c r="I45" s="47">
        <v>1</v>
      </c>
      <c r="J45" s="47">
        <v>0.3</v>
      </c>
      <c r="K45" s="47"/>
      <c r="L45" s="47">
        <v>0.39</v>
      </c>
      <c r="M45" s="47">
        <v>0.35820000000000002</v>
      </c>
      <c r="N45" s="47">
        <v>5</v>
      </c>
      <c r="O45" s="47">
        <v>17</v>
      </c>
      <c r="P45" s="48">
        <v>22</v>
      </c>
    </row>
    <row r="46" spans="1:16">
      <c r="A46" s="41">
        <v>45</v>
      </c>
      <c r="B46" s="42">
        <v>40545</v>
      </c>
      <c r="C46" s="43">
        <v>1</v>
      </c>
      <c r="D46" s="43">
        <v>0</v>
      </c>
      <c r="E46" s="43">
        <v>1</v>
      </c>
      <c r="F46" s="43">
        <v>21</v>
      </c>
      <c r="G46" s="43" t="b">
        <v>0</v>
      </c>
      <c r="H46" s="43">
        <v>0</v>
      </c>
      <c r="I46" s="43">
        <v>1</v>
      </c>
      <c r="J46" s="43">
        <v>0.26</v>
      </c>
      <c r="K46" s="43">
        <v>0.2273</v>
      </c>
      <c r="L46" s="43">
        <v>0.44</v>
      </c>
      <c r="M46" s="43">
        <v>0.32840000000000003</v>
      </c>
      <c r="N46" s="43">
        <v>11</v>
      </c>
      <c r="O46" s="43">
        <v>20</v>
      </c>
      <c r="P46" s="44">
        <v>31</v>
      </c>
    </row>
    <row r="47" spans="1:16">
      <c r="A47" s="45">
        <v>46</v>
      </c>
      <c r="B47" s="46">
        <v>40545</v>
      </c>
      <c r="C47" s="47">
        <v>1</v>
      </c>
      <c r="D47" s="47">
        <v>0</v>
      </c>
      <c r="E47" s="47">
        <v>1</v>
      </c>
      <c r="F47" s="47">
        <v>22</v>
      </c>
      <c r="G47" s="47" t="b">
        <v>0</v>
      </c>
      <c r="H47" s="47">
        <v>0</v>
      </c>
      <c r="I47" s="47">
        <v>1</v>
      </c>
      <c r="J47" s="47">
        <v>0.24</v>
      </c>
      <c r="K47" s="47">
        <v>0.21210000000000001</v>
      </c>
      <c r="L47" s="47">
        <v>0.44</v>
      </c>
      <c r="M47" s="47">
        <v>0.29849999999999999</v>
      </c>
      <c r="N47" s="47">
        <v>0</v>
      </c>
      <c r="O47" s="47">
        <v>9</v>
      </c>
      <c r="P47" s="48">
        <v>9</v>
      </c>
    </row>
    <row r="48" spans="1:16">
      <c r="A48" s="41">
        <v>47</v>
      </c>
      <c r="B48" s="42">
        <v>40545</v>
      </c>
      <c r="C48" s="43">
        <v>1</v>
      </c>
      <c r="D48" s="43">
        <v>0</v>
      </c>
      <c r="E48" s="43">
        <v>1</v>
      </c>
      <c r="F48" s="43">
        <v>23</v>
      </c>
      <c r="G48" s="43" t="b">
        <v>0</v>
      </c>
      <c r="H48" s="43">
        <v>0</v>
      </c>
      <c r="I48" s="43">
        <v>1</v>
      </c>
      <c r="J48" s="43">
        <v>0.22</v>
      </c>
      <c r="K48" s="43">
        <v>0.2273</v>
      </c>
      <c r="L48" s="43">
        <v>0.47</v>
      </c>
      <c r="M48" s="43">
        <v>0.16420000000000001</v>
      </c>
      <c r="N48" s="43">
        <v>0</v>
      </c>
      <c r="O48" s="43">
        <v>8</v>
      </c>
      <c r="P48" s="44">
        <v>8</v>
      </c>
    </row>
    <row r="49" spans="1:16">
      <c r="A49" s="45">
        <v>48</v>
      </c>
      <c r="B49" s="46">
        <v>40546</v>
      </c>
      <c r="C49" s="47">
        <v>1</v>
      </c>
      <c r="D49" s="47">
        <v>0</v>
      </c>
      <c r="E49" s="47">
        <v>1</v>
      </c>
      <c r="F49" s="47">
        <v>0</v>
      </c>
      <c r="G49" s="47" t="b">
        <v>0</v>
      </c>
      <c r="H49" s="47">
        <v>1</v>
      </c>
      <c r="I49" s="47">
        <v>1</v>
      </c>
      <c r="J49" s="47">
        <v>0.22</v>
      </c>
      <c r="K49" s="47">
        <v>0.19700000000000001</v>
      </c>
      <c r="L49" s="47">
        <v>0.44</v>
      </c>
      <c r="M49" s="47">
        <v>0.35820000000000002</v>
      </c>
      <c r="N49" s="47">
        <v>0</v>
      </c>
      <c r="O49" s="47">
        <v>5</v>
      </c>
      <c r="P49" s="48">
        <v>5</v>
      </c>
    </row>
    <row r="50" spans="1:16">
      <c r="A50" s="41">
        <v>49</v>
      </c>
      <c r="B50" s="42">
        <v>40546</v>
      </c>
      <c r="C50" s="43">
        <v>1</v>
      </c>
      <c r="D50" s="43">
        <v>0</v>
      </c>
      <c r="E50" s="43">
        <v>1</v>
      </c>
      <c r="F50" s="43">
        <v>1</v>
      </c>
      <c r="G50" s="43" t="b">
        <v>0</v>
      </c>
      <c r="H50" s="43">
        <v>1</v>
      </c>
      <c r="I50" s="43">
        <v>1</v>
      </c>
      <c r="J50" s="43">
        <v>0.2</v>
      </c>
      <c r="K50" s="43"/>
      <c r="L50" s="43">
        <v>0.44</v>
      </c>
      <c r="M50" s="43">
        <v>0.41789999999999999</v>
      </c>
      <c r="N50" s="43">
        <v>0</v>
      </c>
      <c r="O50" s="43">
        <v>2</v>
      </c>
      <c r="P50" s="44">
        <v>2</v>
      </c>
    </row>
    <row r="51" spans="1:16">
      <c r="A51" s="45">
        <v>50</v>
      </c>
      <c r="B51" s="46">
        <v>40546</v>
      </c>
      <c r="C51" s="47">
        <v>1</v>
      </c>
      <c r="D51" s="47">
        <v>0</v>
      </c>
      <c r="E51" s="47">
        <v>1</v>
      </c>
      <c r="F51" s="47">
        <v>4</v>
      </c>
      <c r="G51" s="47" t="b">
        <v>0</v>
      </c>
      <c r="H51" s="47">
        <v>1</v>
      </c>
      <c r="I51" s="47">
        <v>1</v>
      </c>
      <c r="J51" s="47">
        <v>0.16</v>
      </c>
      <c r="K51" s="47">
        <v>0.13639999999999999</v>
      </c>
      <c r="L51" s="47">
        <v>0.47</v>
      </c>
      <c r="M51" s="47">
        <v>0.3881</v>
      </c>
      <c r="N51" s="47">
        <v>0</v>
      </c>
      <c r="O51" s="47">
        <v>1</v>
      </c>
      <c r="P51" s="48">
        <v>1</v>
      </c>
    </row>
    <row r="52" spans="1:16">
      <c r="A52" s="41">
        <v>51</v>
      </c>
      <c r="B52" s="42">
        <v>40546</v>
      </c>
      <c r="C52" s="43">
        <v>1</v>
      </c>
      <c r="D52" s="43">
        <v>0</v>
      </c>
      <c r="E52" s="43">
        <v>1</v>
      </c>
      <c r="F52" s="43">
        <v>5</v>
      </c>
      <c r="G52" s="43" t="b">
        <v>0</v>
      </c>
      <c r="H52" s="43">
        <v>1</v>
      </c>
      <c r="I52" s="43">
        <v>1</v>
      </c>
      <c r="J52" s="43">
        <v>0.16</v>
      </c>
      <c r="K52" s="43">
        <v>0.13639999999999999</v>
      </c>
      <c r="L52" s="43">
        <v>0.47</v>
      </c>
      <c r="M52" s="43">
        <v>0.28360000000000002</v>
      </c>
      <c r="N52" s="43">
        <v>0</v>
      </c>
      <c r="O52" s="43">
        <v>3</v>
      </c>
      <c r="P52" s="44">
        <v>3</v>
      </c>
    </row>
    <row r="53" spans="1:16">
      <c r="A53" s="45">
        <v>52</v>
      </c>
      <c r="B53" s="46">
        <v>40546</v>
      </c>
      <c r="C53" s="47">
        <v>1</v>
      </c>
      <c r="D53" s="47">
        <v>0</v>
      </c>
      <c r="E53" s="47">
        <v>1</v>
      </c>
      <c r="F53" s="47">
        <v>6</v>
      </c>
      <c r="G53" s="47" t="b">
        <v>0</v>
      </c>
      <c r="H53" s="47">
        <v>1</v>
      </c>
      <c r="I53" s="47">
        <v>1</v>
      </c>
      <c r="J53" s="47">
        <v>0.14000000000000001</v>
      </c>
      <c r="K53" s="47">
        <v>0.1061</v>
      </c>
      <c r="L53" s="47">
        <v>0.5</v>
      </c>
      <c r="M53" s="47">
        <v>0.3881</v>
      </c>
      <c r="N53" s="47">
        <v>0</v>
      </c>
      <c r="O53" s="47">
        <v>30</v>
      </c>
      <c r="P53" s="48">
        <v>30</v>
      </c>
    </row>
    <row r="54" spans="1:16">
      <c r="A54" s="41">
        <v>53</v>
      </c>
      <c r="B54" s="42">
        <v>40546</v>
      </c>
      <c r="C54" s="43">
        <v>1</v>
      </c>
      <c r="D54" s="43">
        <v>0</v>
      </c>
      <c r="E54" s="43">
        <v>1</v>
      </c>
      <c r="F54" s="43">
        <v>7</v>
      </c>
      <c r="G54" s="43" t="b">
        <v>0</v>
      </c>
      <c r="H54" s="43">
        <v>1</v>
      </c>
      <c r="I54" s="43">
        <v>1</v>
      </c>
      <c r="J54" s="43">
        <v>0.14000000000000001</v>
      </c>
      <c r="K54" s="43">
        <v>0.13639999999999999</v>
      </c>
      <c r="L54" s="43">
        <v>0.5</v>
      </c>
      <c r="M54" s="43">
        <v>0.19400000000000001</v>
      </c>
      <c r="N54" s="43">
        <v>1</v>
      </c>
      <c r="O54" s="43">
        <v>63</v>
      </c>
      <c r="P54" s="44">
        <v>64</v>
      </c>
    </row>
    <row r="55" spans="1:16">
      <c r="A55" s="45">
        <v>54</v>
      </c>
      <c r="B55" s="46">
        <v>40546</v>
      </c>
      <c r="C55" s="47">
        <v>1</v>
      </c>
      <c r="D55" s="47">
        <v>0</v>
      </c>
      <c r="E55" s="47">
        <v>1</v>
      </c>
      <c r="F55" s="47">
        <v>8</v>
      </c>
      <c r="G55" s="47" t="b">
        <v>0</v>
      </c>
      <c r="H55" s="47">
        <v>1</v>
      </c>
      <c r="I55" s="47">
        <v>1</v>
      </c>
      <c r="J55" s="47">
        <v>0.14000000000000001</v>
      </c>
      <c r="K55" s="47">
        <v>0.1212</v>
      </c>
      <c r="L55" s="47">
        <v>0.5</v>
      </c>
      <c r="M55" s="47">
        <v>0.28360000000000002</v>
      </c>
      <c r="N55" s="47">
        <v>1</v>
      </c>
      <c r="O55" s="47">
        <v>153</v>
      </c>
      <c r="P55" s="48">
        <v>154</v>
      </c>
    </row>
    <row r="56" spans="1:16">
      <c r="A56" s="41">
        <v>55</v>
      </c>
      <c r="B56" s="42">
        <v>40546</v>
      </c>
      <c r="C56" s="43">
        <v>1</v>
      </c>
      <c r="D56" s="43">
        <v>0</v>
      </c>
      <c r="E56" s="43">
        <v>1</v>
      </c>
      <c r="F56" s="43">
        <v>9</v>
      </c>
      <c r="G56" s="43" t="b">
        <v>0</v>
      </c>
      <c r="H56" s="43">
        <v>1</v>
      </c>
      <c r="I56" s="43">
        <v>1</v>
      </c>
      <c r="J56" s="43">
        <v>0.16</v>
      </c>
      <c r="K56" s="43">
        <v>0.13639999999999999</v>
      </c>
      <c r="L56" s="43">
        <v>0.43</v>
      </c>
      <c r="M56" s="43">
        <v>0.3881</v>
      </c>
      <c r="N56" s="43">
        <v>7</v>
      </c>
      <c r="O56" s="43">
        <v>81</v>
      </c>
      <c r="P56" s="44">
        <v>88</v>
      </c>
    </row>
    <row r="57" spans="1:16">
      <c r="A57" s="45">
        <v>56</v>
      </c>
      <c r="B57" s="46">
        <v>40546</v>
      </c>
      <c r="C57" s="47">
        <v>1</v>
      </c>
      <c r="D57" s="47">
        <v>0</v>
      </c>
      <c r="E57" s="47">
        <v>1</v>
      </c>
      <c r="F57" s="47">
        <v>10</v>
      </c>
      <c r="G57" s="47" t="b">
        <v>0</v>
      </c>
      <c r="H57" s="47">
        <v>1</v>
      </c>
      <c r="I57" s="47">
        <v>1</v>
      </c>
      <c r="J57" s="47">
        <v>0.18</v>
      </c>
      <c r="K57" s="47">
        <v>0.16669999999999999</v>
      </c>
      <c r="L57" s="47">
        <v>0.43</v>
      </c>
      <c r="M57" s="47">
        <v>0.25369999999999998</v>
      </c>
      <c r="N57" s="47">
        <v>11</v>
      </c>
      <c r="O57" s="47">
        <v>33</v>
      </c>
      <c r="P57" s="48">
        <v>44</v>
      </c>
    </row>
    <row r="58" spans="1:16">
      <c r="A58" s="41">
        <v>57</v>
      </c>
      <c r="B58" s="42">
        <v>40546</v>
      </c>
      <c r="C58" s="43">
        <v>1</v>
      </c>
      <c r="D58" s="43">
        <v>0</v>
      </c>
      <c r="E58" s="43">
        <v>1</v>
      </c>
      <c r="F58" s="43">
        <v>11</v>
      </c>
      <c r="G58" s="43" t="b">
        <v>0</v>
      </c>
      <c r="H58" s="43">
        <v>1</v>
      </c>
      <c r="I58" s="43">
        <v>1</v>
      </c>
      <c r="J58" s="43">
        <v>0.2</v>
      </c>
      <c r="K58" s="43">
        <v>0.18179999999999999</v>
      </c>
      <c r="L58" s="43">
        <v>0.4</v>
      </c>
      <c r="M58" s="43">
        <v>0.32840000000000003</v>
      </c>
      <c r="N58" s="43">
        <v>10</v>
      </c>
      <c r="O58" s="43">
        <v>41</v>
      </c>
      <c r="P58" s="44">
        <v>51</v>
      </c>
    </row>
    <row r="59" spans="1:16">
      <c r="A59" s="45">
        <v>58</v>
      </c>
      <c r="B59" s="46">
        <v>40546</v>
      </c>
      <c r="C59" s="47">
        <v>1</v>
      </c>
      <c r="D59" s="47">
        <v>0</v>
      </c>
      <c r="E59" s="47">
        <v>1</v>
      </c>
      <c r="F59" s="47">
        <v>12</v>
      </c>
      <c r="G59" s="47" t="b">
        <v>0</v>
      </c>
      <c r="H59" s="47">
        <v>1</v>
      </c>
      <c r="I59" s="47">
        <v>1</v>
      </c>
      <c r="J59" s="47">
        <v>0.22</v>
      </c>
      <c r="K59" s="47">
        <v>0.21210000000000001</v>
      </c>
      <c r="L59" s="47">
        <v>0.35</v>
      </c>
      <c r="M59" s="47">
        <v>0.29849999999999999</v>
      </c>
      <c r="N59" s="47">
        <v>13</v>
      </c>
      <c r="O59" s="47">
        <v>48</v>
      </c>
      <c r="P59" s="48">
        <v>61</v>
      </c>
    </row>
    <row r="60" spans="1:16">
      <c r="A60" s="41">
        <v>59</v>
      </c>
      <c r="B60" s="42">
        <v>40546</v>
      </c>
      <c r="C60" s="43">
        <v>1</v>
      </c>
      <c r="D60" s="43">
        <v>0</v>
      </c>
      <c r="E60" s="43">
        <v>1</v>
      </c>
      <c r="F60" s="43">
        <v>13</v>
      </c>
      <c r="G60" s="43" t="b">
        <v>0</v>
      </c>
      <c r="H60" s="43">
        <v>1</v>
      </c>
      <c r="I60" s="43">
        <v>1</v>
      </c>
      <c r="J60" s="43">
        <v>0.24</v>
      </c>
      <c r="K60" s="43"/>
      <c r="L60" s="43">
        <v>0.35</v>
      </c>
      <c r="M60" s="43">
        <v>0.28360000000000002</v>
      </c>
      <c r="N60" s="43">
        <v>8</v>
      </c>
      <c r="O60" s="43">
        <v>53</v>
      </c>
      <c r="P60" s="44">
        <v>61</v>
      </c>
    </row>
    <row r="61" spans="1:16">
      <c r="A61" s="45">
        <v>60</v>
      </c>
      <c r="B61" s="46">
        <v>40546</v>
      </c>
      <c r="C61" s="47">
        <v>1</v>
      </c>
      <c r="D61" s="47">
        <v>0</v>
      </c>
      <c r="E61" s="47">
        <v>1</v>
      </c>
      <c r="F61" s="47">
        <v>14</v>
      </c>
      <c r="G61" s="47" t="b">
        <v>0</v>
      </c>
      <c r="H61" s="47">
        <v>1</v>
      </c>
      <c r="I61" s="47">
        <v>1</v>
      </c>
      <c r="J61" s="47">
        <v>0.26</v>
      </c>
      <c r="K61" s="47">
        <v>0.2424</v>
      </c>
      <c r="L61" s="47">
        <v>0.3</v>
      </c>
      <c r="M61" s="47">
        <v>0.28360000000000002</v>
      </c>
      <c r="N61" s="47">
        <v>11</v>
      </c>
      <c r="O61" s="47">
        <v>66</v>
      </c>
      <c r="P61" s="48">
        <v>77</v>
      </c>
    </row>
    <row r="62" spans="1:16">
      <c r="A62" s="41">
        <v>61</v>
      </c>
      <c r="B62" s="42">
        <v>40546</v>
      </c>
      <c r="C62" s="43">
        <v>1</v>
      </c>
      <c r="D62" s="43">
        <v>0</v>
      </c>
      <c r="E62" s="43">
        <v>1</v>
      </c>
      <c r="F62" s="43">
        <v>15</v>
      </c>
      <c r="G62" s="43" t="b">
        <v>0</v>
      </c>
      <c r="H62" s="43">
        <v>1</v>
      </c>
      <c r="I62" s="43">
        <v>1</v>
      </c>
      <c r="J62" s="43">
        <v>0.26</v>
      </c>
      <c r="K62" s="43">
        <v>0.2424</v>
      </c>
      <c r="L62" s="43">
        <v>0.3</v>
      </c>
      <c r="M62" s="43">
        <v>0.25369999999999998</v>
      </c>
      <c r="N62" s="43">
        <v>14</v>
      </c>
      <c r="O62" s="43">
        <v>58</v>
      </c>
      <c r="P62" s="44">
        <v>72</v>
      </c>
    </row>
    <row r="63" spans="1:16">
      <c r="A63" s="45">
        <v>62</v>
      </c>
      <c r="B63" s="46">
        <v>40546</v>
      </c>
      <c r="C63" s="47">
        <v>1</v>
      </c>
      <c r="D63" s="47">
        <v>0</v>
      </c>
      <c r="E63" s="47">
        <v>1</v>
      </c>
      <c r="F63" s="47">
        <v>16</v>
      </c>
      <c r="G63" s="47" t="b">
        <v>0</v>
      </c>
      <c r="H63" s="47">
        <v>1</v>
      </c>
      <c r="I63" s="47">
        <v>1</v>
      </c>
      <c r="J63" s="47">
        <v>0.26</v>
      </c>
      <c r="K63" s="47">
        <v>0.2424</v>
      </c>
      <c r="L63" s="47">
        <v>0.3</v>
      </c>
      <c r="M63" s="47">
        <v>0.25369999999999998</v>
      </c>
      <c r="N63" s="47">
        <v>9</v>
      </c>
      <c r="O63" s="47">
        <v>67</v>
      </c>
      <c r="P63" s="48">
        <v>76</v>
      </c>
    </row>
    <row r="64" spans="1:16">
      <c r="A64" s="41">
        <v>63</v>
      </c>
      <c r="B64" s="42">
        <v>40546</v>
      </c>
      <c r="C64" s="43">
        <v>1</v>
      </c>
      <c r="D64" s="43">
        <v>0</v>
      </c>
      <c r="E64" s="43">
        <v>1</v>
      </c>
      <c r="F64" s="43">
        <v>17</v>
      </c>
      <c r="G64" s="43" t="b">
        <v>0</v>
      </c>
      <c r="H64" s="43">
        <v>1</v>
      </c>
      <c r="I64" s="43">
        <v>1</v>
      </c>
      <c r="J64" s="43">
        <v>0.24</v>
      </c>
      <c r="K64" s="43">
        <v>0.2273</v>
      </c>
      <c r="L64" s="43">
        <v>0.3</v>
      </c>
      <c r="M64" s="43">
        <v>0.22389999999999999</v>
      </c>
      <c r="N64" s="43">
        <v>11</v>
      </c>
      <c r="O64" s="43">
        <v>146</v>
      </c>
      <c r="P64" s="44">
        <v>157</v>
      </c>
    </row>
    <row r="65" spans="1:16">
      <c r="A65" s="45">
        <v>64</v>
      </c>
      <c r="B65" s="46">
        <v>40546</v>
      </c>
      <c r="C65" s="47">
        <v>1</v>
      </c>
      <c r="D65" s="47">
        <v>0</v>
      </c>
      <c r="E65" s="47">
        <v>1</v>
      </c>
      <c r="F65" s="47">
        <v>18</v>
      </c>
      <c r="G65" s="47" t="b">
        <v>0</v>
      </c>
      <c r="H65" s="47">
        <v>1</v>
      </c>
      <c r="I65" s="47">
        <v>1</v>
      </c>
      <c r="J65" s="47">
        <v>0.24</v>
      </c>
      <c r="K65" s="47">
        <v>0.2576</v>
      </c>
      <c r="L65" s="47">
        <v>0.32</v>
      </c>
      <c r="M65" s="47">
        <v>0.1045</v>
      </c>
      <c r="N65" s="47">
        <v>9</v>
      </c>
      <c r="O65" s="47">
        <v>148</v>
      </c>
      <c r="P65" s="48">
        <v>157</v>
      </c>
    </row>
    <row r="66" spans="1:16">
      <c r="A66" s="41">
        <v>65</v>
      </c>
      <c r="B66" s="42">
        <v>40546</v>
      </c>
      <c r="C66" s="43">
        <v>1</v>
      </c>
      <c r="D66" s="43">
        <v>0</v>
      </c>
      <c r="E66" s="43">
        <v>1</v>
      </c>
      <c r="F66" s="43">
        <v>19</v>
      </c>
      <c r="G66" s="43" t="b">
        <v>0</v>
      </c>
      <c r="H66" s="43">
        <v>1</v>
      </c>
      <c r="I66" s="43">
        <v>1</v>
      </c>
      <c r="J66" s="43">
        <v>0.2</v>
      </c>
      <c r="K66" s="43">
        <v>0.2576</v>
      </c>
      <c r="L66" s="43">
        <v>0.47</v>
      </c>
      <c r="M66" s="43">
        <v>0</v>
      </c>
      <c r="N66" s="43">
        <v>8</v>
      </c>
      <c r="O66" s="43">
        <v>102</v>
      </c>
      <c r="P66" s="44">
        <v>110</v>
      </c>
    </row>
    <row r="67" spans="1:16">
      <c r="A67" s="45">
        <v>66</v>
      </c>
      <c r="B67" s="46">
        <v>40546</v>
      </c>
      <c r="C67" s="47">
        <v>1</v>
      </c>
      <c r="D67" s="47">
        <v>0</v>
      </c>
      <c r="E67" s="47">
        <v>1</v>
      </c>
      <c r="F67" s="47">
        <v>20</v>
      </c>
      <c r="G67" s="47" t="b">
        <v>0</v>
      </c>
      <c r="H67" s="47">
        <v>1</v>
      </c>
      <c r="I67" s="47">
        <v>1</v>
      </c>
      <c r="J67" s="47">
        <v>0.2</v>
      </c>
      <c r="K67" s="47"/>
      <c r="L67" s="47">
        <v>0.47</v>
      </c>
      <c r="M67" s="47">
        <v>0.1045</v>
      </c>
      <c r="N67" s="47">
        <v>3</v>
      </c>
      <c r="O67" s="47">
        <v>49</v>
      </c>
      <c r="P67" s="48">
        <v>52</v>
      </c>
    </row>
    <row r="68" spans="1:16">
      <c r="A68" s="41">
        <v>67</v>
      </c>
      <c r="B68" s="42">
        <v>40546</v>
      </c>
      <c r="C68" s="43">
        <v>1</v>
      </c>
      <c r="D68" s="43">
        <v>0</v>
      </c>
      <c r="E68" s="43">
        <v>1</v>
      </c>
      <c r="F68" s="43">
        <v>21</v>
      </c>
      <c r="G68" s="43" t="b">
        <v>0</v>
      </c>
      <c r="H68" s="43">
        <v>1</v>
      </c>
      <c r="I68" s="43">
        <v>1</v>
      </c>
      <c r="J68" s="43">
        <v>0.18</v>
      </c>
      <c r="K68" s="43">
        <v>0.19700000000000001</v>
      </c>
      <c r="L68" s="43">
        <v>0.64</v>
      </c>
      <c r="M68" s="43">
        <v>0.1343</v>
      </c>
      <c r="N68" s="43">
        <v>3</v>
      </c>
      <c r="O68" s="43">
        <v>49</v>
      </c>
      <c r="P68" s="44">
        <v>52</v>
      </c>
    </row>
    <row r="69" spans="1:16">
      <c r="A69" s="45">
        <v>68</v>
      </c>
      <c r="B69" s="46">
        <v>40546</v>
      </c>
      <c r="C69" s="47">
        <v>1</v>
      </c>
      <c r="D69" s="47">
        <v>0</v>
      </c>
      <c r="E69" s="47">
        <v>1</v>
      </c>
      <c r="F69" s="47">
        <v>22</v>
      </c>
      <c r="G69" s="47" t="b">
        <v>0</v>
      </c>
      <c r="H69" s="47">
        <v>1</v>
      </c>
      <c r="I69" s="47">
        <v>1</v>
      </c>
      <c r="J69" s="47">
        <v>0.14000000000000001</v>
      </c>
      <c r="K69" s="47">
        <v>0.1515</v>
      </c>
      <c r="L69" s="47">
        <v>0.69</v>
      </c>
      <c r="M69" s="47">
        <v>0.1343</v>
      </c>
      <c r="N69" s="47">
        <v>0</v>
      </c>
      <c r="O69" s="47">
        <v>20</v>
      </c>
      <c r="P69" s="48">
        <v>20</v>
      </c>
    </row>
    <row r="70" spans="1:16">
      <c r="A70" s="41">
        <v>69</v>
      </c>
      <c r="B70" s="42">
        <v>40546</v>
      </c>
      <c r="C70" s="43">
        <v>1</v>
      </c>
      <c r="D70" s="43">
        <v>0</v>
      </c>
      <c r="E70" s="43">
        <v>1</v>
      </c>
      <c r="F70" s="43">
        <v>23</v>
      </c>
      <c r="G70" s="43" t="b">
        <v>0</v>
      </c>
      <c r="H70" s="43">
        <v>1</v>
      </c>
      <c r="I70" s="43">
        <v>1</v>
      </c>
      <c r="J70" s="43">
        <v>0.18</v>
      </c>
      <c r="K70" s="43">
        <v>0.21210000000000001</v>
      </c>
      <c r="L70" s="43">
        <v>0.55000000000000004</v>
      </c>
      <c r="M70" s="43">
        <v>0.1045</v>
      </c>
      <c r="N70" s="43">
        <v>1</v>
      </c>
      <c r="O70" s="43">
        <v>11</v>
      </c>
      <c r="P70" s="44">
        <v>12</v>
      </c>
    </row>
    <row r="71" spans="1:16">
      <c r="A71" s="45">
        <v>70</v>
      </c>
      <c r="B71" s="46">
        <v>40547</v>
      </c>
      <c r="C71" s="47">
        <v>1</v>
      </c>
      <c r="D71" s="47">
        <v>0</v>
      </c>
      <c r="E71" s="47">
        <v>1</v>
      </c>
      <c r="F71" s="47">
        <v>0</v>
      </c>
      <c r="G71" s="47" t="b">
        <v>0</v>
      </c>
      <c r="H71" s="47">
        <v>2</v>
      </c>
      <c r="I71" s="47">
        <v>1</v>
      </c>
      <c r="J71" s="47">
        <v>0.16</v>
      </c>
      <c r="K71" s="47"/>
      <c r="L71" s="47">
        <v>0.55000000000000004</v>
      </c>
      <c r="M71" s="47">
        <v>0.1045</v>
      </c>
      <c r="N71" s="47">
        <v>0</v>
      </c>
      <c r="O71" s="47">
        <v>5</v>
      </c>
      <c r="P71" s="48">
        <v>5</v>
      </c>
    </row>
    <row r="72" spans="1:16">
      <c r="A72" s="41">
        <v>71</v>
      </c>
      <c r="B72" s="42">
        <v>40547</v>
      </c>
      <c r="C72" s="43">
        <v>1</v>
      </c>
      <c r="D72" s="43">
        <v>0</v>
      </c>
      <c r="E72" s="43">
        <v>1</v>
      </c>
      <c r="F72" s="43">
        <v>1</v>
      </c>
      <c r="G72" s="43" t="b">
        <v>0</v>
      </c>
      <c r="H72" s="43">
        <v>2</v>
      </c>
      <c r="I72" s="43">
        <v>1</v>
      </c>
      <c r="J72" s="43">
        <v>0.16</v>
      </c>
      <c r="K72" s="43">
        <v>0.18179999999999999</v>
      </c>
      <c r="L72" s="43">
        <v>0.59</v>
      </c>
      <c r="M72" s="43">
        <v>0.1045</v>
      </c>
      <c r="N72" s="43">
        <v>0</v>
      </c>
      <c r="O72" s="43">
        <v>2</v>
      </c>
      <c r="P72" s="44">
        <v>2</v>
      </c>
    </row>
    <row r="73" spans="1:16">
      <c r="A73" s="45">
        <v>72</v>
      </c>
      <c r="B73" s="46">
        <v>40547</v>
      </c>
      <c r="C73" s="47">
        <v>1</v>
      </c>
      <c r="D73" s="47">
        <v>0</v>
      </c>
      <c r="E73" s="47">
        <v>1</v>
      </c>
      <c r="F73" s="47">
        <v>2</v>
      </c>
      <c r="G73" s="47" t="b">
        <v>0</v>
      </c>
      <c r="H73" s="47">
        <v>2</v>
      </c>
      <c r="I73" s="47">
        <v>1</v>
      </c>
      <c r="J73" s="47">
        <v>0.14000000000000001</v>
      </c>
      <c r="K73" s="47">
        <v>0.1515</v>
      </c>
      <c r="L73" s="47">
        <v>0.63</v>
      </c>
      <c r="M73" s="47">
        <v>0.1343</v>
      </c>
      <c r="N73" s="47">
        <v>0</v>
      </c>
      <c r="O73" s="47">
        <v>1</v>
      </c>
      <c r="P73" s="48">
        <v>1</v>
      </c>
    </row>
    <row r="74" spans="1:16">
      <c r="A74" s="41">
        <v>73</v>
      </c>
      <c r="B74" s="42">
        <v>40547</v>
      </c>
      <c r="C74" s="43">
        <v>1</v>
      </c>
      <c r="D74" s="43">
        <v>0</v>
      </c>
      <c r="E74" s="43">
        <v>1</v>
      </c>
      <c r="F74" s="43">
        <v>4</v>
      </c>
      <c r="G74" s="43" t="b">
        <v>0</v>
      </c>
      <c r="H74" s="43">
        <v>2</v>
      </c>
      <c r="I74" s="43">
        <v>1</v>
      </c>
      <c r="J74" s="43">
        <v>0.14000000000000001</v>
      </c>
      <c r="K74" s="43">
        <v>0.18179999999999999</v>
      </c>
      <c r="L74" s="43">
        <v>0.63</v>
      </c>
      <c r="M74" s="43">
        <v>8.9599999999999999E-2</v>
      </c>
      <c r="N74" s="43">
        <v>0</v>
      </c>
      <c r="O74" s="43">
        <v>2</v>
      </c>
      <c r="P74" s="44">
        <v>2</v>
      </c>
    </row>
    <row r="75" spans="1:16">
      <c r="A75" s="45">
        <v>74</v>
      </c>
      <c r="B75" s="46">
        <v>40547</v>
      </c>
      <c r="C75" s="47">
        <v>1</v>
      </c>
      <c r="D75" s="47">
        <v>0</v>
      </c>
      <c r="E75" s="47">
        <v>1</v>
      </c>
      <c r="F75" s="47">
        <v>5</v>
      </c>
      <c r="G75" s="47" t="b">
        <v>0</v>
      </c>
      <c r="H75" s="47">
        <v>2</v>
      </c>
      <c r="I75" s="47">
        <v>1</v>
      </c>
      <c r="J75" s="47">
        <v>0.12</v>
      </c>
      <c r="K75" s="47">
        <v>0.1515</v>
      </c>
      <c r="L75" s="47">
        <v>0.68</v>
      </c>
      <c r="M75" s="47">
        <v>0.1045</v>
      </c>
      <c r="N75" s="47">
        <v>0</v>
      </c>
      <c r="O75" s="47">
        <v>4</v>
      </c>
      <c r="P75" s="48">
        <v>4</v>
      </c>
    </row>
    <row r="76" spans="1:16">
      <c r="A76" s="41">
        <v>75</v>
      </c>
      <c r="B76" s="42">
        <v>40547</v>
      </c>
      <c r="C76" s="43">
        <v>1</v>
      </c>
      <c r="D76" s="43">
        <v>0</v>
      </c>
      <c r="E76" s="43">
        <v>1</v>
      </c>
      <c r="F76" s="43">
        <v>6</v>
      </c>
      <c r="G76" s="43" t="b">
        <v>0</v>
      </c>
      <c r="H76" s="43">
        <v>2</v>
      </c>
      <c r="I76" s="43">
        <v>1</v>
      </c>
      <c r="J76" s="43">
        <v>0.12</v>
      </c>
      <c r="K76" s="43">
        <v>0.1515</v>
      </c>
      <c r="L76" s="43">
        <v>0.74</v>
      </c>
      <c r="M76" s="43">
        <v>0.1045</v>
      </c>
      <c r="N76" s="43">
        <v>0</v>
      </c>
      <c r="O76" s="43">
        <v>36</v>
      </c>
      <c r="P76" s="44">
        <v>36</v>
      </c>
    </row>
    <row r="77" spans="1:16">
      <c r="A77" s="45">
        <v>76</v>
      </c>
      <c r="B77" s="46">
        <v>40547</v>
      </c>
      <c r="C77" s="47">
        <v>1</v>
      </c>
      <c r="D77" s="47">
        <v>0</v>
      </c>
      <c r="E77" s="47">
        <v>1</v>
      </c>
      <c r="F77" s="47">
        <v>7</v>
      </c>
      <c r="G77" s="47" t="b">
        <v>0</v>
      </c>
      <c r="H77" s="47">
        <v>2</v>
      </c>
      <c r="I77" s="47">
        <v>1</v>
      </c>
      <c r="J77" s="47">
        <v>0.12</v>
      </c>
      <c r="K77" s="47">
        <v>0.1515</v>
      </c>
      <c r="L77" s="47">
        <v>0.74</v>
      </c>
      <c r="M77" s="47">
        <v>0.1343</v>
      </c>
      <c r="N77" s="47">
        <v>2</v>
      </c>
      <c r="O77" s="47">
        <v>92</v>
      </c>
      <c r="P77" s="48">
        <v>94</v>
      </c>
    </row>
    <row r="78" spans="1:16">
      <c r="A78" s="41">
        <v>77</v>
      </c>
      <c r="B78" s="42">
        <v>40547</v>
      </c>
      <c r="C78" s="43">
        <v>1</v>
      </c>
      <c r="D78" s="43">
        <v>0</v>
      </c>
      <c r="E78" s="43">
        <v>1</v>
      </c>
      <c r="F78" s="43">
        <v>8</v>
      </c>
      <c r="G78" s="43" t="b">
        <v>0</v>
      </c>
      <c r="H78" s="43">
        <v>2</v>
      </c>
      <c r="I78" s="43">
        <v>1</v>
      </c>
      <c r="J78" s="43">
        <v>0.14000000000000001</v>
      </c>
      <c r="K78" s="43">
        <v>0.1515</v>
      </c>
      <c r="L78" s="43">
        <v>0.69</v>
      </c>
      <c r="M78" s="43">
        <v>0.16420000000000001</v>
      </c>
      <c r="N78" s="43">
        <v>2</v>
      </c>
      <c r="O78" s="43">
        <v>177</v>
      </c>
      <c r="P78" s="44">
        <v>179</v>
      </c>
    </row>
    <row r="79" spans="1:16">
      <c r="A79" s="45">
        <v>78</v>
      </c>
      <c r="B79" s="46">
        <v>40547</v>
      </c>
      <c r="C79" s="47">
        <v>1</v>
      </c>
      <c r="D79" s="47">
        <v>0</v>
      </c>
      <c r="E79" s="47">
        <v>1</v>
      </c>
      <c r="F79" s="47">
        <v>9</v>
      </c>
      <c r="G79" s="47" t="b">
        <v>0</v>
      </c>
      <c r="H79" s="47">
        <v>2</v>
      </c>
      <c r="I79" s="47">
        <v>1</v>
      </c>
      <c r="J79" s="47">
        <v>0.16</v>
      </c>
      <c r="K79" s="47">
        <v>0.1515</v>
      </c>
      <c r="L79" s="47">
        <v>0.64</v>
      </c>
      <c r="M79" s="47">
        <v>0.22389999999999999</v>
      </c>
      <c r="N79" s="47">
        <v>2</v>
      </c>
      <c r="O79" s="47">
        <v>98</v>
      </c>
      <c r="P79" s="48">
        <v>100</v>
      </c>
    </row>
    <row r="80" spans="1:16">
      <c r="A80" s="41">
        <v>79</v>
      </c>
      <c r="B80" s="42">
        <v>40547</v>
      </c>
      <c r="C80" s="43">
        <v>1</v>
      </c>
      <c r="D80" s="43">
        <v>0</v>
      </c>
      <c r="E80" s="43">
        <v>1</v>
      </c>
      <c r="F80" s="43">
        <v>10</v>
      </c>
      <c r="G80" s="43" t="b">
        <v>0</v>
      </c>
      <c r="H80" s="43">
        <v>2</v>
      </c>
      <c r="I80" s="43">
        <v>2</v>
      </c>
      <c r="J80" s="43">
        <v>0.16</v>
      </c>
      <c r="K80" s="43">
        <v>0.13639999999999999</v>
      </c>
      <c r="L80" s="43">
        <v>0.69</v>
      </c>
      <c r="M80" s="43">
        <v>0.32840000000000003</v>
      </c>
      <c r="N80" s="43">
        <v>5</v>
      </c>
      <c r="O80" s="43">
        <v>37</v>
      </c>
      <c r="P80" s="44">
        <v>42</v>
      </c>
    </row>
    <row r="81" spans="1:16">
      <c r="A81" s="45">
        <v>80</v>
      </c>
      <c r="B81" s="46">
        <v>40547</v>
      </c>
      <c r="C81" s="47">
        <v>1</v>
      </c>
      <c r="D81" s="47">
        <v>0</v>
      </c>
      <c r="E81" s="47">
        <v>1</v>
      </c>
      <c r="F81" s="47">
        <v>11</v>
      </c>
      <c r="G81" s="47" t="b">
        <v>0</v>
      </c>
      <c r="H81" s="47">
        <v>2</v>
      </c>
      <c r="I81" s="47">
        <v>1</v>
      </c>
      <c r="J81" s="47">
        <v>0.22</v>
      </c>
      <c r="K81" s="47">
        <v>0.21210000000000001</v>
      </c>
      <c r="L81" s="47">
        <v>0.51</v>
      </c>
      <c r="M81" s="47">
        <v>0.29849999999999999</v>
      </c>
      <c r="N81" s="47">
        <v>7</v>
      </c>
      <c r="O81" s="47">
        <v>50</v>
      </c>
      <c r="P81" s="48">
        <v>57</v>
      </c>
    </row>
    <row r="82" spans="1:16">
      <c r="A82" s="41">
        <v>81</v>
      </c>
      <c r="B82" s="42">
        <v>40547</v>
      </c>
      <c r="C82" s="43">
        <v>1</v>
      </c>
      <c r="D82" s="43">
        <v>0</v>
      </c>
      <c r="E82" s="43">
        <v>1</v>
      </c>
      <c r="F82" s="43">
        <v>12</v>
      </c>
      <c r="G82" s="43" t="b">
        <v>0</v>
      </c>
      <c r="H82" s="43">
        <v>2</v>
      </c>
      <c r="I82" s="43">
        <v>1</v>
      </c>
      <c r="J82" s="43">
        <v>0.22</v>
      </c>
      <c r="K82" s="43">
        <v>0.2273</v>
      </c>
      <c r="L82" s="43">
        <v>0.51</v>
      </c>
      <c r="M82" s="43">
        <v>0.16420000000000001</v>
      </c>
      <c r="N82" s="43">
        <v>12</v>
      </c>
      <c r="O82" s="43">
        <v>66</v>
      </c>
      <c r="P82" s="44">
        <v>78</v>
      </c>
    </row>
    <row r="83" spans="1:16">
      <c r="A83" s="45">
        <v>82</v>
      </c>
      <c r="B83" s="46">
        <v>40547</v>
      </c>
      <c r="C83" s="47">
        <v>1</v>
      </c>
      <c r="D83" s="47">
        <v>0</v>
      </c>
      <c r="E83" s="47">
        <v>1</v>
      </c>
      <c r="F83" s="47">
        <v>13</v>
      </c>
      <c r="G83" s="47" t="b">
        <v>0</v>
      </c>
      <c r="H83" s="47">
        <v>2</v>
      </c>
      <c r="I83" s="47">
        <v>1</v>
      </c>
      <c r="J83" s="47">
        <v>0.24</v>
      </c>
      <c r="K83" s="47">
        <v>0.2273</v>
      </c>
      <c r="L83" s="47">
        <v>0.56000000000000005</v>
      </c>
      <c r="M83" s="47">
        <v>0.19400000000000001</v>
      </c>
      <c r="N83" s="47">
        <v>18</v>
      </c>
      <c r="O83" s="47">
        <v>79</v>
      </c>
      <c r="P83" s="48">
        <v>97</v>
      </c>
    </row>
    <row r="84" spans="1:16">
      <c r="A84" s="41">
        <v>83</v>
      </c>
      <c r="B84" s="42">
        <v>40547</v>
      </c>
      <c r="C84" s="43">
        <v>1</v>
      </c>
      <c r="D84" s="43">
        <v>0</v>
      </c>
      <c r="E84" s="43">
        <v>1</v>
      </c>
      <c r="F84" s="43">
        <v>14</v>
      </c>
      <c r="G84" s="43" t="b">
        <v>0</v>
      </c>
      <c r="H84" s="43">
        <v>2</v>
      </c>
      <c r="I84" s="43">
        <v>1</v>
      </c>
      <c r="J84" s="43">
        <v>0.26</v>
      </c>
      <c r="K84" s="43">
        <v>0.2576</v>
      </c>
      <c r="L84" s="43">
        <v>0.52</v>
      </c>
      <c r="M84" s="43">
        <v>0.22389999999999999</v>
      </c>
      <c r="N84" s="43">
        <v>9</v>
      </c>
      <c r="O84" s="43">
        <v>54</v>
      </c>
      <c r="P84" s="44">
        <v>63</v>
      </c>
    </row>
    <row r="85" spans="1:16">
      <c r="A85" s="45">
        <v>84</v>
      </c>
      <c r="B85" s="46">
        <v>40547</v>
      </c>
      <c r="C85" s="47">
        <v>1</v>
      </c>
      <c r="D85" s="47">
        <v>0</v>
      </c>
      <c r="E85" s="47">
        <v>1</v>
      </c>
      <c r="F85" s="47">
        <v>15</v>
      </c>
      <c r="G85" s="47" t="b">
        <v>0</v>
      </c>
      <c r="H85" s="47">
        <v>2</v>
      </c>
      <c r="I85" s="47">
        <v>1</v>
      </c>
      <c r="J85" s="47">
        <v>0.28000000000000003</v>
      </c>
      <c r="K85" s="47">
        <v>0.2727</v>
      </c>
      <c r="L85" s="47">
        <v>0.52</v>
      </c>
      <c r="M85" s="47">
        <v>0.25369999999999998</v>
      </c>
      <c r="N85" s="47">
        <v>17</v>
      </c>
      <c r="O85" s="47">
        <v>48</v>
      </c>
      <c r="P85" s="48">
        <v>65</v>
      </c>
    </row>
    <row r="86" spans="1:16">
      <c r="A86" s="41">
        <v>85</v>
      </c>
      <c r="B86" s="42">
        <v>40547</v>
      </c>
      <c r="C86" s="43">
        <v>1</v>
      </c>
      <c r="D86" s="43">
        <v>0</v>
      </c>
      <c r="E86" s="43">
        <v>1</v>
      </c>
      <c r="F86" s="43">
        <v>16</v>
      </c>
      <c r="G86" s="43" t="b">
        <v>0</v>
      </c>
      <c r="H86" s="43">
        <v>2</v>
      </c>
      <c r="I86" s="43">
        <v>1</v>
      </c>
      <c r="J86" s="43">
        <v>0.3</v>
      </c>
      <c r="K86" s="43">
        <v>0.28789999999999999</v>
      </c>
      <c r="L86" s="43">
        <v>0.49</v>
      </c>
      <c r="M86" s="43">
        <v>0.25369999999999998</v>
      </c>
      <c r="N86" s="43">
        <v>15</v>
      </c>
      <c r="O86" s="43">
        <v>68</v>
      </c>
      <c r="P86" s="44">
        <v>83</v>
      </c>
    </row>
    <row r="87" spans="1:16">
      <c r="A87" s="45">
        <v>86</v>
      </c>
      <c r="B87" s="46">
        <v>40547</v>
      </c>
      <c r="C87" s="47">
        <v>1</v>
      </c>
      <c r="D87" s="47">
        <v>0</v>
      </c>
      <c r="E87" s="47">
        <v>1</v>
      </c>
      <c r="F87" s="47">
        <v>17</v>
      </c>
      <c r="G87" s="47" t="b">
        <v>0</v>
      </c>
      <c r="H87" s="47">
        <v>2</v>
      </c>
      <c r="I87" s="47">
        <v>1</v>
      </c>
      <c r="J87" s="47">
        <v>0.28000000000000003</v>
      </c>
      <c r="K87" s="47">
        <v>0.2727</v>
      </c>
      <c r="L87" s="47">
        <v>0.48</v>
      </c>
      <c r="M87" s="47">
        <v>0.22389999999999999</v>
      </c>
      <c r="N87" s="47">
        <v>10</v>
      </c>
      <c r="O87" s="47">
        <v>202</v>
      </c>
      <c r="P87" s="48">
        <v>212</v>
      </c>
    </row>
    <row r="88" spans="1:16">
      <c r="A88" s="41">
        <v>87</v>
      </c>
      <c r="B88" s="42">
        <v>40547</v>
      </c>
      <c r="C88" s="43">
        <v>1</v>
      </c>
      <c r="D88" s="43">
        <v>0</v>
      </c>
      <c r="E88" s="43">
        <v>1</v>
      </c>
      <c r="F88" s="43">
        <v>18</v>
      </c>
      <c r="G88" s="43" t="b">
        <v>0</v>
      </c>
      <c r="H88" s="43">
        <v>2</v>
      </c>
      <c r="I88" s="43">
        <v>1</v>
      </c>
      <c r="J88" s="43">
        <v>0.26</v>
      </c>
      <c r="K88" s="43">
        <v>0.2576</v>
      </c>
      <c r="L88" s="43">
        <v>0.48</v>
      </c>
      <c r="M88" s="43">
        <v>0.19400000000000001</v>
      </c>
      <c r="N88" s="43">
        <v>3</v>
      </c>
      <c r="O88" s="43">
        <v>179</v>
      </c>
      <c r="P88" s="44">
        <v>182</v>
      </c>
    </row>
    <row r="89" spans="1:16">
      <c r="A89" s="45">
        <v>88</v>
      </c>
      <c r="B89" s="46">
        <v>40547</v>
      </c>
      <c r="C89" s="47">
        <v>1</v>
      </c>
      <c r="D89" s="47">
        <v>0</v>
      </c>
      <c r="E89" s="47">
        <v>1</v>
      </c>
      <c r="F89" s="47">
        <v>19</v>
      </c>
      <c r="G89" s="47" t="b">
        <v>0</v>
      </c>
      <c r="H89" s="47">
        <v>2</v>
      </c>
      <c r="I89" s="47">
        <v>1</v>
      </c>
      <c r="J89" s="47">
        <v>0.24</v>
      </c>
      <c r="K89" s="47">
        <v>0.2576</v>
      </c>
      <c r="L89" s="47">
        <v>0.48</v>
      </c>
      <c r="M89" s="47">
        <v>0.1045</v>
      </c>
      <c r="N89" s="47">
        <v>2</v>
      </c>
      <c r="O89" s="47">
        <v>110</v>
      </c>
      <c r="P89" s="48">
        <v>112</v>
      </c>
    </row>
    <row r="90" spans="1:16">
      <c r="A90" s="41">
        <v>89</v>
      </c>
      <c r="B90" s="42">
        <v>40547</v>
      </c>
      <c r="C90" s="43">
        <v>1</v>
      </c>
      <c r="D90" s="43">
        <v>0</v>
      </c>
      <c r="E90" s="43">
        <v>1</v>
      </c>
      <c r="F90" s="43">
        <v>20</v>
      </c>
      <c r="G90" s="43" t="b">
        <v>0</v>
      </c>
      <c r="H90" s="43">
        <v>2</v>
      </c>
      <c r="I90" s="43">
        <v>1</v>
      </c>
      <c r="J90" s="43">
        <v>0.24</v>
      </c>
      <c r="K90" s="43">
        <v>0.2576</v>
      </c>
      <c r="L90" s="43">
        <v>0.48</v>
      </c>
      <c r="M90" s="43">
        <v>0.1045</v>
      </c>
      <c r="N90" s="43">
        <v>1</v>
      </c>
      <c r="O90" s="43">
        <v>53</v>
      </c>
      <c r="P90" s="44">
        <v>54</v>
      </c>
    </row>
    <row r="91" spans="1:16">
      <c r="A91" s="45">
        <v>90</v>
      </c>
      <c r="B91" s="46">
        <v>40547</v>
      </c>
      <c r="C91" s="47">
        <v>1</v>
      </c>
      <c r="D91" s="47">
        <v>0</v>
      </c>
      <c r="E91" s="47">
        <v>1</v>
      </c>
      <c r="F91" s="47">
        <v>21</v>
      </c>
      <c r="G91" s="47" t="b">
        <v>0</v>
      </c>
      <c r="H91" s="47">
        <v>2</v>
      </c>
      <c r="I91" s="47">
        <v>1</v>
      </c>
      <c r="J91" s="47">
        <v>0.22</v>
      </c>
      <c r="K91" s="47">
        <v>0.2727</v>
      </c>
      <c r="L91" s="47">
        <v>0.64</v>
      </c>
      <c r="M91" s="47">
        <v>0</v>
      </c>
      <c r="N91" s="47">
        <v>0</v>
      </c>
      <c r="O91" s="47">
        <v>48</v>
      </c>
      <c r="P91" s="48">
        <v>48</v>
      </c>
    </row>
    <row r="92" spans="1:16">
      <c r="A92" s="41">
        <v>91</v>
      </c>
      <c r="B92" s="42">
        <v>40547</v>
      </c>
      <c r="C92" s="43">
        <v>1</v>
      </c>
      <c r="D92" s="43">
        <v>0</v>
      </c>
      <c r="E92" s="43">
        <v>1</v>
      </c>
      <c r="F92" s="43">
        <v>22</v>
      </c>
      <c r="G92" s="43" t="b">
        <v>0</v>
      </c>
      <c r="H92" s="43">
        <v>2</v>
      </c>
      <c r="I92" s="43">
        <v>1</v>
      </c>
      <c r="J92" s="43">
        <v>0.22</v>
      </c>
      <c r="K92" s="43">
        <v>0.2576</v>
      </c>
      <c r="L92" s="43">
        <v>0.64</v>
      </c>
      <c r="M92" s="43">
        <v>8.9599999999999999E-2</v>
      </c>
      <c r="N92" s="43">
        <v>1</v>
      </c>
      <c r="O92" s="43">
        <v>34</v>
      </c>
      <c r="P92" s="44">
        <v>35</v>
      </c>
    </row>
    <row r="93" spans="1:16">
      <c r="A93" s="45">
        <v>92</v>
      </c>
      <c r="B93" s="46">
        <v>40547</v>
      </c>
      <c r="C93" s="47">
        <v>1</v>
      </c>
      <c r="D93" s="47">
        <v>0</v>
      </c>
      <c r="E93" s="47">
        <v>1</v>
      </c>
      <c r="F93" s="47">
        <v>23</v>
      </c>
      <c r="G93" s="47" t="b">
        <v>0</v>
      </c>
      <c r="H93" s="47">
        <v>2</v>
      </c>
      <c r="I93" s="47">
        <v>1</v>
      </c>
      <c r="J93" s="47">
        <v>0.2</v>
      </c>
      <c r="K93" s="47">
        <v>0.2273</v>
      </c>
      <c r="L93" s="47">
        <v>0.69</v>
      </c>
      <c r="M93" s="47">
        <v>8.9599999999999999E-2</v>
      </c>
      <c r="N93" s="47">
        <v>2</v>
      </c>
      <c r="O93" s="47">
        <v>9</v>
      </c>
      <c r="P93" s="48">
        <v>11</v>
      </c>
    </row>
    <row r="94" spans="1:16">
      <c r="A94" s="41">
        <v>93</v>
      </c>
      <c r="B94" s="42">
        <v>40548</v>
      </c>
      <c r="C94" s="43">
        <v>1</v>
      </c>
      <c r="D94" s="43">
        <v>0</v>
      </c>
      <c r="E94" s="43">
        <v>1</v>
      </c>
      <c r="F94" s="43">
        <v>0</v>
      </c>
      <c r="G94" s="43" t="b">
        <v>0</v>
      </c>
      <c r="H94" s="43">
        <v>3</v>
      </c>
      <c r="I94" s="43">
        <v>1</v>
      </c>
      <c r="J94" s="43">
        <v>0.2</v>
      </c>
      <c r="K94" s="43">
        <v>0.2576</v>
      </c>
      <c r="L94" s="43">
        <v>0.64</v>
      </c>
      <c r="M94" s="43">
        <v>0</v>
      </c>
      <c r="N94" s="43">
        <v>0</v>
      </c>
      <c r="O94" s="43">
        <v>6</v>
      </c>
      <c r="P94" s="44">
        <v>6</v>
      </c>
    </row>
    <row r="95" spans="1:16">
      <c r="A95" s="45">
        <v>94</v>
      </c>
      <c r="B95" s="46">
        <v>40548</v>
      </c>
      <c r="C95" s="47">
        <v>1</v>
      </c>
      <c r="D95" s="47">
        <v>0</v>
      </c>
      <c r="E95" s="47">
        <v>1</v>
      </c>
      <c r="F95" s="47">
        <v>1</v>
      </c>
      <c r="G95" s="47" t="b">
        <v>0</v>
      </c>
      <c r="H95" s="47">
        <v>3</v>
      </c>
      <c r="I95" s="47">
        <v>1</v>
      </c>
      <c r="J95" s="47">
        <v>0.16</v>
      </c>
      <c r="K95" s="47">
        <v>0.19700000000000001</v>
      </c>
      <c r="L95" s="47">
        <v>0.74</v>
      </c>
      <c r="M95" s="47">
        <v>8.9599999999999999E-2</v>
      </c>
      <c r="N95" s="47">
        <v>0</v>
      </c>
      <c r="O95" s="47">
        <v>6</v>
      </c>
      <c r="P95" s="48">
        <v>6</v>
      </c>
    </row>
    <row r="96" spans="1:16">
      <c r="A96" s="41">
        <v>95</v>
      </c>
      <c r="B96" s="42">
        <v>40548</v>
      </c>
      <c r="C96" s="43">
        <v>1</v>
      </c>
      <c r="D96" s="43">
        <v>0</v>
      </c>
      <c r="E96" s="43">
        <v>1</v>
      </c>
      <c r="F96" s="43">
        <v>2</v>
      </c>
      <c r="G96" s="43" t="b">
        <v>0</v>
      </c>
      <c r="H96" s="43">
        <v>3</v>
      </c>
      <c r="I96" s="43">
        <v>1</v>
      </c>
      <c r="J96" s="43">
        <v>0.16</v>
      </c>
      <c r="K96" s="43">
        <v>0.19700000000000001</v>
      </c>
      <c r="L96" s="43">
        <v>0.74</v>
      </c>
      <c r="M96" s="43">
        <v>8.9599999999999999E-2</v>
      </c>
      <c r="N96" s="43">
        <v>0</v>
      </c>
      <c r="O96" s="43">
        <v>2</v>
      </c>
      <c r="P96" s="44">
        <v>2</v>
      </c>
    </row>
    <row r="97" spans="1:16">
      <c r="A97" s="45">
        <v>96</v>
      </c>
      <c r="B97" s="46">
        <v>40548</v>
      </c>
      <c r="C97" s="47">
        <v>1</v>
      </c>
      <c r="D97" s="47">
        <v>0</v>
      </c>
      <c r="E97" s="47">
        <v>1</v>
      </c>
      <c r="F97" s="47">
        <v>4</v>
      </c>
      <c r="G97" s="47" t="b">
        <v>0</v>
      </c>
      <c r="H97" s="47">
        <v>3</v>
      </c>
      <c r="I97" s="47">
        <v>1</v>
      </c>
      <c r="J97" s="47">
        <v>0.24</v>
      </c>
      <c r="K97" s="47">
        <v>0.2273</v>
      </c>
      <c r="L97" s="47">
        <v>0.48</v>
      </c>
      <c r="M97" s="47">
        <v>0.22389999999999999</v>
      </c>
      <c r="N97" s="47">
        <v>0</v>
      </c>
      <c r="O97" s="47">
        <v>2</v>
      </c>
      <c r="P97" s="48">
        <v>2</v>
      </c>
    </row>
    <row r="98" spans="1:16">
      <c r="A98" s="41">
        <v>97</v>
      </c>
      <c r="B98" s="42">
        <v>40548</v>
      </c>
      <c r="C98" s="43">
        <v>1</v>
      </c>
      <c r="D98" s="43">
        <v>0</v>
      </c>
      <c r="E98" s="43">
        <v>1</v>
      </c>
      <c r="F98" s="43">
        <v>5</v>
      </c>
      <c r="G98" s="43" t="b">
        <v>0</v>
      </c>
      <c r="H98" s="43">
        <v>3</v>
      </c>
      <c r="I98" s="43">
        <v>1</v>
      </c>
      <c r="J98" s="43">
        <v>0.22</v>
      </c>
      <c r="K98" s="43">
        <v>0.2273</v>
      </c>
      <c r="L98" s="43">
        <v>0.47</v>
      </c>
      <c r="M98" s="43">
        <v>0.16420000000000001</v>
      </c>
      <c r="N98" s="43">
        <v>0</v>
      </c>
      <c r="O98" s="43">
        <v>3</v>
      </c>
      <c r="P98" s="44">
        <v>3</v>
      </c>
    </row>
    <row r="99" spans="1:16">
      <c r="A99" s="45">
        <v>98</v>
      </c>
      <c r="B99" s="46">
        <v>40548</v>
      </c>
      <c r="C99" s="47">
        <v>1</v>
      </c>
      <c r="D99" s="47">
        <v>0</v>
      </c>
      <c r="E99" s="47">
        <v>1</v>
      </c>
      <c r="F99" s="47">
        <v>6</v>
      </c>
      <c r="G99" s="47" t="b">
        <v>0</v>
      </c>
      <c r="H99" s="47">
        <v>3</v>
      </c>
      <c r="I99" s="47">
        <v>1</v>
      </c>
      <c r="J99" s="47">
        <v>0.2</v>
      </c>
      <c r="K99" s="47">
        <v>0.19700000000000001</v>
      </c>
      <c r="L99" s="47">
        <v>0.47</v>
      </c>
      <c r="M99" s="47">
        <v>0.22389999999999999</v>
      </c>
      <c r="N99" s="47">
        <v>0</v>
      </c>
      <c r="O99" s="47">
        <v>33</v>
      </c>
      <c r="P99" s="48">
        <v>33</v>
      </c>
    </row>
    <row r="100" spans="1:16">
      <c r="A100" s="41">
        <v>99</v>
      </c>
      <c r="B100" s="42">
        <v>40548</v>
      </c>
      <c r="C100" s="43">
        <v>1</v>
      </c>
      <c r="D100" s="43">
        <v>0</v>
      </c>
      <c r="E100" s="43">
        <v>1</v>
      </c>
      <c r="F100" s="43">
        <v>7</v>
      </c>
      <c r="G100" s="43" t="b">
        <v>0</v>
      </c>
      <c r="H100" s="43">
        <v>3</v>
      </c>
      <c r="I100" s="43">
        <v>1</v>
      </c>
      <c r="J100" s="43">
        <v>0.18</v>
      </c>
      <c r="K100" s="43">
        <v>0.18179999999999999</v>
      </c>
      <c r="L100" s="43">
        <v>0.43</v>
      </c>
      <c r="M100" s="43">
        <v>0.19400000000000001</v>
      </c>
      <c r="N100" s="43">
        <v>1</v>
      </c>
      <c r="O100" s="43">
        <v>87</v>
      </c>
      <c r="P100" s="44">
        <v>88</v>
      </c>
    </row>
    <row r="101" spans="1:16">
      <c r="A101" s="45">
        <v>100</v>
      </c>
      <c r="B101" s="46">
        <v>40548</v>
      </c>
      <c r="C101" s="47">
        <v>1</v>
      </c>
      <c r="D101" s="47">
        <v>0</v>
      </c>
      <c r="E101" s="47">
        <v>1</v>
      </c>
      <c r="F101" s="47">
        <v>8</v>
      </c>
      <c r="G101" s="47" t="b">
        <v>0</v>
      </c>
      <c r="H101" s="47">
        <v>3</v>
      </c>
      <c r="I101" s="47">
        <v>1</v>
      </c>
      <c r="J101" s="47">
        <v>0.2</v>
      </c>
      <c r="K101" s="47">
        <v>0.18179999999999999</v>
      </c>
      <c r="L101" s="47">
        <v>0.4</v>
      </c>
      <c r="M101" s="47">
        <v>0.29849999999999999</v>
      </c>
      <c r="N101" s="47">
        <v>3</v>
      </c>
      <c r="O101" s="47">
        <v>192</v>
      </c>
      <c r="P101" s="48">
        <v>195</v>
      </c>
    </row>
    <row r="102" spans="1:16">
      <c r="A102" s="41">
        <v>101</v>
      </c>
      <c r="B102" s="42">
        <v>40548</v>
      </c>
      <c r="C102" s="43">
        <v>1</v>
      </c>
      <c r="D102" s="43">
        <v>0</v>
      </c>
      <c r="E102" s="43">
        <v>1</v>
      </c>
      <c r="F102" s="43">
        <v>9</v>
      </c>
      <c r="G102" s="43" t="b">
        <v>0</v>
      </c>
      <c r="H102" s="43">
        <v>3</v>
      </c>
      <c r="I102" s="43">
        <v>1</v>
      </c>
      <c r="J102" s="43">
        <v>0.22</v>
      </c>
      <c r="K102" s="43">
        <v>0.19700000000000001</v>
      </c>
      <c r="L102" s="43">
        <v>0.37</v>
      </c>
      <c r="M102" s="43">
        <v>0.32840000000000003</v>
      </c>
      <c r="N102" s="43">
        <v>6</v>
      </c>
      <c r="O102" s="43">
        <v>109</v>
      </c>
      <c r="P102" s="44">
        <v>115</v>
      </c>
    </row>
    <row r="103" spans="1:16">
      <c r="A103" s="45">
        <v>102</v>
      </c>
      <c r="B103" s="46">
        <v>40548</v>
      </c>
      <c r="C103" s="47">
        <v>1</v>
      </c>
      <c r="D103" s="47">
        <v>0</v>
      </c>
      <c r="E103" s="47">
        <v>1</v>
      </c>
      <c r="F103" s="47">
        <v>10</v>
      </c>
      <c r="G103" s="47" t="b">
        <v>0</v>
      </c>
      <c r="H103" s="47">
        <v>3</v>
      </c>
      <c r="I103" s="47">
        <v>1</v>
      </c>
      <c r="J103" s="47">
        <v>0.22</v>
      </c>
      <c r="K103" s="47">
        <v>0.19700000000000001</v>
      </c>
      <c r="L103" s="47">
        <v>0.37</v>
      </c>
      <c r="M103" s="47">
        <v>0.32840000000000003</v>
      </c>
      <c r="N103" s="47">
        <v>4</v>
      </c>
      <c r="O103" s="47">
        <v>53</v>
      </c>
      <c r="P103" s="48">
        <v>57</v>
      </c>
    </row>
    <row r="104" spans="1:16">
      <c r="A104" s="41">
        <v>103</v>
      </c>
      <c r="B104" s="42">
        <v>40548</v>
      </c>
      <c r="C104" s="43">
        <v>1</v>
      </c>
      <c r="D104" s="43">
        <v>0</v>
      </c>
      <c r="E104" s="43">
        <v>1</v>
      </c>
      <c r="F104" s="43">
        <v>11</v>
      </c>
      <c r="G104" s="43" t="b">
        <v>0</v>
      </c>
      <c r="H104" s="43">
        <v>3</v>
      </c>
      <c r="I104" s="43">
        <v>1</v>
      </c>
      <c r="J104" s="43">
        <v>0.26</v>
      </c>
      <c r="K104" s="43">
        <v>0.2273</v>
      </c>
      <c r="L104" s="43">
        <v>0.33</v>
      </c>
      <c r="M104" s="43">
        <v>0.32840000000000003</v>
      </c>
      <c r="N104" s="43">
        <v>12</v>
      </c>
      <c r="O104" s="43">
        <v>34</v>
      </c>
      <c r="P104" s="44">
        <v>46</v>
      </c>
    </row>
    <row r="105" spans="1:16">
      <c r="A105" s="45">
        <v>104</v>
      </c>
      <c r="B105" s="46">
        <v>40548</v>
      </c>
      <c r="C105" s="47">
        <v>1</v>
      </c>
      <c r="D105" s="47">
        <v>0</v>
      </c>
      <c r="E105" s="47">
        <v>1</v>
      </c>
      <c r="F105" s="47">
        <v>12</v>
      </c>
      <c r="G105" s="47" t="b">
        <v>0</v>
      </c>
      <c r="H105" s="47">
        <v>3</v>
      </c>
      <c r="I105" s="47">
        <v>1</v>
      </c>
      <c r="J105" s="47">
        <v>0.26</v>
      </c>
      <c r="K105" s="47">
        <v>0.2273</v>
      </c>
      <c r="L105" s="47">
        <v>0.33</v>
      </c>
      <c r="M105" s="47">
        <v>0.32840000000000003</v>
      </c>
      <c r="N105" s="47">
        <v>5</v>
      </c>
      <c r="O105" s="47">
        <v>74</v>
      </c>
      <c r="P105" s="48">
        <v>79</v>
      </c>
    </row>
    <row r="106" spans="1:16">
      <c r="A106" s="41">
        <v>105</v>
      </c>
      <c r="B106" s="42">
        <v>40548</v>
      </c>
      <c r="C106" s="43">
        <v>1</v>
      </c>
      <c r="D106" s="43">
        <v>0</v>
      </c>
      <c r="E106" s="43">
        <v>1</v>
      </c>
      <c r="F106" s="43">
        <v>13</v>
      </c>
      <c r="G106" s="43" t="b">
        <v>0</v>
      </c>
      <c r="H106" s="43">
        <v>3</v>
      </c>
      <c r="I106" s="43">
        <v>1</v>
      </c>
      <c r="J106" s="43">
        <v>0.28000000000000003</v>
      </c>
      <c r="K106" s="43">
        <v>0.2576</v>
      </c>
      <c r="L106" s="43">
        <v>0.3</v>
      </c>
      <c r="M106" s="43">
        <v>0.29849999999999999</v>
      </c>
      <c r="N106" s="43">
        <v>6</v>
      </c>
      <c r="O106" s="43">
        <v>65</v>
      </c>
      <c r="P106" s="44">
        <v>71</v>
      </c>
    </row>
    <row r="107" spans="1:16">
      <c r="A107" s="45">
        <v>106</v>
      </c>
      <c r="B107" s="46">
        <v>40548</v>
      </c>
      <c r="C107" s="47">
        <v>1</v>
      </c>
      <c r="D107" s="47">
        <v>0</v>
      </c>
      <c r="E107" s="47">
        <v>1</v>
      </c>
      <c r="F107" s="47">
        <v>14</v>
      </c>
      <c r="G107" s="47" t="b">
        <v>0</v>
      </c>
      <c r="H107" s="47">
        <v>3</v>
      </c>
      <c r="I107" s="47">
        <v>1</v>
      </c>
      <c r="J107" s="47">
        <v>0.3</v>
      </c>
      <c r="K107" s="47">
        <v>0.28789999999999999</v>
      </c>
      <c r="L107" s="47">
        <v>0.28000000000000003</v>
      </c>
      <c r="M107" s="47">
        <v>0.19400000000000001</v>
      </c>
      <c r="N107" s="47">
        <v>10</v>
      </c>
      <c r="O107" s="47">
        <v>52</v>
      </c>
      <c r="P107" s="48">
        <v>62</v>
      </c>
    </row>
    <row r="108" spans="1:16">
      <c r="A108" s="41">
        <v>107</v>
      </c>
      <c r="B108" s="42">
        <v>40548</v>
      </c>
      <c r="C108" s="43">
        <v>1</v>
      </c>
      <c r="D108" s="43">
        <v>0</v>
      </c>
      <c r="E108" s="43">
        <v>1</v>
      </c>
      <c r="F108" s="43">
        <v>15</v>
      </c>
      <c r="G108" s="43" t="b">
        <v>0</v>
      </c>
      <c r="H108" s="43">
        <v>3</v>
      </c>
      <c r="I108" s="43">
        <v>1</v>
      </c>
      <c r="J108" s="43">
        <v>0.3</v>
      </c>
      <c r="K108" s="43">
        <v>0.28789999999999999</v>
      </c>
      <c r="L108" s="43">
        <v>0.28000000000000003</v>
      </c>
      <c r="M108" s="43">
        <v>0.19400000000000001</v>
      </c>
      <c r="N108" s="43">
        <v>7</v>
      </c>
      <c r="O108" s="43">
        <v>55</v>
      </c>
      <c r="P108" s="44">
        <v>62</v>
      </c>
    </row>
    <row r="109" spans="1:16">
      <c r="A109" s="45">
        <v>108</v>
      </c>
      <c r="B109" s="46">
        <v>40548</v>
      </c>
      <c r="C109" s="47">
        <v>1</v>
      </c>
      <c r="D109" s="47">
        <v>0</v>
      </c>
      <c r="E109" s="47">
        <v>1</v>
      </c>
      <c r="F109" s="47">
        <v>16</v>
      </c>
      <c r="G109" s="47" t="b">
        <v>0</v>
      </c>
      <c r="H109" s="47">
        <v>3</v>
      </c>
      <c r="I109" s="47">
        <v>1</v>
      </c>
      <c r="J109" s="47">
        <v>0.3</v>
      </c>
      <c r="K109" s="47">
        <v>0.31819999999999998</v>
      </c>
      <c r="L109" s="47">
        <v>0.28000000000000003</v>
      </c>
      <c r="M109" s="47">
        <v>8.9599999999999999E-2</v>
      </c>
      <c r="N109" s="47">
        <v>4</v>
      </c>
      <c r="O109" s="47">
        <v>85</v>
      </c>
      <c r="P109" s="48">
        <v>89</v>
      </c>
    </row>
    <row r="110" spans="1:16">
      <c r="A110" s="41">
        <v>109</v>
      </c>
      <c r="B110" s="42">
        <v>40548</v>
      </c>
      <c r="C110" s="43">
        <v>1</v>
      </c>
      <c r="D110" s="43">
        <v>0</v>
      </c>
      <c r="E110" s="43">
        <v>1</v>
      </c>
      <c r="F110" s="43">
        <v>17</v>
      </c>
      <c r="G110" s="43" t="b">
        <v>0</v>
      </c>
      <c r="H110" s="43">
        <v>3</v>
      </c>
      <c r="I110" s="43">
        <v>1</v>
      </c>
      <c r="J110" s="43">
        <v>0.24</v>
      </c>
      <c r="K110" s="43">
        <v>0.2273</v>
      </c>
      <c r="L110" s="43">
        <v>0.38</v>
      </c>
      <c r="M110" s="43">
        <v>0.19400000000000001</v>
      </c>
      <c r="N110" s="43">
        <v>4</v>
      </c>
      <c r="O110" s="43">
        <v>186</v>
      </c>
      <c r="P110" s="44">
        <v>190</v>
      </c>
    </row>
    <row r="111" spans="1:16">
      <c r="A111" s="45">
        <v>110</v>
      </c>
      <c r="B111" s="46">
        <v>40548</v>
      </c>
      <c r="C111" s="47">
        <v>1</v>
      </c>
      <c r="D111" s="47">
        <v>0</v>
      </c>
      <c r="E111" s="47">
        <v>1</v>
      </c>
      <c r="F111" s="47">
        <v>18</v>
      </c>
      <c r="G111" s="47" t="b">
        <v>0</v>
      </c>
      <c r="H111" s="47">
        <v>3</v>
      </c>
      <c r="I111" s="47">
        <v>1</v>
      </c>
      <c r="J111" s="47">
        <v>0.24</v>
      </c>
      <c r="K111" s="47">
        <v>0.2424</v>
      </c>
      <c r="L111" s="47">
        <v>0.38</v>
      </c>
      <c r="M111" s="47">
        <v>0.1343</v>
      </c>
      <c r="N111" s="47">
        <v>3</v>
      </c>
      <c r="O111" s="47">
        <v>166</v>
      </c>
      <c r="P111" s="48">
        <v>169</v>
      </c>
    </row>
    <row r="112" spans="1:16">
      <c r="A112" s="41">
        <v>111</v>
      </c>
      <c r="B112" s="42">
        <v>40548</v>
      </c>
      <c r="C112" s="43">
        <v>1</v>
      </c>
      <c r="D112" s="43">
        <v>0</v>
      </c>
      <c r="E112" s="43">
        <v>1</v>
      </c>
      <c r="F112" s="43">
        <v>19</v>
      </c>
      <c r="G112" s="43" t="b">
        <v>0</v>
      </c>
      <c r="H112" s="43">
        <v>3</v>
      </c>
      <c r="I112" s="43">
        <v>1</v>
      </c>
      <c r="J112" s="43">
        <v>0.24</v>
      </c>
      <c r="K112" s="43">
        <v>0.2576</v>
      </c>
      <c r="L112" s="43">
        <v>0.38</v>
      </c>
      <c r="M112" s="43">
        <v>0.1045</v>
      </c>
      <c r="N112" s="43">
        <v>5</v>
      </c>
      <c r="O112" s="43">
        <v>127</v>
      </c>
      <c r="P112" s="44">
        <v>132</v>
      </c>
    </row>
    <row r="113" spans="1:16">
      <c r="A113" s="45">
        <v>112</v>
      </c>
      <c r="B113" s="46">
        <v>40548</v>
      </c>
      <c r="C113" s="47">
        <v>1</v>
      </c>
      <c r="D113" s="47">
        <v>0</v>
      </c>
      <c r="E113" s="47">
        <v>1</v>
      </c>
      <c r="F113" s="47">
        <v>20</v>
      </c>
      <c r="G113" s="47" t="b">
        <v>0</v>
      </c>
      <c r="H113" s="47">
        <v>3</v>
      </c>
      <c r="I113" s="47">
        <v>1</v>
      </c>
      <c r="J113" s="47">
        <v>0.22</v>
      </c>
      <c r="K113" s="47">
        <v>0.2273</v>
      </c>
      <c r="L113" s="47">
        <v>0.47</v>
      </c>
      <c r="M113" s="47">
        <v>0.16420000000000001</v>
      </c>
      <c r="N113" s="47">
        <v>7</v>
      </c>
      <c r="O113" s="47">
        <v>82</v>
      </c>
      <c r="P113" s="48">
        <v>89</v>
      </c>
    </row>
    <row r="114" spans="1:16">
      <c r="A114" s="41">
        <v>113</v>
      </c>
      <c r="B114" s="42">
        <v>40548</v>
      </c>
      <c r="C114" s="43">
        <v>1</v>
      </c>
      <c r="D114" s="43">
        <v>0</v>
      </c>
      <c r="E114" s="43">
        <v>1</v>
      </c>
      <c r="F114" s="43">
        <v>21</v>
      </c>
      <c r="G114" s="43" t="b">
        <v>0</v>
      </c>
      <c r="H114" s="43">
        <v>3</v>
      </c>
      <c r="I114" s="43">
        <v>1</v>
      </c>
      <c r="J114" s="43">
        <v>0.2</v>
      </c>
      <c r="K114" s="43">
        <v>0.19700000000000001</v>
      </c>
      <c r="L114" s="43">
        <v>0.51</v>
      </c>
      <c r="M114" s="43">
        <v>0.19400000000000001</v>
      </c>
      <c r="N114" s="43">
        <v>3</v>
      </c>
      <c r="O114" s="43">
        <v>40</v>
      </c>
      <c r="P114" s="44">
        <v>43</v>
      </c>
    </row>
    <row r="115" spans="1:16">
      <c r="A115" s="45">
        <v>114</v>
      </c>
      <c r="B115" s="46">
        <v>40548</v>
      </c>
      <c r="C115" s="47">
        <v>1</v>
      </c>
      <c r="D115" s="47">
        <v>0</v>
      </c>
      <c r="E115" s="47">
        <v>1</v>
      </c>
      <c r="F115" s="47">
        <v>22</v>
      </c>
      <c r="G115" s="47" t="b">
        <v>0</v>
      </c>
      <c r="H115" s="47">
        <v>3</v>
      </c>
      <c r="I115" s="47">
        <v>1</v>
      </c>
      <c r="J115" s="47">
        <v>0.18</v>
      </c>
      <c r="K115" s="47">
        <v>0.19700000000000001</v>
      </c>
      <c r="L115" s="47">
        <v>0.55000000000000004</v>
      </c>
      <c r="M115" s="47">
        <v>0.1343</v>
      </c>
      <c r="N115" s="47">
        <v>1</v>
      </c>
      <c r="O115" s="47">
        <v>41</v>
      </c>
      <c r="P115" s="48">
        <v>42</v>
      </c>
    </row>
    <row r="116" spans="1:16">
      <c r="A116" s="41">
        <v>115</v>
      </c>
      <c r="B116" s="42">
        <v>40548</v>
      </c>
      <c r="C116" s="43">
        <v>1</v>
      </c>
      <c r="D116" s="43">
        <v>0</v>
      </c>
      <c r="E116" s="43">
        <v>1</v>
      </c>
      <c r="F116" s="43">
        <v>23</v>
      </c>
      <c r="G116" s="43" t="b">
        <v>0</v>
      </c>
      <c r="H116" s="43">
        <v>3</v>
      </c>
      <c r="I116" s="43">
        <v>1</v>
      </c>
      <c r="J116" s="43">
        <v>0.2</v>
      </c>
      <c r="K116" s="43">
        <v>0.2576</v>
      </c>
      <c r="L116" s="43">
        <v>0.47</v>
      </c>
      <c r="M116" s="43">
        <v>0</v>
      </c>
      <c r="N116" s="43">
        <v>1</v>
      </c>
      <c r="O116" s="43">
        <v>18</v>
      </c>
      <c r="P116" s="44">
        <v>19</v>
      </c>
    </row>
    <row r="117" spans="1:16">
      <c r="A117" s="45">
        <v>116</v>
      </c>
      <c r="B117" s="46">
        <v>40549</v>
      </c>
      <c r="C117" s="47">
        <v>1</v>
      </c>
      <c r="D117" s="47">
        <v>0</v>
      </c>
      <c r="E117" s="47">
        <v>1</v>
      </c>
      <c r="F117" s="47">
        <v>0</v>
      </c>
      <c r="G117" s="47" t="b">
        <v>0</v>
      </c>
      <c r="H117" s="47">
        <v>4</v>
      </c>
      <c r="I117" s="47">
        <v>1</v>
      </c>
      <c r="J117" s="47">
        <v>0.18</v>
      </c>
      <c r="K117" s="47">
        <v>0.2424</v>
      </c>
      <c r="L117" s="47">
        <v>0.55000000000000004</v>
      </c>
      <c r="M117" s="47">
        <v>0</v>
      </c>
      <c r="N117" s="47">
        <v>0</v>
      </c>
      <c r="O117" s="47">
        <v>11</v>
      </c>
      <c r="P117" s="48">
        <v>11</v>
      </c>
    </row>
    <row r="118" spans="1:16">
      <c r="A118" s="41">
        <v>117</v>
      </c>
      <c r="B118" s="42">
        <v>40549</v>
      </c>
      <c r="C118" s="43">
        <v>1</v>
      </c>
      <c r="D118" s="43">
        <v>0</v>
      </c>
      <c r="E118" s="43">
        <v>1</v>
      </c>
      <c r="F118" s="43">
        <v>1</v>
      </c>
      <c r="G118" s="43" t="b">
        <v>0</v>
      </c>
      <c r="H118" s="43">
        <v>4</v>
      </c>
      <c r="I118" s="43">
        <v>1</v>
      </c>
      <c r="J118" s="43">
        <v>0.16</v>
      </c>
      <c r="K118" s="43">
        <v>0.2273</v>
      </c>
      <c r="L118" s="43">
        <v>0.64</v>
      </c>
      <c r="M118" s="43">
        <v>0</v>
      </c>
      <c r="N118" s="43">
        <v>0</v>
      </c>
      <c r="O118" s="43">
        <v>4</v>
      </c>
      <c r="P118" s="44">
        <v>4</v>
      </c>
    </row>
    <row r="119" spans="1:16">
      <c r="A119" s="45">
        <v>118</v>
      </c>
      <c r="B119" s="46">
        <v>40549</v>
      </c>
      <c r="C119" s="47">
        <v>1</v>
      </c>
      <c r="D119" s="47">
        <v>0</v>
      </c>
      <c r="E119" s="47">
        <v>1</v>
      </c>
      <c r="F119" s="47">
        <v>2</v>
      </c>
      <c r="G119" s="47" t="b">
        <v>0</v>
      </c>
      <c r="H119" s="47">
        <v>4</v>
      </c>
      <c r="I119" s="47">
        <v>1</v>
      </c>
      <c r="J119" s="47">
        <v>0.16</v>
      </c>
      <c r="K119" s="47">
        <v>0.2273</v>
      </c>
      <c r="L119" s="47">
        <v>0.64</v>
      </c>
      <c r="M119" s="47">
        <v>0</v>
      </c>
      <c r="N119" s="47">
        <v>0</v>
      </c>
      <c r="O119" s="47">
        <v>2</v>
      </c>
      <c r="P119" s="48">
        <v>2</v>
      </c>
    </row>
    <row r="120" spans="1:16">
      <c r="A120" s="41">
        <v>119</v>
      </c>
      <c r="B120" s="42">
        <v>40549</v>
      </c>
      <c r="C120" s="43">
        <v>1</v>
      </c>
      <c r="D120" s="43">
        <v>0</v>
      </c>
      <c r="E120" s="43">
        <v>1</v>
      </c>
      <c r="F120" s="43">
        <v>4</v>
      </c>
      <c r="G120" s="43" t="b">
        <v>0</v>
      </c>
      <c r="H120" s="43">
        <v>4</v>
      </c>
      <c r="I120" s="43">
        <v>2</v>
      </c>
      <c r="J120" s="43">
        <v>0.16</v>
      </c>
      <c r="K120" s="43">
        <v>0.19700000000000001</v>
      </c>
      <c r="L120" s="43">
        <v>0.64</v>
      </c>
      <c r="M120" s="43">
        <v>8.9599999999999999E-2</v>
      </c>
      <c r="N120" s="43">
        <v>0</v>
      </c>
      <c r="O120" s="43">
        <v>1</v>
      </c>
      <c r="P120" s="44">
        <v>1</v>
      </c>
    </row>
    <row r="121" spans="1:16">
      <c r="A121" s="45">
        <v>120</v>
      </c>
      <c r="B121" s="46">
        <v>40549</v>
      </c>
      <c r="C121" s="47">
        <v>1</v>
      </c>
      <c r="D121" s="47">
        <v>0</v>
      </c>
      <c r="E121" s="47">
        <v>1</v>
      </c>
      <c r="F121" s="47">
        <v>5</v>
      </c>
      <c r="G121" s="47" t="b">
        <v>0</v>
      </c>
      <c r="H121" s="47">
        <v>4</v>
      </c>
      <c r="I121" s="47">
        <v>2</v>
      </c>
      <c r="J121" s="47">
        <v>0.14000000000000001</v>
      </c>
      <c r="K121" s="47">
        <v>0.18179999999999999</v>
      </c>
      <c r="L121" s="47">
        <v>0.69</v>
      </c>
      <c r="M121" s="47">
        <v>8.9599999999999999E-2</v>
      </c>
      <c r="N121" s="47">
        <v>0</v>
      </c>
      <c r="O121" s="47">
        <v>4</v>
      </c>
      <c r="P121" s="48">
        <v>4</v>
      </c>
    </row>
    <row r="122" spans="1:16">
      <c r="A122" s="41">
        <v>121</v>
      </c>
      <c r="B122" s="42">
        <v>40549</v>
      </c>
      <c r="C122" s="43">
        <v>1</v>
      </c>
      <c r="D122" s="43">
        <v>0</v>
      </c>
      <c r="E122" s="43">
        <v>1</v>
      </c>
      <c r="F122" s="43">
        <v>6</v>
      </c>
      <c r="G122" s="43" t="b">
        <v>0</v>
      </c>
      <c r="H122" s="43">
        <v>4</v>
      </c>
      <c r="I122" s="43">
        <v>2</v>
      </c>
      <c r="J122" s="43">
        <v>0.14000000000000001</v>
      </c>
      <c r="K122" s="43">
        <v>0.16669999999999999</v>
      </c>
      <c r="L122" s="43">
        <v>0.63</v>
      </c>
      <c r="M122" s="43">
        <v>0.1045</v>
      </c>
      <c r="N122" s="43">
        <v>0</v>
      </c>
      <c r="O122" s="43">
        <v>36</v>
      </c>
      <c r="P122" s="44">
        <v>36</v>
      </c>
    </row>
    <row r="123" spans="1:16">
      <c r="A123" s="45">
        <v>122</v>
      </c>
      <c r="B123" s="46">
        <v>40549</v>
      </c>
      <c r="C123" s="47">
        <v>1</v>
      </c>
      <c r="D123" s="47">
        <v>0</v>
      </c>
      <c r="E123" s="47">
        <v>1</v>
      </c>
      <c r="F123" s="47">
        <v>7</v>
      </c>
      <c r="G123" s="47" t="b">
        <v>0</v>
      </c>
      <c r="H123" s="47">
        <v>4</v>
      </c>
      <c r="I123" s="47">
        <v>2</v>
      </c>
      <c r="J123" s="47">
        <v>0.16</v>
      </c>
      <c r="K123" s="47">
        <v>0.2273</v>
      </c>
      <c r="L123" s="47">
        <v>0.59</v>
      </c>
      <c r="M123" s="47">
        <v>0</v>
      </c>
      <c r="N123" s="47">
        <v>0</v>
      </c>
      <c r="O123" s="47">
        <v>95</v>
      </c>
      <c r="P123" s="48">
        <v>95</v>
      </c>
    </row>
    <row r="124" spans="1:16">
      <c r="A124" s="41">
        <v>123</v>
      </c>
      <c r="B124" s="42">
        <v>40549</v>
      </c>
      <c r="C124" s="43">
        <v>1</v>
      </c>
      <c r="D124" s="43">
        <v>0</v>
      </c>
      <c r="E124" s="43">
        <v>1</v>
      </c>
      <c r="F124" s="43">
        <v>8</v>
      </c>
      <c r="G124" s="43" t="b">
        <v>0</v>
      </c>
      <c r="H124" s="43">
        <v>4</v>
      </c>
      <c r="I124" s="43">
        <v>1</v>
      </c>
      <c r="J124" s="43">
        <v>0.16</v>
      </c>
      <c r="K124" s="43">
        <v>0.2273</v>
      </c>
      <c r="L124" s="43">
        <v>0.59</v>
      </c>
      <c r="M124" s="43">
        <v>0</v>
      </c>
      <c r="N124" s="43">
        <v>3</v>
      </c>
      <c r="O124" s="43">
        <v>216</v>
      </c>
      <c r="P124" s="44">
        <v>219</v>
      </c>
    </row>
    <row r="125" spans="1:16">
      <c r="A125" s="45">
        <v>124</v>
      </c>
      <c r="B125" s="46">
        <v>40549</v>
      </c>
      <c r="C125" s="47">
        <v>1</v>
      </c>
      <c r="D125" s="47">
        <v>0</v>
      </c>
      <c r="E125" s="47">
        <v>1</v>
      </c>
      <c r="F125" s="47">
        <v>9</v>
      </c>
      <c r="G125" s="47" t="b">
        <v>0</v>
      </c>
      <c r="H125" s="47">
        <v>4</v>
      </c>
      <c r="I125" s="47">
        <v>2</v>
      </c>
      <c r="J125" s="47">
        <v>0.18</v>
      </c>
      <c r="K125" s="47">
        <v>0.2424</v>
      </c>
      <c r="L125" s="47">
        <v>0.51</v>
      </c>
      <c r="M125" s="47">
        <v>0</v>
      </c>
      <c r="N125" s="47">
        <v>6</v>
      </c>
      <c r="O125" s="47">
        <v>116</v>
      </c>
      <c r="P125" s="48">
        <v>122</v>
      </c>
    </row>
    <row r="126" spans="1:16">
      <c r="A126" s="41">
        <v>125</v>
      </c>
      <c r="B126" s="42">
        <v>40549</v>
      </c>
      <c r="C126" s="43">
        <v>1</v>
      </c>
      <c r="D126" s="43">
        <v>0</v>
      </c>
      <c r="E126" s="43">
        <v>1</v>
      </c>
      <c r="F126" s="43">
        <v>10</v>
      </c>
      <c r="G126" s="43" t="b">
        <v>0</v>
      </c>
      <c r="H126" s="43">
        <v>4</v>
      </c>
      <c r="I126" s="43">
        <v>1</v>
      </c>
      <c r="J126" s="43">
        <v>0.2</v>
      </c>
      <c r="K126" s="43">
        <v>0.2576</v>
      </c>
      <c r="L126" s="43">
        <v>0.47</v>
      </c>
      <c r="M126" s="43">
        <v>0</v>
      </c>
      <c r="N126" s="43">
        <v>3</v>
      </c>
      <c r="O126" s="43">
        <v>42</v>
      </c>
      <c r="P126" s="44">
        <v>45</v>
      </c>
    </row>
    <row r="127" spans="1:16">
      <c r="A127" s="45">
        <v>126</v>
      </c>
      <c r="B127" s="46">
        <v>40549</v>
      </c>
      <c r="C127" s="47">
        <v>1</v>
      </c>
      <c r="D127" s="47">
        <v>0</v>
      </c>
      <c r="E127" s="47">
        <v>1</v>
      </c>
      <c r="F127" s="47">
        <v>11</v>
      </c>
      <c r="G127" s="47" t="b">
        <v>0</v>
      </c>
      <c r="H127" s="47">
        <v>4</v>
      </c>
      <c r="I127" s="47">
        <v>1</v>
      </c>
      <c r="J127" s="47">
        <v>0.22</v>
      </c>
      <c r="K127" s="47">
        <v>0.2576</v>
      </c>
      <c r="L127" s="47">
        <v>0.44</v>
      </c>
      <c r="M127" s="47">
        <v>8.9599999999999999E-2</v>
      </c>
      <c r="N127" s="47">
        <v>2</v>
      </c>
      <c r="O127" s="47">
        <v>57</v>
      </c>
      <c r="P127" s="48">
        <v>59</v>
      </c>
    </row>
    <row r="128" spans="1:16">
      <c r="A128" s="41">
        <v>127</v>
      </c>
      <c r="B128" s="42">
        <v>40549</v>
      </c>
      <c r="C128" s="43">
        <v>1</v>
      </c>
      <c r="D128" s="43">
        <v>0</v>
      </c>
      <c r="E128" s="43">
        <v>1</v>
      </c>
      <c r="F128" s="43">
        <v>12</v>
      </c>
      <c r="G128" s="43" t="b">
        <v>0</v>
      </c>
      <c r="H128" s="43">
        <v>4</v>
      </c>
      <c r="I128" s="43">
        <v>1</v>
      </c>
      <c r="J128" s="43">
        <v>0.26</v>
      </c>
      <c r="K128" s="43">
        <v>0.28789999999999999</v>
      </c>
      <c r="L128" s="43">
        <v>0.35</v>
      </c>
      <c r="M128" s="43">
        <v>0</v>
      </c>
      <c r="N128" s="43">
        <v>6</v>
      </c>
      <c r="O128" s="43">
        <v>78</v>
      </c>
      <c r="P128" s="44">
        <v>84</v>
      </c>
    </row>
    <row r="129" spans="1:16">
      <c r="A129" s="45">
        <v>128</v>
      </c>
      <c r="B129" s="46">
        <v>40549</v>
      </c>
      <c r="C129" s="47">
        <v>1</v>
      </c>
      <c r="D129" s="47">
        <v>0</v>
      </c>
      <c r="E129" s="47">
        <v>1</v>
      </c>
      <c r="F129" s="47">
        <v>13</v>
      </c>
      <c r="G129" s="47" t="b">
        <v>0</v>
      </c>
      <c r="H129" s="47">
        <v>4</v>
      </c>
      <c r="I129" s="47">
        <v>1</v>
      </c>
      <c r="J129" s="47">
        <v>0.26</v>
      </c>
      <c r="K129" s="47">
        <v>0.2727</v>
      </c>
      <c r="L129" s="47">
        <v>0.35</v>
      </c>
      <c r="M129" s="47">
        <v>0.1045</v>
      </c>
      <c r="N129" s="47">
        <v>12</v>
      </c>
      <c r="O129" s="47">
        <v>55</v>
      </c>
      <c r="P129" s="48">
        <v>67</v>
      </c>
    </row>
    <row r="130" spans="1:16">
      <c r="A130" s="41">
        <v>129</v>
      </c>
      <c r="B130" s="42">
        <v>40549</v>
      </c>
      <c r="C130" s="43">
        <v>1</v>
      </c>
      <c r="D130" s="43">
        <v>0</v>
      </c>
      <c r="E130" s="43">
        <v>1</v>
      </c>
      <c r="F130" s="43">
        <v>14</v>
      </c>
      <c r="G130" s="43" t="b">
        <v>0</v>
      </c>
      <c r="H130" s="43">
        <v>4</v>
      </c>
      <c r="I130" s="43">
        <v>1</v>
      </c>
      <c r="J130" s="43">
        <v>0.28000000000000003</v>
      </c>
      <c r="K130" s="43">
        <v>0.2727</v>
      </c>
      <c r="L130" s="43">
        <v>0.36</v>
      </c>
      <c r="M130" s="43">
        <v>0.16420000000000001</v>
      </c>
      <c r="N130" s="43">
        <v>11</v>
      </c>
      <c r="O130" s="43">
        <v>59</v>
      </c>
      <c r="P130" s="44">
        <v>70</v>
      </c>
    </row>
    <row r="131" spans="1:16">
      <c r="A131" s="45">
        <v>130</v>
      </c>
      <c r="B131" s="46">
        <v>40549</v>
      </c>
      <c r="C131" s="47">
        <v>1</v>
      </c>
      <c r="D131" s="47">
        <v>0</v>
      </c>
      <c r="E131" s="47">
        <v>1</v>
      </c>
      <c r="F131" s="47">
        <v>15</v>
      </c>
      <c r="G131" s="47" t="b">
        <v>0</v>
      </c>
      <c r="H131" s="47">
        <v>4</v>
      </c>
      <c r="I131" s="47">
        <v>1</v>
      </c>
      <c r="J131" s="47">
        <v>0.28000000000000003</v>
      </c>
      <c r="K131" s="47">
        <v>0.2727</v>
      </c>
      <c r="L131" s="47">
        <v>0.36</v>
      </c>
      <c r="M131" s="47">
        <v>0</v>
      </c>
      <c r="N131" s="47">
        <v>8</v>
      </c>
      <c r="O131" s="47">
        <v>54</v>
      </c>
      <c r="P131" s="48">
        <v>62</v>
      </c>
    </row>
    <row r="132" spans="1:16">
      <c r="A132" s="41">
        <v>131</v>
      </c>
      <c r="B132" s="42">
        <v>40549</v>
      </c>
      <c r="C132" s="43">
        <v>1</v>
      </c>
      <c r="D132" s="43">
        <v>0</v>
      </c>
      <c r="E132" s="43">
        <v>1</v>
      </c>
      <c r="F132" s="43">
        <v>16</v>
      </c>
      <c r="G132" s="43" t="b">
        <v>0</v>
      </c>
      <c r="H132" s="43">
        <v>4</v>
      </c>
      <c r="I132" s="43">
        <v>1</v>
      </c>
      <c r="J132" s="43">
        <v>0.26</v>
      </c>
      <c r="K132" s="43">
        <v>0.2576</v>
      </c>
      <c r="L132" s="43">
        <v>0.38</v>
      </c>
      <c r="M132" s="43">
        <v>0.16420000000000001</v>
      </c>
      <c r="N132" s="43">
        <v>12</v>
      </c>
      <c r="O132" s="43">
        <v>74</v>
      </c>
      <c r="P132" s="44">
        <v>86</v>
      </c>
    </row>
    <row r="133" spans="1:16">
      <c r="A133" s="45">
        <v>132</v>
      </c>
      <c r="B133" s="46">
        <v>40549</v>
      </c>
      <c r="C133" s="47">
        <v>1</v>
      </c>
      <c r="D133" s="47">
        <v>0</v>
      </c>
      <c r="E133" s="47">
        <v>1</v>
      </c>
      <c r="F133" s="47">
        <v>17</v>
      </c>
      <c r="G133" s="47" t="b">
        <v>0</v>
      </c>
      <c r="H133" s="47">
        <v>4</v>
      </c>
      <c r="I133" s="47">
        <v>1</v>
      </c>
      <c r="J133" s="47">
        <v>0.22</v>
      </c>
      <c r="K133" s="47">
        <v>0.2273</v>
      </c>
      <c r="L133" s="47">
        <v>0.51</v>
      </c>
      <c r="M133" s="47">
        <v>0.16420000000000001</v>
      </c>
      <c r="N133" s="47">
        <v>9</v>
      </c>
      <c r="O133" s="47">
        <v>163</v>
      </c>
      <c r="P133" s="48">
        <v>172</v>
      </c>
    </row>
    <row r="134" spans="1:16">
      <c r="A134" s="41">
        <v>133</v>
      </c>
      <c r="B134" s="42">
        <v>40549</v>
      </c>
      <c r="C134" s="43">
        <v>1</v>
      </c>
      <c r="D134" s="43">
        <v>0</v>
      </c>
      <c r="E134" s="43">
        <v>1</v>
      </c>
      <c r="F134" s="43">
        <v>18</v>
      </c>
      <c r="G134" s="43" t="b">
        <v>0</v>
      </c>
      <c r="H134" s="43">
        <v>4</v>
      </c>
      <c r="I134" s="43">
        <v>1</v>
      </c>
      <c r="J134" s="43">
        <v>0.22</v>
      </c>
      <c r="K134" s="43">
        <v>0.2273</v>
      </c>
      <c r="L134" s="43">
        <v>0.51</v>
      </c>
      <c r="M134" s="43">
        <v>0.1343</v>
      </c>
      <c r="N134" s="43">
        <v>5</v>
      </c>
      <c r="O134" s="43">
        <v>158</v>
      </c>
      <c r="P134" s="44">
        <v>163</v>
      </c>
    </row>
    <row r="135" spans="1:16">
      <c r="A135" s="45">
        <v>134</v>
      </c>
      <c r="B135" s="46">
        <v>40549</v>
      </c>
      <c r="C135" s="47">
        <v>1</v>
      </c>
      <c r="D135" s="47">
        <v>0</v>
      </c>
      <c r="E135" s="47">
        <v>1</v>
      </c>
      <c r="F135" s="47">
        <v>19</v>
      </c>
      <c r="G135" s="47" t="b">
        <v>0</v>
      </c>
      <c r="H135" s="47">
        <v>4</v>
      </c>
      <c r="I135" s="47">
        <v>1</v>
      </c>
      <c r="J135" s="47">
        <v>0.22</v>
      </c>
      <c r="K135" s="47">
        <v>0.2576</v>
      </c>
      <c r="L135" s="47">
        <v>0.55000000000000004</v>
      </c>
      <c r="M135" s="47">
        <v>8.9599999999999999E-2</v>
      </c>
      <c r="N135" s="47">
        <v>3</v>
      </c>
      <c r="O135" s="47">
        <v>109</v>
      </c>
      <c r="P135" s="48">
        <v>112</v>
      </c>
    </row>
    <row r="136" spans="1:16">
      <c r="A136" s="41">
        <v>135</v>
      </c>
      <c r="B136" s="42">
        <v>40549</v>
      </c>
      <c r="C136" s="43">
        <v>1</v>
      </c>
      <c r="D136" s="43">
        <v>0</v>
      </c>
      <c r="E136" s="43">
        <v>1</v>
      </c>
      <c r="F136" s="43">
        <v>20</v>
      </c>
      <c r="G136" s="43" t="b">
        <v>0</v>
      </c>
      <c r="H136" s="43">
        <v>4</v>
      </c>
      <c r="I136" s="43">
        <v>1</v>
      </c>
      <c r="J136" s="43">
        <v>0.2</v>
      </c>
      <c r="K136" s="43">
        <v>0.21210000000000001</v>
      </c>
      <c r="L136" s="43">
        <v>0.51</v>
      </c>
      <c r="M136" s="43">
        <v>0.16420000000000001</v>
      </c>
      <c r="N136" s="43">
        <v>3</v>
      </c>
      <c r="O136" s="43">
        <v>66</v>
      </c>
      <c r="P136" s="44">
        <v>69</v>
      </c>
    </row>
    <row r="137" spans="1:16">
      <c r="A137" s="45">
        <v>136</v>
      </c>
      <c r="B137" s="46">
        <v>40549</v>
      </c>
      <c r="C137" s="47">
        <v>1</v>
      </c>
      <c r="D137" s="47">
        <v>0</v>
      </c>
      <c r="E137" s="47">
        <v>1</v>
      </c>
      <c r="F137" s="47">
        <v>21</v>
      </c>
      <c r="G137" s="47" t="b">
        <v>0</v>
      </c>
      <c r="H137" s="47">
        <v>4</v>
      </c>
      <c r="I137" s="47">
        <v>2</v>
      </c>
      <c r="J137" s="47">
        <v>0.22</v>
      </c>
      <c r="K137" s="47">
        <v>0.21210000000000001</v>
      </c>
      <c r="L137" s="47">
        <v>0.55000000000000004</v>
      </c>
      <c r="M137" s="47">
        <v>0.22389999999999999</v>
      </c>
      <c r="N137" s="47">
        <v>0</v>
      </c>
      <c r="O137" s="47">
        <v>48</v>
      </c>
      <c r="P137" s="48">
        <v>48</v>
      </c>
    </row>
    <row r="138" spans="1:16">
      <c r="A138" s="41">
        <v>137</v>
      </c>
      <c r="B138" s="42">
        <v>40549</v>
      </c>
      <c r="C138" s="43">
        <v>1</v>
      </c>
      <c r="D138" s="43">
        <v>0</v>
      </c>
      <c r="E138" s="43">
        <v>1</v>
      </c>
      <c r="F138" s="43">
        <v>22</v>
      </c>
      <c r="G138" s="43" t="b">
        <v>0</v>
      </c>
      <c r="H138" s="43">
        <v>4</v>
      </c>
      <c r="I138" s="43">
        <v>2</v>
      </c>
      <c r="J138" s="43">
        <v>0.22</v>
      </c>
      <c r="K138" s="43">
        <v>0.21210000000000001</v>
      </c>
      <c r="L138" s="43">
        <v>0.51</v>
      </c>
      <c r="M138" s="43">
        <v>0.28360000000000002</v>
      </c>
      <c r="N138" s="43">
        <v>1</v>
      </c>
      <c r="O138" s="43">
        <v>51</v>
      </c>
      <c r="P138" s="44">
        <v>52</v>
      </c>
    </row>
    <row r="139" spans="1:16">
      <c r="A139" s="45">
        <v>138</v>
      </c>
      <c r="B139" s="46">
        <v>40549</v>
      </c>
      <c r="C139" s="47">
        <v>1</v>
      </c>
      <c r="D139" s="47">
        <v>0</v>
      </c>
      <c r="E139" s="47">
        <v>1</v>
      </c>
      <c r="F139" s="47">
        <v>23</v>
      </c>
      <c r="G139" s="47" t="b">
        <v>0</v>
      </c>
      <c r="H139" s="47">
        <v>4</v>
      </c>
      <c r="I139" s="47">
        <v>2</v>
      </c>
      <c r="J139" s="47">
        <v>0.2</v>
      </c>
      <c r="K139" s="47">
        <v>0.19700000000000001</v>
      </c>
      <c r="L139" s="47">
        <v>0.59</v>
      </c>
      <c r="M139" s="47">
        <v>0.19400000000000001</v>
      </c>
      <c r="N139" s="47">
        <v>4</v>
      </c>
      <c r="O139" s="47">
        <v>19</v>
      </c>
      <c r="P139" s="48">
        <v>23</v>
      </c>
    </row>
    <row r="140" spans="1:16">
      <c r="A140" s="41">
        <v>139</v>
      </c>
      <c r="B140" s="42">
        <v>40550</v>
      </c>
      <c r="C140" s="43">
        <v>1</v>
      </c>
      <c r="D140" s="43">
        <v>0</v>
      </c>
      <c r="E140" s="43">
        <v>1</v>
      </c>
      <c r="F140" s="43">
        <v>0</v>
      </c>
      <c r="G140" s="43" t="b">
        <v>0</v>
      </c>
      <c r="H140" s="43">
        <v>5</v>
      </c>
      <c r="I140" s="43">
        <v>2</v>
      </c>
      <c r="J140" s="43">
        <v>0.2</v>
      </c>
      <c r="K140" s="43">
        <v>0.19700000000000001</v>
      </c>
      <c r="L140" s="43">
        <v>0.64</v>
      </c>
      <c r="M140" s="43">
        <v>0.19400000000000001</v>
      </c>
      <c r="N140" s="43">
        <v>4</v>
      </c>
      <c r="O140" s="43">
        <v>13</v>
      </c>
      <c r="P140" s="44">
        <v>17</v>
      </c>
    </row>
    <row r="141" spans="1:16">
      <c r="A141" s="45">
        <v>140</v>
      </c>
      <c r="B141" s="46">
        <v>40550</v>
      </c>
      <c r="C141" s="47">
        <v>1</v>
      </c>
      <c r="D141" s="47">
        <v>0</v>
      </c>
      <c r="E141" s="47">
        <v>1</v>
      </c>
      <c r="F141" s="47">
        <v>1</v>
      </c>
      <c r="G141" s="47" t="b">
        <v>0</v>
      </c>
      <c r="H141" s="47">
        <v>5</v>
      </c>
      <c r="I141" s="47">
        <v>2</v>
      </c>
      <c r="J141" s="47">
        <v>0.2</v>
      </c>
      <c r="K141" s="47">
        <v>0.19700000000000001</v>
      </c>
      <c r="L141" s="47">
        <v>0.69</v>
      </c>
      <c r="M141" s="47">
        <v>0.22389999999999999</v>
      </c>
      <c r="N141" s="47">
        <v>2</v>
      </c>
      <c r="O141" s="47">
        <v>5</v>
      </c>
      <c r="P141" s="48">
        <v>7</v>
      </c>
    </row>
    <row r="142" spans="1:16">
      <c r="A142" s="41">
        <v>141</v>
      </c>
      <c r="B142" s="42">
        <v>40550</v>
      </c>
      <c r="C142" s="43">
        <v>1</v>
      </c>
      <c r="D142" s="43">
        <v>0</v>
      </c>
      <c r="E142" s="43">
        <v>1</v>
      </c>
      <c r="F142" s="43">
        <v>2</v>
      </c>
      <c r="G142" s="43" t="b">
        <v>0</v>
      </c>
      <c r="H142" s="43">
        <v>5</v>
      </c>
      <c r="I142" s="43">
        <v>2</v>
      </c>
      <c r="J142" s="43">
        <v>0.2</v>
      </c>
      <c r="K142" s="43">
        <v>0.19700000000000001</v>
      </c>
      <c r="L142" s="43">
        <v>0.69</v>
      </c>
      <c r="M142" s="43">
        <v>0.22389999999999999</v>
      </c>
      <c r="N142" s="43">
        <v>0</v>
      </c>
      <c r="O142" s="43">
        <v>1</v>
      </c>
      <c r="P142" s="44">
        <v>1</v>
      </c>
    </row>
    <row r="143" spans="1:16">
      <c r="A143" s="45">
        <v>142</v>
      </c>
      <c r="B143" s="46">
        <v>40550</v>
      </c>
      <c r="C143" s="47">
        <v>1</v>
      </c>
      <c r="D143" s="47">
        <v>0</v>
      </c>
      <c r="E143" s="47">
        <v>1</v>
      </c>
      <c r="F143" s="47">
        <v>4</v>
      </c>
      <c r="G143" s="47" t="b">
        <v>0</v>
      </c>
      <c r="H143" s="47">
        <v>5</v>
      </c>
      <c r="I143" s="47">
        <v>2</v>
      </c>
      <c r="J143" s="47">
        <v>0.2</v>
      </c>
      <c r="K143" s="47">
        <v>0.21210000000000001</v>
      </c>
      <c r="L143" s="47">
        <v>0.69</v>
      </c>
      <c r="M143" s="47">
        <v>0.1343</v>
      </c>
      <c r="N143" s="47">
        <v>0</v>
      </c>
      <c r="O143" s="47">
        <v>1</v>
      </c>
      <c r="P143" s="48">
        <v>1</v>
      </c>
    </row>
    <row r="144" spans="1:16">
      <c r="A144" s="41">
        <v>143</v>
      </c>
      <c r="B144" s="42">
        <v>40550</v>
      </c>
      <c r="C144" s="43">
        <v>1</v>
      </c>
      <c r="D144" s="43">
        <v>0</v>
      </c>
      <c r="E144" s="43">
        <v>1</v>
      </c>
      <c r="F144" s="43">
        <v>5</v>
      </c>
      <c r="G144" s="43" t="b">
        <v>0</v>
      </c>
      <c r="H144" s="43">
        <v>5</v>
      </c>
      <c r="I144" s="43">
        <v>3</v>
      </c>
      <c r="J144" s="43">
        <v>0.22</v>
      </c>
      <c r="K144" s="43">
        <v>0.2727</v>
      </c>
      <c r="L144" s="43">
        <v>0.55000000000000004</v>
      </c>
      <c r="M144" s="43">
        <v>0</v>
      </c>
      <c r="N144" s="43">
        <v>0</v>
      </c>
      <c r="O144" s="43">
        <v>5</v>
      </c>
      <c r="P144" s="44">
        <v>5</v>
      </c>
    </row>
    <row r="145" spans="1:16">
      <c r="A145" s="45">
        <v>144</v>
      </c>
      <c r="B145" s="46">
        <v>40550</v>
      </c>
      <c r="C145" s="47">
        <v>1</v>
      </c>
      <c r="D145" s="47">
        <v>0</v>
      </c>
      <c r="E145" s="47">
        <v>1</v>
      </c>
      <c r="F145" s="47">
        <v>6</v>
      </c>
      <c r="G145" s="47" t="b">
        <v>0</v>
      </c>
      <c r="H145" s="47">
        <v>5</v>
      </c>
      <c r="I145" s="47">
        <v>2</v>
      </c>
      <c r="J145" s="47">
        <v>0.2</v>
      </c>
      <c r="K145" s="47">
        <v>0.2576</v>
      </c>
      <c r="L145" s="47">
        <v>0.69</v>
      </c>
      <c r="M145" s="47">
        <v>0</v>
      </c>
      <c r="N145" s="47">
        <v>8</v>
      </c>
      <c r="O145" s="47">
        <v>26</v>
      </c>
      <c r="P145" s="48">
        <v>34</v>
      </c>
    </row>
    <row r="146" spans="1:16">
      <c r="A146" s="41">
        <v>145</v>
      </c>
      <c r="B146" s="42">
        <v>40550</v>
      </c>
      <c r="C146" s="43">
        <v>1</v>
      </c>
      <c r="D146" s="43">
        <v>0</v>
      </c>
      <c r="E146" s="43">
        <v>1</v>
      </c>
      <c r="F146" s="43">
        <v>7</v>
      </c>
      <c r="G146" s="43" t="b">
        <v>0</v>
      </c>
      <c r="H146" s="43">
        <v>5</v>
      </c>
      <c r="I146" s="43">
        <v>1</v>
      </c>
      <c r="J146" s="43">
        <v>0.2</v>
      </c>
      <c r="K146" s="43">
        <v>0.21210000000000001</v>
      </c>
      <c r="L146" s="43">
        <v>0.69</v>
      </c>
      <c r="M146" s="43">
        <v>0.1343</v>
      </c>
      <c r="N146" s="43">
        <v>8</v>
      </c>
      <c r="O146" s="43">
        <v>76</v>
      </c>
      <c r="P146" s="44">
        <v>84</v>
      </c>
    </row>
    <row r="147" spans="1:16">
      <c r="A147" s="45">
        <v>146</v>
      </c>
      <c r="B147" s="46">
        <v>40550</v>
      </c>
      <c r="C147" s="47">
        <v>1</v>
      </c>
      <c r="D147" s="47">
        <v>0</v>
      </c>
      <c r="E147" s="47">
        <v>1</v>
      </c>
      <c r="F147" s="47">
        <v>8</v>
      </c>
      <c r="G147" s="47" t="b">
        <v>0</v>
      </c>
      <c r="H147" s="47">
        <v>5</v>
      </c>
      <c r="I147" s="47">
        <v>1</v>
      </c>
      <c r="J147" s="47">
        <v>0.2</v>
      </c>
      <c r="K147" s="47">
        <v>0.19700000000000001</v>
      </c>
      <c r="L147" s="47">
        <v>0.51</v>
      </c>
      <c r="M147" s="47">
        <v>0.25369999999999998</v>
      </c>
      <c r="N147" s="47">
        <v>20</v>
      </c>
      <c r="O147" s="47">
        <v>190</v>
      </c>
      <c r="P147" s="48">
        <v>210</v>
      </c>
    </row>
    <row r="148" spans="1:16">
      <c r="A148" s="41">
        <v>147</v>
      </c>
      <c r="B148" s="42">
        <v>40550</v>
      </c>
      <c r="C148" s="43">
        <v>1</v>
      </c>
      <c r="D148" s="43">
        <v>0</v>
      </c>
      <c r="E148" s="43">
        <v>1</v>
      </c>
      <c r="F148" s="43">
        <v>9</v>
      </c>
      <c r="G148" s="43" t="b">
        <v>0</v>
      </c>
      <c r="H148" s="43">
        <v>5</v>
      </c>
      <c r="I148" s="43">
        <v>1</v>
      </c>
      <c r="J148" s="43">
        <v>0.2</v>
      </c>
      <c r="K148" s="43">
        <v>0.18179999999999999</v>
      </c>
      <c r="L148" s="43">
        <v>0.47</v>
      </c>
      <c r="M148" s="43">
        <v>0.29849999999999999</v>
      </c>
      <c r="N148" s="43">
        <v>9</v>
      </c>
      <c r="O148" s="43">
        <v>125</v>
      </c>
      <c r="P148" s="44">
        <v>134</v>
      </c>
    </row>
    <row r="149" spans="1:16">
      <c r="A149" s="45">
        <v>148</v>
      </c>
      <c r="B149" s="46">
        <v>40550</v>
      </c>
      <c r="C149" s="47">
        <v>1</v>
      </c>
      <c r="D149" s="47">
        <v>0</v>
      </c>
      <c r="E149" s="47">
        <v>1</v>
      </c>
      <c r="F149" s="47">
        <v>10</v>
      </c>
      <c r="G149" s="47" t="b">
        <v>0</v>
      </c>
      <c r="H149" s="47">
        <v>5</v>
      </c>
      <c r="I149" s="47">
        <v>1</v>
      </c>
      <c r="J149" s="47">
        <v>0.22</v>
      </c>
      <c r="K149" s="47">
        <v>0.19700000000000001</v>
      </c>
      <c r="L149" s="47">
        <v>0.37</v>
      </c>
      <c r="M149" s="47">
        <v>0.32840000000000003</v>
      </c>
      <c r="N149" s="47">
        <v>16</v>
      </c>
      <c r="O149" s="47">
        <v>47</v>
      </c>
      <c r="P149" s="48">
        <v>63</v>
      </c>
    </row>
    <row r="150" spans="1:16">
      <c r="A150" s="41">
        <v>149</v>
      </c>
      <c r="B150" s="42">
        <v>40550</v>
      </c>
      <c r="C150" s="43">
        <v>1</v>
      </c>
      <c r="D150" s="43">
        <v>0</v>
      </c>
      <c r="E150" s="43">
        <v>1</v>
      </c>
      <c r="F150" s="43">
        <v>11</v>
      </c>
      <c r="G150" s="43" t="b">
        <v>0</v>
      </c>
      <c r="H150" s="43">
        <v>5</v>
      </c>
      <c r="I150" s="43">
        <v>2</v>
      </c>
      <c r="J150" s="43">
        <v>0.2</v>
      </c>
      <c r="K150" s="43">
        <v>0.19700000000000001</v>
      </c>
      <c r="L150" s="43">
        <v>0.4</v>
      </c>
      <c r="M150" s="43">
        <v>0.22389999999999999</v>
      </c>
      <c r="N150" s="43">
        <v>19</v>
      </c>
      <c r="O150" s="43">
        <v>48</v>
      </c>
      <c r="P150" s="44">
        <v>67</v>
      </c>
    </row>
    <row r="151" spans="1:16">
      <c r="A151" s="45">
        <v>150</v>
      </c>
      <c r="B151" s="46">
        <v>40550</v>
      </c>
      <c r="C151" s="47">
        <v>1</v>
      </c>
      <c r="D151" s="47">
        <v>0</v>
      </c>
      <c r="E151" s="47">
        <v>1</v>
      </c>
      <c r="F151" s="47">
        <v>12</v>
      </c>
      <c r="G151" s="47" t="b">
        <v>0</v>
      </c>
      <c r="H151" s="47">
        <v>5</v>
      </c>
      <c r="I151" s="47">
        <v>2</v>
      </c>
      <c r="J151" s="47">
        <v>0.2</v>
      </c>
      <c r="K151" s="47">
        <v>0.19700000000000001</v>
      </c>
      <c r="L151" s="47">
        <v>0.37</v>
      </c>
      <c r="M151" s="47">
        <v>0.25369999999999998</v>
      </c>
      <c r="N151" s="47">
        <v>9</v>
      </c>
      <c r="O151" s="47">
        <v>50</v>
      </c>
      <c r="P151" s="48">
        <v>59</v>
      </c>
    </row>
    <row r="152" spans="1:16">
      <c r="A152" s="41">
        <v>151</v>
      </c>
      <c r="B152" s="42">
        <v>40550</v>
      </c>
      <c r="C152" s="43">
        <v>1</v>
      </c>
      <c r="D152" s="43">
        <v>0</v>
      </c>
      <c r="E152" s="43">
        <v>1</v>
      </c>
      <c r="F152" s="43">
        <v>13</v>
      </c>
      <c r="G152" s="43" t="b">
        <v>0</v>
      </c>
      <c r="H152" s="43">
        <v>5</v>
      </c>
      <c r="I152" s="43">
        <v>2</v>
      </c>
      <c r="J152" s="43">
        <v>0.2</v>
      </c>
      <c r="K152" s="43">
        <v>0.18179999999999999</v>
      </c>
      <c r="L152" s="43">
        <v>0.37</v>
      </c>
      <c r="M152" s="43">
        <v>0.28360000000000002</v>
      </c>
      <c r="N152" s="43">
        <v>9</v>
      </c>
      <c r="O152" s="43">
        <v>64</v>
      </c>
      <c r="P152" s="44">
        <v>73</v>
      </c>
    </row>
    <row r="153" spans="1:16">
      <c r="A153" s="45">
        <v>152</v>
      </c>
      <c r="B153" s="46">
        <v>40550</v>
      </c>
      <c r="C153" s="47">
        <v>1</v>
      </c>
      <c r="D153" s="47">
        <v>0</v>
      </c>
      <c r="E153" s="47">
        <v>1</v>
      </c>
      <c r="F153" s="47">
        <v>14</v>
      </c>
      <c r="G153" s="47" t="b">
        <v>0</v>
      </c>
      <c r="H153" s="47">
        <v>5</v>
      </c>
      <c r="I153" s="47">
        <v>2</v>
      </c>
      <c r="J153" s="47">
        <v>0.2</v>
      </c>
      <c r="K153" s="47">
        <v>0.19700000000000001</v>
      </c>
      <c r="L153" s="47">
        <v>0.4</v>
      </c>
      <c r="M153" s="47">
        <v>0.25369999999999998</v>
      </c>
      <c r="N153" s="47">
        <v>7</v>
      </c>
      <c r="O153" s="47">
        <v>43</v>
      </c>
      <c r="P153" s="48">
        <v>50</v>
      </c>
    </row>
    <row r="154" spans="1:16">
      <c r="A154" s="41">
        <v>153</v>
      </c>
      <c r="B154" s="42">
        <v>40550</v>
      </c>
      <c r="C154" s="43">
        <v>1</v>
      </c>
      <c r="D154" s="43">
        <v>0</v>
      </c>
      <c r="E154" s="43">
        <v>1</v>
      </c>
      <c r="F154" s="43">
        <v>15</v>
      </c>
      <c r="G154" s="43" t="b">
        <v>0</v>
      </c>
      <c r="H154" s="43">
        <v>5</v>
      </c>
      <c r="I154" s="43">
        <v>2</v>
      </c>
      <c r="J154" s="43">
        <v>0.2</v>
      </c>
      <c r="K154" s="43">
        <v>0.21210000000000001</v>
      </c>
      <c r="L154" s="43">
        <v>0.37</v>
      </c>
      <c r="M154" s="43">
        <v>0.16420000000000001</v>
      </c>
      <c r="N154" s="43">
        <v>9</v>
      </c>
      <c r="O154" s="43">
        <v>63</v>
      </c>
      <c r="P154" s="44">
        <v>72</v>
      </c>
    </row>
    <row r="155" spans="1:16">
      <c r="A155" s="45">
        <v>154</v>
      </c>
      <c r="B155" s="46">
        <v>40550</v>
      </c>
      <c r="C155" s="47">
        <v>1</v>
      </c>
      <c r="D155" s="47">
        <v>0</v>
      </c>
      <c r="E155" s="47">
        <v>1</v>
      </c>
      <c r="F155" s="47">
        <v>16</v>
      </c>
      <c r="G155" s="47" t="b">
        <v>0</v>
      </c>
      <c r="H155" s="47">
        <v>5</v>
      </c>
      <c r="I155" s="47">
        <v>2</v>
      </c>
      <c r="J155" s="47">
        <v>0.2</v>
      </c>
      <c r="K155" s="47">
        <v>0.21210000000000001</v>
      </c>
      <c r="L155" s="47">
        <v>0.37</v>
      </c>
      <c r="M155" s="47">
        <v>0.16420000000000001</v>
      </c>
      <c r="N155" s="47">
        <v>5</v>
      </c>
      <c r="O155" s="47">
        <v>82</v>
      </c>
      <c r="P155" s="48">
        <v>87</v>
      </c>
    </row>
    <row r="156" spans="1:16">
      <c r="A156" s="41">
        <v>155</v>
      </c>
      <c r="B156" s="42">
        <v>40550</v>
      </c>
      <c r="C156" s="43">
        <v>1</v>
      </c>
      <c r="D156" s="43">
        <v>0</v>
      </c>
      <c r="E156" s="43">
        <v>1</v>
      </c>
      <c r="F156" s="43">
        <v>17</v>
      </c>
      <c r="G156" s="43" t="b">
        <v>0</v>
      </c>
      <c r="H156" s="43">
        <v>5</v>
      </c>
      <c r="I156" s="43">
        <v>2</v>
      </c>
      <c r="J156" s="43">
        <v>0.2</v>
      </c>
      <c r="K156" s="43">
        <v>0.2576</v>
      </c>
      <c r="L156" s="43">
        <v>0.37</v>
      </c>
      <c r="M156" s="43">
        <v>0</v>
      </c>
      <c r="N156" s="43">
        <v>9</v>
      </c>
      <c r="O156" s="43">
        <v>178</v>
      </c>
      <c r="P156" s="44">
        <v>187</v>
      </c>
    </row>
    <row r="157" spans="1:16">
      <c r="A157" s="45">
        <v>156</v>
      </c>
      <c r="B157" s="46">
        <v>40550</v>
      </c>
      <c r="C157" s="47">
        <v>1</v>
      </c>
      <c r="D157" s="47">
        <v>0</v>
      </c>
      <c r="E157" s="47">
        <v>1</v>
      </c>
      <c r="F157" s="47">
        <v>18</v>
      </c>
      <c r="G157" s="47" t="b">
        <v>0</v>
      </c>
      <c r="H157" s="47">
        <v>5</v>
      </c>
      <c r="I157" s="47">
        <v>1</v>
      </c>
      <c r="J157" s="47">
        <v>0.2</v>
      </c>
      <c r="K157" s="47">
        <v>0.2273</v>
      </c>
      <c r="L157" s="47">
        <v>0.4</v>
      </c>
      <c r="M157" s="47">
        <v>8.9599999999999999E-2</v>
      </c>
      <c r="N157" s="47">
        <v>7</v>
      </c>
      <c r="O157" s="47">
        <v>116</v>
      </c>
      <c r="P157" s="48">
        <v>123</v>
      </c>
    </row>
    <row r="158" spans="1:16">
      <c r="A158" s="41">
        <v>157</v>
      </c>
      <c r="B158" s="42">
        <v>40550</v>
      </c>
      <c r="C158" s="43">
        <v>1</v>
      </c>
      <c r="D158" s="43">
        <v>0</v>
      </c>
      <c r="E158" s="43">
        <v>1</v>
      </c>
      <c r="F158" s="43">
        <v>19</v>
      </c>
      <c r="G158" s="43" t="b">
        <v>0</v>
      </c>
      <c r="H158" s="43">
        <v>5</v>
      </c>
      <c r="I158" s="43">
        <v>1</v>
      </c>
      <c r="J158" s="43">
        <v>0.16</v>
      </c>
      <c r="K158" s="43">
        <v>0.19700000000000001</v>
      </c>
      <c r="L158" s="43">
        <v>0.55000000000000004</v>
      </c>
      <c r="M158" s="43">
        <v>8.9599999999999999E-2</v>
      </c>
      <c r="N158" s="43">
        <v>3</v>
      </c>
      <c r="O158" s="43">
        <v>92</v>
      </c>
      <c r="P158" s="44">
        <v>95</v>
      </c>
    </row>
    <row r="159" spans="1:16">
      <c r="A159" s="45">
        <v>158</v>
      </c>
      <c r="B159" s="46">
        <v>40550</v>
      </c>
      <c r="C159" s="47">
        <v>1</v>
      </c>
      <c r="D159" s="47">
        <v>0</v>
      </c>
      <c r="E159" s="47">
        <v>1</v>
      </c>
      <c r="F159" s="47">
        <v>20</v>
      </c>
      <c r="G159" s="47" t="b">
        <v>0</v>
      </c>
      <c r="H159" s="47">
        <v>5</v>
      </c>
      <c r="I159" s="47">
        <v>1</v>
      </c>
      <c r="J159" s="47">
        <v>0.18</v>
      </c>
      <c r="K159" s="47">
        <v>0.21210000000000001</v>
      </c>
      <c r="L159" s="47">
        <v>0.47</v>
      </c>
      <c r="M159" s="47">
        <v>0.1045</v>
      </c>
      <c r="N159" s="47">
        <v>1</v>
      </c>
      <c r="O159" s="47">
        <v>50</v>
      </c>
      <c r="P159" s="48">
        <v>51</v>
      </c>
    </row>
    <row r="160" spans="1:16">
      <c r="A160" s="41">
        <v>159</v>
      </c>
      <c r="B160" s="42">
        <v>40550</v>
      </c>
      <c r="C160" s="43">
        <v>1</v>
      </c>
      <c r="D160" s="43">
        <v>0</v>
      </c>
      <c r="E160" s="43">
        <v>1</v>
      </c>
      <c r="F160" s="43">
        <v>21</v>
      </c>
      <c r="G160" s="43" t="b">
        <v>0</v>
      </c>
      <c r="H160" s="43">
        <v>5</v>
      </c>
      <c r="I160" s="43">
        <v>1</v>
      </c>
      <c r="J160" s="43">
        <v>0.18</v>
      </c>
      <c r="K160" s="43">
        <v>0.19700000000000001</v>
      </c>
      <c r="L160" s="43">
        <v>0.47</v>
      </c>
      <c r="M160" s="43">
        <v>0.1343</v>
      </c>
      <c r="N160" s="43">
        <v>0</v>
      </c>
      <c r="O160" s="43">
        <v>39</v>
      </c>
      <c r="P160" s="44">
        <v>39</v>
      </c>
    </row>
    <row r="161" spans="1:16">
      <c r="A161" s="45">
        <v>160</v>
      </c>
      <c r="B161" s="46">
        <v>40550</v>
      </c>
      <c r="C161" s="47">
        <v>1</v>
      </c>
      <c r="D161" s="47">
        <v>0</v>
      </c>
      <c r="E161" s="47">
        <v>1</v>
      </c>
      <c r="F161" s="47">
        <v>22</v>
      </c>
      <c r="G161" s="47" t="b">
        <v>0</v>
      </c>
      <c r="H161" s="47">
        <v>5</v>
      </c>
      <c r="I161" s="47">
        <v>2</v>
      </c>
      <c r="J161" s="47">
        <v>0.18</v>
      </c>
      <c r="K161" s="47">
        <v>0.19700000000000001</v>
      </c>
      <c r="L161" s="47">
        <v>0.43</v>
      </c>
      <c r="M161" s="47">
        <v>0.16420000000000001</v>
      </c>
      <c r="N161" s="47">
        <v>2</v>
      </c>
      <c r="O161" s="47">
        <v>34</v>
      </c>
      <c r="P161" s="48">
        <v>36</v>
      </c>
    </row>
    <row r="162" spans="1:16">
      <c r="A162" s="41">
        <v>161</v>
      </c>
      <c r="B162" s="42">
        <v>40550</v>
      </c>
      <c r="C162" s="43">
        <v>1</v>
      </c>
      <c r="D162" s="43">
        <v>0</v>
      </c>
      <c r="E162" s="43">
        <v>1</v>
      </c>
      <c r="F162" s="43">
        <v>23</v>
      </c>
      <c r="G162" s="43" t="b">
        <v>0</v>
      </c>
      <c r="H162" s="43">
        <v>5</v>
      </c>
      <c r="I162" s="43">
        <v>2</v>
      </c>
      <c r="J162" s="43">
        <v>0.18</v>
      </c>
      <c r="K162" s="43">
        <v>0.19700000000000001</v>
      </c>
      <c r="L162" s="43">
        <v>0.51</v>
      </c>
      <c r="M162" s="43">
        <v>0.16420000000000001</v>
      </c>
      <c r="N162" s="43">
        <v>1</v>
      </c>
      <c r="O162" s="43">
        <v>14</v>
      </c>
      <c r="P162" s="44">
        <v>15</v>
      </c>
    </row>
    <row r="163" spans="1:16">
      <c r="A163" s="45">
        <v>162</v>
      </c>
      <c r="B163" s="46">
        <v>40551</v>
      </c>
      <c r="C163" s="47">
        <v>1</v>
      </c>
      <c r="D163" s="47">
        <v>0</v>
      </c>
      <c r="E163" s="47">
        <v>1</v>
      </c>
      <c r="F163" s="47">
        <v>0</v>
      </c>
      <c r="G163" s="47" t="b">
        <v>0</v>
      </c>
      <c r="H163" s="47">
        <v>6</v>
      </c>
      <c r="I163" s="47">
        <v>2</v>
      </c>
      <c r="J163" s="47">
        <v>0.18</v>
      </c>
      <c r="K163" s="47">
        <v>0.19700000000000001</v>
      </c>
      <c r="L163" s="47">
        <v>0.51</v>
      </c>
      <c r="M163" s="47">
        <v>0.16420000000000001</v>
      </c>
      <c r="N163" s="47">
        <v>1</v>
      </c>
      <c r="O163" s="47">
        <v>24</v>
      </c>
      <c r="P163" s="48">
        <v>25</v>
      </c>
    </row>
    <row r="164" spans="1:16">
      <c r="A164" s="41">
        <v>163</v>
      </c>
      <c r="B164" s="42">
        <v>40551</v>
      </c>
      <c r="C164" s="43">
        <v>1</v>
      </c>
      <c r="D164" s="43">
        <v>0</v>
      </c>
      <c r="E164" s="43">
        <v>1</v>
      </c>
      <c r="F164" s="43">
        <v>1</v>
      </c>
      <c r="G164" s="43" t="b">
        <v>0</v>
      </c>
      <c r="H164" s="43">
        <v>6</v>
      </c>
      <c r="I164" s="43">
        <v>2</v>
      </c>
      <c r="J164" s="43">
        <v>0.18</v>
      </c>
      <c r="K164" s="43">
        <v>0.21210000000000001</v>
      </c>
      <c r="L164" s="43">
        <v>0.55000000000000004</v>
      </c>
      <c r="M164" s="43">
        <v>8.9599999999999999E-2</v>
      </c>
      <c r="N164" s="43">
        <v>1</v>
      </c>
      <c r="O164" s="43">
        <v>15</v>
      </c>
      <c r="P164" s="44">
        <v>16</v>
      </c>
    </row>
    <row r="165" spans="1:16">
      <c r="A165" s="45">
        <v>164</v>
      </c>
      <c r="B165" s="46">
        <v>40551</v>
      </c>
      <c r="C165" s="47">
        <v>1</v>
      </c>
      <c r="D165" s="47">
        <v>0</v>
      </c>
      <c r="E165" s="47">
        <v>1</v>
      </c>
      <c r="F165" s="47">
        <v>2</v>
      </c>
      <c r="G165" s="47" t="b">
        <v>0</v>
      </c>
      <c r="H165" s="47">
        <v>6</v>
      </c>
      <c r="I165" s="47">
        <v>2</v>
      </c>
      <c r="J165" s="47">
        <v>0.18</v>
      </c>
      <c r="K165" s="47">
        <v>0.2424</v>
      </c>
      <c r="L165" s="47">
        <v>0.55000000000000004</v>
      </c>
      <c r="M165" s="47">
        <v>0</v>
      </c>
      <c r="N165" s="47">
        <v>3</v>
      </c>
      <c r="O165" s="47">
        <v>13</v>
      </c>
      <c r="P165" s="48">
        <v>16</v>
      </c>
    </row>
    <row r="166" spans="1:16">
      <c r="A166" s="41">
        <v>165</v>
      </c>
      <c r="B166" s="42">
        <v>40551</v>
      </c>
      <c r="C166" s="43">
        <v>1</v>
      </c>
      <c r="D166" s="43">
        <v>0</v>
      </c>
      <c r="E166" s="43">
        <v>1</v>
      </c>
      <c r="F166" s="43">
        <v>3</v>
      </c>
      <c r="G166" s="43" t="b">
        <v>0</v>
      </c>
      <c r="H166" s="43">
        <v>6</v>
      </c>
      <c r="I166" s="43">
        <v>3</v>
      </c>
      <c r="J166" s="43">
        <v>0.18</v>
      </c>
      <c r="K166" s="43">
        <v>0.19700000000000001</v>
      </c>
      <c r="L166" s="43">
        <v>0.55000000000000004</v>
      </c>
      <c r="M166" s="43">
        <v>0.16420000000000001</v>
      </c>
      <c r="N166" s="43">
        <v>0</v>
      </c>
      <c r="O166" s="43">
        <v>7</v>
      </c>
      <c r="P166" s="44">
        <v>7</v>
      </c>
    </row>
    <row r="167" spans="1:16">
      <c r="A167" s="45">
        <v>166</v>
      </c>
      <c r="B167" s="46">
        <v>40551</v>
      </c>
      <c r="C167" s="47">
        <v>1</v>
      </c>
      <c r="D167" s="47">
        <v>0</v>
      </c>
      <c r="E167" s="47">
        <v>1</v>
      </c>
      <c r="F167" s="47">
        <v>4</v>
      </c>
      <c r="G167" s="47" t="b">
        <v>0</v>
      </c>
      <c r="H167" s="47">
        <v>6</v>
      </c>
      <c r="I167" s="47">
        <v>3</v>
      </c>
      <c r="J167" s="47">
        <v>0.18</v>
      </c>
      <c r="K167" s="47">
        <v>0.19700000000000001</v>
      </c>
      <c r="L167" s="47">
        <v>0.55000000000000004</v>
      </c>
      <c r="M167" s="47">
        <v>0.16420000000000001</v>
      </c>
      <c r="N167" s="47">
        <v>0</v>
      </c>
      <c r="O167" s="47">
        <v>1</v>
      </c>
      <c r="P167" s="48">
        <v>1</v>
      </c>
    </row>
    <row r="168" spans="1:16">
      <c r="A168" s="41">
        <v>167</v>
      </c>
      <c r="B168" s="42">
        <v>40551</v>
      </c>
      <c r="C168" s="43">
        <v>1</v>
      </c>
      <c r="D168" s="43">
        <v>0</v>
      </c>
      <c r="E168" s="43">
        <v>1</v>
      </c>
      <c r="F168" s="43">
        <v>5</v>
      </c>
      <c r="G168" s="43" t="b">
        <v>0</v>
      </c>
      <c r="H168" s="43">
        <v>6</v>
      </c>
      <c r="I168" s="43">
        <v>2</v>
      </c>
      <c r="J168" s="43">
        <v>0.16</v>
      </c>
      <c r="K168" s="43">
        <v>0.16669999999999999</v>
      </c>
      <c r="L168" s="43">
        <v>0.74</v>
      </c>
      <c r="M168" s="43">
        <v>0.16420000000000001</v>
      </c>
      <c r="N168" s="43">
        <v>0</v>
      </c>
      <c r="O168" s="43">
        <v>5</v>
      </c>
      <c r="P168" s="44">
        <v>5</v>
      </c>
    </row>
    <row r="169" spans="1:16">
      <c r="A169" s="45">
        <v>168</v>
      </c>
      <c r="B169" s="46">
        <v>40551</v>
      </c>
      <c r="C169" s="47">
        <v>1</v>
      </c>
      <c r="D169" s="47">
        <v>0</v>
      </c>
      <c r="E169" s="47">
        <v>1</v>
      </c>
      <c r="F169" s="47">
        <v>6</v>
      </c>
      <c r="G169" s="47" t="b">
        <v>0</v>
      </c>
      <c r="H169" s="47">
        <v>6</v>
      </c>
      <c r="I169" s="47">
        <v>2</v>
      </c>
      <c r="J169" s="47">
        <v>0.16</v>
      </c>
      <c r="K169" s="47">
        <v>0.16669999999999999</v>
      </c>
      <c r="L169" s="47">
        <v>0.74</v>
      </c>
      <c r="M169" s="47">
        <v>0.16420000000000001</v>
      </c>
      <c r="N169" s="47">
        <v>0</v>
      </c>
      <c r="O169" s="47">
        <v>2</v>
      </c>
      <c r="P169" s="48">
        <v>2</v>
      </c>
    </row>
    <row r="170" spans="1:16">
      <c r="A170" s="41">
        <v>169</v>
      </c>
      <c r="B170" s="42">
        <v>40551</v>
      </c>
      <c r="C170" s="43">
        <v>1</v>
      </c>
      <c r="D170" s="43">
        <v>0</v>
      </c>
      <c r="E170" s="43">
        <v>1</v>
      </c>
      <c r="F170" s="43">
        <v>7</v>
      </c>
      <c r="G170" s="43" t="b">
        <v>0</v>
      </c>
      <c r="H170" s="43">
        <v>6</v>
      </c>
      <c r="I170" s="43">
        <v>2</v>
      </c>
      <c r="J170" s="43">
        <v>0.16</v>
      </c>
      <c r="K170" s="43">
        <v>0.18179999999999999</v>
      </c>
      <c r="L170" s="43">
        <v>0.74</v>
      </c>
      <c r="M170" s="43">
        <v>0.1045</v>
      </c>
      <c r="N170" s="43">
        <v>1</v>
      </c>
      <c r="O170" s="43">
        <v>8</v>
      </c>
      <c r="P170" s="44">
        <v>9</v>
      </c>
    </row>
    <row r="171" spans="1:16">
      <c r="A171" s="45">
        <v>170</v>
      </c>
      <c r="B171" s="46">
        <v>40551</v>
      </c>
      <c r="C171" s="47">
        <v>1</v>
      </c>
      <c r="D171" s="47">
        <v>0</v>
      </c>
      <c r="E171" s="47">
        <v>1</v>
      </c>
      <c r="F171" s="47">
        <v>8</v>
      </c>
      <c r="G171" s="47" t="b">
        <v>0</v>
      </c>
      <c r="H171" s="47">
        <v>6</v>
      </c>
      <c r="I171" s="47">
        <v>3</v>
      </c>
      <c r="J171" s="47">
        <v>0.16</v>
      </c>
      <c r="K171" s="47">
        <v>0.18179999999999999</v>
      </c>
      <c r="L171" s="47">
        <v>0.93</v>
      </c>
      <c r="M171" s="47">
        <v>0.1045</v>
      </c>
      <c r="N171" s="47">
        <v>0</v>
      </c>
      <c r="O171" s="47">
        <v>15</v>
      </c>
      <c r="P171" s="48">
        <v>15</v>
      </c>
    </row>
    <row r="172" spans="1:16">
      <c r="A172" s="41">
        <v>171</v>
      </c>
      <c r="B172" s="42">
        <v>40551</v>
      </c>
      <c r="C172" s="43">
        <v>1</v>
      </c>
      <c r="D172" s="43">
        <v>0</v>
      </c>
      <c r="E172" s="43">
        <v>1</v>
      </c>
      <c r="F172" s="43">
        <v>9</v>
      </c>
      <c r="G172" s="43" t="b">
        <v>0</v>
      </c>
      <c r="H172" s="43">
        <v>6</v>
      </c>
      <c r="I172" s="43">
        <v>3</v>
      </c>
      <c r="J172" s="43">
        <v>0.16</v>
      </c>
      <c r="K172" s="43">
        <v>0.18179999999999999</v>
      </c>
      <c r="L172" s="43">
        <v>0.93</v>
      </c>
      <c r="M172" s="43">
        <v>0.1045</v>
      </c>
      <c r="N172" s="43">
        <v>0</v>
      </c>
      <c r="O172" s="43">
        <v>20</v>
      </c>
      <c r="P172" s="44">
        <v>20</v>
      </c>
    </row>
    <row r="173" spans="1:16">
      <c r="A173" s="45">
        <v>172</v>
      </c>
      <c r="B173" s="46">
        <v>40551</v>
      </c>
      <c r="C173" s="47">
        <v>1</v>
      </c>
      <c r="D173" s="47">
        <v>0</v>
      </c>
      <c r="E173" s="47">
        <v>1</v>
      </c>
      <c r="F173" s="47">
        <v>10</v>
      </c>
      <c r="G173" s="47" t="b">
        <v>0</v>
      </c>
      <c r="H173" s="47">
        <v>6</v>
      </c>
      <c r="I173" s="47">
        <v>2</v>
      </c>
      <c r="J173" s="47">
        <v>0.18</v>
      </c>
      <c r="K173" s="47">
        <v>0.19700000000000001</v>
      </c>
      <c r="L173" s="47">
        <v>0.8</v>
      </c>
      <c r="M173" s="47">
        <v>0.16420000000000001</v>
      </c>
      <c r="N173" s="47">
        <v>5</v>
      </c>
      <c r="O173" s="47">
        <v>56</v>
      </c>
      <c r="P173" s="48">
        <v>61</v>
      </c>
    </row>
    <row r="174" spans="1:16">
      <c r="A174" s="41">
        <v>173</v>
      </c>
      <c r="B174" s="42">
        <v>40551</v>
      </c>
      <c r="C174" s="43">
        <v>1</v>
      </c>
      <c r="D174" s="43">
        <v>0</v>
      </c>
      <c r="E174" s="43">
        <v>1</v>
      </c>
      <c r="F174" s="43">
        <v>11</v>
      </c>
      <c r="G174" s="43" t="b">
        <v>0</v>
      </c>
      <c r="H174" s="43">
        <v>6</v>
      </c>
      <c r="I174" s="43">
        <v>2</v>
      </c>
      <c r="J174" s="43">
        <v>0.2</v>
      </c>
      <c r="K174" s="43">
        <v>0.18179999999999999</v>
      </c>
      <c r="L174" s="43">
        <v>0.69</v>
      </c>
      <c r="M174" s="43">
        <v>0.3881</v>
      </c>
      <c r="N174" s="43">
        <v>2</v>
      </c>
      <c r="O174" s="43">
        <v>60</v>
      </c>
      <c r="P174" s="44">
        <v>62</v>
      </c>
    </row>
    <row r="175" spans="1:16">
      <c r="A175" s="45">
        <v>174</v>
      </c>
      <c r="B175" s="46">
        <v>40551</v>
      </c>
      <c r="C175" s="47">
        <v>1</v>
      </c>
      <c r="D175" s="47">
        <v>0</v>
      </c>
      <c r="E175" s="47">
        <v>1</v>
      </c>
      <c r="F175" s="47">
        <v>12</v>
      </c>
      <c r="G175" s="47" t="b">
        <v>0</v>
      </c>
      <c r="H175" s="47">
        <v>6</v>
      </c>
      <c r="I175" s="47">
        <v>2</v>
      </c>
      <c r="J175" s="47">
        <v>0.2</v>
      </c>
      <c r="K175" s="47">
        <v>0.18179999999999999</v>
      </c>
      <c r="L175" s="47">
        <v>0.59</v>
      </c>
      <c r="M175" s="47">
        <v>0.35820000000000002</v>
      </c>
      <c r="N175" s="47">
        <v>8</v>
      </c>
      <c r="O175" s="47">
        <v>90</v>
      </c>
      <c r="P175" s="48">
        <v>98</v>
      </c>
    </row>
    <row r="176" spans="1:16">
      <c r="A176" s="41">
        <v>175</v>
      </c>
      <c r="B176" s="42">
        <v>40551</v>
      </c>
      <c r="C176" s="43">
        <v>1</v>
      </c>
      <c r="D176" s="43">
        <v>0</v>
      </c>
      <c r="E176" s="43">
        <v>1</v>
      </c>
      <c r="F176" s="43">
        <v>13</v>
      </c>
      <c r="G176" s="43" t="b">
        <v>0</v>
      </c>
      <c r="H176" s="43">
        <v>6</v>
      </c>
      <c r="I176" s="43">
        <v>1</v>
      </c>
      <c r="J176" s="43">
        <v>0.2</v>
      </c>
      <c r="K176" s="43">
        <v>0.18179999999999999</v>
      </c>
      <c r="L176" s="43">
        <v>0.44</v>
      </c>
      <c r="M176" s="43">
        <v>0.32840000000000003</v>
      </c>
      <c r="N176" s="43">
        <v>7</v>
      </c>
      <c r="O176" s="43">
        <v>95</v>
      </c>
      <c r="P176" s="44">
        <v>102</v>
      </c>
    </row>
    <row r="177" spans="1:16">
      <c r="A177" s="45">
        <v>176</v>
      </c>
      <c r="B177" s="46">
        <v>40551</v>
      </c>
      <c r="C177" s="47">
        <v>1</v>
      </c>
      <c r="D177" s="47">
        <v>0</v>
      </c>
      <c r="E177" s="47">
        <v>1</v>
      </c>
      <c r="F177" s="47">
        <v>14</v>
      </c>
      <c r="G177" s="47" t="b">
        <v>0</v>
      </c>
      <c r="H177" s="47">
        <v>6</v>
      </c>
      <c r="I177" s="47">
        <v>1</v>
      </c>
      <c r="J177" s="47">
        <v>0.2</v>
      </c>
      <c r="K177" s="47">
        <v>0.16669999999999999</v>
      </c>
      <c r="L177" s="47">
        <v>0.32</v>
      </c>
      <c r="M177" s="47">
        <v>0.49249999999999999</v>
      </c>
      <c r="N177" s="47">
        <v>12</v>
      </c>
      <c r="O177" s="47">
        <v>83</v>
      </c>
      <c r="P177" s="48">
        <v>95</v>
      </c>
    </row>
    <row r="178" spans="1:16">
      <c r="A178" s="41">
        <v>177</v>
      </c>
      <c r="B178" s="42">
        <v>40551</v>
      </c>
      <c r="C178" s="43">
        <v>1</v>
      </c>
      <c r="D178" s="43">
        <v>0</v>
      </c>
      <c r="E178" s="43">
        <v>1</v>
      </c>
      <c r="F178" s="43">
        <v>15</v>
      </c>
      <c r="G178" s="43" t="b">
        <v>0</v>
      </c>
      <c r="H178" s="43">
        <v>6</v>
      </c>
      <c r="I178" s="43">
        <v>1</v>
      </c>
      <c r="J178" s="43">
        <v>0.2</v>
      </c>
      <c r="K178" s="43">
        <v>0.16669999999999999</v>
      </c>
      <c r="L178" s="43">
        <v>0.32</v>
      </c>
      <c r="M178" s="43">
        <v>0.44779999999999998</v>
      </c>
      <c r="N178" s="43">
        <v>5</v>
      </c>
      <c r="O178" s="43">
        <v>69</v>
      </c>
      <c r="P178" s="44">
        <v>74</v>
      </c>
    </row>
    <row r="179" spans="1:16">
      <c r="A179" s="45">
        <v>178</v>
      </c>
      <c r="B179" s="46">
        <v>40551</v>
      </c>
      <c r="C179" s="47">
        <v>1</v>
      </c>
      <c r="D179" s="47">
        <v>0</v>
      </c>
      <c r="E179" s="47">
        <v>1</v>
      </c>
      <c r="F179" s="47">
        <v>16</v>
      </c>
      <c r="G179" s="47" t="b">
        <v>0</v>
      </c>
      <c r="H179" s="47">
        <v>6</v>
      </c>
      <c r="I179" s="47">
        <v>1</v>
      </c>
      <c r="J179" s="47">
        <v>0.18</v>
      </c>
      <c r="K179" s="47">
        <v>0.13639999999999999</v>
      </c>
      <c r="L179" s="47">
        <v>0.28999999999999998</v>
      </c>
      <c r="M179" s="47">
        <v>0.44779999999999998</v>
      </c>
      <c r="N179" s="47">
        <v>8</v>
      </c>
      <c r="O179" s="47">
        <v>68</v>
      </c>
      <c r="P179" s="48">
        <v>76</v>
      </c>
    </row>
    <row r="180" spans="1:16">
      <c r="A180" s="41">
        <v>179</v>
      </c>
      <c r="B180" s="42">
        <v>40551</v>
      </c>
      <c r="C180" s="43">
        <v>1</v>
      </c>
      <c r="D180" s="43">
        <v>0</v>
      </c>
      <c r="E180" s="43">
        <v>1</v>
      </c>
      <c r="F180" s="43">
        <v>17</v>
      </c>
      <c r="G180" s="43" t="b">
        <v>0</v>
      </c>
      <c r="H180" s="43">
        <v>6</v>
      </c>
      <c r="I180" s="43">
        <v>1</v>
      </c>
      <c r="J180" s="43">
        <v>0.16</v>
      </c>
      <c r="K180" s="43">
        <v>0.1212</v>
      </c>
      <c r="L180" s="43">
        <v>0.37</v>
      </c>
      <c r="M180" s="43">
        <v>0.55220000000000002</v>
      </c>
      <c r="N180" s="43">
        <v>5</v>
      </c>
      <c r="O180" s="43">
        <v>64</v>
      </c>
      <c r="P180" s="44">
        <v>69</v>
      </c>
    </row>
    <row r="181" spans="1:16">
      <c r="A181" s="45">
        <v>180</v>
      </c>
      <c r="B181" s="46">
        <v>40551</v>
      </c>
      <c r="C181" s="47">
        <v>1</v>
      </c>
      <c r="D181" s="47">
        <v>0</v>
      </c>
      <c r="E181" s="47">
        <v>1</v>
      </c>
      <c r="F181" s="47">
        <v>18</v>
      </c>
      <c r="G181" s="47" t="b">
        <v>0</v>
      </c>
      <c r="H181" s="47">
        <v>6</v>
      </c>
      <c r="I181" s="47">
        <v>1</v>
      </c>
      <c r="J181" s="47">
        <v>0.14000000000000001</v>
      </c>
      <c r="K181" s="47">
        <v>0.1212</v>
      </c>
      <c r="L181" s="47">
        <v>0.39</v>
      </c>
      <c r="M181" s="47">
        <v>0.29849999999999999</v>
      </c>
      <c r="N181" s="47">
        <v>3</v>
      </c>
      <c r="O181" s="47">
        <v>52</v>
      </c>
      <c r="P181" s="48">
        <v>55</v>
      </c>
    </row>
    <row r="182" spans="1:16">
      <c r="A182" s="41">
        <v>181</v>
      </c>
      <c r="B182" s="42">
        <v>40551</v>
      </c>
      <c r="C182" s="43">
        <v>1</v>
      </c>
      <c r="D182" s="43">
        <v>0</v>
      </c>
      <c r="E182" s="43">
        <v>1</v>
      </c>
      <c r="F182" s="43">
        <v>19</v>
      </c>
      <c r="G182" s="43" t="b">
        <v>0</v>
      </c>
      <c r="H182" s="43">
        <v>6</v>
      </c>
      <c r="I182" s="43">
        <v>1</v>
      </c>
      <c r="J182" s="43">
        <v>0.14000000000000001</v>
      </c>
      <c r="K182" s="43">
        <v>0.1212</v>
      </c>
      <c r="L182" s="43">
        <v>0.36</v>
      </c>
      <c r="M182" s="43">
        <v>0.25369999999999998</v>
      </c>
      <c r="N182" s="43">
        <v>4</v>
      </c>
      <c r="O182" s="43">
        <v>26</v>
      </c>
      <c r="P182" s="44">
        <v>30</v>
      </c>
    </row>
    <row r="183" spans="1:16">
      <c r="A183" s="45">
        <v>182</v>
      </c>
      <c r="B183" s="46">
        <v>40551</v>
      </c>
      <c r="C183" s="47">
        <v>1</v>
      </c>
      <c r="D183" s="47">
        <v>0</v>
      </c>
      <c r="E183" s="47">
        <v>1</v>
      </c>
      <c r="F183" s="47">
        <v>20</v>
      </c>
      <c r="G183" s="47" t="b">
        <v>0</v>
      </c>
      <c r="H183" s="47">
        <v>6</v>
      </c>
      <c r="I183" s="47">
        <v>1</v>
      </c>
      <c r="J183" s="47">
        <v>0.12</v>
      </c>
      <c r="K183" s="47">
        <v>0.1212</v>
      </c>
      <c r="L183" s="47">
        <v>0.36</v>
      </c>
      <c r="M183" s="47">
        <v>0.25369999999999998</v>
      </c>
      <c r="N183" s="47">
        <v>0</v>
      </c>
      <c r="O183" s="47">
        <v>28</v>
      </c>
      <c r="P183" s="48">
        <v>28</v>
      </c>
    </row>
    <row r="184" spans="1:16">
      <c r="A184" s="41">
        <v>183</v>
      </c>
      <c r="B184" s="42">
        <v>40551</v>
      </c>
      <c r="C184" s="43">
        <v>1</v>
      </c>
      <c r="D184" s="43">
        <v>0</v>
      </c>
      <c r="E184" s="43">
        <v>1</v>
      </c>
      <c r="F184" s="43">
        <v>21</v>
      </c>
      <c r="G184" s="43" t="b">
        <v>0</v>
      </c>
      <c r="H184" s="43">
        <v>6</v>
      </c>
      <c r="I184" s="43">
        <v>1</v>
      </c>
      <c r="J184" s="43">
        <v>0.12</v>
      </c>
      <c r="K184" s="43">
        <v>0.1061</v>
      </c>
      <c r="L184" s="43">
        <v>0.39</v>
      </c>
      <c r="M184" s="43">
        <v>0.35820000000000002</v>
      </c>
      <c r="N184" s="43">
        <v>2</v>
      </c>
      <c r="O184" s="43">
        <v>35</v>
      </c>
      <c r="P184" s="44">
        <v>37</v>
      </c>
    </row>
    <row r="185" spans="1:16">
      <c r="A185" s="45">
        <v>184</v>
      </c>
      <c r="B185" s="46">
        <v>40551</v>
      </c>
      <c r="C185" s="47">
        <v>1</v>
      </c>
      <c r="D185" s="47">
        <v>0</v>
      </c>
      <c r="E185" s="47">
        <v>1</v>
      </c>
      <c r="F185" s="47">
        <v>22</v>
      </c>
      <c r="G185" s="47" t="b">
        <v>0</v>
      </c>
      <c r="H185" s="47">
        <v>6</v>
      </c>
      <c r="I185" s="47">
        <v>1</v>
      </c>
      <c r="J185" s="47">
        <v>0.12</v>
      </c>
      <c r="K185" s="47">
        <v>0.1061</v>
      </c>
      <c r="L185" s="47">
        <v>0.36</v>
      </c>
      <c r="M185" s="47">
        <v>0.3881</v>
      </c>
      <c r="N185" s="47">
        <v>1</v>
      </c>
      <c r="O185" s="47">
        <v>33</v>
      </c>
      <c r="P185" s="48">
        <v>34</v>
      </c>
    </row>
    <row r="186" spans="1:16">
      <c r="A186" s="41">
        <v>185</v>
      </c>
      <c r="B186" s="42">
        <v>40551</v>
      </c>
      <c r="C186" s="43">
        <v>1</v>
      </c>
      <c r="D186" s="43">
        <v>0</v>
      </c>
      <c r="E186" s="43">
        <v>1</v>
      </c>
      <c r="F186" s="43">
        <v>23</v>
      </c>
      <c r="G186" s="43" t="b">
        <v>0</v>
      </c>
      <c r="H186" s="43">
        <v>6</v>
      </c>
      <c r="I186" s="43">
        <v>1</v>
      </c>
      <c r="J186" s="43">
        <v>0.1</v>
      </c>
      <c r="K186" s="43">
        <v>6.0600000000000001E-2</v>
      </c>
      <c r="L186" s="43">
        <v>0.39</v>
      </c>
      <c r="M186" s="43">
        <v>0.44779999999999998</v>
      </c>
      <c r="N186" s="43">
        <v>0</v>
      </c>
      <c r="O186" s="43">
        <v>22</v>
      </c>
      <c r="P186" s="44">
        <v>22</v>
      </c>
    </row>
    <row r="187" spans="1:16">
      <c r="A187" s="45">
        <v>186</v>
      </c>
      <c r="B187" s="46">
        <v>40552</v>
      </c>
      <c r="C187" s="47">
        <v>1</v>
      </c>
      <c r="D187" s="47">
        <v>0</v>
      </c>
      <c r="E187" s="47">
        <v>1</v>
      </c>
      <c r="F187" s="47">
        <v>0</v>
      </c>
      <c r="G187" s="47" t="b">
        <v>0</v>
      </c>
      <c r="H187" s="47">
        <v>0</v>
      </c>
      <c r="I187" s="47">
        <v>1</v>
      </c>
      <c r="J187" s="47">
        <v>0.1</v>
      </c>
      <c r="K187" s="47">
        <v>7.5800000000000006E-2</v>
      </c>
      <c r="L187" s="47">
        <v>0.42</v>
      </c>
      <c r="M187" s="47">
        <v>0.3881</v>
      </c>
      <c r="N187" s="47">
        <v>1</v>
      </c>
      <c r="O187" s="47">
        <v>24</v>
      </c>
      <c r="P187" s="48">
        <v>25</v>
      </c>
    </row>
    <row r="188" spans="1:16">
      <c r="A188" s="41">
        <v>187</v>
      </c>
      <c r="B188" s="42">
        <v>40552</v>
      </c>
      <c r="C188" s="43">
        <v>1</v>
      </c>
      <c r="D188" s="43">
        <v>0</v>
      </c>
      <c r="E188" s="43">
        <v>1</v>
      </c>
      <c r="F188" s="43">
        <v>1</v>
      </c>
      <c r="G188" s="43" t="b">
        <v>0</v>
      </c>
      <c r="H188" s="43">
        <v>0</v>
      </c>
      <c r="I188" s="43">
        <v>1</v>
      </c>
      <c r="J188" s="43">
        <v>0.1</v>
      </c>
      <c r="K188" s="43">
        <v>6.0600000000000001E-2</v>
      </c>
      <c r="L188" s="43">
        <v>0.42</v>
      </c>
      <c r="M188" s="43">
        <v>0.4627</v>
      </c>
      <c r="N188" s="43">
        <v>0</v>
      </c>
      <c r="O188" s="43">
        <v>12</v>
      </c>
      <c r="P188" s="44">
        <v>12</v>
      </c>
    </row>
    <row r="189" spans="1:16">
      <c r="A189" s="45">
        <v>188</v>
      </c>
      <c r="B189" s="46">
        <v>40552</v>
      </c>
      <c r="C189" s="47">
        <v>1</v>
      </c>
      <c r="D189" s="47">
        <v>0</v>
      </c>
      <c r="E189" s="47">
        <v>1</v>
      </c>
      <c r="F189" s="47">
        <v>2</v>
      </c>
      <c r="G189" s="47" t="b">
        <v>0</v>
      </c>
      <c r="H189" s="47">
        <v>0</v>
      </c>
      <c r="I189" s="47">
        <v>1</v>
      </c>
      <c r="J189" s="47">
        <v>0.1</v>
      </c>
      <c r="K189" s="47">
        <v>6.0600000000000001E-2</v>
      </c>
      <c r="L189" s="47">
        <v>0.46</v>
      </c>
      <c r="M189" s="47">
        <v>0.4627</v>
      </c>
      <c r="N189" s="47">
        <v>0</v>
      </c>
      <c r="O189" s="47">
        <v>11</v>
      </c>
      <c r="P189" s="48">
        <v>11</v>
      </c>
    </row>
    <row r="190" spans="1:16">
      <c r="A190" s="41">
        <v>189</v>
      </c>
      <c r="B190" s="42">
        <v>40552</v>
      </c>
      <c r="C190" s="43">
        <v>1</v>
      </c>
      <c r="D190" s="43">
        <v>0</v>
      </c>
      <c r="E190" s="43">
        <v>1</v>
      </c>
      <c r="F190" s="43">
        <v>3</v>
      </c>
      <c r="G190" s="43" t="b">
        <v>0</v>
      </c>
      <c r="H190" s="43">
        <v>0</v>
      </c>
      <c r="I190" s="43">
        <v>1</v>
      </c>
      <c r="J190" s="43">
        <v>0.1</v>
      </c>
      <c r="K190" s="43">
        <v>7.5800000000000006E-2</v>
      </c>
      <c r="L190" s="43">
        <v>0.46</v>
      </c>
      <c r="M190" s="43">
        <v>0.41789999999999999</v>
      </c>
      <c r="N190" s="43">
        <v>0</v>
      </c>
      <c r="O190" s="43">
        <v>4</v>
      </c>
      <c r="P190" s="44">
        <v>4</v>
      </c>
    </row>
    <row r="191" spans="1:16">
      <c r="A191" s="45">
        <v>190</v>
      </c>
      <c r="B191" s="46">
        <v>40552</v>
      </c>
      <c r="C191" s="47">
        <v>1</v>
      </c>
      <c r="D191" s="47">
        <v>0</v>
      </c>
      <c r="E191" s="47">
        <v>1</v>
      </c>
      <c r="F191" s="47">
        <v>4</v>
      </c>
      <c r="G191" s="47" t="b">
        <v>0</v>
      </c>
      <c r="H191" s="47">
        <v>0</v>
      </c>
      <c r="I191" s="47">
        <v>1</v>
      </c>
      <c r="J191" s="47">
        <v>0.08</v>
      </c>
      <c r="K191" s="47">
        <v>9.0899999999999995E-2</v>
      </c>
      <c r="L191" s="47">
        <v>0.53</v>
      </c>
      <c r="M191" s="47">
        <v>0.19400000000000001</v>
      </c>
      <c r="N191" s="47">
        <v>0</v>
      </c>
      <c r="O191" s="47">
        <v>1</v>
      </c>
      <c r="P191" s="48">
        <v>1</v>
      </c>
    </row>
    <row r="192" spans="1:16">
      <c r="A192" s="41">
        <v>191</v>
      </c>
      <c r="B192" s="42">
        <v>40552</v>
      </c>
      <c r="C192" s="43">
        <v>1</v>
      </c>
      <c r="D192" s="43">
        <v>0</v>
      </c>
      <c r="E192" s="43">
        <v>1</v>
      </c>
      <c r="F192" s="43">
        <v>5</v>
      </c>
      <c r="G192" s="43" t="b">
        <v>0</v>
      </c>
      <c r="H192" s="43">
        <v>0</v>
      </c>
      <c r="I192" s="43">
        <v>1</v>
      </c>
      <c r="J192" s="43">
        <v>0.08</v>
      </c>
      <c r="K192" s="43">
        <v>9.0899999999999995E-2</v>
      </c>
      <c r="L192" s="43">
        <v>0.53</v>
      </c>
      <c r="M192" s="43">
        <v>0.19400000000000001</v>
      </c>
      <c r="N192" s="43">
        <v>0</v>
      </c>
      <c r="O192" s="43">
        <v>1</v>
      </c>
      <c r="P192" s="44">
        <v>1</v>
      </c>
    </row>
    <row r="193" spans="1:16">
      <c r="A193" s="45">
        <v>192</v>
      </c>
      <c r="B193" s="46">
        <v>40552</v>
      </c>
      <c r="C193" s="47">
        <v>1</v>
      </c>
      <c r="D193" s="47">
        <v>0</v>
      </c>
      <c r="E193" s="47">
        <v>1</v>
      </c>
      <c r="F193" s="47">
        <v>6</v>
      </c>
      <c r="G193" s="47" t="b">
        <v>0</v>
      </c>
      <c r="H193" s="47">
        <v>0</v>
      </c>
      <c r="I193" s="47">
        <v>1</v>
      </c>
      <c r="J193" s="47">
        <v>0.1</v>
      </c>
      <c r="K193" s="47">
        <v>9.0899999999999995E-2</v>
      </c>
      <c r="L193" s="47">
        <v>0.49</v>
      </c>
      <c r="M193" s="47">
        <v>0.28360000000000002</v>
      </c>
      <c r="N193" s="47">
        <v>0</v>
      </c>
      <c r="O193" s="47">
        <v>1</v>
      </c>
      <c r="P193" s="48">
        <v>1</v>
      </c>
    </row>
    <row r="194" spans="1:16">
      <c r="A194" s="41">
        <v>193</v>
      </c>
      <c r="B194" s="42">
        <v>40552</v>
      </c>
      <c r="C194" s="43">
        <v>1</v>
      </c>
      <c r="D194" s="43">
        <v>0</v>
      </c>
      <c r="E194" s="43">
        <v>1</v>
      </c>
      <c r="F194" s="43">
        <v>7</v>
      </c>
      <c r="G194" s="43" t="b">
        <v>0</v>
      </c>
      <c r="H194" s="43">
        <v>0</v>
      </c>
      <c r="I194" s="43">
        <v>1</v>
      </c>
      <c r="J194" s="43">
        <v>0.08</v>
      </c>
      <c r="K194" s="43">
        <v>9.0899999999999995E-2</v>
      </c>
      <c r="L194" s="43">
        <v>0.53</v>
      </c>
      <c r="M194" s="43">
        <v>0.19400000000000001</v>
      </c>
      <c r="N194" s="43">
        <v>1</v>
      </c>
      <c r="O194" s="43">
        <v>5</v>
      </c>
      <c r="P194" s="44">
        <v>6</v>
      </c>
    </row>
    <row r="195" spans="1:16">
      <c r="A195" s="45">
        <v>194</v>
      </c>
      <c r="B195" s="46">
        <v>40552</v>
      </c>
      <c r="C195" s="47">
        <v>1</v>
      </c>
      <c r="D195" s="47">
        <v>0</v>
      </c>
      <c r="E195" s="47">
        <v>1</v>
      </c>
      <c r="F195" s="47">
        <v>8</v>
      </c>
      <c r="G195" s="47" t="b">
        <v>0</v>
      </c>
      <c r="H195" s="47">
        <v>0</v>
      </c>
      <c r="I195" s="47">
        <v>1</v>
      </c>
      <c r="J195" s="47">
        <v>0.1</v>
      </c>
      <c r="K195" s="47">
        <v>9.0899999999999995E-2</v>
      </c>
      <c r="L195" s="47">
        <v>0.49</v>
      </c>
      <c r="M195" s="47">
        <v>0.28360000000000002</v>
      </c>
      <c r="N195" s="47">
        <v>0</v>
      </c>
      <c r="O195" s="47">
        <v>10</v>
      </c>
      <c r="P195" s="48">
        <v>10</v>
      </c>
    </row>
    <row r="196" spans="1:16">
      <c r="A196" s="41">
        <v>195</v>
      </c>
      <c r="B196" s="42">
        <v>40552</v>
      </c>
      <c r="C196" s="43">
        <v>1</v>
      </c>
      <c r="D196" s="43">
        <v>0</v>
      </c>
      <c r="E196" s="43">
        <v>1</v>
      </c>
      <c r="F196" s="43">
        <v>9</v>
      </c>
      <c r="G196" s="43" t="b">
        <v>0</v>
      </c>
      <c r="H196" s="43">
        <v>0</v>
      </c>
      <c r="I196" s="43">
        <v>1</v>
      </c>
      <c r="J196" s="43">
        <v>0.12</v>
      </c>
      <c r="K196" s="43">
        <v>7.5800000000000006E-2</v>
      </c>
      <c r="L196" s="43">
        <v>0.46</v>
      </c>
      <c r="M196" s="43">
        <v>0.52239999999999998</v>
      </c>
      <c r="N196" s="43">
        <v>0</v>
      </c>
      <c r="O196" s="43">
        <v>19</v>
      </c>
      <c r="P196" s="44">
        <v>19</v>
      </c>
    </row>
    <row r="197" spans="1:16">
      <c r="A197" s="45">
        <v>196</v>
      </c>
      <c r="B197" s="46">
        <v>40552</v>
      </c>
      <c r="C197" s="47">
        <v>1</v>
      </c>
      <c r="D197" s="47">
        <v>0</v>
      </c>
      <c r="E197" s="47">
        <v>1</v>
      </c>
      <c r="F197" s="47">
        <v>10</v>
      </c>
      <c r="G197" s="47" t="b">
        <v>0</v>
      </c>
      <c r="H197" s="47">
        <v>0</v>
      </c>
      <c r="I197" s="47">
        <v>1</v>
      </c>
      <c r="J197" s="47">
        <v>0.14000000000000001</v>
      </c>
      <c r="K197" s="47">
        <v>0.1061</v>
      </c>
      <c r="L197" s="47">
        <v>0.43</v>
      </c>
      <c r="M197" s="47">
        <v>0.3881</v>
      </c>
      <c r="N197" s="47">
        <v>0</v>
      </c>
      <c r="O197" s="47">
        <v>49</v>
      </c>
      <c r="P197" s="48">
        <v>49</v>
      </c>
    </row>
    <row r="198" spans="1:16">
      <c r="A198" s="41">
        <v>197</v>
      </c>
      <c r="B198" s="42">
        <v>40552</v>
      </c>
      <c r="C198" s="43">
        <v>1</v>
      </c>
      <c r="D198" s="43">
        <v>0</v>
      </c>
      <c r="E198" s="43">
        <v>1</v>
      </c>
      <c r="F198" s="43">
        <v>11</v>
      </c>
      <c r="G198" s="43" t="b">
        <v>0</v>
      </c>
      <c r="H198" s="43">
        <v>0</v>
      </c>
      <c r="I198" s="43">
        <v>1</v>
      </c>
      <c r="J198" s="43">
        <v>0.16</v>
      </c>
      <c r="K198" s="43">
        <v>0.1212</v>
      </c>
      <c r="L198" s="43">
        <v>0.4</v>
      </c>
      <c r="M198" s="43">
        <v>0.52239999999999998</v>
      </c>
      <c r="N198" s="43">
        <v>2</v>
      </c>
      <c r="O198" s="43">
        <v>47</v>
      </c>
      <c r="P198" s="44">
        <v>49</v>
      </c>
    </row>
    <row r="199" spans="1:16">
      <c r="A199" s="45">
        <v>198</v>
      </c>
      <c r="B199" s="46">
        <v>40552</v>
      </c>
      <c r="C199" s="47">
        <v>1</v>
      </c>
      <c r="D199" s="47">
        <v>0</v>
      </c>
      <c r="E199" s="47">
        <v>1</v>
      </c>
      <c r="F199" s="47">
        <v>12</v>
      </c>
      <c r="G199" s="47" t="b">
        <v>0</v>
      </c>
      <c r="H199" s="47">
        <v>0</v>
      </c>
      <c r="I199" s="47">
        <v>1</v>
      </c>
      <c r="J199" s="47">
        <v>0.18</v>
      </c>
      <c r="K199" s="47">
        <v>0.13639999999999999</v>
      </c>
      <c r="L199" s="47">
        <v>0.37</v>
      </c>
      <c r="M199" s="47">
        <v>0.44779999999999998</v>
      </c>
      <c r="N199" s="47">
        <v>4</v>
      </c>
      <c r="O199" s="47">
        <v>79</v>
      </c>
      <c r="P199" s="48">
        <v>83</v>
      </c>
    </row>
    <row r="200" spans="1:16">
      <c r="A200" s="41">
        <v>199</v>
      </c>
      <c r="B200" s="42">
        <v>40552</v>
      </c>
      <c r="C200" s="43">
        <v>1</v>
      </c>
      <c r="D200" s="43">
        <v>0</v>
      </c>
      <c r="E200" s="43">
        <v>1</v>
      </c>
      <c r="F200" s="43">
        <v>13</v>
      </c>
      <c r="G200" s="43" t="b">
        <v>0</v>
      </c>
      <c r="H200" s="43">
        <v>0</v>
      </c>
      <c r="I200" s="43">
        <v>1</v>
      </c>
      <c r="J200" s="43">
        <v>0.2</v>
      </c>
      <c r="K200" s="43">
        <v>0.16669999999999999</v>
      </c>
      <c r="L200" s="43">
        <v>0.34</v>
      </c>
      <c r="M200" s="43">
        <v>0.44779999999999998</v>
      </c>
      <c r="N200" s="43">
        <v>6</v>
      </c>
      <c r="O200" s="43">
        <v>69</v>
      </c>
      <c r="P200" s="44">
        <v>75</v>
      </c>
    </row>
    <row r="201" spans="1:16">
      <c r="A201" s="45">
        <v>200</v>
      </c>
      <c r="B201" s="46">
        <v>40552</v>
      </c>
      <c r="C201" s="47">
        <v>1</v>
      </c>
      <c r="D201" s="47">
        <v>0</v>
      </c>
      <c r="E201" s="47">
        <v>1</v>
      </c>
      <c r="F201" s="47">
        <v>14</v>
      </c>
      <c r="G201" s="47" t="b">
        <v>0</v>
      </c>
      <c r="H201" s="47">
        <v>0</v>
      </c>
      <c r="I201" s="47">
        <v>1</v>
      </c>
      <c r="J201" s="47">
        <v>0.22</v>
      </c>
      <c r="K201" s="47">
        <v>0.18179999999999999</v>
      </c>
      <c r="L201" s="47">
        <v>0.32</v>
      </c>
      <c r="M201" s="47">
        <v>0.4627</v>
      </c>
      <c r="N201" s="47">
        <v>8</v>
      </c>
      <c r="O201" s="47">
        <v>64</v>
      </c>
      <c r="P201" s="48">
        <v>72</v>
      </c>
    </row>
    <row r="202" spans="1:16">
      <c r="A202" s="41">
        <v>201</v>
      </c>
      <c r="B202" s="42">
        <v>40552</v>
      </c>
      <c r="C202" s="43">
        <v>1</v>
      </c>
      <c r="D202" s="43">
        <v>0</v>
      </c>
      <c r="E202" s="43">
        <v>1</v>
      </c>
      <c r="F202" s="43">
        <v>15</v>
      </c>
      <c r="G202" s="43" t="b">
        <v>0</v>
      </c>
      <c r="H202" s="43">
        <v>0</v>
      </c>
      <c r="I202" s="43">
        <v>1</v>
      </c>
      <c r="J202" s="43">
        <v>0.22</v>
      </c>
      <c r="K202" s="43">
        <v>0.19700000000000001</v>
      </c>
      <c r="L202" s="43">
        <v>0.35</v>
      </c>
      <c r="M202" s="43">
        <v>0.35820000000000002</v>
      </c>
      <c r="N202" s="43">
        <v>5</v>
      </c>
      <c r="O202" s="43">
        <v>77</v>
      </c>
      <c r="P202" s="44">
        <v>82</v>
      </c>
    </row>
    <row r="203" spans="1:16">
      <c r="A203" s="45">
        <v>202</v>
      </c>
      <c r="B203" s="46">
        <v>40552</v>
      </c>
      <c r="C203" s="47">
        <v>1</v>
      </c>
      <c r="D203" s="47">
        <v>0</v>
      </c>
      <c r="E203" s="47">
        <v>1</v>
      </c>
      <c r="F203" s="47">
        <v>16</v>
      </c>
      <c r="G203" s="47" t="b">
        <v>0</v>
      </c>
      <c r="H203" s="47">
        <v>0</v>
      </c>
      <c r="I203" s="47">
        <v>1</v>
      </c>
      <c r="J203" s="47">
        <v>0.2</v>
      </c>
      <c r="K203" s="47">
        <v>0.16669999999999999</v>
      </c>
      <c r="L203" s="47">
        <v>0.34</v>
      </c>
      <c r="M203" s="47">
        <v>0.44779999999999998</v>
      </c>
      <c r="N203" s="47">
        <v>13</v>
      </c>
      <c r="O203" s="47">
        <v>79</v>
      </c>
      <c r="P203" s="48">
        <v>92</v>
      </c>
    </row>
    <row r="204" spans="1:16">
      <c r="A204" s="41">
        <v>203</v>
      </c>
      <c r="B204" s="42">
        <v>40552</v>
      </c>
      <c r="C204" s="43">
        <v>1</v>
      </c>
      <c r="D204" s="43">
        <v>0</v>
      </c>
      <c r="E204" s="43">
        <v>1</v>
      </c>
      <c r="F204" s="43">
        <v>17</v>
      </c>
      <c r="G204" s="43" t="b">
        <v>0</v>
      </c>
      <c r="H204" s="43">
        <v>0</v>
      </c>
      <c r="I204" s="43">
        <v>1</v>
      </c>
      <c r="J204" s="43">
        <v>0.18</v>
      </c>
      <c r="K204" s="43">
        <v>0.1515</v>
      </c>
      <c r="L204" s="43">
        <v>0.37</v>
      </c>
      <c r="M204" s="43">
        <v>0.3881</v>
      </c>
      <c r="N204" s="43">
        <v>3</v>
      </c>
      <c r="O204" s="43">
        <v>59</v>
      </c>
      <c r="P204" s="44">
        <v>62</v>
      </c>
    </row>
    <row r="205" spans="1:16">
      <c r="A205" s="45">
        <v>204</v>
      </c>
      <c r="B205" s="46">
        <v>40552</v>
      </c>
      <c r="C205" s="47">
        <v>1</v>
      </c>
      <c r="D205" s="47">
        <v>0</v>
      </c>
      <c r="E205" s="47">
        <v>1</v>
      </c>
      <c r="F205" s="47">
        <v>18</v>
      </c>
      <c r="G205" s="47" t="b">
        <v>0</v>
      </c>
      <c r="H205" s="47">
        <v>0</v>
      </c>
      <c r="I205" s="47">
        <v>1</v>
      </c>
      <c r="J205" s="47">
        <v>0.16</v>
      </c>
      <c r="K205" s="47">
        <v>0.13639999999999999</v>
      </c>
      <c r="L205" s="47">
        <v>0.4</v>
      </c>
      <c r="M205" s="47">
        <v>0.32840000000000003</v>
      </c>
      <c r="N205" s="47">
        <v>4</v>
      </c>
      <c r="O205" s="47">
        <v>44</v>
      </c>
      <c r="P205" s="48">
        <v>48</v>
      </c>
    </row>
    <row r="206" spans="1:16">
      <c r="A206" s="41">
        <v>205</v>
      </c>
      <c r="B206" s="42">
        <v>40552</v>
      </c>
      <c r="C206" s="43">
        <v>1</v>
      </c>
      <c r="D206" s="43">
        <v>0</v>
      </c>
      <c r="E206" s="43">
        <v>1</v>
      </c>
      <c r="F206" s="43">
        <v>19</v>
      </c>
      <c r="G206" s="43" t="b">
        <v>0</v>
      </c>
      <c r="H206" s="43">
        <v>0</v>
      </c>
      <c r="I206" s="43">
        <v>1</v>
      </c>
      <c r="J206" s="43">
        <v>0.16</v>
      </c>
      <c r="K206" s="43">
        <v>0.13639999999999999</v>
      </c>
      <c r="L206" s="43">
        <v>0.43</v>
      </c>
      <c r="M206" s="43">
        <v>0.32840000000000003</v>
      </c>
      <c r="N206" s="43">
        <v>1</v>
      </c>
      <c r="O206" s="43">
        <v>40</v>
      </c>
      <c r="P206" s="44">
        <v>41</v>
      </c>
    </row>
    <row r="207" spans="1:16">
      <c r="A207" s="45">
        <v>206</v>
      </c>
      <c r="B207" s="46">
        <v>40552</v>
      </c>
      <c r="C207" s="47">
        <v>1</v>
      </c>
      <c r="D207" s="47">
        <v>0</v>
      </c>
      <c r="E207" s="47">
        <v>1</v>
      </c>
      <c r="F207" s="47">
        <v>20</v>
      </c>
      <c r="G207" s="47" t="b">
        <v>0</v>
      </c>
      <c r="H207" s="47">
        <v>0</v>
      </c>
      <c r="I207" s="47">
        <v>1</v>
      </c>
      <c r="J207" s="47">
        <v>0.14000000000000001</v>
      </c>
      <c r="K207" s="47">
        <v>0.1212</v>
      </c>
      <c r="L207" s="47">
        <v>0.46</v>
      </c>
      <c r="M207" s="47">
        <v>0.25369999999999998</v>
      </c>
      <c r="N207" s="47">
        <v>0</v>
      </c>
      <c r="O207" s="47">
        <v>38</v>
      </c>
      <c r="P207" s="48">
        <v>38</v>
      </c>
    </row>
    <row r="208" spans="1:16">
      <c r="A208" s="41">
        <v>207</v>
      </c>
      <c r="B208" s="42">
        <v>40552</v>
      </c>
      <c r="C208" s="43">
        <v>1</v>
      </c>
      <c r="D208" s="43">
        <v>0</v>
      </c>
      <c r="E208" s="43">
        <v>1</v>
      </c>
      <c r="F208" s="43">
        <v>21</v>
      </c>
      <c r="G208" s="43" t="b">
        <v>0</v>
      </c>
      <c r="H208" s="43">
        <v>0</v>
      </c>
      <c r="I208" s="43">
        <v>1</v>
      </c>
      <c r="J208" s="43">
        <v>0.14000000000000001</v>
      </c>
      <c r="K208" s="43">
        <v>0.1061</v>
      </c>
      <c r="L208" s="43">
        <v>0.46</v>
      </c>
      <c r="M208" s="43">
        <v>0.41789999999999999</v>
      </c>
      <c r="N208" s="43">
        <v>1</v>
      </c>
      <c r="O208" s="43">
        <v>19</v>
      </c>
      <c r="P208" s="44">
        <v>20</v>
      </c>
    </row>
    <row r="209" spans="1:16">
      <c r="A209" s="45">
        <v>208</v>
      </c>
      <c r="B209" s="46">
        <v>40552</v>
      </c>
      <c r="C209" s="47">
        <v>1</v>
      </c>
      <c r="D209" s="47">
        <v>0</v>
      </c>
      <c r="E209" s="47">
        <v>1</v>
      </c>
      <c r="F209" s="47">
        <v>22</v>
      </c>
      <c r="G209" s="47" t="b">
        <v>0</v>
      </c>
      <c r="H209" s="47">
        <v>0</v>
      </c>
      <c r="I209" s="47">
        <v>1</v>
      </c>
      <c r="J209" s="47">
        <v>0.14000000000000001</v>
      </c>
      <c r="K209" s="47">
        <v>0.1212</v>
      </c>
      <c r="L209" s="47">
        <v>0.46</v>
      </c>
      <c r="M209" s="47">
        <v>0.29849999999999999</v>
      </c>
      <c r="N209" s="47">
        <v>5</v>
      </c>
      <c r="O209" s="47">
        <v>10</v>
      </c>
      <c r="P209" s="48">
        <v>15</v>
      </c>
    </row>
    <row r="210" spans="1:16">
      <c r="A210" s="41">
        <v>209</v>
      </c>
      <c r="B210" s="42">
        <v>40552</v>
      </c>
      <c r="C210" s="43">
        <v>1</v>
      </c>
      <c r="D210" s="43">
        <v>0</v>
      </c>
      <c r="E210" s="43">
        <v>1</v>
      </c>
      <c r="F210" s="43">
        <v>23</v>
      </c>
      <c r="G210" s="43" t="b">
        <v>0</v>
      </c>
      <c r="H210" s="43">
        <v>0</v>
      </c>
      <c r="I210" s="43">
        <v>1</v>
      </c>
      <c r="J210" s="43">
        <v>0.12</v>
      </c>
      <c r="K210" s="43">
        <v>0.13639999999999999</v>
      </c>
      <c r="L210" s="43">
        <v>0.5</v>
      </c>
      <c r="M210" s="43">
        <v>0.19400000000000001</v>
      </c>
      <c r="N210" s="43">
        <v>0</v>
      </c>
      <c r="O210" s="43">
        <v>6</v>
      </c>
      <c r="P210" s="44">
        <v>6</v>
      </c>
    </row>
    <row r="211" spans="1:16">
      <c r="A211" s="45">
        <v>210</v>
      </c>
      <c r="B211" s="46">
        <v>40553</v>
      </c>
      <c r="C211" s="47">
        <v>1</v>
      </c>
      <c r="D211" s="47">
        <v>0</v>
      </c>
      <c r="E211" s="47">
        <v>1</v>
      </c>
      <c r="F211" s="47">
        <v>0</v>
      </c>
      <c r="G211" s="47" t="b">
        <v>0</v>
      </c>
      <c r="H211" s="47">
        <v>1</v>
      </c>
      <c r="I211" s="47">
        <v>1</v>
      </c>
      <c r="J211" s="47">
        <v>0.12</v>
      </c>
      <c r="K211" s="47">
        <v>0.1212</v>
      </c>
      <c r="L211" s="47">
        <v>0.5</v>
      </c>
      <c r="M211" s="47">
        <v>0.28360000000000002</v>
      </c>
      <c r="N211" s="47">
        <v>2</v>
      </c>
      <c r="O211" s="47">
        <v>3</v>
      </c>
      <c r="P211" s="48">
        <v>5</v>
      </c>
    </row>
    <row r="212" spans="1:16">
      <c r="A212" s="41">
        <v>211</v>
      </c>
      <c r="B212" s="42">
        <v>40553</v>
      </c>
      <c r="C212" s="43">
        <v>1</v>
      </c>
      <c r="D212" s="43">
        <v>0</v>
      </c>
      <c r="E212" s="43">
        <v>1</v>
      </c>
      <c r="F212" s="43">
        <v>1</v>
      </c>
      <c r="G212" s="43" t="b">
        <v>0</v>
      </c>
      <c r="H212" s="43">
        <v>1</v>
      </c>
      <c r="I212" s="43">
        <v>1</v>
      </c>
      <c r="J212" s="43">
        <v>0.12</v>
      </c>
      <c r="K212" s="43">
        <v>0.1212</v>
      </c>
      <c r="L212" s="43">
        <v>0.5</v>
      </c>
      <c r="M212" s="43">
        <v>0.28360000000000002</v>
      </c>
      <c r="N212" s="43">
        <v>1</v>
      </c>
      <c r="O212" s="43">
        <v>0</v>
      </c>
      <c r="P212" s="44">
        <v>1</v>
      </c>
    </row>
    <row r="213" spans="1:16">
      <c r="A213" s="45">
        <v>212</v>
      </c>
      <c r="B213" s="46">
        <v>40553</v>
      </c>
      <c r="C213" s="47">
        <v>1</v>
      </c>
      <c r="D213" s="47">
        <v>0</v>
      </c>
      <c r="E213" s="47">
        <v>1</v>
      </c>
      <c r="F213" s="47">
        <v>2</v>
      </c>
      <c r="G213" s="47" t="b">
        <v>0</v>
      </c>
      <c r="H213" s="47">
        <v>1</v>
      </c>
      <c r="I213" s="47">
        <v>1</v>
      </c>
      <c r="J213" s="47">
        <v>0.12</v>
      </c>
      <c r="K213" s="47">
        <v>0.1212</v>
      </c>
      <c r="L213" s="47">
        <v>0.5</v>
      </c>
      <c r="M213" s="47">
        <v>0.22389999999999999</v>
      </c>
      <c r="N213" s="47">
        <v>0</v>
      </c>
      <c r="O213" s="47">
        <v>3</v>
      </c>
      <c r="P213" s="48">
        <v>3</v>
      </c>
    </row>
    <row r="214" spans="1:16">
      <c r="A214" s="41">
        <v>213</v>
      </c>
      <c r="B214" s="42">
        <v>40553</v>
      </c>
      <c r="C214" s="43">
        <v>1</v>
      </c>
      <c r="D214" s="43">
        <v>0</v>
      </c>
      <c r="E214" s="43">
        <v>1</v>
      </c>
      <c r="F214" s="43">
        <v>3</v>
      </c>
      <c r="G214" s="43" t="b">
        <v>0</v>
      </c>
      <c r="H214" s="43">
        <v>1</v>
      </c>
      <c r="I214" s="43">
        <v>1</v>
      </c>
      <c r="J214" s="43">
        <v>0.12</v>
      </c>
      <c r="K214" s="43">
        <v>0.1212</v>
      </c>
      <c r="L214" s="43">
        <v>0.5</v>
      </c>
      <c r="M214" s="43">
        <v>0.22389999999999999</v>
      </c>
      <c r="N214" s="43">
        <v>0</v>
      </c>
      <c r="O214" s="43">
        <v>1</v>
      </c>
      <c r="P214" s="44">
        <v>1</v>
      </c>
    </row>
    <row r="215" spans="1:16">
      <c r="A215" s="45">
        <v>214</v>
      </c>
      <c r="B215" s="46">
        <v>40553</v>
      </c>
      <c r="C215" s="47">
        <v>1</v>
      </c>
      <c r="D215" s="47">
        <v>0</v>
      </c>
      <c r="E215" s="47">
        <v>1</v>
      </c>
      <c r="F215" s="47">
        <v>4</v>
      </c>
      <c r="G215" s="47" t="b">
        <v>0</v>
      </c>
      <c r="H215" s="47">
        <v>1</v>
      </c>
      <c r="I215" s="47">
        <v>1</v>
      </c>
      <c r="J215" s="47">
        <v>0.1</v>
      </c>
      <c r="K215" s="47">
        <v>0.1212</v>
      </c>
      <c r="L215" s="47">
        <v>0.54</v>
      </c>
      <c r="M215" s="47">
        <v>0.1343</v>
      </c>
      <c r="N215" s="47">
        <v>1</v>
      </c>
      <c r="O215" s="47">
        <v>2</v>
      </c>
      <c r="P215" s="48">
        <v>3</v>
      </c>
    </row>
    <row r="216" spans="1:16">
      <c r="A216" s="41">
        <v>215</v>
      </c>
      <c r="B216" s="42">
        <v>40553</v>
      </c>
      <c r="C216" s="43">
        <v>1</v>
      </c>
      <c r="D216" s="43">
        <v>0</v>
      </c>
      <c r="E216" s="43">
        <v>1</v>
      </c>
      <c r="F216" s="43">
        <v>5</v>
      </c>
      <c r="G216" s="43" t="b">
        <v>0</v>
      </c>
      <c r="H216" s="43">
        <v>1</v>
      </c>
      <c r="I216" s="43">
        <v>1</v>
      </c>
      <c r="J216" s="43">
        <v>0.1</v>
      </c>
      <c r="K216" s="43">
        <v>0.1061</v>
      </c>
      <c r="L216" s="43">
        <v>0.54</v>
      </c>
      <c r="M216" s="43">
        <v>0.25369999999999998</v>
      </c>
      <c r="N216" s="43">
        <v>0</v>
      </c>
      <c r="O216" s="43">
        <v>3</v>
      </c>
      <c r="P216" s="44">
        <v>3</v>
      </c>
    </row>
    <row r="217" spans="1:16">
      <c r="A217" s="45">
        <v>216</v>
      </c>
      <c r="B217" s="46">
        <v>40553</v>
      </c>
      <c r="C217" s="47">
        <v>1</v>
      </c>
      <c r="D217" s="47">
        <v>0</v>
      </c>
      <c r="E217" s="47">
        <v>1</v>
      </c>
      <c r="F217" s="47">
        <v>6</v>
      </c>
      <c r="G217" s="47" t="b">
        <v>0</v>
      </c>
      <c r="H217" s="47">
        <v>1</v>
      </c>
      <c r="I217" s="47">
        <v>1</v>
      </c>
      <c r="J217" s="47">
        <v>0.12</v>
      </c>
      <c r="K217" s="47">
        <v>0.1212</v>
      </c>
      <c r="L217" s="47">
        <v>0.5</v>
      </c>
      <c r="M217" s="47">
        <v>0.28360000000000002</v>
      </c>
      <c r="N217" s="47">
        <v>0</v>
      </c>
      <c r="O217" s="47">
        <v>31</v>
      </c>
      <c r="P217" s="48">
        <v>31</v>
      </c>
    </row>
    <row r="218" spans="1:16">
      <c r="A218" s="41">
        <v>217</v>
      </c>
      <c r="B218" s="42">
        <v>40553</v>
      </c>
      <c r="C218" s="43">
        <v>1</v>
      </c>
      <c r="D218" s="43">
        <v>0</v>
      </c>
      <c r="E218" s="43">
        <v>1</v>
      </c>
      <c r="F218" s="43">
        <v>7</v>
      </c>
      <c r="G218" s="43" t="b">
        <v>0</v>
      </c>
      <c r="H218" s="43">
        <v>1</v>
      </c>
      <c r="I218" s="43">
        <v>1</v>
      </c>
      <c r="J218" s="43">
        <v>0.12</v>
      </c>
      <c r="K218" s="43">
        <v>0.1212</v>
      </c>
      <c r="L218" s="43">
        <v>0.5</v>
      </c>
      <c r="M218" s="43">
        <v>0.22389999999999999</v>
      </c>
      <c r="N218" s="43">
        <v>2</v>
      </c>
      <c r="O218" s="43">
        <v>75</v>
      </c>
      <c r="P218" s="44">
        <v>77</v>
      </c>
    </row>
    <row r="219" spans="1:16">
      <c r="A219" s="45">
        <v>218</v>
      </c>
      <c r="B219" s="46">
        <v>40553</v>
      </c>
      <c r="C219" s="47">
        <v>1</v>
      </c>
      <c r="D219" s="47">
        <v>0</v>
      </c>
      <c r="E219" s="47">
        <v>1</v>
      </c>
      <c r="F219" s="47">
        <v>8</v>
      </c>
      <c r="G219" s="47" t="b">
        <v>0</v>
      </c>
      <c r="H219" s="47">
        <v>1</v>
      </c>
      <c r="I219" s="47">
        <v>2</v>
      </c>
      <c r="J219" s="47">
        <v>0.12</v>
      </c>
      <c r="K219" s="47">
        <v>0.1212</v>
      </c>
      <c r="L219" s="47">
        <v>0.5</v>
      </c>
      <c r="M219" s="47">
        <v>0.28360000000000002</v>
      </c>
      <c r="N219" s="47">
        <v>4</v>
      </c>
      <c r="O219" s="47">
        <v>184</v>
      </c>
      <c r="P219" s="48">
        <v>188</v>
      </c>
    </row>
    <row r="220" spans="1:16">
      <c r="A220" s="41">
        <v>219</v>
      </c>
      <c r="B220" s="42">
        <v>40553</v>
      </c>
      <c r="C220" s="43">
        <v>1</v>
      </c>
      <c r="D220" s="43">
        <v>0</v>
      </c>
      <c r="E220" s="43">
        <v>1</v>
      </c>
      <c r="F220" s="43">
        <v>9</v>
      </c>
      <c r="G220" s="43" t="b">
        <v>0</v>
      </c>
      <c r="H220" s="43">
        <v>1</v>
      </c>
      <c r="I220" s="43">
        <v>2</v>
      </c>
      <c r="J220" s="43">
        <v>0.14000000000000001</v>
      </c>
      <c r="K220" s="43">
        <v>0.1212</v>
      </c>
      <c r="L220" s="43">
        <v>0.5</v>
      </c>
      <c r="M220" s="43">
        <v>0.25369999999999998</v>
      </c>
      <c r="N220" s="43">
        <v>2</v>
      </c>
      <c r="O220" s="43">
        <v>92</v>
      </c>
      <c r="P220" s="44">
        <v>94</v>
      </c>
    </row>
    <row r="221" spans="1:16">
      <c r="A221" s="45">
        <v>220</v>
      </c>
      <c r="B221" s="46">
        <v>40553</v>
      </c>
      <c r="C221" s="47">
        <v>1</v>
      </c>
      <c r="D221" s="47">
        <v>0</v>
      </c>
      <c r="E221" s="47">
        <v>1</v>
      </c>
      <c r="F221" s="47">
        <v>10</v>
      </c>
      <c r="G221" s="47" t="b">
        <v>0</v>
      </c>
      <c r="H221" s="47">
        <v>1</v>
      </c>
      <c r="I221" s="47">
        <v>2</v>
      </c>
      <c r="J221" s="47">
        <v>0.14000000000000001</v>
      </c>
      <c r="K221" s="47">
        <v>0.1212</v>
      </c>
      <c r="L221" s="47">
        <v>0.5</v>
      </c>
      <c r="M221" s="47">
        <v>0.29849999999999999</v>
      </c>
      <c r="N221" s="47">
        <v>0</v>
      </c>
      <c r="O221" s="47">
        <v>31</v>
      </c>
      <c r="P221" s="48">
        <v>31</v>
      </c>
    </row>
    <row r="222" spans="1:16">
      <c r="A222" s="41">
        <v>221</v>
      </c>
      <c r="B222" s="42">
        <v>40553</v>
      </c>
      <c r="C222" s="43">
        <v>1</v>
      </c>
      <c r="D222" s="43">
        <v>0</v>
      </c>
      <c r="E222" s="43">
        <v>1</v>
      </c>
      <c r="F222" s="43">
        <v>11</v>
      </c>
      <c r="G222" s="43" t="b">
        <v>0</v>
      </c>
      <c r="H222" s="43">
        <v>1</v>
      </c>
      <c r="I222" s="43">
        <v>2</v>
      </c>
      <c r="J222" s="43">
        <v>0.16</v>
      </c>
      <c r="K222" s="43">
        <v>0.13639999999999999</v>
      </c>
      <c r="L222" s="43">
        <v>0.47</v>
      </c>
      <c r="M222" s="43">
        <v>0.28360000000000002</v>
      </c>
      <c r="N222" s="43">
        <v>2</v>
      </c>
      <c r="O222" s="43">
        <v>28</v>
      </c>
      <c r="P222" s="44">
        <v>30</v>
      </c>
    </row>
    <row r="223" spans="1:16">
      <c r="A223" s="45">
        <v>222</v>
      </c>
      <c r="B223" s="46">
        <v>40553</v>
      </c>
      <c r="C223" s="47">
        <v>1</v>
      </c>
      <c r="D223" s="47">
        <v>0</v>
      </c>
      <c r="E223" s="47">
        <v>1</v>
      </c>
      <c r="F223" s="47">
        <v>12</v>
      </c>
      <c r="G223" s="47" t="b">
        <v>0</v>
      </c>
      <c r="H223" s="47">
        <v>1</v>
      </c>
      <c r="I223" s="47">
        <v>2</v>
      </c>
      <c r="J223" s="47">
        <v>0.2</v>
      </c>
      <c r="K223" s="47">
        <v>0.18179999999999999</v>
      </c>
      <c r="L223" s="47">
        <v>0.4</v>
      </c>
      <c r="M223" s="47">
        <v>0.28360000000000002</v>
      </c>
      <c r="N223" s="47">
        <v>5</v>
      </c>
      <c r="O223" s="47">
        <v>47</v>
      </c>
      <c r="P223" s="48">
        <v>52</v>
      </c>
    </row>
    <row r="224" spans="1:16">
      <c r="A224" s="41">
        <v>223</v>
      </c>
      <c r="B224" s="42">
        <v>40553</v>
      </c>
      <c r="C224" s="43">
        <v>1</v>
      </c>
      <c r="D224" s="43">
        <v>0</v>
      </c>
      <c r="E224" s="43">
        <v>1</v>
      </c>
      <c r="F224" s="43">
        <v>13</v>
      </c>
      <c r="G224" s="43" t="b">
        <v>0</v>
      </c>
      <c r="H224" s="43">
        <v>1</v>
      </c>
      <c r="I224" s="43">
        <v>2</v>
      </c>
      <c r="J224" s="43">
        <v>0.2</v>
      </c>
      <c r="K224" s="43">
        <v>0.18179999999999999</v>
      </c>
      <c r="L224" s="43">
        <v>0.4</v>
      </c>
      <c r="M224" s="43">
        <v>0.28360000000000002</v>
      </c>
      <c r="N224" s="43">
        <v>4</v>
      </c>
      <c r="O224" s="43">
        <v>50</v>
      </c>
      <c r="P224" s="44">
        <v>54</v>
      </c>
    </row>
    <row r="225" spans="1:16">
      <c r="A225" s="45">
        <v>224</v>
      </c>
      <c r="B225" s="46">
        <v>40553</v>
      </c>
      <c r="C225" s="47">
        <v>1</v>
      </c>
      <c r="D225" s="47">
        <v>0</v>
      </c>
      <c r="E225" s="47">
        <v>1</v>
      </c>
      <c r="F225" s="47">
        <v>14</v>
      </c>
      <c r="G225" s="47" t="b">
        <v>0</v>
      </c>
      <c r="H225" s="47">
        <v>1</v>
      </c>
      <c r="I225" s="47">
        <v>2</v>
      </c>
      <c r="J225" s="47">
        <v>0.2</v>
      </c>
      <c r="K225" s="47">
        <v>0.19700000000000001</v>
      </c>
      <c r="L225" s="47">
        <v>0.4</v>
      </c>
      <c r="M225" s="47">
        <v>0.22389999999999999</v>
      </c>
      <c r="N225" s="47">
        <v>0</v>
      </c>
      <c r="O225" s="47">
        <v>47</v>
      </c>
      <c r="P225" s="48">
        <v>47</v>
      </c>
    </row>
    <row r="226" spans="1:16">
      <c r="A226" s="41">
        <v>225</v>
      </c>
      <c r="B226" s="42">
        <v>40553</v>
      </c>
      <c r="C226" s="43">
        <v>1</v>
      </c>
      <c r="D226" s="43">
        <v>0</v>
      </c>
      <c r="E226" s="43">
        <v>1</v>
      </c>
      <c r="F226" s="43">
        <v>15</v>
      </c>
      <c r="G226" s="43" t="b">
        <v>0</v>
      </c>
      <c r="H226" s="43">
        <v>1</v>
      </c>
      <c r="I226" s="43">
        <v>2</v>
      </c>
      <c r="J226" s="43">
        <v>0.2</v>
      </c>
      <c r="K226" s="43">
        <v>0.19700000000000001</v>
      </c>
      <c r="L226" s="43">
        <v>0.4</v>
      </c>
      <c r="M226" s="43">
        <v>0.22389999999999999</v>
      </c>
      <c r="N226" s="43">
        <v>2</v>
      </c>
      <c r="O226" s="43">
        <v>43</v>
      </c>
      <c r="P226" s="44">
        <v>45</v>
      </c>
    </row>
    <row r="227" spans="1:16">
      <c r="A227" s="45">
        <v>226</v>
      </c>
      <c r="B227" s="46">
        <v>40553</v>
      </c>
      <c r="C227" s="47">
        <v>1</v>
      </c>
      <c r="D227" s="47">
        <v>0</v>
      </c>
      <c r="E227" s="47">
        <v>1</v>
      </c>
      <c r="F227" s="47">
        <v>16</v>
      </c>
      <c r="G227" s="47" t="b">
        <v>0</v>
      </c>
      <c r="H227" s="47">
        <v>1</v>
      </c>
      <c r="I227" s="47">
        <v>1</v>
      </c>
      <c r="J227" s="47">
        <v>0.2</v>
      </c>
      <c r="K227" s="47">
        <v>0.21210000000000001</v>
      </c>
      <c r="L227" s="47">
        <v>0.4</v>
      </c>
      <c r="M227" s="47">
        <v>0.1343</v>
      </c>
      <c r="N227" s="47">
        <v>4</v>
      </c>
      <c r="O227" s="47">
        <v>70</v>
      </c>
      <c r="P227" s="48">
        <v>74</v>
      </c>
    </row>
    <row r="228" spans="1:16">
      <c r="A228" s="41">
        <v>227</v>
      </c>
      <c r="B228" s="42">
        <v>40553</v>
      </c>
      <c r="C228" s="43">
        <v>1</v>
      </c>
      <c r="D228" s="43">
        <v>0</v>
      </c>
      <c r="E228" s="43">
        <v>1</v>
      </c>
      <c r="F228" s="43">
        <v>17</v>
      </c>
      <c r="G228" s="43" t="b">
        <v>0</v>
      </c>
      <c r="H228" s="43">
        <v>1</v>
      </c>
      <c r="I228" s="43">
        <v>1</v>
      </c>
      <c r="J228" s="43">
        <v>0.2</v>
      </c>
      <c r="K228" s="43">
        <v>0.2273</v>
      </c>
      <c r="L228" s="43">
        <v>0.4</v>
      </c>
      <c r="M228" s="43">
        <v>0.1045</v>
      </c>
      <c r="N228" s="43">
        <v>4</v>
      </c>
      <c r="O228" s="43">
        <v>174</v>
      </c>
      <c r="P228" s="44">
        <v>178</v>
      </c>
    </row>
    <row r="229" spans="1:16">
      <c r="A229" s="45">
        <v>228</v>
      </c>
      <c r="B229" s="46">
        <v>40553</v>
      </c>
      <c r="C229" s="47">
        <v>1</v>
      </c>
      <c r="D229" s="47">
        <v>0</v>
      </c>
      <c r="E229" s="47">
        <v>1</v>
      </c>
      <c r="F229" s="47">
        <v>18</v>
      </c>
      <c r="G229" s="47" t="b">
        <v>0</v>
      </c>
      <c r="H229" s="47">
        <v>1</v>
      </c>
      <c r="I229" s="47">
        <v>1</v>
      </c>
      <c r="J229" s="47">
        <v>0.2</v>
      </c>
      <c r="K229" s="47">
        <v>0.19700000000000001</v>
      </c>
      <c r="L229" s="47">
        <v>0.4</v>
      </c>
      <c r="M229" s="47">
        <v>0.22389999999999999</v>
      </c>
      <c r="N229" s="47">
        <v>1</v>
      </c>
      <c r="O229" s="47">
        <v>154</v>
      </c>
      <c r="P229" s="48">
        <v>155</v>
      </c>
    </row>
    <row r="230" spans="1:16">
      <c r="A230" s="41">
        <v>229</v>
      </c>
      <c r="B230" s="42">
        <v>40553</v>
      </c>
      <c r="C230" s="43">
        <v>1</v>
      </c>
      <c r="D230" s="43">
        <v>0</v>
      </c>
      <c r="E230" s="43">
        <v>1</v>
      </c>
      <c r="F230" s="43">
        <v>19</v>
      </c>
      <c r="G230" s="43" t="b">
        <v>0</v>
      </c>
      <c r="H230" s="43">
        <v>1</v>
      </c>
      <c r="I230" s="43">
        <v>1</v>
      </c>
      <c r="J230" s="43">
        <v>0.16</v>
      </c>
      <c r="K230" s="43">
        <v>0.16669999999999999</v>
      </c>
      <c r="L230" s="43">
        <v>0.47</v>
      </c>
      <c r="M230" s="43">
        <v>0.16420000000000001</v>
      </c>
      <c r="N230" s="43">
        <v>3</v>
      </c>
      <c r="O230" s="43">
        <v>92</v>
      </c>
      <c r="P230" s="44">
        <v>95</v>
      </c>
    </row>
    <row r="231" spans="1:16">
      <c r="A231" s="45">
        <v>230</v>
      </c>
      <c r="B231" s="46">
        <v>40553</v>
      </c>
      <c r="C231" s="47">
        <v>1</v>
      </c>
      <c r="D231" s="47">
        <v>0</v>
      </c>
      <c r="E231" s="47">
        <v>1</v>
      </c>
      <c r="F231" s="47">
        <v>20</v>
      </c>
      <c r="G231" s="47" t="b">
        <v>0</v>
      </c>
      <c r="H231" s="47">
        <v>1</v>
      </c>
      <c r="I231" s="47">
        <v>1</v>
      </c>
      <c r="J231" s="47">
        <v>0.16</v>
      </c>
      <c r="K231" s="47">
        <v>0.16669999999999999</v>
      </c>
      <c r="L231" s="47">
        <v>0.5</v>
      </c>
      <c r="M231" s="47">
        <v>0.16420000000000001</v>
      </c>
      <c r="N231" s="47">
        <v>1</v>
      </c>
      <c r="O231" s="47">
        <v>73</v>
      </c>
      <c r="P231" s="48">
        <v>74</v>
      </c>
    </row>
    <row r="232" spans="1:16">
      <c r="A232" s="41">
        <v>231</v>
      </c>
      <c r="B232" s="42">
        <v>40553</v>
      </c>
      <c r="C232" s="43">
        <v>1</v>
      </c>
      <c r="D232" s="43">
        <v>0</v>
      </c>
      <c r="E232" s="43">
        <v>1</v>
      </c>
      <c r="F232" s="43">
        <v>21</v>
      </c>
      <c r="G232" s="43" t="b">
        <v>0</v>
      </c>
      <c r="H232" s="43">
        <v>1</v>
      </c>
      <c r="I232" s="43">
        <v>1</v>
      </c>
      <c r="J232" s="43">
        <v>0.14000000000000001</v>
      </c>
      <c r="K232" s="43">
        <v>0.13639999999999999</v>
      </c>
      <c r="L232" s="43">
        <v>0.59</v>
      </c>
      <c r="M232" s="43">
        <v>0.19400000000000001</v>
      </c>
      <c r="N232" s="43">
        <v>1</v>
      </c>
      <c r="O232" s="43">
        <v>37</v>
      </c>
      <c r="P232" s="44">
        <v>38</v>
      </c>
    </row>
    <row r="233" spans="1:16">
      <c r="A233" s="45">
        <v>232</v>
      </c>
      <c r="B233" s="46">
        <v>40553</v>
      </c>
      <c r="C233" s="47">
        <v>1</v>
      </c>
      <c r="D233" s="47">
        <v>0</v>
      </c>
      <c r="E233" s="47">
        <v>1</v>
      </c>
      <c r="F233" s="47">
        <v>22</v>
      </c>
      <c r="G233" s="47" t="b">
        <v>0</v>
      </c>
      <c r="H233" s="47">
        <v>1</v>
      </c>
      <c r="I233" s="47">
        <v>1</v>
      </c>
      <c r="J233" s="47">
        <v>0.14000000000000001</v>
      </c>
      <c r="K233" s="47">
        <v>0.1515</v>
      </c>
      <c r="L233" s="47">
        <v>0.59</v>
      </c>
      <c r="M233" s="47">
        <v>0.16420000000000001</v>
      </c>
      <c r="N233" s="47">
        <v>2</v>
      </c>
      <c r="O233" s="47">
        <v>22</v>
      </c>
      <c r="P233" s="48">
        <v>24</v>
      </c>
    </row>
    <row r="234" spans="1:16">
      <c r="A234" s="41">
        <v>233</v>
      </c>
      <c r="B234" s="42">
        <v>40553</v>
      </c>
      <c r="C234" s="43">
        <v>1</v>
      </c>
      <c r="D234" s="43">
        <v>0</v>
      </c>
      <c r="E234" s="43">
        <v>1</v>
      </c>
      <c r="F234" s="43">
        <v>23</v>
      </c>
      <c r="G234" s="43" t="b">
        <v>0</v>
      </c>
      <c r="H234" s="43">
        <v>1</v>
      </c>
      <c r="I234" s="43">
        <v>1</v>
      </c>
      <c r="J234" s="43">
        <v>0.14000000000000001</v>
      </c>
      <c r="K234" s="43">
        <v>0.1515</v>
      </c>
      <c r="L234" s="43">
        <v>0.59</v>
      </c>
      <c r="M234" s="43">
        <v>0.16420000000000001</v>
      </c>
      <c r="N234" s="43">
        <v>0</v>
      </c>
      <c r="O234" s="43">
        <v>18</v>
      </c>
      <c r="P234" s="44">
        <v>18</v>
      </c>
    </row>
    <row r="235" spans="1:16">
      <c r="A235" s="45">
        <v>234</v>
      </c>
      <c r="B235" s="46">
        <v>40554</v>
      </c>
      <c r="C235" s="47">
        <v>1</v>
      </c>
      <c r="D235" s="47">
        <v>0</v>
      </c>
      <c r="E235" s="47">
        <v>1</v>
      </c>
      <c r="F235" s="47">
        <v>0</v>
      </c>
      <c r="G235" s="47" t="b">
        <v>0</v>
      </c>
      <c r="H235" s="47">
        <v>2</v>
      </c>
      <c r="I235" s="47">
        <v>1</v>
      </c>
      <c r="J235" s="47">
        <v>0.14000000000000001</v>
      </c>
      <c r="K235" s="47">
        <v>0.16669999999999999</v>
      </c>
      <c r="L235" s="47">
        <v>0.59</v>
      </c>
      <c r="M235" s="47">
        <v>0.1045</v>
      </c>
      <c r="N235" s="47">
        <v>2</v>
      </c>
      <c r="O235" s="47">
        <v>10</v>
      </c>
      <c r="P235" s="48">
        <v>12</v>
      </c>
    </row>
    <row r="236" spans="1:16">
      <c r="A236" s="41">
        <v>235</v>
      </c>
      <c r="B236" s="42">
        <v>40554</v>
      </c>
      <c r="C236" s="43">
        <v>1</v>
      </c>
      <c r="D236" s="43">
        <v>0</v>
      </c>
      <c r="E236" s="43">
        <v>1</v>
      </c>
      <c r="F236" s="43">
        <v>1</v>
      </c>
      <c r="G236" s="43" t="b">
        <v>0</v>
      </c>
      <c r="H236" s="43">
        <v>2</v>
      </c>
      <c r="I236" s="43">
        <v>1</v>
      </c>
      <c r="J236" s="43">
        <v>0.14000000000000001</v>
      </c>
      <c r="K236" s="43">
        <v>0.1515</v>
      </c>
      <c r="L236" s="43">
        <v>0.59</v>
      </c>
      <c r="M236" s="43">
        <v>0.16420000000000001</v>
      </c>
      <c r="N236" s="43">
        <v>0</v>
      </c>
      <c r="O236" s="43">
        <v>3</v>
      </c>
      <c r="P236" s="44">
        <v>3</v>
      </c>
    </row>
    <row r="237" spans="1:16">
      <c r="A237" s="45">
        <v>236</v>
      </c>
      <c r="B237" s="46">
        <v>40554</v>
      </c>
      <c r="C237" s="47">
        <v>1</v>
      </c>
      <c r="D237" s="47">
        <v>0</v>
      </c>
      <c r="E237" s="47">
        <v>1</v>
      </c>
      <c r="F237" s="47">
        <v>2</v>
      </c>
      <c r="G237" s="47" t="b">
        <v>0</v>
      </c>
      <c r="H237" s="47">
        <v>2</v>
      </c>
      <c r="I237" s="47">
        <v>2</v>
      </c>
      <c r="J237" s="47">
        <v>0.16</v>
      </c>
      <c r="K237" s="47">
        <v>0.1515</v>
      </c>
      <c r="L237" s="47">
        <v>0.55000000000000004</v>
      </c>
      <c r="M237" s="47">
        <v>0.19400000000000001</v>
      </c>
      <c r="N237" s="47">
        <v>0</v>
      </c>
      <c r="O237" s="47">
        <v>3</v>
      </c>
      <c r="P237" s="48">
        <v>3</v>
      </c>
    </row>
    <row r="238" spans="1:16">
      <c r="A238" s="41">
        <v>237</v>
      </c>
      <c r="B238" s="42">
        <v>40554</v>
      </c>
      <c r="C238" s="43">
        <v>1</v>
      </c>
      <c r="D238" s="43">
        <v>0</v>
      </c>
      <c r="E238" s="43">
        <v>1</v>
      </c>
      <c r="F238" s="43">
        <v>5</v>
      </c>
      <c r="G238" s="43" t="b">
        <v>0</v>
      </c>
      <c r="H238" s="43">
        <v>2</v>
      </c>
      <c r="I238" s="43">
        <v>2</v>
      </c>
      <c r="J238" s="43">
        <v>0.16</v>
      </c>
      <c r="K238" s="43">
        <v>0.18179999999999999</v>
      </c>
      <c r="L238" s="43">
        <v>0.55000000000000004</v>
      </c>
      <c r="M238" s="43">
        <v>0.1343</v>
      </c>
      <c r="N238" s="43">
        <v>0</v>
      </c>
      <c r="O238" s="43">
        <v>6</v>
      </c>
      <c r="P238" s="44">
        <v>6</v>
      </c>
    </row>
    <row r="239" spans="1:16">
      <c r="A239" s="45">
        <v>238</v>
      </c>
      <c r="B239" s="46">
        <v>40554</v>
      </c>
      <c r="C239" s="47">
        <v>1</v>
      </c>
      <c r="D239" s="47">
        <v>0</v>
      </c>
      <c r="E239" s="47">
        <v>1</v>
      </c>
      <c r="F239" s="47">
        <v>6</v>
      </c>
      <c r="G239" s="47" t="b">
        <v>0</v>
      </c>
      <c r="H239" s="47">
        <v>2</v>
      </c>
      <c r="I239" s="47">
        <v>2</v>
      </c>
      <c r="J239" s="47">
        <v>0.16</v>
      </c>
      <c r="K239" s="47">
        <v>0.18179999999999999</v>
      </c>
      <c r="L239" s="47">
        <v>0.55000000000000004</v>
      </c>
      <c r="M239" s="47">
        <v>0.1343</v>
      </c>
      <c r="N239" s="47">
        <v>0</v>
      </c>
      <c r="O239" s="47">
        <v>27</v>
      </c>
      <c r="P239" s="48">
        <v>27</v>
      </c>
    </row>
    <row r="240" spans="1:16">
      <c r="A240" s="41">
        <v>239</v>
      </c>
      <c r="B240" s="42">
        <v>40554</v>
      </c>
      <c r="C240" s="43">
        <v>1</v>
      </c>
      <c r="D240" s="43">
        <v>0</v>
      </c>
      <c r="E240" s="43">
        <v>1</v>
      </c>
      <c r="F240" s="43">
        <v>7</v>
      </c>
      <c r="G240" s="43" t="b">
        <v>0</v>
      </c>
      <c r="H240" s="43">
        <v>2</v>
      </c>
      <c r="I240" s="43">
        <v>2</v>
      </c>
      <c r="J240" s="43">
        <v>0.16</v>
      </c>
      <c r="K240" s="43">
        <v>0.2273</v>
      </c>
      <c r="L240" s="43">
        <v>0.55000000000000004</v>
      </c>
      <c r="M240" s="43">
        <v>0</v>
      </c>
      <c r="N240" s="43">
        <v>2</v>
      </c>
      <c r="O240" s="43">
        <v>97</v>
      </c>
      <c r="P240" s="44">
        <v>99</v>
      </c>
    </row>
    <row r="241" spans="1:16">
      <c r="A241" s="45">
        <v>240</v>
      </c>
      <c r="B241" s="46">
        <v>40554</v>
      </c>
      <c r="C241" s="47">
        <v>1</v>
      </c>
      <c r="D241" s="47">
        <v>0</v>
      </c>
      <c r="E241" s="47">
        <v>1</v>
      </c>
      <c r="F241" s="47">
        <v>8</v>
      </c>
      <c r="G241" s="47" t="b">
        <v>0</v>
      </c>
      <c r="H241" s="47">
        <v>2</v>
      </c>
      <c r="I241" s="47">
        <v>2</v>
      </c>
      <c r="J241" s="47">
        <v>0.18</v>
      </c>
      <c r="K241" s="47">
        <v>0.21210000000000001</v>
      </c>
      <c r="L241" s="47">
        <v>0.51</v>
      </c>
      <c r="M241" s="47">
        <v>8.9599999999999999E-2</v>
      </c>
      <c r="N241" s="47">
        <v>3</v>
      </c>
      <c r="O241" s="47">
        <v>214</v>
      </c>
      <c r="P241" s="48">
        <v>217</v>
      </c>
    </row>
    <row r="242" spans="1:16">
      <c r="A242" s="41">
        <v>241</v>
      </c>
      <c r="B242" s="42">
        <v>40554</v>
      </c>
      <c r="C242" s="43">
        <v>1</v>
      </c>
      <c r="D242" s="43">
        <v>0</v>
      </c>
      <c r="E242" s="43">
        <v>1</v>
      </c>
      <c r="F242" s="43">
        <v>9</v>
      </c>
      <c r="G242" s="43" t="b">
        <v>0</v>
      </c>
      <c r="H242" s="43">
        <v>2</v>
      </c>
      <c r="I242" s="43">
        <v>2</v>
      </c>
      <c r="J242" s="43">
        <v>0.18</v>
      </c>
      <c r="K242" s="43">
        <v>0.19700000000000001</v>
      </c>
      <c r="L242" s="43">
        <v>0.51</v>
      </c>
      <c r="M242" s="43">
        <v>0.16420000000000001</v>
      </c>
      <c r="N242" s="43">
        <v>3</v>
      </c>
      <c r="O242" s="43">
        <v>127</v>
      </c>
      <c r="P242" s="44">
        <v>130</v>
      </c>
    </row>
    <row r="243" spans="1:16">
      <c r="A243" s="45">
        <v>242</v>
      </c>
      <c r="B243" s="46">
        <v>40554</v>
      </c>
      <c r="C243" s="47">
        <v>1</v>
      </c>
      <c r="D243" s="47">
        <v>0</v>
      </c>
      <c r="E243" s="47">
        <v>1</v>
      </c>
      <c r="F243" s="47">
        <v>10</v>
      </c>
      <c r="G243" s="47" t="b">
        <v>0</v>
      </c>
      <c r="H243" s="47">
        <v>2</v>
      </c>
      <c r="I243" s="47">
        <v>2</v>
      </c>
      <c r="J243" s="47">
        <v>0.2</v>
      </c>
      <c r="K243" s="47">
        <v>0.21210000000000001</v>
      </c>
      <c r="L243" s="47">
        <v>0.51</v>
      </c>
      <c r="M243" s="47">
        <v>0.16420000000000001</v>
      </c>
      <c r="N243" s="47">
        <v>3</v>
      </c>
      <c r="O243" s="47">
        <v>51</v>
      </c>
      <c r="P243" s="48">
        <v>54</v>
      </c>
    </row>
    <row r="244" spans="1:16">
      <c r="A244" s="41">
        <v>243</v>
      </c>
      <c r="B244" s="42">
        <v>40554</v>
      </c>
      <c r="C244" s="43">
        <v>1</v>
      </c>
      <c r="D244" s="43">
        <v>0</v>
      </c>
      <c r="E244" s="43">
        <v>1</v>
      </c>
      <c r="F244" s="43">
        <v>11</v>
      </c>
      <c r="G244" s="43" t="b">
        <v>0</v>
      </c>
      <c r="H244" s="43">
        <v>2</v>
      </c>
      <c r="I244" s="43">
        <v>2</v>
      </c>
      <c r="J244" s="43">
        <v>0.2</v>
      </c>
      <c r="K244" s="43">
        <v>0.21210000000000001</v>
      </c>
      <c r="L244" s="43">
        <v>0.47</v>
      </c>
      <c r="M244" s="43">
        <v>0.1343</v>
      </c>
      <c r="N244" s="43">
        <v>4</v>
      </c>
      <c r="O244" s="43">
        <v>31</v>
      </c>
      <c r="P244" s="44">
        <v>35</v>
      </c>
    </row>
    <row r="245" spans="1:16">
      <c r="A245" s="45">
        <v>244</v>
      </c>
      <c r="B245" s="46">
        <v>40554</v>
      </c>
      <c r="C245" s="47">
        <v>1</v>
      </c>
      <c r="D245" s="47">
        <v>0</v>
      </c>
      <c r="E245" s="47">
        <v>1</v>
      </c>
      <c r="F245" s="47">
        <v>12</v>
      </c>
      <c r="G245" s="47" t="b">
        <v>0</v>
      </c>
      <c r="H245" s="47">
        <v>2</v>
      </c>
      <c r="I245" s="47">
        <v>2</v>
      </c>
      <c r="J245" s="47">
        <v>0.2</v>
      </c>
      <c r="K245" s="47">
        <v>0.2273</v>
      </c>
      <c r="L245" s="47">
        <v>0.51</v>
      </c>
      <c r="M245" s="47">
        <v>0.1045</v>
      </c>
      <c r="N245" s="47">
        <v>2</v>
      </c>
      <c r="O245" s="47">
        <v>55</v>
      </c>
      <c r="P245" s="48">
        <v>57</v>
      </c>
    </row>
    <row r="246" spans="1:16">
      <c r="A246" s="41">
        <v>245</v>
      </c>
      <c r="B246" s="42">
        <v>40554</v>
      </c>
      <c r="C246" s="43">
        <v>1</v>
      </c>
      <c r="D246" s="43">
        <v>0</v>
      </c>
      <c r="E246" s="43">
        <v>1</v>
      </c>
      <c r="F246" s="43">
        <v>13</v>
      </c>
      <c r="G246" s="43" t="b">
        <v>0</v>
      </c>
      <c r="H246" s="43">
        <v>2</v>
      </c>
      <c r="I246" s="43">
        <v>2</v>
      </c>
      <c r="J246" s="43">
        <v>0.2</v>
      </c>
      <c r="K246" s="43">
        <v>0.2273</v>
      </c>
      <c r="L246" s="43">
        <v>0.59</v>
      </c>
      <c r="M246" s="43">
        <v>8.9599999999999999E-2</v>
      </c>
      <c r="N246" s="43">
        <v>6</v>
      </c>
      <c r="O246" s="43">
        <v>46</v>
      </c>
      <c r="P246" s="44">
        <v>52</v>
      </c>
    </row>
    <row r="247" spans="1:16">
      <c r="A247" s="45">
        <v>246</v>
      </c>
      <c r="B247" s="46">
        <v>40554</v>
      </c>
      <c r="C247" s="47">
        <v>1</v>
      </c>
      <c r="D247" s="47">
        <v>0</v>
      </c>
      <c r="E247" s="47">
        <v>1</v>
      </c>
      <c r="F247" s="47">
        <v>14</v>
      </c>
      <c r="G247" s="47" t="b">
        <v>0</v>
      </c>
      <c r="H247" s="47">
        <v>2</v>
      </c>
      <c r="I247" s="47">
        <v>2</v>
      </c>
      <c r="J247" s="47">
        <v>0.2</v>
      </c>
      <c r="K247" s="47">
        <v>0.2273</v>
      </c>
      <c r="L247" s="47">
        <v>0.59</v>
      </c>
      <c r="M247" s="47">
        <v>8.9599999999999999E-2</v>
      </c>
      <c r="N247" s="47">
        <v>3</v>
      </c>
      <c r="O247" s="47">
        <v>60</v>
      </c>
      <c r="P247" s="48">
        <v>63</v>
      </c>
    </row>
    <row r="248" spans="1:16">
      <c r="A248" s="41">
        <v>247</v>
      </c>
      <c r="B248" s="42">
        <v>40554</v>
      </c>
      <c r="C248" s="43">
        <v>1</v>
      </c>
      <c r="D248" s="43">
        <v>0</v>
      </c>
      <c r="E248" s="43">
        <v>1</v>
      </c>
      <c r="F248" s="43">
        <v>15</v>
      </c>
      <c r="G248" s="43" t="b">
        <v>0</v>
      </c>
      <c r="H248" s="43">
        <v>2</v>
      </c>
      <c r="I248" s="43">
        <v>2</v>
      </c>
      <c r="J248" s="43">
        <v>0.16</v>
      </c>
      <c r="K248" s="43">
        <v>0.19700000000000001</v>
      </c>
      <c r="L248" s="43">
        <v>0.8</v>
      </c>
      <c r="M248" s="43">
        <v>8.9599999999999999E-2</v>
      </c>
      <c r="N248" s="43">
        <v>2</v>
      </c>
      <c r="O248" s="43">
        <v>45</v>
      </c>
      <c r="P248" s="44">
        <v>47</v>
      </c>
    </row>
    <row r="249" spans="1:16">
      <c r="A249" s="45">
        <v>248</v>
      </c>
      <c r="B249" s="46">
        <v>40554</v>
      </c>
      <c r="C249" s="47">
        <v>1</v>
      </c>
      <c r="D249" s="47">
        <v>0</v>
      </c>
      <c r="E249" s="47">
        <v>1</v>
      </c>
      <c r="F249" s="47">
        <v>16</v>
      </c>
      <c r="G249" s="47" t="b">
        <v>0</v>
      </c>
      <c r="H249" s="47">
        <v>2</v>
      </c>
      <c r="I249" s="47">
        <v>2</v>
      </c>
      <c r="J249" s="47">
        <v>0.16</v>
      </c>
      <c r="K249" s="47">
        <v>0.1515</v>
      </c>
      <c r="L249" s="47">
        <v>0.86</v>
      </c>
      <c r="M249" s="47">
        <v>0.22389999999999999</v>
      </c>
      <c r="N249" s="47">
        <v>4</v>
      </c>
      <c r="O249" s="47">
        <v>72</v>
      </c>
      <c r="P249" s="48">
        <v>76</v>
      </c>
    </row>
    <row r="250" spans="1:16">
      <c r="A250" s="41">
        <v>249</v>
      </c>
      <c r="B250" s="42">
        <v>40554</v>
      </c>
      <c r="C250" s="43">
        <v>1</v>
      </c>
      <c r="D250" s="43">
        <v>0</v>
      </c>
      <c r="E250" s="43">
        <v>1</v>
      </c>
      <c r="F250" s="43">
        <v>17</v>
      </c>
      <c r="G250" s="43" t="b">
        <v>0</v>
      </c>
      <c r="H250" s="43">
        <v>2</v>
      </c>
      <c r="I250" s="43">
        <v>2</v>
      </c>
      <c r="J250" s="43">
        <v>0.16</v>
      </c>
      <c r="K250" s="43">
        <v>0.1515</v>
      </c>
      <c r="L250" s="43">
        <v>0.86</v>
      </c>
      <c r="M250" s="43">
        <v>0.22389999999999999</v>
      </c>
      <c r="N250" s="43">
        <v>6</v>
      </c>
      <c r="O250" s="43">
        <v>130</v>
      </c>
      <c r="P250" s="44">
        <v>136</v>
      </c>
    </row>
    <row r="251" spans="1:16">
      <c r="A251" s="45">
        <v>250</v>
      </c>
      <c r="B251" s="46">
        <v>40554</v>
      </c>
      <c r="C251" s="47">
        <v>1</v>
      </c>
      <c r="D251" s="47">
        <v>0</v>
      </c>
      <c r="E251" s="47">
        <v>1</v>
      </c>
      <c r="F251" s="47">
        <v>18</v>
      </c>
      <c r="G251" s="47" t="b">
        <v>0</v>
      </c>
      <c r="H251" s="47">
        <v>2</v>
      </c>
      <c r="I251" s="47">
        <v>3</v>
      </c>
      <c r="J251" s="47">
        <v>0.16</v>
      </c>
      <c r="K251" s="47">
        <v>0.18179999999999999</v>
      </c>
      <c r="L251" s="47">
        <v>0.93</v>
      </c>
      <c r="M251" s="47">
        <v>0.1045</v>
      </c>
      <c r="N251" s="47">
        <v>1</v>
      </c>
      <c r="O251" s="47">
        <v>94</v>
      </c>
      <c r="P251" s="48">
        <v>95</v>
      </c>
    </row>
    <row r="252" spans="1:16">
      <c r="A252" s="41">
        <v>251</v>
      </c>
      <c r="B252" s="42">
        <v>40554</v>
      </c>
      <c r="C252" s="43">
        <v>1</v>
      </c>
      <c r="D252" s="43">
        <v>0</v>
      </c>
      <c r="E252" s="43">
        <v>1</v>
      </c>
      <c r="F252" s="43">
        <v>19</v>
      </c>
      <c r="G252" s="43" t="b">
        <v>0</v>
      </c>
      <c r="H252" s="43">
        <v>2</v>
      </c>
      <c r="I252" s="43">
        <v>3</v>
      </c>
      <c r="J252" s="43">
        <v>0.16</v>
      </c>
      <c r="K252" s="43">
        <v>0.2273</v>
      </c>
      <c r="L252" s="43">
        <v>0.93</v>
      </c>
      <c r="M252" s="43">
        <v>0</v>
      </c>
      <c r="N252" s="43">
        <v>0</v>
      </c>
      <c r="O252" s="43">
        <v>51</v>
      </c>
      <c r="P252" s="44">
        <v>51</v>
      </c>
    </row>
    <row r="253" spans="1:16">
      <c r="A253" s="45">
        <v>252</v>
      </c>
      <c r="B253" s="46">
        <v>40554</v>
      </c>
      <c r="C253" s="47">
        <v>1</v>
      </c>
      <c r="D253" s="47">
        <v>0</v>
      </c>
      <c r="E253" s="47">
        <v>1</v>
      </c>
      <c r="F253" s="47">
        <v>20</v>
      </c>
      <c r="G253" s="47" t="b">
        <v>0</v>
      </c>
      <c r="H253" s="47">
        <v>2</v>
      </c>
      <c r="I253" s="47">
        <v>3</v>
      </c>
      <c r="J253" s="47">
        <v>0.16</v>
      </c>
      <c r="K253" s="47">
        <v>0.1515</v>
      </c>
      <c r="L253" s="47">
        <v>0.93</v>
      </c>
      <c r="M253" s="47">
        <v>0.19400000000000001</v>
      </c>
      <c r="N253" s="47">
        <v>0</v>
      </c>
      <c r="O253" s="47">
        <v>32</v>
      </c>
      <c r="P253" s="48">
        <v>32</v>
      </c>
    </row>
    <row r="254" spans="1:16">
      <c r="A254" s="41">
        <v>253</v>
      </c>
      <c r="B254" s="42">
        <v>40554</v>
      </c>
      <c r="C254" s="43">
        <v>1</v>
      </c>
      <c r="D254" s="43">
        <v>0</v>
      </c>
      <c r="E254" s="43">
        <v>1</v>
      </c>
      <c r="F254" s="43">
        <v>21</v>
      </c>
      <c r="G254" s="43" t="b">
        <v>0</v>
      </c>
      <c r="H254" s="43">
        <v>2</v>
      </c>
      <c r="I254" s="43">
        <v>3</v>
      </c>
      <c r="J254" s="43">
        <v>0.16</v>
      </c>
      <c r="K254" s="43">
        <v>0.19700000000000001</v>
      </c>
      <c r="L254" s="43">
        <v>0.86</v>
      </c>
      <c r="M254" s="43">
        <v>8.9599999999999999E-2</v>
      </c>
      <c r="N254" s="43">
        <v>0</v>
      </c>
      <c r="O254" s="43">
        <v>20</v>
      </c>
      <c r="P254" s="44">
        <v>20</v>
      </c>
    </row>
    <row r="255" spans="1:16">
      <c r="A255" s="45">
        <v>254</v>
      </c>
      <c r="B255" s="46">
        <v>40554</v>
      </c>
      <c r="C255" s="47">
        <v>1</v>
      </c>
      <c r="D255" s="47">
        <v>0</v>
      </c>
      <c r="E255" s="47">
        <v>1</v>
      </c>
      <c r="F255" s="47">
        <v>22</v>
      </c>
      <c r="G255" s="47" t="b">
        <v>0</v>
      </c>
      <c r="H255" s="47">
        <v>2</v>
      </c>
      <c r="I255" s="47">
        <v>3</v>
      </c>
      <c r="J255" s="47">
        <v>0.16</v>
      </c>
      <c r="K255" s="47">
        <v>0.18179999999999999</v>
      </c>
      <c r="L255" s="47">
        <v>0.93</v>
      </c>
      <c r="M255" s="47">
        <v>0.1045</v>
      </c>
      <c r="N255" s="47">
        <v>1</v>
      </c>
      <c r="O255" s="47">
        <v>28</v>
      </c>
      <c r="P255" s="48">
        <v>29</v>
      </c>
    </row>
    <row r="256" spans="1:16">
      <c r="A256" s="41">
        <v>255</v>
      </c>
      <c r="B256" s="42">
        <v>40554</v>
      </c>
      <c r="C256" s="43">
        <v>1</v>
      </c>
      <c r="D256" s="43">
        <v>0</v>
      </c>
      <c r="E256" s="43">
        <v>1</v>
      </c>
      <c r="F256" s="43">
        <v>23</v>
      </c>
      <c r="G256" s="43" t="b">
        <v>0</v>
      </c>
      <c r="H256" s="43">
        <v>2</v>
      </c>
      <c r="I256" s="43">
        <v>3</v>
      </c>
      <c r="J256" s="43">
        <v>0.16</v>
      </c>
      <c r="K256" s="43">
        <v>0.19700000000000001</v>
      </c>
      <c r="L256" s="43">
        <v>0.93</v>
      </c>
      <c r="M256" s="43">
        <v>8.9599999999999999E-2</v>
      </c>
      <c r="N256" s="43">
        <v>1</v>
      </c>
      <c r="O256" s="43">
        <v>18</v>
      </c>
      <c r="P256" s="44">
        <v>19</v>
      </c>
    </row>
    <row r="257" spans="1:16">
      <c r="A257" s="45">
        <v>256</v>
      </c>
      <c r="B257" s="46">
        <v>40555</v>
      </c>
      <c r="C257" s="47">
        <v>1</v>
      </c>
      <c r="D257" s="47">
        <v>0</v>
      </c>
      <c r="E257" s="47">
        <v>1</v>
      </c>
      <c r="F257" s="47">
        <v>0</v>
      </c>
      <c r="G257" s="47" t="b">
        <v>0</v>
      </c>
      <c r="H257" s="47">
        <v>3</v>
      </c>
      <c r="I257" s="47">
        <v>2</v>
      </c>
      <c r="J257" s="47">
        <v>0.16</v>
      </c>
      <c r="K257" s="47">
        <v>0.19700000000000001</v>
      </c>
      <c r="L257" s="47">
        <v>0.86</v>
      </c>
      <c r="M257" s="47">
        <v>8.9599999999999999E-2</v>
      </c>
      <c r="N257" s="47">
        <v>0</v>
      </c>
      <c r="O257" s="47">
        <v>7</v>
      </c>
      <c r="P257" s="48">
        <v>7</v>
      </c>
    </row>
    <row r="258" spans="1:16">
      <c r="A258" s="41">
        <v>257</v>
      </c>
      <c r="B258" s="42">
        <v>40555</v>
      </c>
      <c r="C258" s="43">
        <v>1</v>
      </c>
      <c r="D258" s="43">
        <v>0</v>
      </c>
      <c r="E258" s="43">
        <v>1</v>
      </c>
      <c r="F258" s="43">
        <v>1</v>
      </c>
      <c r="G258" s="43" t="b">
        <v>0</v>
      </c>
      <c r="H258" s="43">
        <v>3</v>
      </c>
      <c r="I258" s="43">
        <v>2</v>
      </c>
      <c r="J258" s="43">
        <v>0.16</v>
      </c>
      <c r="K258" s="43">
        <v>0.18179999999999999</v>
      </c>
      <c r="L258" s="43">
        <v>0.86</v>
      </c>
      <c r="M258" s="43">
        <v>0.1045</v>
      </c>
      <c r="N258" s="43">
        <v>0</v>
      </c>
      <c r="O258" s="43">
        <v>6</v>
      </c>
      <c r="P258" s="44">
        <v>6</v>
      </c>
    </row>
    <row r="259" spans="1:16">
      <c r="A259" s="45">
        <v>258</v>
      </c>
      <c r="B259" s="46">
        <v>40555</v>
      </c>
      <c r="C259" s="47">
        <v>1</v>
      </c>
      <c r="D259" s="47">
        <v>0</v>
      </c>
      <c r="E259" s="47">
        <v>1</v>
      </c>
      <c r="F259" s="47">
        <v>2</v>
      </c>
      <c r="G259" s="47" t="b">
        <v>0</v>
      </c>
      <c r="H259" s="47">
        <v>3</v>
      </c>
      <c r="I259" s="47">
        <v>1</v>
      </c>
      <c r="J259" s="47">
        <v>0.14000000000000001</v>
      </c>
      <c r="K259" s="47">
        <v>0.1515</v>
      </c>
      <c r="L259" s="47">
        <v>0.86</v>
      </c>
      <c r="M259" s="47">
        <v>0.1343</v>
      </c>
      <c r="N259" s="47">
        <v>0</v>
      </c>
      <c r="O259" s="47">
        <v>1</v>
      </c>
      <c r="P259" s="48">
        <v>1</v>
      </c>
    </row>
    <row r="260" spans="1:16">
      <c r="A260" s="41">
        <v>259</v>
      </c>
      <c r="B260" s="42">
        <v>40555</v>
      </c>
      <c r="C260" s="43">
        <v>1</v>
      </c>
      <c r="D260" s="43">
        <v>0</v>
      </c>
      <c r="E260" s="43">
        <v>1</v>
      </c>
      <c r="F260" s="43">
        <v>5</v>
      </c>
      <c r="G260" s="43" t="b">
        <v>0</v>
      </c>
      <c r="H260" s="43">
        <v>3</v>
      </c>
      <c r="I260" s="43">
        <v>1</v>
      </c>
      <c r="J260" s="43">
        <v>0.14000000000000001</v>
      </c>
      <c r="K260" s="43">
        <v>0.1515</v>
      </c>
      <c r="L260" s="43">
        <v>0.86</v>
      </c>
      <c r="M260" s="43">
        <v>0.16420000000000001</v>
      </c>
      <c r="N260" s="43">
        <v>0</v>
      </c>
      <c r="O260" s="43">
        <v>5</v>
      </c>
      <c r="P260" s="44">
        <v>5</v>
      </c>
    </row>
    <row r="261" spans="1:16">
      <c r="A261" s="45">
        <v>260</v>
      </c>
      <c r="B261" s="46">
        <v>40555</v>
      </c>
      <c r="C261" s="47">
        <v>1</v>
      </c>
      <c r="D261" s="47">
        <v>0</v>
      </c>
      <c r="E261" s="47">
        <v>1</v>
      </c>
      <c r="F261" s="47">
        <v>6</v>
      </c>
      <c r="G261" s="47" t="b">
        <v>0</v>
      </c>
      <c r="H261" s="47">
        <v>3</v>
      </c>
      <c r="I261" s="47">
        <v>1</v>
      </c>
      <c r="J261" s="47">
        <v>0.12</v>
      </c>
      <c r="K261" s="47">
        <v>0.1515</v>
      </c>
      <c r="L261" s="47">
        <v>0.93</v>
      </c>
      <c r="M261" s="47">
        <v>0.1343</v>
      </c>
      <c r="N261" s="47">
        <v>0</v>
      </c>
      <c r="O261" s="47">
        <v>16</v>
      </c>
      <c r="P261" s="48">
        <v>16</v>
      </c>
    </row>
    <row r="262" spans="1:16">
      <c r="A262" s="41">
        <v>261</v>
      </c>
      <c r="B262" s="42">
        <v>40555</v>
      </c>
      <c r="C262" s="43">
        <v>1</v>
      </c>
      <c r="D262" s="43">
        <v>0</v>
      </c>
      <c r="E262" s="43">
        <v>1</v>
      </c>
      <c r="F262" s="43">
        <v>7</v>
      </c>
      <c r="G262" s="43" t="b">
        <v>0</v>
      </c>
      <c r="H262" s="43">
        <v>3</v>
      </c>
      <c r="I262" s="43">
        <v>1</v>
      </c>
      <c r="J262" s="43">
        <v>0.14000000000000001</v>
      </c>
      <c r="K262" s="43">
        <v>0.1515</v>
      </c>
      <c r="L262" s="43">
        <v>0.69</v>
      </c>
      <c r="M262" s="43">
        <v>0.1343</v>
      </c>
      <c r="N262" s="43">
        <v>0</v>
      </c>
      <c r="O262" s="43">
        <v>54</v>
      </c>
      <c r="P262" s="44">
        <v>54</v>
      </c>
    </row>
    <row r="263" spans="1:16">
      <c r="A263" s="45">
        <v>262</v>
      </c>
      <c r="B263" s="46">
        <v>40555</v>
      </c>
      <c r="C263" s="47">
        <v>1</v>
      </c>
      <c r="D263" s="47">
        <v>0</v>
      </c>
      <c r="E263" s="47">
        <v>1</v>
      </c>
      <c r="F263" s="47">
        <v>8</v>
      </c>
      <c r="G263" s="47" t="b">
        <v>0</v>
      </c>
      <c r="H263" s="47">
        <v>3</v>
      </c>
      <c r="I263" s="47">
        <v>1</v>
      </c>
      <c r="J263" s="47">
        <v>0.16</v>
      </c>
      <c r="K263" s="47">
        <v>0.16669999999999999</v>
      </c>
      <c r="L263" s="47">
        <v>0.59</v>
      </c>
      <c r="M263" s="47">
        <v>0.16420000000000001</v>
      </c>
      <c r="N263" s="47">
        <v>3</v>
      </c>
      <c r="O263" s="47">
        <v>125</v>
      </c>
      <c r="P263" s="48">
        <v>128</v>
      </c>
    </row>
    <row r="264" spans="1:16">
      <c r="A264" s="41">
        <v>263</v>
      </c>
      <c r="B264" s="42">
        <v>40555</v>
      </c>
      <c r="C264" s="43">
        <v>1</v>
      </c>
      <c r="D264" s="43">
        <v>0</v>
      </c>
      <c r="E264" s="43">
        <v>1</v>
      </c>
      <c r="F264" s="43">
        <v>9</v>
      </c>
      <c r="G264" s="43" t="b">
        <v>0</v>
      </c>
      <c r="H264" s="43">
        <v>3</v>
      </c>
      <c r="I264" s="43">
        <v>1</v>
      </c>
      <c r="J264" s="43">
        <v>0.16</v>
      </c>
      <c r="K264" s="43">
        <v>0.13639999999999999</v>
      </c>
      <c r="L264" s="43">
        <v>0.59</v>
      </c>
      <c r="M264" s="43">
        <v>0.32840000000000003</v>
      </c>
      <c r="N264" s="43">
        <v>3</v>
      </c>
      <c r="O264" s="43">
        <v>78</v>
      </c>
      <c r="P264" s="44">
        <v>81</v>
      </c>
    </row>
    <row r="265" spans="1:16">
      <c r="A265" s="45">
        <v>264</v>
      </c>
      <c r="B265" s="46">
        <v>40555</v>
      </c>
      <c r="C265" s="47">
        <v>1</v>
      </c>
      <c r="D265" s="47">
        <v>0</v>
      </c>
      <c r="E265" s="47">
        <v>1</v>
      </c>
      <c r="F265" s="47">
        <v>10</v>
      </c>
      <c r="G265" s="47" t="b">
        <v>0</v>
      </c>
      <c r="H265" s="47">
        <v>3</v>
      </c>
      <c r="I265" s="47">
        <v>1</v>
      </c>
      <c r="J265" s="47">
        <v>0.18</v>
      </c>
      <c r="K265" s="47">
        <v>0.18179999999999999</v>
      </c>
      <c r="L265" s="47">
        <v>0.55000000000000004</v>
      </c>
      <c r="M265" s="47">
        <v>0.22389999999999999</v>
      </c>
      <c r="N265" s="47">
        <v>0</v>
      </c>
      <c r="O265" s="47">
        <v>39</v>
      </c>
      <c r="P265" s="48">
        <v>39</v>
      </c>
    </row>
    <row r="266" spans="1:16">
      <c r="A266" s="41">
        <v>265</v>
      </c>
      <c r="B266" s="42">
        <v>40555</v>
      </c>
      <c r="C266" s="43">
        <v>1</v>
      </c>
      <c r="D266" s="43">
        <v>0</v>
      </c>
      <c r="E266" s="43">
        <v>1</v>
      </c>
      <c r="F266" s="43">
        <v>11</v>
      </c>
      <c r="G266" s="43" t="b">
        <v>0</v>
      </c>
      <c r="H266" s="43">
        <v>3</v>
      </c>
      <c r="I266" s="43">
        <v>1</v>
      </c>
      <c r="J266" s="43">
        <v>0.2</v>
      </c>
      <c r="K266" s="43">
        <v>0.18179999999999999</v>
      </c>
      <c r="L266" s="43">
        <v>0.51</v>
      </c>
      <c r="M266" s="43">
        <v>0.3881</v>
      </c>
      <c r="N266" s="43">
        <v>3</v>
      </c>
      <c r="O266" s="43">
        <v>32</v>
      </c>
      <c r="P266" s="44">
        <v>35</v>
      </c>
    </row>
    <row r="267" spans="1:16">
      <c r="A267" s="45">
        <v>266</v>
      </c>
      <c r="B267" s="46">
        <v>40555</v>
      </c>
      <c r="C267" s="47">
        <v>1</v>
      </c>
      <c r="D267" s="47">
        <v>0</v>
      </c>
      <c r="E267" s="47">
        <v>1</v>
      </c>
      <c r="F267" s="47">
        <v>12</v>
      </c>
      <c r="G267" s="47" t="b">
        <v>0</v>
      </c>
      <c r="H267" s="47">
        <v>3</v>
      </c>
      <c r="I267" s="47">
        <v>1</v>
      </c>
      <c r="J267" s="47">
        <v>0.2</v>
      </c>
      <c r="K267" s="47">
        <v>0.1515</v>
      </c>
      <c r="L267" s="47">
        <v>0.47</v>
      </c>
      <c r="M267" s="47">
        <v>0.58209999999999995</v>
      </c>
      <c r="N267" s="47">
        <v>3</v>
      </c>
      <c r="O267" s="47">
        <v>52</v>
      </c>
      <c r="P267" s="48">
        <v>55</v>
      </c>
    </row>
    <row r="268" spans="1:16">
      <c r="A268" s="41">
        <v>267</v>
      </c>
      <c r="B268" s="42">
        <v>40555</v>
      </c>
      <c r="C268" s="43">
        <v>1</v>
      </c>
      <c r="D268" s="43">
        <v>0</v>
      </c>
      <c r="E268" s="43">
        <v>1</v>
      </c>
      <c r="F268" s="43">
        <v>13</v>
      </c>
      <c r="G268" s="43" t="b">
        <v>0</v>
      </c>
      <c r="H268" s="43">
        <v>3</v>
      </c>
      <c r="I268" s="43">
        <v>1</v>
      </c>
      <c r="J268" s="43">
        <v>0.22</v>
      </c>
      <c r="K268" s="43">
        <v>0.19700000000000001</v>
      </c>
      <c r="L268" s="43">
        <v>0.44</v>
      </c>
      <c r="M268" s="43">
        <v>0.35820000000000002</v>
      </c>
      <c r="N268" s="43">
        <v>0</v>
      </c>
      <c r="O268" s="43">
        <v>49</v>
      </c>
      <c r="P268" s="44">
        <v>49</v>
      </c>
    </row>
    <row r="269" spans="1:16">
      <c r="A269" s="45">
        <v>268</v>
      </c>
      <c r="B269" s="46">
        <v>40555</v>
      </c>
      <c r="C269" s="47">
        <v>1</v>
      </c>
      <c r="D269" s="47">
        <v>0</v>
      </c>
      <c r="E269" s="47">
        <v>1</v>
      </c>
      <c r="F269" s="47">
        <v>14</v>
      </c>
      <c r="G269" s="47" t="b">
        <v>0</v>
      </c>
      <c r="H269" s="47">
        <v>3</v>
      </c>
      <c r="I269" s="47">
        <v>1</v>
      </c>
      <c r="J269" s="47">
        <v>0.2</v>
      </c>
      <c r="K269" s="47">
        <v>0.18179999999999999</v>
      </c>
      <c r="L269" s="47">
        <v>0.47</v>
      </c>
      <c r="M269" s="47">
        <v>0.32840000000000003</v>
      </c>
      <c r="N269" s="47">
        <v>0</v>
      </c>
      <c r="O269" s="47">
        <v>44</v>
      </c>
      <c r="P269" s="48">
        <v>44</v>
      </c>
    </row>
    <row r="270" spans="1:16">
      <c r="A270" s="41">
        <v>269</v>
      </c>
      <c r="B270" s="42">
        <v>40555</v>
      </c>
      <c r="C270" s="43">
        <v>1</v>
      </c>
      <c r="D270" s="43">
        <v>0</v>
      </c>
      <c r="E270" s="43">
        <v>1</v>
      </c>
      <c r="F270" s="43">
        <v>15</v>
      </c>
      <c r="G270" s="43" t="b">
        <v>0</v>
      </c>
      <c r="H270" s="43">
        <v>3</v>
      </c>
      <c r="I270" s="43">
        <v>1</v>
      </c>
      <c r="J270" s="43">
        <v>0.2</v>
      </c>
      <c r="K270" s="43">
        <v>0.16669999999999999</v>
      </c>
      <c r="L270" s="43">
        <v>0.47</v>
      </c>
      <c r="M270" s="43">
        <v>0.41789999999999999</v>
      </c>
      <c r="N270" s="43">
        <v>1</v>
      </c>
      <c r="O270" s="43">
        <v>48</v>
      </c>
      <c r="P270" s="44">
        <v>49</v>
      </c>
    </row>
    <row r="271" spans="1:16">
      <c r="A271" s="45">
        <v>270</v>
      </c>
      <c r="B271" s="46">
        <v>40555</v>
      </c>
      <c r="C271" s="47">
        <v>1</v>
      </c>
      <c r="D271" s="47">
        <v>0</v>
      </c>
      <c r="E271" s="47">
        <v>1</v>
      </c>
      <c r="F271" s="47">
        <v>16</v>
      </c>
      <c r="G271" s="47" t="b">
        <v>0</v>
      </c>
      <c r="H271" s="47">
        <v>3</v>
      </c>
      <c r="I271" s="47">
        <v>1</v>
      </c>
      <c r="J271" s="47">
        <v>0.22</v>
      </c>
      <c r="K271" s="47">
        <v>0.19700000000000001</v>
      </c>
      <c r="L271" s="47">
        <v>0.44</v>
      </c>
      <c r="M271" s="47">
        <v>0.32840000000000003</v>
      </c>
      <c r="N271" s="47">
        <v>5</v>
      </c>
      <c r="O271" s="47">
        <v>63</v>
      </c>
      <c r="P271" s="48">
        <v>68</v>
      </c>
    </row>
    <row r="272" spans="1:16">
      <c r="A272" s="41">
        <v>271</v>
      </c>
      <c r="B272" s="42">
        <v>40555</v>
      </c>
      <c r="C272" s="43">
        <v>1</v>
      </c>
      <c r="D272" s="43">
        <v>0</v>
      </c>
      <c r="E272" s="43">
        <v>1</v>
      </c>
      <c r="F272" s="43">
        <v>17</v>
      </c>
      <c r="G272" s="43" t="b">
        <v>0</v>
      </c>
      <c r="H272" s="43">
        <v>3</v>
      </c>
      <c r="I272" s="43">
        <v>1</v>
      </c>
      <c r="J272" s="43">
        <v>0.2</v>
      </c>
      <c r="K272" s="43">
        <v>0.18179999999999999</v>
      </c>
      <c r="L272" s="43">
        <v>0.47</v>
      </c>
      <c r="M272" s="43">
        <v>0.35820000000000002</v>
      </c>
      <c r="N272" s="43">
        <v>0</v>
      </c>
      <c r="O272" s="43">
        <v>139</v>
      </c>
      <c r="P272" s="44">
        <v>139</v>
      </c>
    </row>
    <row r="273" spans="1:16">
      <c r="A273" s="45">
        <v>272</v>
      </c>
      <c r="B273" s="46">
        <v>40555</v>
      </c>
      <c r="C273" s="47">
        <v>1</v>
      </c>
      <c r="D273" s="47">
        <v>0</v>
      </c>
      <c r="E273" s="47">
        <v>1</v>
      </c>
      <c r="F273" s="47">
        <v>18</v>
      </c>
      <c r="G273" s="47" t="b">
        <v>0</v>
      </c>
      <c r="H273" s="47">
        <v>3</v>
      </c>
      <c r="I273" s="47">
        <v>1</v>
      </c>
      <c r="J273" s="47">
        <v>0.2</v>
      </c>
      <c r="K273" s="47">
        <v>0.1515</v>
      </c>
      <c r="L273" s="47">
        <v>0.47</v>
      </c>
      <c r="M273" s="47">
        <v>0.52239999999999998</v>
      </c>
      <c r="N273" s="47">
        <v>2</v>
      </c>
      <c r="O273" s="47">
        <v>135</v>
      </c>
      <c r="P273" s="48">
        <v>137</v>
      </c>
    </row>
    <row r="274" spans="1:16">
      <c r="A274" s="41">
        <v>273</v>
      </c>
      <c r="B274" s="42">
        <v>40555</v>
      </c>
      <c r="C274" s="43">
        <v>1</v>
      </c>
      <c r="D274" s="43">
        <v>0</v>
      </c>
      <c r="E274" s="43">
        <v>1</v>
      </c>
      <c r="F274" s="43">
        <v>19</v>
      </c>
      <c r="G274" s="43" t="b">
        <v>0</v>
      </c>
      <c r="H274" s="43">
        <v>3</v>
      </c>
      <c r="I274" s="43">
        <v>1</v>
      </c>
      <c r="J274" s="43">
        <v>0.18</v>
      </c>
      <c r="K274" s="43">
        <v>0.1515</v>
      </c>
      <c r="L274" s="43">
        <v>0.47</v>
      </c>
      <c r="M274" s="43">
        <v>0.41789999999999999</v>
      </c>
      <c r="N274" s="43">
        <v>1</v>
      </c>
      <c r="O274" s="43">
        <v>82</v>
      </c>
      <c r="P274" s="44">
        <v>83</v>
      </c>
    </row>
    <row r="275" spans="1:16">
      <c r="A275" s="45">
        <v>274</v>
      </c>
      <c r="B275" s="46">
        <v>40555</v>
      </c>
      <c r="C275" s="47">
        <v>1</v>
      </c>
      <c r="D275" s="47">
        <v>0</v>
      </c>
      <c r="E275" s="47">
        <v>1</v>
      </c>
      <c r="F275" s="47">
        <v>20</v>
      </c>
      <c r="G275" s="47" t="b">
        <v>0</v>
      </c>
      <c r="H275" s="47">
        <v>3</v>
      </c>
      <c r="I275" s="47">
        <v>1</v>
      </c>
      <c r="J275" s="47">
        <v>0.16</v>
      </c>
      <c r="K275" s="47">
        <v>0.13639999999999999</v>
      </c>
      <c r="L275" s="47">
        <v>0.5</v>
      </c>
      <c r="M275" s="47">
        <v>0.32840000000000003</v>
      </c>
      <c r="N275" s="47">
        <v>2</v>
      </c>
      <c r="O275" s="47">
        <v>54</v>
      </c>
      <c r="P275" s="48">
        <v>56</v>
      </c>
    </row>
    <row r="276" spans="1:16">
      <c r="A276" s="41">
        <v>275</v>
      </c>
      <c r="B276" s="42">
        <v>40555</v>
      </c>
      <c r="C276" s="43">
        <v>1</v>
      </c>
      <c r="D276" s="43">
        <v>0</v>
      </c>
      <c r="E276" s="43">
        <v>1</v>
      </c>
      <c r="F276" s="43">
        <v>21</v>
      </c>
      <c r="G276" s="43" t="b">
        <v>0</v>
      </c>
      <c r="H276" s="43">
        <v>3</v>
      </c>
      <c r="I276" s="43">
        <v>1</v>
      </c>
      <c r="J276" s="43">
        <v>0.16</v>
      </c>
      <c r="K276" s="43">
        <v>0.13639999999999999</v>
      </c>
      <c r="L276" s="43">
        <v>0.55000000000000004</v>
      </c>
      <c r="M276" s="43">
        <v>0.32840000000000003</v>
      </c>
      <c r="N276" s="43">
        <v>0</v>
      </c>
      <c r="O276" s="43">
        <v>57</v>
      </c>
      <c r="P276" s="44">
        <v>57</v>
      </c>
    </row>
    <row r="277" spans="1:16">
      <c r="A277" s="45">
        <v>276</v>
      </c>
      <c r="B277" s="46">
        <v>40555</v>
      </c>
      <c r="C277" s="47">
        <v>1</v>
      </c>
      <c r="D277" s="47">
        <v>0</v>
      </c>
      <c r="E277" s="47">
        <v>1</v>
      </c>
      <c r="F277" s="47">
        <v>22</v>
      </c>
      <c r="G277" s="47" t="b">
        <v>0</v>
      </c>
      <c r="H277" s="47">
        <v>3</v>
      </c>
      <c r="I277" s="47">
        <v>1</v>
      </c>
      <c r="J277" s="47">
        <v>0.16</v>
      </c>
      <c r="K277" s="47">
        <v>0.1212</v>
      </c>
      <c r="L277" s="47">
        <v>0.55000000000000004</v>
      </c>
      <c r="M277" s="47">
        <v>0.44779999999999998</v>
      </c>
      <c r="N277" s="47">
        <v>1</v>
      </c>
      <c r="O277" s="47">
        <v>32</v>
      </c>
      <c r="P277" s="48">
        <v>33</v>
      </c>
    </row>
    <row r="278" spans="1:16">
      <c r="A278" s="41">
        <v>277</v>
      </c>
      <c r="B278" s="42">
        <v>40555</v>
      </c>
      <c r="C278" s="43">
        <v>1</v>
      </c>
      <c r="D278" s="43">
        <v>0</v>
      </c>
      <c r="E278" s="43">
        <v>1</v>
      </c>
      <c r="F278" s="43">
        <v>23</v>
      </c>
      <c r="G278" s="43" t="b">
        <v>0</v>
      </c>
      <c r="H278" s="43">
        <v>3</v>
      </c>
      <c r="I278" s="43">
        <v>1</v>
      </c>
      <c r="J278" s="43">
        <v>0.14000000000000001</v>
      </c>
      <c r="K278" s="43">
        <v>0.1061</v>
      </c>
      <c r="L278" s="43">
        <v>0.59</v>
      </c>
      <c r="M278" s="43">
        <v>0.41789999999999999</v>
      </c>
      <c r="N278" s="43">
        <v>1</v>
      </c>
      <c r="O278" s="43">
        <v>19</v>
      </c>
      <c r="P278" s="44">
        <v>20</v>
      </c>
    </row>
    <row r="279" spans="1:16">
      <c r="A279" s="45">
        <v>278</v>
      </c>
      <c r="B279" s="46">
        <v>40556</v>
      </c>
      <c r="C279" s="47">
        <v>1</v>
      </c>
      <c r="D279" s="47">
        <v>0</v>
      </c>
      <c r="E279" s="47">
        <v>1</v>
      </c>
      <c r="F279" s="47">
        <v>0</v>
      </c>
      <c r="G279" s="47" t="b">
        <v>0</v>
      </c>
      <c r="H279" s="47">
        <v>4</v>
      </c>
      <c r="I279" s="47">
        <v>1</v>
      </c>
      <c r="J279" s="47">
        <v>0.14000000000000001</v>
      </c>
      <c r="K279" s="47">
        <v>0.1212</v>
      </c>
      <c r="L279" s="47">
        <v>0.59</v>
      </c>
      <c r="M279" s="47">
        <v>0.28360000000000002</v>
      </c>
      <c r="N279" s="47">
        <v>1</v>
      </c>
      <c r="O279" s="47">
        <v>6</v>
      </c>
      <c r="P279" s="48">
        <v>7</v>
      </c>
    </row>
    <row r="280" spans="1:16">
      <c r="A280" s="41">
        <v>279</v>
      </c>
      <c r="B280" s="42">
        <v>40556</v>
      </c>
      <c r="C280" s="43">
        <v>1</v>
      </c>
      <c r="D280" s="43">
        <v>0</v>
      </c>
      <c r="E280" s="43">
        <v>1</v>
      </c>
      <c r="F280" s="43">
        <v>1</v>
      </c>
      <c r="G280" s="43" t="b">
        <v>0</v>
      </c>
      <c r="H280" s="43">
        <v>4</v>
      </c>
      <c r="I280" s="43">
        <v>1</v>
      </c>
      <c r="J280" s="43">
        <v>0.14000000000000001</v>
      </c>
      <c r="K280" s="43">
        <v>0.1212</v>
      </c>
      <c r="L280" s="43">
        <v>0.5</v>
      </c>
      <c r="M280" s="43">
        <v>0.28360000000000002</v>
      </c>
      <c r="N280" s="43">
        <v>0</v>
      </c>
      <c r="O280" s="43">
        <v>2</v>
      </c>
      <c r="P280" s="44">
        <v>2</v>
      </c>
    </row>
    <row r="281" spans="1:16">
      <c r="A281" s="45">
        <v>280</v>
      </c>
      <c r="B281" s="46">
        <v>40556</v>
      </c>
      <c r="C281" s="47">
        <v>1</v>
      </c>
      <c r="D281" s="47">
        <v>0</v>
      </c>
      <c r="E281" s="47">
        <v>1</v>
      </c>
      <c r="F281" s="47">
        <v>2</v>
      </c>
      <c r="G281" s="47" t="b">
        <v>0</v>
      </c>
      <c r="H281" s="47">
        <v>4</v>
      </c>
      <c r="I281" s="47">
        <v>1</v>
      </c>
      <c r="J281" s="47">
        <v>0.14000000000000001</v>
      </c>
      <c r="K281" s="47">
        <v>0.1212</v>
      </c>
      <c r="L281" s="47">
        <v>0.5</v>
      </c>
      <c r="M281" s="47">
        <v>0.35820000000000002</v>
      </c>
      <c r="N281" s="47">
        <v>0</v>
      </c>
      <c r="O281" s="47">
        <v>2</v>
      </c>
      <c r="P281" s="48">
        <v>2</v>
      </c>
    </row>
    <row r="282" spans="1:16">
      <c r="A282" s="41">
        <v>281</v>
      </c>
      <c r="B282" s="42">
        <v>40556</v>
      </c>
      <c r="C282" s="43">
        <v>1</v>
      </c>
      <c r="D282" s="43">
        <v>0</v>
      </c>
      <c r="E282" s="43">
        <v>1</v>
      </c>
      <c r="F282" s="43">
        <v>3</v>
      </c>
      <c r="G282" s="43" t="b">
        <v>0</v>
      </c>
      <c r="H282" s="43">
        <v>4</v>
      </c>
      <c r="I282" s="43">
        <v>1</v>
      </c>
      <c r="J282" s="43">
        <v>0.14000000000000001</v>
      </c>
      <c r="K282" s="43">
        <v>0.1212</v>
      </c>
      <c r="L282" s="43">
        <v>0.5</v>
      </c>
      <c r="M282" s="43">
        <v>0.32840000000000003</v>
      </c>
      <c r="N282" s="43">
        <v>0</v>
      </c>
      <c r="O282" s="43">
        <v>3</v>
      </c>
      <c r="P282" s="44">
        <v>3</v>
      </c>
    </row>
    <row r="283" spans="1:16">
      <c r="A283" s="45">
        <v>282</v>
      </c>
      <c r="B283" s="46">
        <v>40556</v>
      </c>
      <c r="C283" s="47">
        <v>1</v>
      </c>
      <c r="D283" s="47">
        <v>0</v>
      </c>
      <c r="E283" s="47">
        <v>1</v>
      </c>
      <c r="F283" s="47">
        <v>4</v>
      </c>
      <c r="G283" s="47" t="b">
        <v>0</v>
      </c>
      <c r="H283" s="47">
        <v>4</v>
      </c>
      <c r="I283" s="47">
        <v>1</v>
      </c>
      <c r="J283" s="47">
        <v>0.14000000000000001</v>
      </c>
      <c r="K283" s="47">
        <v>0.1212</v>
      </c>
      <c r="L283" s="47">
        <v>0.5</v>
      </c>
      <c r="M283" s="47">
        <v>0.25369999999999998</v>
      </c>
      <c r="N283" s="47">
        <v>0</v>
      </c>
      <c r="O283" s="47">
        <v>4</v>
      </c>
      <c r="P283" s="48">
        <v>4</v>
      </c>
    </row>
    <row r="284" spans="1:16">
      <c r="A284" s="41">
        <v>283</v>
      </c>
      <c r="B284" s="42">
        <v>40556</v>
      </c>
      <c r="C284" s="43">
        <v>1</v>
      </c>
      <c r="D284" s="43">
        <v>0</v>
      </c>
      <c r="E284" s="43">
        <v>1</v>
      </c>
      <c r="F284" s="43">
        <v>5</v>
      </c>
      <c r="G284" s="43" t="b">
        <v>0</v>
      </c>
      <c r="H284" s="43">
        <v>4</v>
      </c>
      <c r="I284" s="43">
        <v>1</v>
      </c>
      <c r="J284" s="43">
        <v>0.14000000000000001</v>
      </c>
      <c r="K284" s="43">
        <v>0.1212</v>
      </c>
      <c r="L284" s="43">
        <v>0.5</v>
      </c>
      <c r="M284" s="43">
        <v>0.29849999999999999</v>
      </c>
      <c r="N284" s="43">
        <v>0</v>
      </c>
      <c r="O284" s="43">
        <v>3</v>
      </c>
      <c r="P284" s="44">
        <v>3</v>
      </c>
    </row>
    <row r="285" spans="1:16">
      <c r="A285" s="45">
        <v>284</v>
      </c>
      <c r="B285" s="46">
        <v>40556</v>
      </c>
      <c r="C285" s="47">
        <v>1</v>
      </c>
      <c r="D285" s="47">
        <v>0</v>
      </c>
      <c r="E285" s="47">
        <v>1</v>
      </c>
      <c r="F285" s="47">
        <v>6</v>
      </c>
      <c r="G285" s="47" t="b">
        <v>0</v>
      </c>
      <c r="H285" s="47">
        <v>4</v>
      </c>
      <c r="I285" s="47">
        <v>1</v>
      </c>
      <c r="J285" s="47">
        <v>0.12</v>
      </c>
      <c r="K285" s="47">
        <v>0.1515</v>
      </c>
      <c r="L285" s="47">
        <v>0.54</v>
      </c>
      <c r="M285" s="47">
        <v>0.1343</v>
      </c>
      <c r="N285" s="47">
        <v>0</v>
      </c>
      <c r="O285" s="47">
        <v>28</v>
      </c>
      <c r="P285" s="48">
        <v>28</v>
      </c>
    </row>
    <row r="286" spans="1:16">
      <c r="A286" s="41">
        <v>285</v>
      </c>
      <c r="B286" s="42">
        <v>40556</v>
      </c>
      <c r="C286" s="43">
        <v>1</v>
      </c>
      <c r="D286" s="43">
        <v>0</v>
      </c>
      <c r="E286" s="43">
        <v>1</v>
      </c>
      <c r="F286" s="43">
        <v>7</v>
      </c>
      <c r="G286" s="43" t="b">
        <v>0</v>
      </c>
      <c r="H286" s="43">
        <v>4</v>
      </c>
      <c r="I286" s="43">
        <v>1</v>
      </c>
      <c r="J286" s="43">
        <v>0.12</v>
      </c>
      <c r="K286" s="43">
        <v>0.1515</v>
      </c>
      <c r="L286" s="43">
        <v>0.54</v>
      </c>
      <c r="M286" s="43">
        <v>0.1343</v>
      </c>
      <c r="N286" s="43">
        <v>0</v>
      </c>
      <c r="O286" s="43">
        <v>72</v>
      </c>
      <c r="P286" s="44">
        <v>72</v>
      </c>
    </row>
    <row r="287" spans="1:16">
      <c r="A287" s="45">
        <v>286</v>
      </c>
      <c r="B287" s="46">
        <v>40556</v>
      </c>
      <c r="C287" s="47">
        <v>1</v>
      </c>
      <c r="D287" s="47">
        <v>0</v>
      </c>
      <c r="E287" s="47">
        <v>1</v>
      </c>
      <c r="F287" s="47">
        <v>8</v>
      </c>
      <c r="G287" s="47" t="b">
        <v>0</v>
      </c>
      <c r="H287" s="47">
        <v>4</v>
      </c>
      <c r="I287" s="47">
        <v>1</v>
      </c>
      <c r="J287" s="47">
        <v>0.14000000000000001</v>
      </c>
      <c r="K287" s="47">
        <v>0.13639999999999999</v>
      </c>
      <c r="L287" s="47">
        <v>0.5</v>
      </c>
      <c r="M287" s="47">
        <v>0.19400000000000001</v>
      </c>
      <c r="N287" s="47">
        <v>5</v>
      </c>
      <c r="O287" s="47">
        <v>197</v>
      </c>
      <c r="P287" s="48">
        <v>202</v>
      </c>
    </row>
    <row r="288" spans="1:16">
      <c r="A288" s="41">
        <v>287</v>
      </c>
      <c r="B288" s="42">
        <v>40556</v>
      </c>
      <c r="C288" s="43">
        <v>1</v>
      </c>
      <c r="D288" s="43">
        <v>0</v>
      </c>
      <c r="E288" s="43">
        <v>1</v>
      </c>
      <c r="F288" s="43">
        <v>9</v>
      </c>
      <c r="G288" s="43" t="b">
        <v>0</v>
      </c>
      <c r="H288" s="43">
        <v>4</v>
      </c>
      <c r="I288" s="43">
        <v>1</v>
      </c>
      <c r="J288" s="43">
        <v>0.14000000000000001</v>
      </c>
      <c r="K288" s="43">
        <v>0.1212</v>
      </c>
      <c r="L288" s="43">
        <v>0.5</v>
      </c>
      <c r="M288" s="43">
        <v>0.32840000000000003</v>
      </c>
      <c r="N288" s="43">
        <v>2</v>
      </c>
      <c r="O288" s="43">
        <v>137</v>
      </c>
      <c r="P288" s="44">
        <v>139</v>
      </c>
    </row>
    <row r="289" spans="1:16">
      <c r="A289" s="45">
        <v>288</v>
      </c>
      <c r="B289" s="46">
        <v>40556</v>
      </c>
      <c r="C289" s="47">
        <v>1</v>
      </c>
      <c r="D289" s="47">
        <v>0</v>
      </c>
      <c r="E289" s="47">
        <v>1</v>
      </c>
      <c r="F289" s="47">
        <v>10</v>
      </c>
      <c r="G289" s="47" t="b">
        <v>0</v>
      </c>
      <c r="H289" s="47">
        <v>4</v>
      </c>
      <c r="I289" s="47">
        <v>2</v>
      </c>
      <c r="J289" s="47">
        <v>0.16</v>
      </c>
      <c r="K289" s="47">
        <v>0.13639999999999999</v>
      </c>
      <c r="L289" s="47">
        <v>0.5</v>
      </c>
      <c r="M289" s="47">
        <v>0.35820000000000002</v>
      </c>
      <c r="N289" s="47">
        <v>2</v>
      </c>
      <c r="O289" s="47">
        <v>36</v>
      </c>
      <c r="P289" s="48">
        <v>38</v>
      </c>
    </row>
    <row r="290" spans="1:16">
      <c r="A290" s="41">
        <v>289</v>
      </c>
      <c r="B290" s="42">
        <v>40556</v>
      </c>
      <c r="C290" s="43">
        <v>1</v>
      </c>
      <c r="D290" s="43">
        <v>0</v>
      </c>
      <c r="E290" s="43">
        <v>1</v>
      </c>
      <c r="F290" s="43">
        <v>11</v>
      </c>
      <c r="G290" s="43" t="b">
        <v>0</v>
      </c>
      <c r="H290" s="43">
        <v>4</v>
      </c>
      <c r="I290" s="43">
        <v>2</v>
      </c>
      <c r="J290" s="43">
        <v>0.2</v>
      </c>
      <c r="K290" s="43">
        <v>0.16669999999999999</v>
      </c>
      <c r="L290" s="43">
        <v>0.44</v>
      </c>
      <c r="M290" s="43">
        <v>0.44779999999999998</v>
      </c>
      <c r="N290" s="43">
        <v>4</v>
      </c>
      <c r="O290" s="43">
        <v>33</v>
      </c>
      <c r="P290" s="44">
        <v>37</v>
      </c>
    </row>
    <row r="291" spans="1:16">
      <c r="A291" s="45">
        <v>290</v>
      </c>
      <c r="B291" s="46">
        <v>40556</v>
      </c>
      <c r="C291" s="47">
        <v>1</v>
      </c>
      <c r="D291" s="47">
        <v>0</v>
      </c>
      <c r="E291" s="47">
        <v>1</v>
      </c>
      <c r="F291" s="47">
        <v>12</v>
      </c>
      <c r="G291" s="47" t="b">
        <v>0</v>
      </c>
      <c r="H291" s="47">
        <v>4</v>
      </c>
      <c r="I291" s="47">
        <v>1</v>
      </c>
      <c r="J291" s="47">
        <v>0.2</v>
      </c>
      <c r="K291" s="47">
        <v>0.16669999999999999</v>
      </c>
      <c r="L291" s="47">
        <v>0.44</v>
      </c>
      <c r="M291" s="47">
        <v>0.41789999999999999</v>
      </c>
      <c r="N291" s="47">
        <v>3</v>
      </c>
      <c r="O291" s="47">
        <v>49</v>
      </c>
      <c r="P291" s="48">
        <v>52</v>
      </c>
    </row>
    <row r="292" spans="1:16">
      <c r="A292" s="41">
        <v>291</v>
      </c>
      <c r="B292" s="42">
        <v>40556</v>
      </c>
      <c r="C292" s="43">
        <v>1</v>
      </c>
      <c r="D292" s="43">
        <v>0</v>
      </c>
      <c r="E292" s="43">
        <v>1</v>
      </c>
      <c r="F292" s="43">
        <v>13</v>
      </c>
      <c r="G292" s="43" t="b">
        <v>0</v>
      </c>
      <c r="H292" s="43">
        <v>4</v>
      </c>
      <c r="I292" s="43">
        <v>1</v>
      </c>
      <c r="J292" s="43">
        <v>0.22</v>
      </c>
      <c r="K292" s="43">
        <v>0.19700000000000001</v>
      </c>
      <c r="L292" s="43">
        <v>0.41</v>
      </c>
      <c r="M292" s="43">
        <v>0.44779999999999998</v>
      </c>
      <c r="N292" s="43">
        <v>2</v>
      </c>
      <c r="O292" s="43">
        <v>81</v>
      </c>
      <c r="P292" s="44">
        <v>83</v>
      </c>
    </row>
    <row r="293" spans="1:16">
      <c r="A293" s="45">
        <v>292</v>
      </c>
      <c r="B293" s="46">
        <v>40556</v>
      </c>
      <c r="C293" s="47">
        <v>1</v>
      </c>
      <c r="D293" s="47">
        <v>0</v>
      </c>
      <c r="E293" s="47">
        <v>1</v>
      </c>
      <c r="F293" s="47">
        <v>14</v>
      </c>
      <c r="G293" s="47" t="b">
        <v>0</v>
      </c>
      <c r="H293" s="47">
        <v>4</v>
      </c>
      <c r="I293" s="47">
        <v>1</v>
      </c>
      <c r="J293" s="47">
        <v>0.22</v>
      </c>
      <c r="K293" s="47">
        <v>0.19700000000000001</v>
      </c>
      <c r="L293" s="47">
        <v>0.41</v>
      </c>
      <c r="M293" s="47">
        <v>0.3881</v>
      </c>
      <c r="N293" s="47">
        <v>3</v>
      </c>
      <c r="O293" s="47">
        <v>39</v>
      </c>
      <c r="P293" s="48">
        <v>42</v>
      </c>
    </row>
    <row r="294" spans="1:16">
      <c r="A294" s="41">
        <v>293</v>
      </c>
      <c r="B294" s="42">
        <v>40556</v>
      </c>
      <c r="C294" s="43">
        <v>1</v>
      </c>
      <c r="D294" s="43">
        <v>0</v>
      </c>
      <c r="E294" s="43">
        <v>1</v>
      </c>
      <c r="F294" s="43">
        <v>15</v>
      </c>
      <c r="G294" s="43" t="b">
        <v>0</v>
      </c>
      <c r="H294" s="43">
        <v>4</v>
      </c>
      <c r="I294" s="43">
        <v>1</v>
      </c>
      <c r="J294" s="43">
        <v>0.24</v>
      </c>
      <c r="K294" s="43">
        <v>0.21210000000000001</v>
      </c>
      <c r="L294" s="43">
        <v>0.38</v>
      </c>
      <c r="M294" s="43">
        <v>0.29849999999999999</v>
      </c>
      <c r="N294" s="43">
        <v>5</v>
      </c>
      <c r="O294" s="43">
        <v>55</v>
      </c>
      <c r="P294" s="44">
        <v>60</v>
      </c>
    </row>
    <row r="295" spans="1:16">
      <c r="A295" s="45">
        <v>294</v>
      </c>
      <c r="B295" s="46">
        <v>40556</v>
      </c>
      <c r="C295" s="47">
        <v>1</v>
      </c>
      <c r="D295" s="47">
        <v>0</v>
      </c>
      <c r="E295" s="47">
        <v>1</v>
      </c>
      <c r="F295" s="47">
        <v>16</v>
      </c>
      <c r="G295" s="47" t="b">
        <v>0</v>
      </c>
      <c r="H295" s="47">
        <v>4</v>
      </c>
      <c r="I295" s="47">
        <v>1</v>
      </c>
      <c r="J295" s="47">
        <v>0.24</v>
      </c>
      <c r="K295" s="47">
        <v>0.21210000000000001</v>
      </c>
      <c r="L295" s="47">
        <v>0.38</v>
      </c>
      <c r="M295" s="47">
        <v>0.35820000000000002</v>
      </c>
      <c r="N295" s="47">
        <v>2</v>
      </c>
      <c r="O295" s="47">
        <v>76</v>
      </c>
      <c r="P295" s="48">
        <v>78</v>
      </c>
    </row>
    <row r="296" spans="1:16">
      <c r="A296" s="41">
        <v>295</v>
      </c>
      <c r="B296" s="42">
        <v>40556</v>
      </c>
      <c r="C296" s="43">
        <v>1</v>
      </c>
      <c r="D296" s="43">
        <v>0</v>
      </c>
      <c r="E296" s="43">
        <v>1</v>
      </c>
      <c r="F296" s="43">
        <v>17</v>
      </c>
      <c r="G296" s="43" t="b">
        <v>0</v>
      </c>
      <c r="H296" s="43">
        <v>4</v>
      </c>
      <c r="I296" s="43">
        <v>1</v>
      </c>
      <c r="J296" s="43">
        <v>0.2</v>
      </c>
      <c r="K296" s="43">
        <v>0.18179999999999999</v>
      </c>
      <c r="L296" s="43">
        <v>0.4</v>
      </c>
      <c r="M296" s="43">
        <v>0.28360000000000002</v>
      </c>
      <c r="N296" s="43">
        <v>4</v>
      </c>
      <c r="O296" s="43">
        <v>158</v>
      </c>
      <c r="P296" s="44">
        <v>162</v>
      </c>
    </row>
    <row r="297" spans="1:16">
      <c r="A297" s="45">
        <v>296</v>
      </c>
      <c r="B297" s="46">
        <v>40556</v>
      </c>
      <c r="C297" s="47">
        <v>1</v>
      </c>
      <c r="D297" s="47">
        <v>0</v>
      </c>
      <c r="E297" s="47">
        <v>1</v>
      </c>
      <c r="F297" s="47">
        <v>18</v>
      </c>
      <c r="G297" s="47" t="b">
        <v>0</v>
      </c>
      <c r="H297" s="47">
        <v>4</v>
      </c>
      <c r="I297" s="47">
        <v>1</v>
      </c>
      <c r="J297" s="47">
        <v>0.2</v>
      </c>
      <c r="K297" s="47">
        <v>0.18179999999999999</v>
      </c>
      <c r="L297" s="47">
        <v>0.4</v>
      </c>
      <c r="M297" s="47">
        <v>0.32840000000000003</v>
      </c>
      <c r="N297" s="47">
        <v>3</v>
      </c>
      <c r="O297" s="47">
        <v>141</v>
      </c>
      <c r="P297" s="48">
        <v>144</v>
      </c>
    </row>
    <row r="298" spans="1:16">
      <c r="A298" s="41">
        <v>297</v>
      </c>
      <c r="B298" s="42">
        <v>40556</v>
      </c>
      <c r="C298" s="43">
        <v>1</v>
      </c>
      <c r="D298" s="43">
        <v>0</v>
      </c>
      <c r="E298" s="43">
        <v>1</v>
      </c>
      <c r="F298" s="43">
        <v>19</v>
      </c>
      <c r="G298" s="43" t="b">
        <v>0</v>
      </c>
      <c r="H298" s="43">
        <v>4</v>
      </c>
      <c r="I298" s="43">
        <v>1</v>
      </c>
      <c r="J298" s="43">
        <v>0.16</v>
      </c>
      <c r="K298" s="43">
        <v>0.1515</v>
      </c>
      <c r="L298" s="43">
        <v>0.47</v>
      </c>
      <c r="M298" s="43">
        <v>0.25369999999999998</v>
      </c>
      <c r="N298" s="43">
        <v>1</v>
      </c>
      <c r="O298" s="43">
        <v>98</v>
      </c>
      <c r="P298" s="44">
        <v>99</v>
      </c>
    </row>
    <row r="299" spans="1:16">
      <c r="A299" s="45">
        <v>298</v>
      </c>
      <c r="B299" s="46">
        <v>40556</v>
      </c>
      <c r="C299" s="47">
        <v>1</v>
      </c>
      <c r="D299" s="47">
        <v>0</v>
      </c>
      <c r="E299" s="47">
        <v>1</v>
      </c>
      <c r="F299" s="47">
        <v>20</v>
      </c>
      <c r="G299" s="47" t="b">
        <v>0</v>
      </c>
      <c r="H299" s="47">
        <v>4</v>
      </c>
      <c r="I299" s="47">
        <v>1</v>
      </c>
      <c r="J299" s="47">
        <v>0.16</v>
      </c>
      <c r="K299" s="47">
        <v>0.1515</v>
      </c>
      <c r="L299" s="47">
        <v>0.47</v>
      </c>
      <c r="M299" s="47">
        <v>0.22389999999999999</v>
      </c>
      <c r="N299" s="47">
        <v>0</v>
      </c>
      <c r="O299" s="47">
        <v>64</v>
      </c>
      <c r="P299" s="48">
        <v>64</v>
      </c>
    </row>
    <row r="300" spans="1:16">
      <c r="A300" s="41">
        <v>299</v>
      </c>
      <c r="B300" s="42">
        <v>40556</v>
      </c>
      <c r="C300" s="43">
        <v>1</v>
      </c>
      <c r="D300" s="43">
        <v>0</v>
      </c>
      <c r="E300" s="43">
        <v>1</v>
      </c>
      <c r="F300" s="43">
        <v>21</v>
      </c>
      <c r="G300" s="43" t="b">
        <v>0</v>
      </c>
      <c r="H300" s="43">
        <v>4</v>
      </c>
      <c r="I300" s="43">
        <v>1</v>
      </c>
      <c r="J300" s="43">
        <v>0.14000000000000001</v>
      </c>
      <c r="K300" s="43">
        <v>0.1212</v>
      </c>
      <c r="L300" s="43">
        <v>0.46</v>
      </c>
      <c r="M300" s="43">
        <v>0.29849999999999999</v>
      </c>
      <c r="N300" s="43">
        <v>0</v>
      </c>
      <c r="O300" s="43">
        <v>40</v>
      </c>
      <c r="P300" s="44">
        <v>40</v>
      </c>
    </row>
    <row r="301" spans="1:16">
      <c r="A301" s="45">
        <v>300</v>
      </c>
      <c r="B301" s="46">
        <v>40556</v>
      </c>
      <c r="C301" s="47">
        <v>1</v>
      </c>
      <c r="D301" s="47">
        <v>0</v>
      </c>
      <c r="E301" s="47">
        <v>1</v>
      </c>
      <c r="F301" s="47">
        <v>22</v>
      </c>
      <c r="G301" s="47" t="b">
        <v>0</v>
      </c>
      <c r="H301" s="47">
        <v>4</v>
      </c>
      <c r="I301" s="47">
        <v>1</v>
      </c>
      <c r="J301" s="47">
        <v>0.14000000000000001</v>
      </c>
      <c r="K301" s="47">
        <v>0.1212</v>
      </c>
      <c r="L301" s="47">
        <v>0.46</v>
      </c>
      <c r="M301" s="47">
        <v>0.32840000000000003</v>
      </c>
      <c r="N301" s="47">
        <v>0</v>
      </c>
      <c r="O301" s="47">
        <v>30</v>
      </c>
      <c r="P301" s="48">
        <v>30</v>
      </c>
    </row>
    <row r="302" spans="1:16">
      <c r="A302" s="41">
        <v>301</v>
      </c>
      <c r="B302" s="42">
        <v>40556</v>
      </c>
      <c r="C302" s="43">
        <v>1</v>
      </c>
      <c r="D302" s="43">
        <v>0</v>
      </c>
      <c r="E302" s="43">
        <v>1</v>
      </c>
      <c r="F302" s="43">
        <v>23</v>
      </c>
      <c r="G302" s="43" t="b">
        <v>0</v>
      </c>
      <c r="H302" s="43">
        <v>4</v>
      </c>
      <c r="I302" s="43">
        <v>1</v>
      </c>
      <c r="J302" s="43">
        <v>0.12</v>
      </c>
      <c r="K302" s="43">
        <v>0.13639999999999999</v>
      </c>
      <c r="L302" s="43">
        <v>0.5</v>
      </c>
      <c r="M302" s="43">
        <v>0.19400000000000001</v>
      </c>
      <c r="N302" s="43">
        <v>1</v>
      </c>
      <c r="O302" s="43">
        <v>14</v>
      </c>
      <c r="P302" s="44">
        <v>15</v>
      </c>
    </row>
    <row r="303" spans="1:16">
      <c r="A303" s="45">
        <v>302</v>
      </c>
      <c r="B303" s="46">
        <v>40557</v>
      </c>
      <c r="C303" s="47">
        <v>1</v>
      </c>
      <c r="D303" s="47">
        <v>0</v>
      </c>
      <c r="E303" s="47">
        <v>1</v>
      </c>
      <c r="F303" s="47">
        <v>0</v>
      </c>
      <c r="G303" s="47" t="b">
        <v>0</v>
      </c>
      <c r="H303" s="47">
        <v>5</v>
      </c>
      <c r="I303" s="47">
        <v>1</v>
      </c>
      <c r="J303" s="47">
        <v>0.12</v>
      </c>
      <c r="K303" s="47">
        <v>0.13639999999999999</v>
      </c>
      <c r="L303" s="47">
        <v>0.5</v>
      </c>
      <c r="M303" s="47">
        <v>0.19400000000000001</v>
      </c>
      <c r="N303" s="47">
        <v>0</v>
      </c>
      <c r="O303" s="47">
        <v>14</v>
      </c>
      <c r="P303" s="48">
        <v>14</v>
      </c>
    </row>
    <row r="304" spans="1:16">
      <c r="A304" s="41">
        <v>303</v>
      </c>
      <c r="B304" s="42">
        <v>40557</v>
      </c>
      <c r="C304" s="43">
        <v>1</v>
      </c>
      <c r="D304" s="43">
        <v>0</v>
      </c>
      <c r="E304" s="43">
        <v>1</v>
      </c>
      <c r="F304" s="43">
        <v>1</v>
      </c>
      <c r="G304" s="43" t="b">
        <v>0</v>
      </c>
      <c r="H304" s="43">
        <v>5</v>
      </c>
      <c r="I304" s="43">
        <v>1</v>
      </c>
      <c r="J304" s="43">
        <v>0.1</v>
      </c>
      <c r="K304" s="43">
        <v>0.1212</v>
      </c>
      <c r="L304" s="43">
        <v>0.54</v>
      </c>
      <c r="M304" s="43">
        <v>0.16420000000000001</v>
      </c>
      <c r="N304" s="43">
        <v>0</v>
      </c>
      <c r="O304" s="43">
        <v>5</v>
      </c>
      <c r="P304" s="44">
        <v>5</v>
      </c>
    </row>
    <row r="305" spans="1:16">
      <c r="A305" s="45">
        <v>304</v>
      </c>
      <c r="B305" s="46">
        <v>40557</v>
      </c>
      <c r="C305" s="47">
        <v>1</v>
      </c>
      <c r="D305" s="47">
        <v>0</v>
      </c>
      <c r="E305" s="47">
        <v>1</v>
      </c>
      <c r="F305" s="47">
        <v>2</v>
      </c>
      <c r="G305" s="47" t="b">
        <v>0</v>
      </c>
      <c r="H305" s="47">
        <v>5</v>
      </c>
      <c r="I305" s="47">
        <v>1</v>
      </c>
      <c r="J305" s="47">
        <v>0.1</v>
      </c>
      <c r="K305" s="47">
        <v>0.1212</v>
      </c>
      <c r="L305" s="47">
        <v>0.54</v>
      </c>
      <c r="M305" s="47">
        <v>0.1343</v>
      </c>
      <c r="N305" s="47">
        <v>0</v>
      </c>
      <c r="O305" s="47">
        <v>1</v>
      </c>
      <c r="P305" s="48">
        <v>1</v>
      </c>
    </row>
    <row r="306" spans="1:16">
      <c r="A306" s="41">
        <v>305</v>
      </c>
      <c r="B306" s="42">
        <v>40557</v>
      </c>
      <c r="C306" s="43">
        <v>1</v>
      </c>
      <c r="D306" s="43">
        <v>0</v>
      </c>
      <c r="E306" s="43">
        <v>1</v>
      </c>
      <c r="F306" s="43">
        <v>3</v>
      </c>
      <c r="G306" s="43" t="b">
        <v>0</v>
      </c>
      <c r="H306" s="43">
        <v>5</v>
      </c>
      <c r="I306" s="43">
        <v>1</v>
      </c>
      <c r="J306" s="43">
        <v>0.1</v>
      </c>
      <c r="K306" s="43">
        <v>0.13639999999999999</v>
      </c>
      <c r="L306" s="43">
        <v>0.54</v>
      </c>
      <c r="M306" s="43">
        <v>0.1045</v>
      </c>
      <c r="N306" s="43">
        <v>0</v>
      </c>
      <c r="O306" s="43">
        <v>1</v>
      </c>
      <c r="P306" s="44">
        <v>1</v>
      </c>
    </row>
    <row r="307" spans="1:16">
      <c r="A307" s="45">
        <v>306</v>
      </c>
      <c r="B307" s="46">
        <v>40557</v>
      </c>
      <c r="C307" s="47">
        <v>1</v>
      </c>
      <c r="D307" s="47">
        <v>0</v>
      </c>
      <c r="E307" s="47">
        <v>1</v>
      </c>
      <c r="F307" s="47">
        <v>5</v>
      </c>
      <c r="G307" s="47" t="b">
        <v>0</v>
      </c>
      <c r="H307" s="47">
        <v>5</v>
      </c>
      <c r="I307" s="47">
        <v>1</v>
      </c>
      <c r="J307" s="47">
        <v>0.1</v>
      </c>
      <c r="K307" s="47">
        <v>0.13639999999999999</v>
      </c>
      <c r="L307" s="47">
        <v>0.54</v>
      </c>
      <c r="M307" s="47">
        <v>8.9599999999999999E-2</v>
      </c>
      <c r="N307" s="47">
        <v>0</v>
      </c>
      <c r="O307" s="47">
        <v>8</v>
      </c>
      <c r="P307" s="48">
        <v>8</v>
      </c>
    </row>
    <row r="308" spans="1:16">
      <c r="A308" s="41">
        <v>307</v>
      </c>
      <c r="B308" s="42">
        <v>40557</v>
      </c>
      <c r="C308" s="43">
        <v>1</v>
      </c>
      <c r="D308" s="43">
        <v>0</v>
      </c>
      <c r="E308" s="43">
        <v>1</v>
      </c>
      <c r="F308" s="43">
        <v>6</v>
      </c>
      <c r="G308" s="43" t="b">
        <v>0</v>
      </c>
      <c r="H308" s="43">
        <v>5</v>
      </c>
      <c r="I308" s="43">
        <v>1</v>
      </c>
      <c r="J308" s="43">
        <v>0.1</v>
      </c>
      <c r="K308" s="43">
        <v>0.18179999999999999</v>
      </c>
      <c r="L308" s="43">
        <v>0.54</v>
      </c>
      <c r="M308" s="43">
        <v>0</v>
      </c>
      <c r="N308" s="43">
        <v>0</v>
      </c>
      <c r="O308" s="43">
        <v>17</v>
      </c>
      <c r="P308" s="44">
        <v>17</v>
      </c>
    </row>
    <row r="309" spans="1:16">
      <c r="A309" s="45">
        <v>308</v>
      </c>
      <c r="B309" s="46">
        <v>40557</v>
      </c>
      <c r="C309" s="47">
        <v>1</v>
      </c>
      <c r="D309" s="47">
        <v>0</v>
      </c>
      <c r="E309" s="47">
        <v>1</v>
      </c>
      <c r="F309" s="47">
        <v>7</v>
      </c>
      <c r="G309" s="47" t="b">
        <v>0</v>
      </c>
      <c r="H309" s="47">
        <v>5</v>
      </c>
      <c r="I309" s="47">
        <v>1</v>
      </c>
      <c r="J309" s="47">
        <v>0.1</v>
      </c>
      <c r="K309" s="47">
        <v>0.1212</v>
      </c>
      <c r="L309" s="47">
        <v>0.74</v>
      </c>
      <c r="M309" s="47">
        <v>0.16420000000000001</v>
      </c>
      <c r="N309" s="47">
        <v>0</v>
      </c>
      <c r="O309" s="47">
        <v>70</v>
      </c>
      <c r="P309" s="48">
        <v>70</v>
      </c>
    </row>
    <row r="310" spans="1:16">
      <c r="A310" s="41">
        <v>309</v>
      </c>
      <c r="B310" s="42">
        <v>40557</v>
      </c>
      <c r="C310" s="43">
        <v>1</v>
      </c>
      <c r="D310" s="43">
        <v>0</v>
      </c>
      <c r="E310" s="43">
        <v>1</v>
      </c>
      <c r="F310" s="43">
        <v>8</v>
      </c>
      <c r="G310" s="43" t="b">
        <v>0</v>
      </c>
      <c r="H310" s="43">
        <v>5</v>
      </c>
      <c r="I310" s="43">
        <v>1</v>
      </c>
      <c r="J310" s="43">
        <v>0.12</v>
      </c>
      <c r="K310" s="43">
        <v>0.16669999999999999</v>
      </c>
      <c r="L310" s="43">
        <v>0.68</v>
      </c>
      <c r="M310" s="43">
        <v>0</v>
      </c>
      <c r="N310" s="43">
        <v>2</v>
      </c>
      <c r="O310" s="43">
        <v>156</v>
      </c>
      <c r="P310" s="44">
        <v>158</v>
      </c>
    </row>
    <row r="311" spans="1:16">
      <c r="A311" s="45">
        <v>310</v>
      </c>
      <c r="B311" s="46">
        <v>40557</v>
      </c>
      <c r="C311" s="47">
        <v>1</v>
      </c>
      <c r="D311" s="47">
        <v>0</v>
      </c>
      <c r="E311" s="47">
        <v>1</v>
      </c>
      <c r="F311" s="47">
        <v>9</v>
      </c>
      <c r="G311" s="47" t="b">
        <v>0</v>
      </c>
      <c r="H311" s="47">
        <v>5</v>
      </c>
      <c r="I311" s="47">
        <v>1</v>
      </c>
      <c r="J311" s="47">
        <v>0.14000000000000001</v>
      </c>
      <c r="K311" s="47">
        <v>0.1515</v>
      </c>
      <c r="L311" s="47">
        <v>0.69</v>
      </c>
      <c r="M311" s="47">
        <v>0.1343</v>
      </c>
      <c r="N311" s="47">
        <v>0</v>
      </c>
      <c r="O311" s="47">
        <v>117</v>
      </c>
      <c r="P311" s="48">
        <v>117</v>
      </c>
    </row>
    <row r="312" spans="1:16">
      <c r="A312" s="41">
        <v>311</v>
      </c>
      <c r="B312" s="42">
        <v>40557</v>
      </c>
      <c r="C312" s="43">
        <v>1</v>
      </c>
      <c r="D312" s="43">
        <v>0</v>
      </c>
      <c r="E312" s="43">
        <v>1</v>
      </c>
      <c r="F312" s="43">
        <v>10</v>
      </c>
      <c r="G312" s="43" t="b">
        <v>0</v>
      </c>
      <c r="H312" s="43">
        <v>5</v>
      </c>
      <c r="I312" s="43">
        <v>1</v>
      </c>
      <c r="J312" s="43">
        <v>0.18</v>
      </c>
      <c r="K312" s="43">
        <v>0.18179999999999999</v>
      </c>
      <c r="L312" s="43">
        <v>0.55000000000000004</v>
      </c>
      <c r="M312" s="43">
        <v>0.19400000000000001</v>
      </c>
      <c r="N312" s="43">
        <v>4</v>
      </c>
      <c r="O312" s="43">
        <v>40</v>
      </c>
      <c r="P312" s="44">
        <v>44</v>
      </c>
    </row>
    <row r="313" spans="1:16">
      <c r="A313" s="45">
        <v>312</v>
      </c>
      <c r="B313" s="46">
        <v>40557</v>
      </c>
      <c r="C313" s="47">
        <v>1</v>
      </c>
      <c r="D313" s="47">
        <v>0</v>
      </c>
      <c r="E313" s="47">
        <v>1</v>
      </c>
      <c r="F313" s="47">
        <v>11</v>
      </c>
      <c r="G313" s="47" t="b">
        <v>0</v>
      </c>
      <c r="H313" s="47">
        <v>5</v>
      </c>
      <c r="I313" s="47">
        <v>1</v>
      </c>
      <c r="J313" s="47">
        <v>0.18</v>
      </c>
      <c r="K313" s="47">
        <v>0.16669999999999999</v>
      </c>
      <c r="L313" s="47">
        <v>0.51</v>
      </c>
      <c r="M313" s="47">
        <v>0.28360000000000002</v>
      </c>
      <c r="N313" s="47">
        <v>6</v>
      </c>
      <c r="O313" s="47">
        <v>47</v>
      </c>
      <c r="P313" s="48">
        <v>53</v>
      </c>
    </row>
    <row r="314" spans="1:16">
      <c r="A314" s="41">
        <v>313</v>
      </c>
      <c r="B314" s="42">
        <v>40557</v>
      </c>
      <c r="C314" s="43">
        <v>1</v>
      </c>
      <c r="D314" s="43">
        <v>0</v>
      </c>
      <c r="E314" s="43">
        <v>1</v>
      </c>
      <c r="F314" s="43">
        <v>12</v>
      </c>
      <c r="G314" s="43" t="b">
        <v>0</v>
      </c>
      <c r="H314" s="43">
        <v>5</v>
      </c>
      <c r="I314" s="43">
        <v>1</v>
      </c>
      <c r="J314" s="43">
        <v>0.2</v>
      </c>
      <c r="K314" s="43">
        <v>0.19700000000000001</v>
      </c>
      <c r="L314" s="43">
        <v>0.44</v>
      </c>
      <c r="M314" s="43">
        <v>0.25369999999999998</v>
      </c>
      <c r="N314" s="43">
        <v>2</v>
      </c>
      <c r="O314" s="43">
        <v>59</v>
      </c>
      <c r="P314" s="44">
        <v>61</v>
      </c>
    </row>
    <row r="315" spans="1:16">
      <c r="A315" s="45">
        <v>314</v>
      </c>
      <c r="B315" s="46">
        <v>40557</v>
      </c>
      <c r="C315" s="47">
        <v>1</v>
      </c>
      <c r="D315" s="47">
        <v>0</v>
      </c>
      <c r="E315" s="47">
        <v>1</v>
      </c>
      <c r="F315" s="47">
        <v>13</v>
      </c>
      <c r="G315" s="47" t="b">
        <v>0</v>
      </c>
      <c r="H315" s="47">
        <v>5</v>
      </c>
      <c r="I315" s="47">
        <v>1</v>
      </c>
      <c r="J315" s="47">
        <v>0.22</v>
      </c>
      <c r="K315" s="47">
        <v>0.19700000000000001</v>
      </c>
      <c r="L315" s="47">
        <v>0.37</v>
      </c>
      <c r="M315" s="47">
        <v>0.3881</v>
      </c>
      <c r="N315" s="47">
        <v>4</v>
      </c>
      <c r="O315" s="47">
        <v>73</v>
      </c>
      <c r="P315" s="48">
        <v>77</v>
      </c>
    </row>
    <row r="316" spans="1:16">
      <c r="A316" s="41">
        <v>315</v>
      </c>
      <c r="B316" s="42">
        <v>40557</v>
      </c>
      <c r="C316" s="43">
        <v>1</v>
      </c>
      <c r="D316" s="43">
        <v>0</v>
      </c>
      <c r="E316" s="43">
        <v>1</v>
      </c>
      <c r="F316" s="43">
        <v>14</v>
      </c>
      <c r="G316" s="43" t="b">
        <v>0</v>
      </c>
      <c r="H316" s="43">
        <v>5</v>
      </c>
      <c r="I316" s="43">
        <v>1</v>
      </c>
      <c r="J316" s="43">
        <v>0.22</v>
      </c>
      <c r="K316" s="43">
        <v>0.21210000000000001</v>
      </c>
      <c r="L316" s="43">
        <v>0.41</v>
      </c>
      <c r="M316" s="43">
        <v>0.28360000000000002</v>
      </c>
      <c r="N316" s="43">
        <v>5</v>
      </c>
      <c r="O316" s="43">
        <v>59</v>
      </c>
      <c r="P316" s="44">
        <v>64</v>
      </c>
    </row>
    <row r="317" spans="1:16">
      <c r="A317" s="45">
        <v>316</v>
      </c>
      <c r="B317" s="46">
        <v>40557</v>
      </c>
      <c r="C317" s="47">
        <v>1</v>
      </c>
      <c r="D317" s="47">
        <v>0</v>
      </c>
      <c r="E317" s="47">
        <v>1</v>
      </c>
      <c r="F317" s="47">
        <v>15</v>
      </c>
      <c r="G317" s="47" t="b">
        <v>0</v>
      </c>
      <c r="H317" s="47">
        <v>5</v>
      </c>
      <c r="I317" s="47">
        <v>1</v>
      </c>
      <c r="J317" s="47">
        <v>0.24</v>
      </c>
      <c r="K317" s="47">
        <v>0.2424</v>
      </c>
      <c r="L317" s="47">
        <v>0.38</v>
      </c>
      <c r="M317" s="47">
        <v>0.16420000000000001</v>
      </c>
      <c r="N317" s="47">
        <v>9</v>
      </c>
      <c r="O317" s="47">
        <v>59</v>
      </c>
      <c r="P317" s="48">
        <v>68</v>
      </c>
    </row>
    <row r="318" spans="1:16">
      <c r="A318" s="41">
        <v>317</v>
      </c>
      <c r="B318" s="42">
        <v>40557</v>
      </c>
      <c r="C318" s="43">
        <v>1</v>
      </c>
      <c r="D318" s="43">
        <v>0</v>
      </c>
      <c r="E318" s="43">
        <v>1</v>
      </c>
      <c r="F318" s="43">
        <v>16</v>
      </c>
      <c r="G318" s="43" t="b">
        <v>0</v>
      </c>
      <c r="H318" s="43">
        <v>5</v>
      </c>
      <c r="I318" s="43">
        <v>1</v>
      </c>
      <c r="J318" s="43">
        <v>0.22</v>
      </c>
      <c r="K318" s="43">
        <v>0.2424</v>
      </c>
      <c r="L318" s="43">
        <v>0.41</v>
      </c>
      <c r="M318" s="43">
        <v>0.1045</v>
      </c>
      <c r="N318" s="43">
        <v>3</v>
      </c>
      <c r="O318" s="43">
        <v>87</v>
      </c>
      <c r="P318" s="44">
        <v>90</v>
      </c>
    </row>
    <row r="319" spans="1:16">
      <c r="A319" s="45">
        <v>318</v>
      </c>
      <c r="B319" s="46">
        <v>40557</v>
      </c>
      <c r="C319" s="47">
        <v>1</v>
      </c>
      <c r="D319" s="47">
        <v>0</v>
      </c>
      <c r="E319" s="47">
        <v>1</v>
      </c>
      <c r="F319" s="47">
        <v>17</v>
      </c>
      <c r="G319" s="47" t="b">
        <v>0</v>
      </c>
      <c r="H319" s="47">
        <v>5</v>
      </c>
      <c r="I319" s="47">
        <v>1</v>
      </c>
      <c r="J319" s="47">
        <v>0.22</v>
      </c>
      <c r="K319" s="47">
        <v>0.2273</v>
      </c>
      <c r="L319" s="47">
        <v>0.41</v>
      </c>
      <c r="M319" s="47">
        <v>0.16420000000000001</v>
      </c>
      <c r="N319" s="47">
        <v>4</v>
      </c>
      <c r="O319" s="47">
        <v>155</v>
      </c>
      <c r="P319" s="48">
        <v>159</v>
      </c>
    </row>
    <row r="320" spans="1:16">
      <c r="A320" s="41">
        <v>319</v>
      </c>
      <c r="B320" s="42">
        <v>40557</v>
      </c>
      <c r="C320" s="43">
        <v>1</v>
      </c>
      <c r="D320" s="43">
        <v>0</v>
      </c>
      <c r="E320" s="43">
        <v>1</v>
      </c>
      <c r="F320" s="43">
        <v>18</v>
      </c>
      <c r="G320" s="43" t="b">
        <v>0</v>
      </c>
      <c r="H320" s="43">
        <v>5</v>
      </c>
      <c r="I320" s="43">
        <v>1</v>
      </c>
      <c r="J320" s="43">
        <v>0.2</v>
      </c>
      <c r="K320" s="43">
        <v>0.2576</v>
      </c>
      <c r="L320" s="43">
        <v>0.47</v>
      </c>
      <c r="M320" s="43">
        <v>0</v>
      </c>
      <c r="N320" s="43">
        <v>5</v>
      </c>
      <c r="O320" s="43">
        <v>134</v>
      </c>
      <c r="P320" s="44">
        <v>139</v>
      </c>
    </row>
    <row r="321" spans="1:16">
      <c r="A321" s="45">
        <v>320</v>
      </c>
      <c r="B321" s="46">
        <v>40557</v>
      </c>
      <c r="C321" s="47">
        <v>1</v>
      </c>
      <c r="D321" s="47">
        <v>0</v>
      </c>
      <c r="E321" s="47">
        <v>1</v>
      </c>
      <c r="F321" s="47">
        <v>19</v>
      </c>
      <c r="G321" s="47" t="b">
        <v>0</v>
      </c>
      <c r="H321" s="47">
        <v>5</v>
      </c>
      <c r="I321" s="47">
        <v>1</v>
      </c>
      <c r="J321" s="47">
        <v>0.16</v>
      </c>
      <c r="K321" s="47">
        <v>0.19700000000000001</v>
      </c>
      <c r="L321" s="47">
        <v>0.59</v>
      </c>
      <c r="M321" s="47">
        <v>8.9599999999999999E-2</v>
      </c>
      <c r="N321" s="47">
        <v>3</v>
      </c>
      <c r="O321" s="47">
        <v>89</v>
      </c>
      <c r="P321" s="48">
        <v>92</v>
      </c>
    </row>
    <row r="322" spans="1:16">
      <c r="A322" s="41">
        <v>321</v>
      </c>
      <c r="B322" s="42">
        <v>40557</v>
      </c>
      <c r="C322" s="43">
        <v>1</v>
      </c>
      <c r="D322" s="43">
        <v>0</v>
      </c>
      <c r="E322" s="43">
        <v>1</v>
      </c>
      <c r="F322" s="43">
        <v>20</v>
      </c>
      <c r="G322" s="43" t="b">
        <v>0</v>
      </c>
      <c r="H322" s="43">
        <v>5</v>
      </c>
      <c r="I322" s="43">
        <v>1</v>
      </c>
      <c r="J322" s="43">
        <v>0.18</v>
      </c>
      <c r="K322" s="43">
        <v>0.2424</v>
      </c>
      <c r="L322" s="43">
        <v>0.59</v>
      </c>
      <c r="M322" s="43">
        <v>0</v>
      </c>
      <c r="N322" s="43">
        <v>0</v>
      </c>
      <c r="O322" s="43">
        <v>68</v>
      </c>
      <c r="P322" s="44">
        <v>68</v>
      </c>
    </row>
    <row r="323" spans="1:16">
      <c r="A323" s="45">
        <v>322</v>
      </c>
      <c r="B323" s="46">
        <v>40557</v>
      </c>
      <c r="C323" s="47">
        <v>1</v>
      </c>
      <c r="D323" s="47">
        <v>0</v>
      </c>
      <c r="E323" s="47">
        <v>1</v>
      </c>
      <c r="F323" s="47">
        <v>21</v>
      </c>
      <c r="G323" s="47" t="b">
        <v>0</v>
      </c>
      <c r="H323" s="47">
        <v>5</v>
      </c>
      <c r="I323" s="47">
        <v>1</v>
      </c>
      <c r="J323" s="47">
        <v>0.16</v>
      </c>
      <c r="K323" s="47">
        <v>0.2273</v>
      </c>
      <c r="L323" s="47">
        <v>0.69</v>
      </c>
      <c r="M323" s="47">
        <v>0</v>
      </c>
      <c r="N323" s="47">
        <v>4</v>
      </c>
      <c r="O323" s="47">
        <v>48</v>
      </c>
      <c r="P323" s="48">
        <v>52</v>
      </c>
    </row>
    <row r="324" spans="1:16">
      <c r="A324" s="41">
        <v>323</v>
      </c>
      <c r="B324" s="42">
        <v>40557</v>
      </c>
      <c r="C324" s="43">
        <v>1</v>
      </c>
      <c r="D324" s="43">
        <v>0</v>
      </c>
      <c r="E324" s="43">
        <v>1</v>
      </c>
      <c r="F324" s="43">
        <v>22</v>
      </c>
      <c r="G324" s="43" t="b">
        <v>0</v>
      </c>
      <c r="H324" s="43">
        <v>5</v>
      </c>
      <c r="I324" s="43">
        <v>2</v>
      </c>
      <c r="J324" s="43">
        <v>0.16</v>
      </c>
      <c r="K324" s="43">
        <v>0.2273</v>
      </c>
      <c r="L324" s="43">
        <v>0.69</v>
      </c>
      <c r="M324" s="43">
        <v>0</v>
      </c>
      <c r="N324" s="43">
        <v>2</v>
      </c>
      <c r="O324" s="43">
        <v>34</v>
      </c>
      <c r="P324" s="44">
        <v>36</v>
      </c>
    </row>
    <row r="325" spans="1:16">
      <c r="A325" s="45">
        <v>324</v>
      </c>
      <c r="B325" s="46">
        <v>40557</v>
      </c>
      <c r="C325" s="47">
        <v>1</v>
      </c>
      <c r="D325" s="47">
        <v>0</v>
      </c>
      <c r="E325" s="47">
        <v>1</v>
      </c>
      <c r="F325" s="47">
        <v>23</v>
      </c>
      <c r="G325" s="47" t="b">
        <v>0</v>
      </c>
      <c r="H325" s="47">
        <v>5</v>
      </c>
      <c r="I325" s="47">
        <v>2</v>
      </c>
      <c r="J325" s="47">
        <v>0.18</v>
      </c>
      <c r="K325" s="47">
        <v>0.2424</v>
      </c>
      <c r="L325" s="47">
        <v>0.55000000000000004</v>
      </c>
      <c r="M325" s="47">
        <v>0</v>
      </c>
      <c r="N325" s="47">
        <v>1</v>
      </c>
      <c r="O325" s="47">
        <v>26</v>
      </c>
      <c r="P325" s="48">
        <v>27</v>
      </c>
    </row>
    <row r="326" spans="1:16">
      <c r="A326" s="41">
        <v>325</v>
      </c>
      <c r="B326" s="42">
        <v>40558</v>
      </c>
      <c r="C326" s="43">
        <v>1</v>
      </c>
      <c r="D326" s="43">
        <v>0</v>
      </c>
      <c r="E326" s="43">
        <v>1</v>
      </c>
      <c r="F326" s="43">
        <v>0</v>
      </c>
      <c r="G326" s="43" t="b">
        <v>0</v>
      </c>
      <c r="H326" s="43">
        <v>6</v>
      </c>
      <c r="I326" s="43">
        <v>1</v>
      </c>
      <c r="J326" s="43">
        <v>0.18</v>
      </c>
      <c r="K326" s="43">
        <v>0.2424</v>
      </c>
      <c r="L326" s="43">
        <v>0.55000000000000004</v>
      </c>
      <c r="M326" s="43">
        <v>0</v>
      </c>
      <c r="N326" s="43">
        <v>3</v>
      </c>
      <c r="O326" s="43">
        <v>25</v>
      </c>
      <c r="P326" s="44">
        <v>28</v>
      </c>
    </row>
    <row r="327" spans="1:16">
      <c r="A327" s="45">
        <v>326</v>
      </c>
      <c r="B327" s="46">
        <v>40558</v>
      </c>
      <c r="C327" s="47">
        <v>1</v>
      </c>
      <c r="D327" s="47">
        <v>0</v>
      </c>
      <c r="E327" s="47">
        <v>1</v>
      </c>
      <c r="F327" s="47">
        <v>1</v>
      </c>
      <c r="G327" s="47" t="b">
        <v>0</v>
      </c>
      <c r="H327" s="47">
        <v>6</v>
      </c>
      <c r="I327" s="47">
        <v>2</v>
      </c>
      <c r="J327" s="47">
        <v>0.16</v>
      </c>
      <c r="K327" s="47">
        <v>0.19700000000000001</v>
      </c>
      <c r="L327" s="47">
        <v>0.59</v>
      </c>
      <c r="M327" s="47">
        <v>8.9599999999999999E-2</v>
      </c>
      <c r="N327" s="47">
        <v>2</v>
      </c>
      <c r="O327" s="47">
        <v>18</v>
      </c>
      <c r="P327" s="48">
        <v>20</v>
      </c>
    </row>
    <row r="328" spans="1:16">
      <c r="A328" s="41">
        <v>327</v>
      </c>
      <c r="B328" s="42">
        <v>40558</v>
      </c>
      <c r="C328" s="43">
        <v>1</v>
      </c>
      <c r="D328" s="43">
        <v>0</v>
      </c>
      <c r="E328" s="43">
        <v>1</v>
      </c>
      <c r="F328" s="43">
        <v>2</v>
      </c>
      <c r="G328" s="43" t="b">
        <v>0</v>
      </c>
      <c r="H328" s="43">
        <v>6</v>
      </c>
      <c r="I328" s="43">
        <v>2</v>
      </c>
      <c r="J328" s="43">
        <v>0.16</v>
      </c>
      <c r="K328" s="43">
        <v>0.19700000000000001</v>
      </c>
      <c r="L328" s="43">
        <v>0.59</v>
      </c>
      <c r="M328" s="43">
        <v>8.9599999999999999E-2</v>
      </c>
      <c r="N328" s="43">
        <v>0</v>
      </c>
      <c r="O328" s="43">
        <v>12</v>
      </c>
      <c r="P328" s="44">
        <v>12</v>
      </c>
    </row>
    <row r="329" spans="1:16">
      <c r="A329" s="45">
        <v>328</v>
      </c>
      <c r="B329" s="46">
        <v>40558</v>
      </c>
      <c r="C329" s="47">
        <v>1</v>
      </c>
      <c r="D329" s="47">
        <v>0</v>
      </c>
      <c r="E329" s="47">
        <v>1</v>
      </c>
      <c r="F329" s="47">
        <v>3</v>
      </c>
      <c r="G329" s="47" t="b">
        <v>0</v>
      </c>
      <c r="H329" s="47">
        <v>6</v>
      </c>
      <c r="I329" s="47">
        <v>2</v>
      </c>
      <c r="J329" s="47">
        <v>0.16</v>
      </c>
      <c r="K329" s="47">
        <v>0.2273</v>
      </c>
      <c r="L329" s="47">
        <v>0.59</v>
      </c>
      <c r="M329" s="47">
        <v>0</v>
      </c>
      <c r="N329" s="47">
        <v>1</v>
      </c>
      <c r="O329" s="47">
        <v>7</v>
      </c>
      <c r="P329" s="48">
        <v>8</v>
      </c>
    </row>
    <row r="330" spans="1:16">
      <c r="A330" s="41">
        <v>329</v>
      </c>
      <c r="B330" s="42">
        <v>40558</v>
      </c>
      <c r="C330" s="43">
        <v>1</v>
      </c>
      <c r="D330" s="43">
        <v>0</v>
      </c>
      <c r="E330" s="43">
        <v>1</v>
      </c>
      <c r="F330" s="43">
        <v>4</v>
      </c>
      <c r="G330" s="43" t="b">
        <v>0</v>
      </c>
      <c r="H330" s="43">
        <v>6</v>
      </c>
      <c r="I330" s="43">
        <v>2</v>
      </c>
      <c r="J330" s="43">
        <v>0.16</v>
      </c>
      <c r="K330" s="43">
        <v>0.2273</v>
      </c>
      <c r="L330" s="43">
        <v>0.59</v>
      </c>
      <c r="M330" s="43">
        <v>0</v>
      </c>
      <c r="N330" s="43">
        <v>0</v>
      </c>
      <c r="O330" s="43">
        <v>5</v>
      </c>
      <c r="P330" s="44">
        <v>5</v>
      </c>
    </row>
    <row r="331" spans="1:16">
      <c r="A331" s="45">
        <v>330</v>
      </c>
      <c r="B331" s="46">
        <v>40558</v>
      </c>
      <c r="C331" s="47">
        <v>1</v>
      </c>
      <c r="D331" s="47">
        <v>0</v>
      </c>
      <c r="E331" s="47">
        <v>1</v>
      </c>
      <c r="F331" s="47">
        <v>5</v>
      </c>
      <c r="G331" s="47" t="b">
        <v>0</v>
      </c>
      <c r="H331" s="47">
        <v>6</v>
      </c>
      <c r="I331" s="47">
        <v>1</v>
      </c>
      <c r="J331" s="47">
        <v>0.16</v>
      </c>
      <c r="K331" s="47">
        <v>0.2273</v>
      </c>
      <c r="L331" s="47">
        <v>0.59</v>
      </c>
      <c r="M331" s="47">
        <v>0</v>
      </c>
      <c r="N331" s="47">
        <v>0</v>
      </c>
      <c r="O331" s="47">
        <v>1</v>
      </c>
      <c r="P331" s="48">
        <v>1</v>
      </c>
    </row>
    <row r="332" spans="1:16">
      <c r="A332" s="41">
        <v>331</v>
      </c>
      <c r="B332" s="42">
        <v>40558</v>
      </c>
      <c r="C332" s="43">
        <v>1</v>
      </c>
      <c r="D332" s="43">
        <v>0</v>
      </c>
      <c r="E332" s="43">
        <v>1</v>
      </c>
      <c r="F332" s="43">
        <v>6</v>
      </c>
      <c r="G332" s="43" t="b">
        <v>0</v>
      </c>
      <c r="H332" s="43">
        <v>6</v>
      </c>
      <c r="I332" s="43">
        <v>1</v>
      </c>
      <c r="J332" s="43">
        <v>0.14000000000000001</v>
      </c>
      <c r="K332" s="43">
        <v>0.16669999999999999</v>
      </c>
      <c r="L332" s="43">
        <v>0.63</v>
      </c>
      <c r="M332" s="43">
        <v>0.1045</v>
      </c>
      <c r="N332" s="43">
        <v>1</v>
      </c>
      <c r="O332" s="43">
        <v>2</v>
      </c>
      <c r="P332" s="44">
        <v>3</v>
      </c>
    </row>
    <row r="333" spans="1:16">
      <c r="A333" s="45">
        <v>332</v>
      </c>
      <c r="B333" s="46">
        <v>40558</v>
      </c>
      <c r="C333" s="47">
        <v>1</v>
      </c>
      <c r="D333" s="47">
        <v>0</v>
      </c>
      <c r="E333" s="47">
        <v>1</v>
      </c>
      <c r="F333" s="47">
        <v>7</v>
      </c>
      <c r="G333" s="47" t="b">
        <v>0</v>
      </c>
      <c r="H333" s="47">
        <v>6</v>
      </c>
      <c r="I333" s="47">
        <v>1</v>
      </c>
      <c r="J333" s="47">
        <v>0.14000000000000001</v>
      </c>
      <c r="K333" s="47">
        <v>0.21210000000000001</v>
      </c>
      <c r="L333" s="47">
        <v>0.63</v>
      </c>
      <c r="M333" s="47">
        <v>0</v>
      </c>
      <c r="N333" s="47">
        <v>1</v>
      </c>
      <c r="O333" s="47">
        <v>9</v>
      </c>
      <c r="P333" s="48">
        <v>10</v>
      </c>
    </row>
    <row r="334" spans="1:16">
      <c r="A334" s="41">
        <v>333</v>
      </c>
      <c r="B334" s="42">
        <v>40558</v>
      </c>
      <c r="C334" s="43">
        <v>1</v>
      </c>
      <c r="D334" s="43">
        <v>0</v>
      </c>
      <c r="E334" s="43">
        <v>1</v>
      </c>
      <c r="F334" s="43">
        <v>8</v>
      </c>
      <c r="G334" s="43" t="b">
        <v>0</v>
      </c>
      <c r="H334" s="43">
        <v>6</v>
      </c>
      <c r="I334" s="43">
        <v>1</v>
      </c>
      <c r="J334" s="43">
        <v>0.14000000000000001</v>
      </c>
      <c r="K334" s="43">
        <v>0.1515</v>
      </c>
      <c r="L334" s="43">
        <v>0.63</v>
      </c>
      <c r="M334" s="43">
        <v>0.1343</v>
      </c>
      <c r="N334" s="43">
        <v>1</v>
      </c>
      <c r="O334" s="43">
        <v>22</v>
      </c>
      <c r="P334" s="44">
        <v>23</v>
      </c>
    </row>
    <row r="335" spans="1:16">
      <c r="A335" s="45">
        <v>334</v>
      </c>
      <c r="B335" s="46">
        <v>40558</v>
      </c>
      <c r="C335" s="47">
        <v>1</v>
      </c>
      <c r="D335" s="47">
        <v>0</v>
      </c>
      <c r="E335" s="47">
        <v>1</v>
      </c>
      <c r="F335" s="47">
        <v>9</v>
      </c>
      <c r="G335" s="47" t="b">
        <v>0</v>
      </c>
      <c r="H335" s="47">
        <v>6</v>
      </c>
      <c r="I335" s="47">
        <v>1</v>
      </c>
      <c r="J335" s="47">
        <v>0.16</v>
      </c>
      <c r="K335" s="47">
        <v>0.18179999999999999</v>
      </c>
      <c r="L335" s="47">
        <v>0.64</v>
      </c>
      <c r="M335" s="47">
        <v>0.1343</v>
      </c>
      <c r="N335" s="47">
        <v>2</v>
      </c>
      <c r="O335" s="47">
        <v>31</v>
      </c>
      <c r="P335" s="48">
        <v>33</v>
      </c>
    </row>
    <row r="336" spans="1:16">
      <c r="A336" s="41">
        <v>335</v>
      </c>
      <c r="B336" s="42">
        <v>40558</v>
      </c>
      <c r="C336" s="43">
        <v>1</v>
      </c>
      <c r="D336" s="43">
        <v>0</v>
      </c>
      <c r="E336" s="43">
        <v>1</v>
      </c>
      <c r="F336" s="43">
        <v>10</v>
      </c>
      <c r="G336" s="43" t="b">
        <v>0</v>
      </c>
      <c r="H336" s="43">
        <v>6</v>
      </c>
      <c r="I336" s="43">
        <v>1</v>
      </c>
      <c r="J336" s="43">
        <v>0.18</v>
      </c>
      <c r="K336" s="43">
        <v>0.19700000000000001</v>
      </c>
      <c r="L336" s="43">
        <v>0.59</v>
      </c>
      <c r="M336" s="43">
        <v>0.16420000000000001</v>
      </c>
      <c r="N336" s="43">
        <v>2</v>
      </c>
      <c r="O336" s="43">
        <v>57</v>
      </c>
      <c r="P336" s="44">
        <v>59</v>
      </c>
    </row>
    <row r="337" spans="1:16">
      <c r="A337" s="45">
        <v>336</v>
      </c>
      <c r="B337" s="46">
        <v>40558</v>
      </c>
      <c r="C337" s="47">
        <v>1</v>
      </c>
      <c r="D337" s="47">
        <v>0</v>
      </c>
      <c r="E337" s="47">
        <v>1</v>
      </c>
      <c r="F337" s="47">
        <v>11</v>
      </c>
      <c r="G337" s="47" t="b">
        <v>0</v>
      </c>
      <c r="H337" s="47">
        <v>6</v>
      </c>
      <c r="I337" s="47">
        <v>1</v>
      </c>
      <c r="J337" s="47">
        <v>0.2</v>
      </c>
      <c r="K337" s="47">
        <v>0.19700000000000001</v>
      </c>
      <c r="L337" s="47">
        <v>0.55000000000000004</v>
      </c>
      <c r="M337" s="47">
        <v>0.22389999999999999</v>
      </c>
      <c r="N337" s="47">
        <v>18</v>
      </c>
      <c r="O337" s="47">
        <v>54</v>
      </c>
      <c r="P337" s="48">
        <v>72</v>
      </c>
    </row>
    <row r="338" spans="1:16">
      <c r="A338" s="41">
        <v>337</v>
      </c>
      <c r="B338" s="42">
        <v>40558</v>
      </c>
      <c r="C338" s="43">
        <v>1</v>
      </c>
      <c r="D338" s="43">
        <v>0</v>
      </c>
      <c r="E338" s="43">
        <v>1</v>
      </c>
      <c r="F338" s="43">
        <v>12</v>
      </c>
      <c r="G338" s="43" t="b">
        <v>0</v>
      </c>
      <c r="H338" s="43">
        <v>6</v>
      </c>
      <c r="I338" s="43">
        <v>1</v>
      </c>
      <c r="J338" s="43">
        <v>0.24</v>
      </c>
      <c r="K338" s="43">
        <v>0.2273</v>
      </c>
      <c r="L338" s="43">
        <v>0.48</v>
      </c>
      <c r="M338" s="43">
        <v>0.22389999999999999</v>
      </c>
      <c r="N338" s="43">
        <v>15</v>
      </c>
      <c r="O338" s="43">
        <v>74</v>
      </c>
      <c r="P338" s="44">
        <v>89</v>
      </c>
    </row>
    <row r="339" spans="1:16">
      <c r="A339" s="45">
        <v>338</v>
      </c>
      <c r="B339" s="46">
        <v>40558</v>
      </c>
      <c r="C339" s="47">
        <v>1</v>
      </c>
      <c r="D339" s="47">
        <v>0</v>
      </c>
      <c r="E339" s="47">
        <v>1</v>
      </c>
      <c r="F339" s="47">
        <v>13</v>
      </c>
      <c r="G339" s="47" t="b">
        <v>0</v>
      </c>
      <c r="H339" s="47">
        <v>6</v>
      </c>
      <c r="I339" s="47">
        <v>1</v>
      </c>
      <c r="J339" s="47">
        <v>0.28000000000000003</v>
      </c>
      <c r="K339" s="47">
        <v>0.2576</v>
      </c>
      <c r="L339" s="47">
        <v>0.38</v>
      </c>
      <c r="M339" s="47">
        <v>0.29849999999999999</v>
      </c>
      <c r="N339" s="47">
        <v>21</v>
      </c>
      <c r="O339" s="47">
        <v>80</v>
      </c>
      <c r="P339" s="48">
        <v>101</v>
      </c>
    </row>
    <row r="340" spans="1:16">
      <c r="A340" s="41">
        <v>339</v>
      </c>
      <c r="B340" s="42">
        <v>40558</v>
      </c>
      <c r="C340" s="43">
        <v>1</v>
      </c>
      <c r="D340" s="43">
        <v>0</v>
      </c>
      <c r="E340" s="43">
        <v>1</v>
      </c>
      <c r="F340" s="43">
        <v>14</v>
      </c>
      <c r="G340" s="43" t="b">
        <v>0</v>
      </c>
      <c r="H340" s="43">
        <v>6</v>
      </c>
      <c r="I340" s="43">
        <v>1</v>
      </c>
      <c r="J340" s="43">
        <v>0.3</v>
      </c>
      <c r="K340" s="43">
        <v>0.28789999999999999</v>
      </c>
      <c r="L340" s="43">
        <v>0.39</v>
      </c>
      <c r="M340" s="43">
        <v>0.28360000000000002</v>
      </c>
      <c r="N340" s="43">
        <v>26</v>
      </c>
      <c r="O340" s="43">
        <v>92</v>
      </c>
      <c r="P340" s="44">
        <v>118</v>
      </c>
    </row>
    <row r="341" spans="1:16">
      <c r="A341" s="45">
        <v>340</v>
      </c>
      <c r="B341" s="46">
        <v>40558</v>
      </c>
      <c r="C341" s="47">
        <v>1</v>
      </c>
      <c r="D341" s="47">
        <v>0</v>
      </c>
      <c r="E341" s="47">
        <v>1</v>
      </c>
      <c r="F341" s="47">
        <v>15</v>
      </c>
      <c r="G341" s="47" t="b">
        <v>0</v>
      </c>
      <c r="H341" s="47">
        <v>6</v>
      </c>
      <c r="I341" s="47">
        <v>2</v>
      </c>
      <c r="J341" s="47">
        <v>0.32</v>
      </c>
      <c r="K341" s="47">
        <v>0.31819999999999998</v>
      </c>
      <c r="L341" s="47">
        <v>0.36</v>
      </c>
      <c r="M341" s="47">
        <v>0.19400000000000001</v>
      </c>
      <c r="N341" s="47">
        <v>21</v>
      </c>
      <c r="O341" s="47">
        <v>108</v>
      </c>
      <c r="P341" s="48">
        <v>129</v>
      </c>
    </row>
    <row r="342" spans="1:16">
      <c r="A342" s="41">
        <v>341</v>
      </c>
      <c r="B342" s="42">
        <v>40558</v>
      </c>
      <c r="C342" s="43">
        <v>1</v>
      </c>
      <c r="D342" s="43">
        <v>0</v>
      </c>
      <c r="E342" s="43">
        <v>1</v>
      </c>
      <c r="F342" s="43">
        <v>16</v>
      </c>
      <c r="G342" s="43" t="b">
        <v>0</v>
      </c>
      <c r="H342" s="43">
        <v>6</v>
      </c>
      <c r="I342" s="43">
        <v>2</v>
      </c>
      <c r="J342" s="43">
        <v>0.34</v>
      </c>
      <c r="K342" s="43">
        <v>0.33329999999999999</v>
      </c>
      <c r="L342" s="43">
        <v>0.34</v>
      </c>
      <c r="M342" s="43">
        <v>0.19400000000000001</v>
      </c>
      <c r="N342" s="43">
        <v>33</v>
      </c>
      <c r="O342" s="43">
        <v>95</v>
      </c>
      <c r="P342" s="44">
        <v>128</v>
      </c>
    </row>
    <row r="343" spans="1:16">
      <c r="A343" s="45">
        <v>342</v>
      </c>
      <c r="B343" s="46">
        <v>40558</v>
      </c>
      <c r="C343" s="47">
        <v>1</v>
      </c>
      <c r="D343" s="47">
        <v>0</v>
      </c>
      <c r="E343" s="47">
        <v>1</v>
      </c>
      <c r="F343" s="47">
        <v>17</v>
      </c>
      <c r="G343" s="47" t="b">
        <v>0</v>
      </c>
      <c r="H343" s="47">
        <v>6</v>
      </c>
      <c r="I343" s="47">
        <v>2</v>
      </c>
      <c r="J343" s="47">
        <v>0.32</v>
      </c>
      <c r="K343" s="47">
        <v>0.30299999999999999</v>
      </c>
      <c r="L343" s="47">
        <v>0.36</v>
      </c>
      <c r="M343" s="47">
        <v>0.28360000000000002</v>
      </c>
      <c r="N343" s="47">
        <v>29</v>
      </c>
      <c r="O343" s="47">
        <v>54</v>
      </c>
      <c r="P343" s="48">
        <v>83</v>
      </c>
    </row>
    <row r="344" spans="1:16">
      <c r="A344" s="41">
        <v>343</v>
      </c>
      <c r="B344" s="42">
        <v>40558</v>
      </c>
      <c r="C344" s="43">
        <v>1</v>
      </c>
      <c r="D344" s="43">
        <v>0</v>
      </c>
      <c r="E344" s="43">
        <v>1</v>
      </c>
      <c r="F344" s="43">
        <v>18</v>
      </c>
      <c r="G344" s="43" t="b">
        <v>0</v>
      </c>
      <c r="H344" s="43">
        <v>6</v>
      </c>
      <c r="I344" s="43">
        <v>2</v>
      </c>
      <c r="J344" s="43">
        <v>0.3</v>
      </c>
      <c r="K344" s="43">
        <v>0.28789999999999999</v>
      </c>
      <c r="L344" s="43">
        <v>0.45</v>
      </c>
      <c r="M344" s="43">
        <v>0.25369999999999998</v>
      </c>
      <c r="N344" s="43">
        <v>15</v>
      </c>
      <c r="O344" s="43">
        <v>69</v>
      </c>
      <c r="P344" s="44">
        <v>84</v>
      </c>
    </row>
    <row r="345" spans="1:16">
      <c r="A345" s="45">
        <v>344</v>
      </c>
      <c r="B345" s="46">
        <v>40558</v>
      </c>
      <c r="C345" s="47">
        <v>1</v>
      </c>
      <c r="D345" s="47">
        <v>0</v>
      </c>
      <c r="E345" s="47">
        <v>1</v>
      </c>
      <c r="F345" s="47">
        <v>19</v>
      </c>
      <c r="G345" s="47" t="b">
        <v>0</v>
      </c>
      <c r="H345" s="47">
        <v>6</v>
      </c>
      <c r="I345" s="47">
        <v>2</v>
      </c>
      <c r="J345" s="47">
        <v>0.32</v>
      </c>
      <c r="K345" s="47">
        <v>0.30299999999999999</v>
      </c>
      <c r="L345" s="47">
        <v>0.39</v>
      </c>
      <c r="M345" s="47">
        <v>0.25369999999999998</v>
      </c>
      <c r="N345" s="47">
        <v>14</v>
      </c>
      <c r="O345" s="47">
        <v>60</v>
      </c>
      <c r="P345" s="48">
        <v>74</v>
      </c>
    </row>
    <row r="346" spans="1:16">
      <c r="A346" s="41">
        <v>345</v>
      </c>
      <c r="B346" s="42">
        <v>40558</v>
      </c>
      <c r="C346" s="43">
        <v>1</v>
      </c>
      <c r="D346" s="43">
        <v>0</v>
      </c>
      <c r="E346" s="43">
        <v>1</v>
      </c>
      <c r="F346" s="43">
        <v>20</v>
      </c>
      <c r="G346" s="43" t="b">
        <v>0</v>
      </c>
      <c r="H346" s="43">
        <v>6</v>
      </c>
      <c r="I346" s="43">
        <v>2</v>
      </c>
      <c r="J346" s="43">
        <v>0.32</v>
      </c>
      <c r="K346" s="43">
        <v>0.30299999999999999</v>
      </c>
      <c r="L346" s="43">
        <v>0.39</v>
      </c>
      <c r="M346" s="43">
        <v>0.25369999999999998</v>
      </c>
      <c r="N346" s="43">
        <v>6</v>
      </c>
      <c r="O346" s="43">
        <v>35</v>
      </c>
      <c r="P346" s="44">
        <v>41</v>
      </c>
    </row>
    <row r="347" spans="1:16">
      <c r="A347" s="45">
        <v>346</v>
      </c>
      <c r="B347" s="46">
        <v>40558</v>
      </c>
      <c r="C347" s="47">
        <v>1</v>
      </c>
      <c r="D347" s="47">
        <v>0</v>
      </c>
      <c r="E347" s="47">
        <v>1</v>
      </c>
      <c r="F347" s="47">
        <v>21</v>
      </c>
      <c r="G347" s="47" t="b">
        <v>0</v>
      </c>
      <c r="H347" s="47">
        <v>6</v>
      </c>
      <c r="I347" s="47">
        <v>2</v>
      </c>
      <c r="J347" s="47">
        <v>0.32</v>
      </c>
      <c r="K347" s="47">
        <v>0.30299999999999999</v>
      </c>
      <c r="L347" s="47">
        <v>0.39</v>
      </c>
      <c r="M347" s="47">
        <v>0.22389999999999999</v>
      </c>
      <c r="N347" s="47">
        <v>6</v>
      </c>
      <c r="O347" s="47">
        <v>51</v>
      </c>
      <c r="P347" s="48">
        <v>57</v>
      </c>
    </row>
    <row r="348" spans="1:16">
      <c r="A348" s="41">
        <v>347</v>
      </c>
      <c r="B348" s="42">
        <v>40558</v>
      </c>
      <c r="C348" s="43">
        <v>1</v>
      </c>
      <c r="D348" s="43">
        <v>0</v>
      </c>
      <c r="E348" s="43">
        <v>1</v>
      </c>
      <c r="F348" s="43">
        <v>22</v>
      </c>
      <c r="G348" s="43" t="b">
        <v>0</v>
      </c>
      <c r="H348" s="43">
        <v>6</v>
      </c>
      <c r="I348" s="43">
        <v>2</v>
      </c>
      <c r="J348" s="43">
        <v>0.3</v>
      </c>
      <c r="K348" s="43">
        <v>0.31819999999999998</v>
      </c>
      <c r="L348" s="43">
        <v>0.42</v>
      </c>
      <c r="M348" s="43">
        <v>0.1045</v>
      </c>
      <c r="N348" s="43">
        <v>0</v>
      </c>
      <c r="O348" s="43">
        <v>26</v>
      </c>
      <c r="P348" s="44">
        <v>26</v>
      </c>
    </row>
    <row r="349" spans="1:16">
      <c r="A349" s="45">
        <v>348</v>
      </c>
      <c r="B349" s="46">
        <v>40558</v>
      </c>
      <c r="C349" s="47">
        <v>1</v>
      </c>
      <c r="D349" s="47">
        <v>0</v>
      </c>
      <c r="E349" s="47">
        <v>1</v>
      </c>
      <c r="F349" s="47">
        <v>23</v>
      </c>
      <c r="G349" s="47" t="b">
        <v>0</v>
      </c>
      <c r="H349" s="47">
        <v>6</v>
      </c>
      <c r="I349" s="47">
        <v>1</v>
      </c>
      <c r="J349" s="47">
        <v>0.3</v>
      </c>
      <c r="K349" s="47">
        <v>0.28789999999999999</v>
      </c>
      <c r="L349" s="47">
        <v>0.45</v>
      </c>
      <c r="M349" s="47">
        <v>0.28360000000000002</v>
      </c>
      <c r="N349" s="47">
        <v>5</v>
      </c>
      <c r="O349" s="47">
        <v>39</v>
      </c>
      <c r="P349" s="48">
        <v>44</v>
      </c>
    </row>
    <row r="350" spans="1:16">
      <c r="A350" s="41">
        <v>349</v>
      </c>
      <c r="B350" s="42">
        <v>40559</v>
      </c>
      <c r="C350" s="43">
        <v>1</v>
      </c>
      <c r="D350" s="43">
        <v>0</v>
      </c>
      <c r="E350" s="43">
        <v>1</v>
      </c>
      <c r="F350" s="43">
        <v>0</v>
      </c>
      <c r="G350" s="43" t="b">
        <v>0</v>
      </c>
      <c r="H350" s="43">
        <v>0</v>
      </c>
      <c r="I350" s="43">
        <v>1</v>
      </c>
      <c r="J350" s="43">
        <v>0.26</v>
      </c>
      <c r="K350" s="43">
        <v>0.30299999999999999</v>
      </c>
      <c r="L350" s="43">
        <v>0.56000000000000005</v>
      </c>
      <c r="M350" s="43">
        <v>0</v>
      </c>
      <c r="N350" s="43">
        <v>6</v>
      </c>
      <c r="O350" s="43">
        <v>33</v>
      </c>
      <c r="P350" s="44">
        <v>39</v>
      </c>
    </row>
    <row r="351" spans="1:16">
      <c r="A351" s="45">
        <v>350</v>
      </c>
      <c r="B351" s="46">
        <v>40559</v>
      </c>
      <c r="C351" s="47">
        <v>1</v>
      </c>
      <c r="D351" s="47">
        <v>0</v>
      </c>
      <c r="E351" s="47">
        <v>1</v>
      </c>
      <c r="F351" s="47">
        <v>1</v>
      </c>
      <c r="G351" s="47" t="b">
        <v>0</v>
      </c>
      <c r="H351" s="47">
        <v>0</v>
      </c>
      <c r="I351" s="47">
        <v>1</v>
      </c>
      <c r="J351" s="47">
        <v>0.26</v>
      </c>
      <c r="K351" s="47">
        <v>0.2727</v>
      </c>
      <c r="L351" s="47">
        <v>0.56000000000000005</v>
      </c>
      <c r="M351" s="47">
        <v>0.1343</v>
      </c>
      <c r="N351" s="47">
        <v>4</v>
      </c>
      <c r="O351" s="47">
        <v>19</v>
      </c>
      <c r="P351" s="48">
        <v>23</v>
      </c>
    </row>
    <row r="352" spans="1:16">
      <c r="A352" s="41">
        <v>351</v>
      </c>
      <c r="B352" s="42">
        <v>40559</v>
      </c>
      <c r="C352" s="43">
        <v>1</v>
      </c>
      <c r="D352" s="43">
        <v>0</v>
      </c>
      <c r="E352" s="43">
        <v>1</v>
      </c>
      <c r="F352" s="43">
        <v>2</v>
      </c>
      <c r="G352" s="43" t="b">
        <v>0</v>
      </c>
      <c r="H352" s="43">
        <v>0</v>
      </c>
      <c r="I352" s="43">
        <v>1</v>
      </c>
      <c r="J352" s="43">
        <v>0.26</v>
      </c>
      <c r="K352" s="43">
        <v>0.28789999999999999</v>
      </c>
      <c r="L352" s="43">
        <v>0.56000000000000005</v>
      </c>
      <c r="M352" s="43">
        <v>8.9599999999999999E-2</v>
      </c>
      <c r="N352" s="43">
        <v>3</v>
      </c>
      <c r="O352" s="43">
        <v>13</v>
      </c>
      <c r="P352" s="44">
        <v>16</v>
      </c>
    </row>
    <row r="353" spans="1:16">
      <c r="A353" s="45">
        <v>352</v>
      </c>
      <c r="B353" s="46">
        <v>40559</v>
      </c>
      <c r="C353" s="47">
        <v>1</v>
      </c>
      <c r="D353" s="47">
        <v>0</v>
      </c>
      <c r="E353" s="47">
        <v>1</v>
      </c>
      <c r="F353" s="47">
        <v>3</v>
      </c>
      <c r="G353" s="47" t="b">
        <v>0</v>
      </c>
      <c r="H353" s="47">
        <v>0</v>
      </c>
      <c r="I353" s="47">
        <v>1</v>
      </c>
      <c r="J353" s="47">
        <v>0.22</v>
      </c>
      <c r="K353" s="47">
        <v>0.2727</v>
      </c>
      <c r="L353" s="47">
        <v>0.69</v>
      </c>
      <c r="M353" s="47">
        <v>0</v>
      </c>
      <c r="N353" s="47">
        <v>9</v>
      </c>
      <c r="O353" s="47">
        <v>6</v>
      </c>
      <c r="P353" s="48">
        <v>15</v>
      </c>
    </row>
    <row r="354" spans="1:16">
      <c r="A354" s="41">
        <v>353</v>
      </c>
      <c r="B354" s="42">
        <v>40559</v>
      </c>
      <c r="C354" s="43">
        <v>1</v>
      </c>
      <c r="D354" s="43">
        <v>0</v>
      </c>
      <c r="E354" s="43">
        <v>1</v>
      </c>
      <c r="F354" s="43">
        <v>4</v>
      </c>
      <c r="G354" s="43" t="b">
        <v>0</v>
      </c>
      <c r="H354" s="43">
        <v>0</v>
      </c>
      <c r="I354" s="43">
        <v>1</v>
      </c>
      <c r="J354" s="43">
        <v>0.26</v>
      </c>
      <c r="K354" s="43">
        <v>0.2576</v>
      </c>
      <c r="L354" s="43">
        <v>0.56000000000000005</v>
      </c>
      <c r="M354" s="43">
        <v>0.16420000000000001</v>
      </c>
      <c r="N354" s="43">
        <v>0</v>
      </c>
      <c r="O354" s="43">
        <v>1</v>
      </c>
      <c r="P354" s="44">
        <v>1</v>
      </c>
    </row>
    <row r="355" spans="1:16">
      <c r="A355" s="45">
        <v>354</v>
      </c>
      <c r="B355" s="46">
        <v>40559</v>
      </c>
      <c r="C355" s="47">
        <v>1</v>
      </c>
      <c r="D355" s="47">
        <v>0</v>
      </c>
      <c r="E355" s="47">
        <v>1</v>
      </c>
      <c r="F355" s="47">
        <v>5</v>
      </c>
      <c r="G355" s="47" t="b">
        <v>0</v>
      </c>
      <c r="H355" s="47">
        <v>0</v>
      </c>
      <c r="I355" s="47">
        <v>2</v>
      </c>
      <c r="J355" s="47">
        <v>0.26</v>
      </c>
      <c r="K355" s="47">
        <v>0.2576</v>
      </c>
      <c r="L355" s="47">
        <v>0.56000000000000005</v>
      </c>
      <c r="M355" s="47">
        <v>0.16420000000000001</v>
      </c>
      <c r="N355" s="47">
        <v>1</v>
      </c>
      <c r="O355" s="47">
        <v>1</v>
      </c>
      <c r="P355" s="48">
        <v>2</v>
      </c>
    </row>
    <row r="356" spans="1:16">
      <c r="A356" s="41">
        <v>355</v>
      </c>
      <c r="B356" s="42">
        <v>40559</v>
      </c>
      <c r="C356" s="43">
        <v>1</v>
      </c>
      <c r="D356" s="43">
        <v>0</v>
      </c>
      <c r="E356" s="43">
        <v>1</v>
      </c>
      <c r="F356" s="43">
        <v>6</v>
      </c>
      <c r="G356" s="43" t="b">
        <v>0</v>
      </c>
      <c r="H356" s="43">
        <v>0</v>
      </c>
      <c r="I356" s="43">
        <v>2</v>
      </c>
      <c r="J356" s="43">
        <v>0.26</v>
      </c>
      <c r="K356" s="43">
        <v>0.2576</v>
      </c>
      <c r="L356" s="43">
        <v>0.56000000000000005</v>
      </c>
      <c r="M356" s="43">
        <v>0.16420000000000001</v>
      </c>
      <c r="N356" s="43">
        <v>0</v>
      </c>
      <c r="O356" s="43">
        <v>1</v>
      </c>
      <c r="P356" s="44">
        <v>1</v>
      </c>
    </row>
    <row r="357" spans="1:16">
      <c r="A357" s="45">
        <v>356</v>
      </c>
      <c r="B357" s="46">
        <v>40559</v>
      </c>
      <c r="C357" s="47">
        <v>1</v>
      </c>
      <c r="D357" s="47">
        <v>0</v>
      </c>
      <c r="E357" s="47">
        <v>1</v>
      </c>
      <c r="F357" s="47">
        <v>7</v>
      </c>
      <c r="G357" s="47" t="b">
        <v>0</v>
      </c>
      <c r="H357" s="47">
        <v>0</v>
      </c>
      <c r="I357" s="47">
        <v>2</v>
      </c>
      <c r="J357" s="47">
        <v>0.24</v>
      </c>
      <c r="K357" s="47">
        <v>0.21210000000000001</v>
      </c>
      <c r="L357" s="47">
        <v>0.56000000000000005</v>
      </c>
      <c r="M357" s="47">
        <v>0.29849999999999999</v>
      </c>
      <c r="N357" s="47">
        <v>0</v>
      </c>
      <c r="O357" s="47">
        <v>3</v>
      </c>
      <c r="P357" s="48">
        <v>3</v>
      </c>
    </row>
    <row r="358" spans="1:16">
      <c r="A358" s="41">
        <v>357</v>
      </c>
      <c r="B358" s="42">
        <v>40559</v>
      </c>
      <c r="C358" s="43">
        <v>1</v>
      </c>
      <c r="D358" s="43">
        <v>0</v>
      </c>
      <c r="E358" s="43">
        <v>1</v>
      </c>
      <c r="F358" s="43">
        <v>8</v>
      </c>
      <c r="G358" s="43" t="b">
        <v>0</v>
      </c>
      <c r="H358" s="43">
        <v>0</v>
      </c>
      <c r="I358" s="43">
        <v>1</v>
      </c>
      <c r="J358" s="43">
        <v>0.22</v>
      </c>
      <c r="K358" s="43">
        <v>0.21210000000000001</v>
      </c>
      <c r="L358" s="43">
        <v>0.55000000000000004</v>
      </c>
      <c r="M358" s="43">
        <v>0.28360000000000002</v>
      </c>
      <c r="N358" s="43">
        <v>0</v>
      </c>
      <c r="O358" s="43">
        <v>18</v>
      </c>
      <c r="P358" s="44">
        <v>18</v>
      </c>
    </row>
    <row r="359" spans="1:16">
      <c r="A359" s="45">
        <v>358</v>
      </c>
      <c r="B359" s="46">
        <v>40559</v>
      </c>
      <c r="C359" s="47">
        <v>1</v>
      </c>
      <c r="D359" s="47">
        <v>0</v>
      </c>
      <c r="E359" s="47">
        <v>1</v>
      </c>
      <c r="F359" s="47">
        <v>9</v>
      </c>
      <c r="G359" s="47" t="b">
        <v>0</v>
      </c>
      <c r="H359" s="47">
        <v>0</v>
      </c>
      <c r="I359" s="47">
        <v>1</v>
      </c>
      <c r="J359" s="47">
        <v>0.22</v>
      </c>
      <c r="K359" s="47">
        <v>0.21210000000000001</v>
      </c>
      <c r="L359" s="47">
        <v>0.51</v>
      </c>
      <c r="M359" s="47">
        <v>0.25369999999999998</v>
      </c>
      <c r="N359" s="47">
        <v>3</v>
      </c>
      <c r="O359" s="47">
        <v>29</v>
      </c>
      <c r="P359" s="48">
        <v>32</v>
      </c>
    </row>
    <row r="360" spans="1:16">
      <c r="A360" s="41">
        <v>359</v>
      </c>
      <c r="B360" s="42">
        <v>40559</v>
      </c>
      <c r="C360" s="43">
        <v>1</v>
      </c>
      <c r="D360" s="43">
        <v>0</v>
      </c>
      <c r="E360" s="43">
        <v>1</v>
      </c>
      <c r="F360" s="43">
        <v>10</v>
      </c>
      <c r="G360" s="43" t="b">
        <v>0</v>
      </c>
      <c r="H360" s="43">
        <v>0</v>
      </c>
      <c r="I360" s="43">
        <v>1</v>
      </c>
      <c r="J360" s="43">
        <v>0.22</v>
      </c>
      <c r="K360" s="43">
        <v>0.21210000000000001</v>
      </c>
      <c r="L360" s="43">
        <v>0.51</v>
      </c>
      <c r="M360" s="43">
        <v>0.28360000000000002</v>
      </c>
      <c r="N360" s="43">
        <v>8</v>
      </c>
      <c r="O360" s="43">
        <v>71</v>
      </c>
      <c r="P360" s="44">
        <v>79</v>
      </c>
    </row>
    <row r="361" spans="1:16">
      <c r="A361" s="45">
        <v>360</v>
      </c>
      <c r="B361" s="46">
        <v>40559</v>
      </c>
      <c r="C361" s="47">
        <v>1</v>
      </c>
      <c r="D361" s="47">
        <v>0</v>
      </c>
      <c r="E361" s="47">
        <v>1</v>
      </c>
      <c r="F361" s="47">
        <v>11</v>
      </c>
      <c r="G361" s="47" t="b">
        <v>0</v>
      </c>
      <c r="H361" s="47">
        <v>0</v>
      </c>
      <c r="I361" s="47">
        <v>1</v>
      </c>
      <c r="J361" s="47">
        <v>0.24</v>
      </c>
      <c r="K361" s="47">
        <v>0.2273</v>
      </c>
      <c r="L361" s="47">
        <v>0.44</v>
      </c>
      <c r="M361" s="47">
        <v>0.25369999999999998</v>
      </c>
      <c r="N361" s="47">
        <v>23</v>
      </c>
      <c r="O361" s="47">
        <v>70</v>
      </c>
      <c r="P361" s="48">
        <v>93</v>
      </c>
    </row>
    <row r="362" spans="1:16">
      <c r="A362" s="41">
        <v>361</v>
      </c>
      <c r="B362" s="42">
        <v>40559</v>
      </c>
      <c r="C362" s="43">
        <v>1</v>
      </c>
      <c r="D362" s="43">
        <v>0</v>
      </c>
      <c r="E362" s="43">
        <v>1</v>
      </c>
      <c r="F362" s="43">
        <v>12</v>
      </c>
      <c r="G362" s="43" t="b">
        <v>0</v>
      </c>
      <c r="H362" s="43">
        <v>0</v>
      </c>
      <c r="I362" s="43">
        <v>1</v>
      </c>
      <c r="J362" s="43">
        <v>0.24</v>
      </c>
      <c r="K362" s="43">
        <v>0.21210000000000001</v>
      </c>
      <c r="L362" s="43">
        <v>0.41</v>
      </c>
      <c r="M362" s="43">
        <v>0.28360000000000002</v>
      </c>
      <c r="N362" s="43">
        <v>29</v>
      </c>
      <c r="O362" s="43">
        <v>75</v>
      </c>
      <c r="P362" s="44">
        <v>104</v>
      </c>
    </row>
    <row r="363" spans="1:16">
      <c r="A363" s="45">
        <v>362</v>
      </c>
      <c r="B363" s="46">
        <v>40559</v>
      </c>
      <c r="C363" s="47">
        <v>1</v>
      </c>
      <c r="D363" s="47">
        <v>0</v>
      </c>
      <c r="E363" s="47">
        <v>1</v>
      </c>
      <c r="F363" s="47">
        <v>13</v>
      </c>
      <c r="G363" s="47" t="b">
        <v>0</v>
      </c>
      <c r="H363" s="47">
        <v>0</v>
      </c>
      <c r="I363" s="47">
        <v>1</v>
      </c>
      <c r="J363" s="47">
        <v>0.26</v>
      </c>
      <c r="K363" s="47">
        <v>0.2273</v>
      </c>
      <c r="L363" s="47">
        <v>0.35</v>
      </c>
      <c r="M363" s="47">
        <v>0.29849999999999999</v>
      </c>
      <c r="N363" s="47">
        <v>23</v>
      </c>
      <c r="O363" s="47">
        <v>95</v>
      </c>
      <c r="P363" s="48">
        <v>118</v>
      </c>
    </row>
    <row r="364" spans="1:16">
      <c r="A364" s="41">
        <v>363</v>
      </c>
      <c r="B364" s="42">
        <v>40559</v>
      </c>
      <c r="C364" s="43">
        <v>1</v>
      </c>
      <c r="D364" s="43">
        <v>0</v>
      </c>
      <c r="E364" s="43">
        <v>1</v>
      </c>
      <c r="F364" s="43">
        <v>14</v>
      </c>
      <c r="G364" s="43" t="b">
        <v>0</v>
      </c>
      <c r="H364" s="43">
        <v>0</v>
      </c>
      <c r="I364" s="43">
        <v>1</v>
      </c>
      <c r="J364" s="43">
        <v>0.28000000000000003</v>
      </c>
      <c r="K364" s="43">
        <v>0.2727</v>
      </c>
      <c r="L364" s="43">
        <v>0.36</v>
      </c>
      <c r="M364" s="43">
        <v>0.25369999999999998</v>
      </c>
      <c r="N364" s="43">
        <v>22</v>
      </c>
      <c r="O364" s="43">
        <v>69</v>
      </c>
      <c r="P364" s="44">
        <v>91</v>
      </c>
    </row>
    <row r="365" spans="1:16">
      <c r="A365" s="45">
        <v>364</v>
      </c>
      <c r="B365" s="46">
        <v>40559</v>
      </c>
      <c r="C365" s="47">
        <v>1</v>
      </c>
      <c r="D365" s="47">
        <v>0</v>
      </c>
      <c r="E365" s="47">
        <v>1</v>
      </c>
      <c r="F365" s="47">
        <v>15</v>
      </c>
      <c r="G365" s="47" t="b">
        <v>0</v>
      </c>
      <c r="H365" s="47">
        <v>0</v>
      </c>
      <c r="I365" s="47">
        <v>1</v>
      </c>
      <c r="J365" s="47">
        <v>0.26</v>
      </c>
      <c r="K365" s="47">
        <v>0.2424</v>
      </c>
      <c r="L365" s="47">
        <v>0.38</v>
      </c>
      <c r="M365" s="47">
        <v>0.25369999999999998</v>
      </c>
      <c r="N365" s="47">
        <v>35</v>
      </c>
      <c r="O365" s="47">
        <v>78</v>
      </c>
      <c r="P365" s="48">
        <v>113</v>
      </c>
    </row>
    <row r="366" spans="1:16">
      <c r="A366" s="41">
        <v>365</v>
      </c>
      <c r="B366" s="42">
        <v>40559</v>
      </c>
      <c r="C366" s="43">
        <v>1</v>
      </c>
      <c r="D366" s="43">
        <v>0</v>
      </c>
      <c r="E366" s="43">
        <v>1</v>
      </c>
      <c r="F366" s="43">
        <v>16</v>
      </c>
      <c r="G366" s="43" t="b">
        <v>0</v>
      </c>
      <c r="H366" s="43">
        <v>0</v>
      </c>
      <c r="I366" s="43">
        <v>1</v>
      </c>
      <c r="J366" s="43">
        <v>0.24</v>
      </c>
      <c r="K366" s="43">
        <v>0.2273</v>
      </c>
      <c r="L366" s="43">
        <v>0.38</v>
      </c>
      <c r="M366" s="43">
        <v>0.22389999999999999</v>
      </c>
      <c r="N366" s="43">
        <v>22</v>
      </c>
      <c r="O366" s="43">
        <v>77</v>
      </c>
      <c r="P366" s="44">
        <v>99</v>
      </c>
    </row>
    <row r="367" spans="1:16">
      <c r="A367" s="45">
        <v>366</v>
      </c>
      <c r="B367" s="46">
        <v>40559</v>
      </c>
      <c r="C367" s="47">
        <v>1</v>
      </c>
      <c r="D367" s="47">
        <v>0</v>
      </c>
      <c r="E367" s="47">
        <v>1</v>
      </c>
      <c r="F367" s="47">
        <v>17</v>
      </c>
      <c r="G367" s="47" t="b">
        <v>0</v>
      </c>
      <c r="H367" s="47">
        <v>0</v>
      </c>
      <c r="I367" s="47">
        <v>1</v>
      </c>
      <c r="J367" s="47">
        <v>0.22</v>
      </c>
      <c r="K367" s="47">
        <v>0.21210000000000001</v>
      </c>
      <c r="L367" s="47">
        <v>0.37</v>
      </c>
      <c r="M367" s="47">
        <v>0.25369999999999998</v>
      </c>
      <c r="N367" s="47">
        <v>23</v>
      </c>
      <c r="O367" s="47">
        <v>82</v>
      </c>
      <c r="P367" s="48">
        <v>105</v>
      </c>
    </row>
    <row r="368" spans="1:16">
      <c r="A368" s="41">
        <v>367</v>
      </c>
      <c r="B368" s="42">
        <v>40559</v>
      </c>
      <c r="C368" s="43">
        <v>1</v>
      </c>
      <c r="D368" s="43">
        <v>0</v>
      </c>
      <c r="E368" s="43">
        <v>1</v>
      </c>
      <c r="F368" s="43">
        <v>18</v>
      </c>
      <c r="G368" s="43" t="b">
        <v>0</v>
      </c>
      <c r="H368" s="43">
        <v>0</v>
      </c>
      <c r="I368" s="43">
        <v>1</v>
      </c>
      <c r="J368" s="43">
        <v>0.2</v>
      </c>
      <c r="K368" s="43">
        <v>0.21210000000000001</v>
      </c>
      <c r="L368" s="43">
        <v>0.4</v>
      </c>
      <c r="M368" s="43">
        <v>0.16420000000000001</v>
      </c>
      <c r="N368" s="43">
        <v>11</v>
      </c>
      <c r="O368" s="43">
        <v>56</v>
      </c>
      <c r="P368" s="44">
        <v>67</v>
      </c>
    </row>
    <row r="369" spans="1:16">
      <c r="A369" s="45">
        <v>368</v>
      </c>
      <c r="B369" s="46">
        <v>40559</v>
      </c>
      <c r="C369" s="47">
        <v>1</v>
      </c>
      <c r="D369" s="47">
        <v>0</v>
      </c>
      <c r="E369" s="47">
        <v>1</v>
      </c>
      <c r="F369" s="47">
        <v>19</v>
      </c>
      <c r="G369" s="47" t="b">
        <v>0</v>
      </c>
      <c r="H369" s="47">
        <v>0</v>
      </c>
      <c r="I369" s="47">
        <v>1</v>
      </c>
      <c r="J369" s="47">
        <v>0.18</v>
      </c>
      <c r="K369" s="47">
        <v>0.19700000000000001</v>
      </c>
      <c r="L369" s="47">
        <v>0.47</v>
      </c>
      <c r="M369" s="47">
        <v>0.1343</v>
      </c>
      <c r="N369" s="47">
        <v>14</v>
      </c>
      <c r="O369" s="47">
        <v>47</v>
      </c>
      <c r="P369" s="48">
        <v>61</v>
      </c>
    </row>
    <row r="370" spans="1:16">
      <c r="A370" s="41">
        <v>369</v>
      </c>
      <c r="B370" s="42">
        <v>40559</v>
      </c>
      <c r="C370" s="43">
        <v>1</v>
      </c>
      <c r="D370" s="43">
        <v>0</v>
      </c>
      <c r="E370" s="43">
        <v>1</v>
      </c>
      <c r="F370" s="43">
        <v>20</v>
      </c>
      <c r="G370" s="43" t="b">
        <v>0</v>
      </c>
      <c r="H370" s="43">
        <v>0</v>
      </c>
      <c r="I370" s="43">
        <v>1</v>
      </c>
      <c r="J370" s="43">
        <v>0.18</v>
      </c>
      <c r="K370" s="43">
        <v>0.19700000000000001</v>
      </c>
      <c r="L370" s="43">
        <v>0.47</v>
      </c>
      <c r="M370" s="43">
        <v>0.16420000000000001</v>
      </c>
      <c r="N370" s="43">
        <v>7</v>
      </c>
      <c r="O370" s="43">
        <v>50</v>
      </c>
      <c r="P370" s="44">
        <v>57</v>
      </c>
    </row>
    <row r="371" spans="1:16">
      <c r="A371" s="45">
        <v>370</v>
      </c>
      <c r="B371" s="46">
        <v>40559</v>
      </c>
      <c r="C371" s="47">
        <v>1</v>
      </c>
      <c r="D371" s="47">
        <v>0</v>
      </c>
      <c r="E371" s="47">
        <v>1</v>
      </c>
      <c r="F371" s="47">
        <v>21</v>
      </c>
      <c r="G371" s="47" t="b">
        <v>0</v>
      </c>
      <c r="H371" s="47">
        <v>0</v>
      </c>
      <c r="I371" s="47">
        <v>1</v>
      </c>
      <c r="J371" s="47">
        <v>0.18</v>
      </c>
      <c r="K371" s="47">
        <v>0.19700000000000001</v>
      </c>
      <c r="L371" s="47">
        <v>0.51</v>
      </c>
      <c r="M371" s="47">
        <v>0.16420000000000001</v>
      </c>
      <c r="N371" s="47">
        <v>6</v>
      </c>
      <c r="O371" s="47">
        <v>22</v>
      </c>
      <c r="P371" s="48">
        <v>28</v>
      </c>
    </row>
    <row r="372" spans="1:16">
      <c r="A372" s="41">
        <v>371</v>
      </c>
      <c r="B372" s="42">
        <v>40559</v>
      </c>
      <c r="C372" s="43">
        <v>1</v>
      </c>
      <c r="D372" s="43">
        <v>0</v>
      </c>
      <c r="E372" s="43">
        <v>1</v>
      </c>
      <c r="F372" s="43">
        <v>22</v>
      </c>
      <c r="G372" s="43" t="b">
        <v>0</v>
      </c>
      <c r="H372" s="43">
        <v>0</v>
      </c>
      <c r="I372" s="43">
        <v>2</v>
      </c>
      <c r="J372" s="43">
        <v>0.2</v>
      </c>
      <c r="K372" s="43">
        <v>0.21210000000000001</v>
      </c>
      <c r="L372" s="43">
        <v>0.49</v>
      </c>
      <c r="M372" s="43">
        <v>0.1343</v>
      </c>
      <c r="N372" s="43">
        <v>2</v>
      </c>
      <c r="O372" s="43">
        <v>19</v>
      </c>
      <c r="P372" s="44">
        <v>21</v>
      </c>
    </row>
    <row r="373" spans="1:16">
      <c r="A373" s="45">
        <v>372</v>
      </c>
      <c r="B373" s="46">
        <v>40559</v>
      </c>
      <c r="C373" s="47">
        <v>1</v>
      </c>
      <c r="D373" s="47">
        <v>0</v>
      </c>
      <c r="E373" s="47">
        <v>1</v>
      </c>
      <c r="F373" s="47">
        <v>23</v>
      </c>
      <c r="G373" s="47" t="b">
        <v>0</v>
      </c>
      <c r="H373" s="47">
        <v>0</v>
      </c>
      <c r="I373" s="47">
        <v>2</v>
      </c>
      <c r="J373" s="47">
        <v>0.2</v>
      </c>
      <c r="K373" s="47">
        <v>0.2273</v>
      </c>
      <c r="L373" s="47">
        <v>0.4</v>
      </c>
      <c r="M373" s="47">
        <v>0.1045</v>
      </c>
      <c r="N373" s="47">
        <v>0</v>
      </c>
      <c r="O373" s="47">
        <v>18</v>
      </c>
      <c r="P373" s="48">
        <v>18</v>
      </c>
    </row>
    <row r="374" spans="1:16">
      <c r="A374" s="41">
        <v>373</v>
      </c>
      <c r="B374" s="42">
        <v>40560</v>
      </c>
      <c r="C374" s="43">
        <v>1</v>
      </c>
      <c r="D374" s="43">
        <v>0</v>
      </c>
      <c r="E374" s="43">
        <v>1</v>
      </c>
      <c r="F374" s="43">
        <v>0</v>
      </c>
      <c r="G374" s="43" t="b">
        <v>1</v>
      </c>
      <c r="H374" s="43">
        <v>1</v>
      </c>
      <c r="I374" s="43">
        <v>2</v>
      </c>
      <c r="J374" s="43">
        <v>0.2</v>
      </c>
      <c r="K374" s="43">
        <v>0.19700000000000001</v>
      </c>
      <c r="L374" s="43">
        <v>0.47</v>
      </c>
      <c r="M374" s="43">
        <v>0.22389999999999999</v>
      </c>
      <c r="N374" s="43">
        <v>1</v>
      </c>
      <c r="O374" s="43">
        <v>16</v>
      </c>
      <c r="P374" s="44">
        <v>17</v>
      </c>
    </row>
    <row r="375" spans="1:16">
      <c r="A375" s="45">
        <v>374</v>
      </c>
      <c r="B375" s="46">
        <v>40560</v>
      </c>
      <c r="C375" s="47">
        <v>1</v>
      </c>
      <c r="D375" s="47">
        <v>0</v>
      </c>
      <c r="E375" s="47">
        <v>1</v>
      </c>
      <c r="F375" s="47">
        <v>1</v>
      </c>
      <c r="G375" s="47" t="b">
        <v>1</v>
      </c>
      <c r="H375" s="47">
        <v>1</v>
      </c>
      <c r="I375" s="47">
        <v>2</v>
      </c>
      <c r="J375" s="47">
        <v>0.2</v>
      </c>
      <c r="K375" s="47">
        <v>0.19700000000000001</v>
      </c>
      <c r="L375" s="47">
        <v>0.44</v>
      </c>
      <c r="M375" s="47">
        <v>0.19400000000000001</v>
      </c>
      <c r="N375" s="47">
        <v>1</v>
      </c>
      <c r="O375" s="47">
        <v>15</v>
      </c>
      <c r="P375" s="48">
        <v>16</v>
      </c>
    </row>
    <row r="376" spans="1:16">
      <c r="A376" s="41">
        <v>375</v>
      </c>
      <c r="B376" s="42">
        <v>40560</v>
      </c>
      <c r="C376" s="43">
        <v>1</v>
      </c>
      <c r="D376" s="43">
        <v>0</v>
      </c>
      <c r="E376" s="43">
        <v>1</v>
      </c>
      <c r="F376" s="43">
        <v>2</v>
      </c>
      <c r="G376" s="43" t="b">
        <v>1</v>
      </c>
      <c r="H376" s="43">
        <v>1</v>
      </c>
      <c r="I376" s="43">
        <v>2</v>
      </c>
      <c r="J376" s="43">
        <v>0.18</v>
      </c>
      <c r="K376" s="43">
        <v>0.16669999999999999</v>
      </c>
      <c r="L376" s="43">
        <v>0.43</v>
      </c>
      <c r="M376" s="43">
        <v>0.25369999999999998</v>
      </c>
      <c r="N376" s="43">
        <v>0</v>
      </c>
      <c r="O376" s="43">
        <v>8</v>
      </c>
      <c r="P376" s="44">
        <v>8</v>
      </c>
    </row>
    <row r="377" spans="1:16">
      <c r="A377" s="45">
        <v>376</v>
      </c>
      <c r="B377" s="46">
        <v>40560</v>
      </c>
      <c r="C377" s="47">
        <v>1</v>
      </c>
      <c r="D377" s="47">
        <v>0</v>
      </c>
      <c r="E377" s="47">
        <v>1</v>
      </c>
      <c r="F377" s="47">
        <v>3</v>
      </c>
      <c r="G377" s="47" t="b">
        <v>1</v>
      </c>
      <c r="H377" s="47">
        <v>1</v>
      </c>
      <c r="I377" s="47">
        <v>2</v>
      </c>
      <c r="J377" s="47">
        <v>0.18</v>
      </c>
      <c r="K377" s="47">
        <v>0.18179999999999999</v>
      </c>
      <c r="L377" s="47">
        <v>0.43</v>
      </c>
      <c r="M377" s="47">
        <v>0.19400000000000001</v>
      </c>
      <c r="N377" s="47">
        <v>0</v>
      </c>
      <c r="O377" s="47">
        <v>2</v>
      </c>
      <c r="P377" s="48">
        <v>2</v>
      </c>
    </row>
    <row r="378" spans="1:16">
      <c r="A378" s="41">
        <v>377</v>
      </c>
      <c r="B378" s="42">
        <v>40560</v>
      </c>
      <c r="C378" s="43">
        <v>1</v>
      </c>
      <c r="D378" s="43">
        <v>0</v>
      </c>
      <c r="E378" s="43">
        <v>1</v>
      </c>
      <c r="F378" s="43">
        <v>4</v>
      </c>
      <c r="G378" s="43" t="b">
        <v>1</v>
      </c>
      <c r="H378" s="43">
        <v>1</v>
      </c>
      <c r="I378" s="43">
        <v>2</v>
      </c>
      <c r="J378" s="43">
        <v>0.18</v>
      </c>
      <c r="K378" s="43">
        <v>0.19700000000000001</v>
      </c>
      <c r="L378" s="43">
        <v>0.43</v>
      </c>
      <c r="M378" s="43">
        <v>0.1343</v>
      </c>
      <c r="N378" s="43">
        <v>1</v>
      </c>
      <c r="O378" s="43">
        <v>2</v>
      </c>
      <c r="P378" s="44">
        <v>3</v>
      </c>
    </row>
    <row r="379" spans="1:16">
      <c r="A379" s="45">
        <v>378</v>
      </c>
      <c r="B379" s="46">
        <v>40560</v>
      </c>
      <c r="C379" s="47">
        <v>1</v>
      </c>
      <c r="D379" s="47">
        <v>0</v>
      </c>
      <c r="E379" s="47">
        <v>1</v>
      </c>
      <c r="F379" s="47">
        <v>5</v>
      </c>
      <c r="G379" s="47" t="b">
        <v>1</v>
      </c>
      <c r="H379" s="47">
        <v>1</v>
      </c>
      <c r="I379" s="47">
        <v>2</v>
      </c>
      <c r="J379" s="47">
        <v>0.18</v>
      </c>
      <c r="K379" s="47">
        <v>0.19700000000000001</v>
      </c>
      <c r="L379" s="47">
        <v>0.43</v>
      </c>
      <c r="M379" s="47">
        <v>0.16420000000000001</v>
      </c>
      <c r="N379" s="47">
        <v>0</v>
      </c>
      <c r="O379" s="47">
        <v>1</v>
      </c>
      <c r="P379" s="48">
        <v>1</v>
      </c>
    </row>
    <row r="380" spans="1:16">
      <c r="A380" s="41">
        <v>379</v>
      </c>
      <c r="B380" s="42">
        <v>40560</v>
      </c>
      <c r="C380" s="43">
        <v>1</v>
      </c>
      <c r="D380" s="43">
        <v>0</v>
      </c>
      <c r="E380" s="43">
        <v>1</v>
      </c>
      <c r="F380" s="43">
        <v>6</v>
      </c>
      <c r="G380" s="43" t="b">
        <v>1</v>
      </c>
      <c r="H380" s="43">
        <v>1</v>
      </c>
      <c r="I380" s="43">
        <v>2</v>
      </c>
      <c r="J380" s="43">
        <v>0.18</v>
      </c>
      <c r="K380" s="43">
        <v>0.18179999999999999</v>
      </c>
      <c r="L380" s="43">
        <v>0.43</v>
      </c>
      <c r="M380" s="43">
        <v>0.19400000000000001</v>
      </c>
      <c r="N380" s="43">
        <v>0</v>
      </c>
      <c r="O380" s="43">
        <v>5</v>
      </c>
      <c r="P380" s="44">
        <v>5</v>
      </c>
    </row>
    <row r="381" spans="1:16">
      <c r="A381" s="45">
        <v>380</v>
      </c>
      <c r="B381" s="46">
        <v>40560</v>
      </c>
      <c r="C381" s="47">
        <v>1</v>
      </c>
      <c r="D381" s="47">
        <v>0</v>
      </c>
      <c r="E381" s="47">
        <v>1</v>
      </c>
      <c r="F381" s="47">
        <v>7</v>
      </c>
      <c r="G381" s="47" t="b">
        <v>1</v>
      </c>
      <c r="H381" s="47">
        <v>1</v>
      </c>
      <c r="I381" s="47">
        <v>2</v>
      </c>
      <c r="J381" s="47">
        <v>0.16</v>
      </c>
      <c r="K381" s="47">
        <v>0.18179999999999999</v>
      </c>
      <c r="L381" s="47">
        <v>0.5</v>
      </c>
      <c r="M381" s="47">
        <v>0.1343</v>
      </c>
      <c r="N381" s="47">
        <v>4</v>
      </c>
      <c r="O381" s="47">
        <v>9</v>
      </c>
      <c r="P381" s="48">
        <v>13</v>
      </c>
    </row>
    <row r="382" spans="1:16">
      <c r="A382" s="41">
        <v>381</v>
      </c>
      <c r="B382" s="42">
        <v>40560</v>
      </c>
      <c r="C382" s="43">
        <v>1</v>
      </c>
      <c r="D382" s="43">
        <v>0</v>
      </c>
      <c r="E382" s="43">
        <v>1</v>
      </c>
      <c r="F382" s="43">
        <v>8</v>
      </c>
      <c r="G382" s="43" t="b">
        <v>1</v>
      </c>
      <c r="H382" s="43">
        <v>1</v>
      </c>
      <c r="I382" s="43">
        <v>2</v>
      </c>
      <c r="J382" s="43">
        <v>0.16</v>
      </c>
      <c r="K382" s="43">
        <v>0.1515</v>
      </c>
      <c r="L382" s="43">
        <v>0.47</v>
      </c>
      <c r="M382" s="43">
        <v>0.22389999999999999</v>
      </c>
      <c r="N382" s="43">
        <v>3</v>
      </c>
      <c r="O382" s="43">
        <v>30</v>
      </c>
      <c r="P382" s="44">
        <v>33</v>
      </c>
    </row>
    <row r="383" spans="1:16">
      <c r="A383" s="45">
        <v>382</v>
      </c>
      <c r="B383" s="46">
        <v>40560</v>
      </c>
      <c r="C383" s="47">
        <v>1</v>
      </c>
      <c r="D383" s="47">
        <v>0</v>
      </c>
      <c r="E383" s="47">
        <v>1</v>
      </c>
      <c r="F383" s="47">
        <v>9</v>
      </c>
      <c r="G383" s="47" t="b">
        <v>1</v>
      </c>
      <c r="H383" s="47">
        <v>1</v>
      </c>
      <c r="I383" s="47">
        <v>2</v>
      </c>
      <c r="J383" s="47">
        <v>0.16</v>
      </c>
      <c r="K383" s="47">
        <v>0.1515</v>
      </c>
      <c r="L383" s="47">
        <v>0.47</v>
      </c>
      <c r="M383" s="47">
        <v>0.22389999999999999</v>
      </c>
      <c r="N383" s="47">
        <v>8</v>
      </c>
      <c r="O383" s="47">
        <v>39</v>
      </c>
      <c r="P383" s="48">
        <v>47</v>
      </c>
    </row>
    <row r="384" spans="1:16">
      <c r="A384" s="41">
        <v>383</v>
      </c>
      <c r="B384" s="42">
        <v>40560</v>
      </c>
      <c r="C384" s="43">
        <v>1</v>
      </c>
      <c r="D384" s="43">
        <v>0</v>
      </c>
      <c r="E384" s="43">
        <v>1</v>
      </c>
      <c r="F384" s="43">
        <v>10</v>
      </c>
      <c r="G384" s="43" t="b">
        <v>1</v>
      </c>
      <c r="H384" s="43">
        <v>1</v>
      </c>
      <c r="I384" s="43">
        <v>2</v>
      </c>
      <c r="J384" s="43">
        <v>0.16</v>
      </c>
      <c r="K384" s="43">
        <v>0.1515</v>
      </c>
      <c r="L384" s="43">
        <v>0.5</v>
      </c>
      <c r="M384" s="43">
        <v>0.25369999999999998</v>
      </c>
      <c r="N384" s="43">
        <v>7</v>
      </c>
      <c r="O384" s="43">
        <v>50</v>
      </c>
      <c r="P384" s="44">
        <v>57</v>
      </c>
    </row>
    <row r="385" spans="1:16">
      <c r="A385" s="45">
        <v>384</v>
      </c>
      <c r="B385" s="46">
        <v>40560</v>
      </c>
      <c r="C385" s="47">
        <v>1</v>
      </c>
      <c r="D385" s="47">
        <v>0</v>
      </c>
      <c r="E385" s="47">
        <v>1</v>
      </c>
      <c r="F385" s="47">
        <v>11</v>
      </c>
      <c r="G385" s="47" t="b">
        <v>1</v>
      </c>
      <c r="H385" s="47">
        <v>1</v>
      </c>
      <c r="I385" s="47">
        <v>2</v>
      </c>
      <c r="J385" s="47">
        <v>0.16</v>
      </c>
      <c r="K385" s="47">
        <v>0.1515</v>
      </c>
      <c r="L385" s="47">
        <v>0.55000000000000004</v>
      </c>
      <c r="M385" s="47">
        <v>0.19400000000000001</v>
      </c>
      <c r="N385" s="47">
        <v>9</v>
      </c>
      <c r="O385" s="47">
        <v>55</v>
      </c>
      <c r="P385" s="48">
        <v>64</v>
      </c>
    </row>
    <row r="386" spans="1:16">
      <c r="A386" s="41">
        <v>385</v>
      </c>
      <c r="B386" s="42">
        <v>40560</v>
      </c>
      <c r="C386" s="43">
        <v>1</v>
      </c>
      <c r="D386" s="43">
        <v>0</v>
      </c>
      <c r="E386" s="43">
        <v>1</v>
      </c>
      <c r="F386" s="43">
        <v>12</v>
      </c>
      <c r="G386" s="43" t="b">
        <v>1</v>
      </c>
      <c r="H386" s="43">
        <v>1</v>
      </c>
      <c r="I386" s="43">
        <v>2</v>
      </c>
      <c r="J386" s="43">
        <v>0.18</v>
      </c>
      <c r="K386" s="43">
        <v>0.19700000000000001</v>
      </c>
      <c r="L386" s="43">
        <v>0.47</v>
      </c>
      <c r="M386" s="43">
        <v>0.1343</v>
      </c>
      <c r="N386" s="43">
        <v>10</v>
      </c>
      <c r="O386" s="43">
        <v>70</v>
      </c>
      <c r="P386" s="44">
        <v>80</v>
      </c>
    </row>
    <row r="387" spans="1:16">
      <c r="A387" s="45">
        <v>386</v>
      </c>
      <c r="B387" s="46">
        <v>40560</v>
      </c>
      <c r="C387" s="47">
        <v>1</v>
      </c>
      <c r="D387" s="47">
        <v>0</v>
      </c>
      <c r="E387" s="47">
        <v>1</v>
      </c>
      <c r="F387" s="47">
        <v>13</v>
      </c>
      <c r="G387" s="47" t="b">
        <v>1</v>
      </c>
      <c r="H387" s="47">
        <v>1</v>
      </c>
      <c r="I387" s="47">
        <v>2</v>
      </c>
      <c r="J387" s="47">
        <v>0.18</v>
      </c>
      <c r="K387" s="47">
        <v>0.19700000000000001</v>
      </c>
      <c r="L387" s="47">
        <v>0.47</v>
      </c>
      <c r="M387" s="47">
        <v>0.1343</v>
      </c>
      <c r="N387" s="47">
        <v>13</v>
      </c>
      <c r="O387" s="47">
        <v>80</v>
      </c>
      <c r="P387" s="48">
        <v>93</v>
      </c>
    </row>
    <row r="388" spans="1:16">
      <c r="A388" s="41">
        <v>387</v>
      </c>
      <c r="B388" s="42">
        <v>40560</v>
      </c>
      <c r="C388" s="43">
        <v>1</v>
      </c>
      <c r="D388" s="43">
        <v>0</v>
      </c>
      <c r="E388" s="43">
        <v>1</v>
      </c>
      <c r="F388" s="43">
        <v>14</v>
      </c>
      <c r="G388" s="43" t="b">
        <v>1</v>
      </c>
      <c r="H388" s="43">
        <v>1</v>
      </c>
      <c r="I388" s="43">
        <v>2</v>
      </c>
      <c r="J388" s="43">
        <v>0.18</v>
      </c>
      <c r="K388" s="43">
        <v>0.21210000000000001</v>
      </c>
      <c r="L388" s="43">
        <v>0.43</v>
      </c>
      <c r="M388" s="43">
        <v>0.1045</v>
      </c>
      <c r="N388" s="43">
        <v>12</v>
      </c>
      <c r="O388" s="43">
        <v>74</v>
      </c>
      <c r="P388" s="44">
        <v>86</v>
      </c>
    </row>
    <row r="389" spans="1:16">
      <c r="A389" s="45">
        <v>388</v>
      </c>
      <c r="B389" s="46">
        <v>40560</v>
      </c>
      <c r="C389" s="47">
        <v>1</v>
      </c>
      <c r="D389" s="47">
        <v>0</v>
      </c>
      <c r="E389" s="47">
        <v>1</v>
      </c>
      <c r="F389" s="47">
        <v>15</v>
      </c>
      <c r="G389" s="47" t="b">
        <v>1</v>
      </c>
      <c r="H389" s="47">
        <v>1</v>
      </c>
      <c r="I389" s="47">
        <v>2</v>
      </c>
      <c r="J389" s="47">
        <v>0.2</v>
      </c>
      <c r="K389" s="47">
        <v>0.21210000000000001</v>
      </c>
      <c r="L389" s="47">
        <v>0.47</v>
      </c>
      <c r="M389" s="47">
        <v>0.16420000000000001</v>
      </c>
      <c r="N389" s="47">
        <v>21</v>
      </c>
      <c r="O389" s="47">
        <v>72</v>
      </c>
      <c r="P389" s="48">
        <v>93</v>
      </c>
    </row>
    <row r="390" spans="1:16">
      <c r="A390" s="41">
        <v>389</v>
      </c>
      <c r="B390" s="42">
        <v>40560</v>
      </c>
      <c r="C390" s="43">
        <v>1</v>
      </c>
      <c r="D390" s="43">
        <v>0</v>
      </c>
      <c r="E390" s="43">
        <v>1</v>
      </c>
      <c r="F390" s="43">
        <v>16</v>
      </c>
      <c r="G390" s="43" t="b">
        <v>1</v>
      </c>
      <c r="H390" s="43">
        <v>1</v>
      </c>
      <c r="I390" s="43">
        <v>2</v>
      </c>
      <c r="J390" s="43">
        <v>0.2</v>
      </c>
      <c r="K390" s="43">
        <v>0.21210000000000001</v>
      </c>
      <c r="L390" s="43">
        <v>0.47</v>
      </c>
      <c r="M390" s="43">
        <v>0.16420000000000001</v>
      </c>
      <c r="N390" s="43">
        <v>6</v>
      </c>
      <c r="O390" s="43">
        <v>76</v>
      </c>
      <c r="P390" s="44">
        <v>82</v>
      </c>
    </row>
    <row r="391" spans="1:16">
      <c r="A391" s="45">
        <v>390</v>
      </c>
      <c r="B391" s="46">
        <v>40560</v>
      </c>
      <c r="C391" s="47">
        <v>1</v>
      </c>
      <c r="D391" s="47">
        <v>0</v>
      </c>
      <c r="E391" s="47">
        <v>1</v>
      </c>
      <c r="F391" s="47">
        <v>17</v>
      </c>
      <c r="G391" s="47" t="b">
        <v>1</v>
      </c>
      <c r="H391" s="47">
        <v>1</v>
      </c>
      <c r="I391" s="47">
        <v>1</v>
      </c>
      <c r="J391" s="47">
        <v>0.2</v>
      </c>
      <c r="K391" s="47">
        <v>0.19700000000000001</v>
      </c>
      <c r="L391" s="47">
        <v>0.51</v>
      </c>
      <c r="M391" s="47">
        <v>0.19400000000000001</v>
      </c>
      <c r="N391" s="47">
        <v>4</v>
      </c>
      <c r="O391" s="47">
        <v>67</v>
      </c>
      <c r="P391" s="48">
        <v>71</v>
      </c>
    </row>
    <row r="392" spans="1:16">
      <c r="A392" s="41">
        <v>391</v>
      </c>
      <c r="B392" s="42">
        <v>40560</v>
      </c>
      <c r="C392" s="43">
        <v>1</v>
      </c>
      <c r="D392" s="43">
        <v>0</v>
      </c>
      <c r="E392" s="43">
        <v>1</v>
      </c>
      <c r="F392" s="43">
        <v>18</v>
      </c>
      <c r="G392" s="43" t="b">
        <v>1</v>
      </c>
      <c r="H392" s="43">
        <v>1</v>
      </c>
      <c r="I392" s="43">
        <v>2</v>
      </c>
      <c r="J392" s="43">
        <v>0.18</v>
      </c>
      <c r="K392" s="43">
        <v>0.16669999999999999</v>
      </c>
      <c r="L392" s="43">
        <v>0.55000000000000004</v>
      </c>
      <c r="M392" s="43">
        <v>0.25369999999999998</v>
      </c>
      <c r="N392" s="43">
        <v>7</v>
      </c>
      <c r="O392" s="43">
        <v>85</v>
      </c>
      <c r="P392" s="44">
        <v>92</v>
      </c>
    </row>
    <row r="393" spans="1:16">
      <c r="A393" s="45">
        <v>392</v>
      </c>
      <c r="B393" s="46">
        <v>40560</v>
      </c>
      <c r="C393" s="47">
        <v>1</v>
      </c>
      <c r="D393" s="47">
        <v>0</v>
      </c>
      <c r="E393" s="47">
        <v>1</v>
      </c>
      <c r="F393" s="47">
        <v>19</v>
      </c>
      <c r="G393" s="47" t="b">
        <v>1</v>
      </c>
      <c r="H393" s="47">
        <v>1</v>
      </c>
      <c r="I393" s="47">
        <v>3</v>
      </c>
      <c r="J393" s="47">
        <v>0.18</v>
      </c>
      <c r="K393" s="47">
        <v>0.18179999999999999</v>
      </c>
      <c r="L393" s="47">
        <v>0.59</v>
      </c>
      <c r="M393" s="47">
        <v>0.19400000000000001</v>
      </c>
      <c r="N393" s="47">
        <v>2</v>
      </c>
      <c r="O393" s="47">
        <v>58</v>
      </c>
      <c r="P393" s="48">
        <v>60</v>
      </c>
    </row>
    <row r="394" spans="1:16">
      <c r="A394" s="41">
        <v>393</v>
      </c>
      <c r="B394" s="42">
        <v>40560</v>
      </c>
      <c r="C394" s="43">
        <v>1</v>
      </c>
      <c r="D394" s="43">
        <v>0</v>
      </c>
      <c r="E394" s="43">
        <v>1</v>
      </c>
      <c r="F394" s="43">
        <v>20</v>
      </c>
      <c r="G394" s="43" t="b">
        <v>1</v>
      </c>
      <c r="H394" s="43">
        <v>1</v>
      </c>
      <c r="I394" s="43">
        <v>3</v>
      </c>
      <c r="J394" s="43">
        <v>0.16</v>
      </c>
      <c r="K394" s="43">
        <v>0.1515</v>
      </c>
      <c r="L394" s="43">
        <v>0.8</v>
      </c>
      <c r="M394" s="43">
        <v>0.19400000000000001</v>
      </c>
      <c r="N394" s="43">
        <v>4</v>
      </c>
      <c r="O394" s="43">
        <v>29</v>
      </c>
      <c r="P394" s="44">
        <v>33</v>
      </c>
    </row>
    <row r="395" spans="1:16">
      <c r="A395" s="45">
        <v>394</v>
      </c>
      <c r="B395" s="46">
        <v>40560</v>
      </c>
      <c r="C395" s="47">
        <v>1</v>
      </c>
      <c r="D395" s="47">
        <v>0</v>
      </c>
      <c r="E395" s="47">
        <v>1</v>
      </c>
      <c r="F395" s="47">
        <v>21</v>
      </c>
      <c r="G395" s="47" t="b">
        <v>1</v>
      </c>
      <c r="H395" s="47">
        <v>1</v>
      </c>
      <c r="I395" s="47">
        <v>3</v>
      </c>
      <c r="J395" s="47">
        <v>0.16</v>
      </c>
      <c r="K395" s="47">
        <v>0.1515</v>
      </c>
      <c r="L395" s="47">
        <v>0.8</v>
      </c>
      <c r="M395" s="47">
        <v>0.19400000000000001</v>
      </c>
      <c r="N395" s="47">
        <v>3</v>
      </c>
      <c r="O395" s="47">
        <v>24</v>
      </c>
      <c r="P395" s="48">
        <v>27</v>
      </c>
    </row>
    <row r="396" spans="1:16">
      <c r="A396" s="41">
        <v>395</v>
      </c>
      <c r="B396" s="42">
        <v>40560</v>
      </c>
      <c r="C396" s="43">
        <v>1</v>
      </c>
      <c r="D396" s="43">
        <v>0</v>
      </c>
      <c r="E396" s="43">
        <v>1</v>
      </c>
      <c r="F396" s="43">
        <v>22</v>
      </c>
      <c r="G396" s="43" t="b">
        <v>1</v>
      </c>
      <c r="H396" s="43">
        <v>1</v>
      </c>
      <c r="I396" s="43">
        <v>3</v>
      </c>
      <c r="J396" s="43">
        <v>0.14000000000000001</v>
      </c>
      <c r="K396" s="43">
        <v>0.1212</v>
      </c>
      <c r="L396" s="43">
        <v>0.93</v>
      </c>
      <c r="M396" s="43">
        <v>0.25369999999999998</v>
      </c>
      <c r="N396" s="43">
        <v>0</v>
      </c>
      <c r="O396" s="43">
        <v>13</v>
      </c>
      <c r="P396" s="44">
        <v>13</v>
      </c>
    </row>
    <row r="397" spans="1:16">
      <c r="A397" s="45">
        <v>396</v>
      </c>
      <c r="B397" s="46">
        <v>40560</v>
      </c>
      <c r="C397" s="47">
        <v>1</v>
      </c>
      <c r="D397" s="47">
        <v>0</v>
      </c>
      <c r="E397" s="47">
        <v>1</v>
      </c>
      <c r="F397" s="47">
        <v>23</v>
      </c>
      <c r="G397" s="47" t="b">
        <v>1</v>
      </c>
      <c r="H397" s="47">
        <v>1</v>
      </c>
      <c r="I397" s="47">
        <v>3</v>
      </c>
      <c r="J397" s="47">
        <v>0.16</v>
      </c>
      <c r="K397" s="47">
        <v>0.13639999999999999</v>
      </c>
      <c r="L397" s="47">
        <v>0.86</v>
      </c>
      <c r="M397" s="47">
        <v>0.28360000000000002</v>
      </c>
      <c r="N397" s="47">
        <v>1</v>
      </c>
      <c r="O397" s="47">
        <v>3</v>
      </c>
      <c r="P397" s="48">
        <v>4</v>
      </c>
    </row>
    <row r="398" spans="1:16">
      <c r="A398" s="41">
        <v>397</v>
      </c>
      <c r="B398" s="42">
        <v>40561</v>
      </c>
      <c r="C398" s="43">
        <v>1</v>
      </c>
      <c r="D398" s="43">
        <v>0</v>
      </c>
      <c r="E398" s="43">
        <v>1</v>
      </c>
      <c r="F398" s="43">
        <v>12</v>
      </c>
      <c r="G398" s="43" t="b">
        <v>0</v>
      </c>
      <c r="H398" s="43">
        <v>2</v>
      </c>
      <c r="I398" s="43">
        <v>2</v>
      </c>
      <c r="J398" s="43">
        <v>0.2</v>
      </c>
      <c r="K398" s="43">
        <v>0.18179999999999999</v>
      </c>
      <c r="L398" s="43">
        <v>0.86</v>
      </c>
      <c r="M398" s="43">
        <v>0.32840000000000003</v>
      </c>
      <c r="N398" s="43">
        <v>0</v>
      </c>
      <c r="O398" s="43">
        <v>3</v>
      </c>
      <c r="P398" s="44">
        <v>3</v>
      </c>
    </row>
    <row r="399" spans="1:16">
      <c r="A399" s="45">
        <v>398</v>
      </c>
      <c r="B399" s="46">
        <v>40561</v>
      </c>
      <c r="C399" s="47">
        <v>1</v>
      </c>
      <c r="D399" s="47">
        <v>0</v>
      </c>
      <c r="E399" s="47">
        <v>1</v>
      </c>
      <c r="F399" s="47">
        <v>13</v>
      </c>
      <c r="G399" s="47" t="b">
        <v>0</v>
      </c>
      <c r="H399" s="47">
        <v>2</v>
      </c>
      <c r="I399" s="47">
        <v>2</v>
      </c>
      <c r="J399" s="47">
        <v>0.2</v>
      </c>
      <c r="K399" s="47">
        <v>0.19700000000000001</v>
      </c>
      <c r="L399" s="47">
        <v>0.86</v>
      </c>
      <c r="M399" s="47">
        <v>0.22389999999999999</v>
      </c>
      <c r="N399" s="47">
        <v>0</v>
      </c>
      <c r="O399" s="47">
        <v>22</v>
      </c>
      <c r="P399" s="48">
        <v>22</v>
      </c>
    </row>
    <row r="400" spans="1:16">
      <c r="A400" s="41">
        <v>399</v>
      </c>
      <c r="B400" s="42">
        <v>40561</v>
      </c>
      <c r="C400" s="43">
        <v>1</v>
      </c>
      <c r="D400" s="43">
        <v>0</v>
      </c>
      <c r="E400" s="43">
        <v>1</v>
      </c>
      <c r="F400" s="43">
        <v>14</v>
      </c>
      <c r="G400" s="43" t="b">
        <v>0</v>
      </c>
      <c r="H400" s="43">
        <v>2</v>
      </c>
      <c r="I400" s="43">
        <v>2</v>
      </c>
      <c r="J400" s="43">
        <v>0.22</v>
      </c>
      <c r="K400" s="43">
        <v>0.2273</v>
      </c>
      <c r="L400" s="43">
        <v>0.8</v>
      </c>
      <c r="M400" s="43">
        <v>0.16420000000000001</v>
      </c>
      <c r="N400" s="43">
        <v>2</v>
      </c>
      <c r="O400" s="43">
        <v>26</v>
      </c>
      <c r="P400" s="44">
        <v>28</v>
      </c>
    </row>
    <row r="401" spans="1:16">
      <c r="A401" s="45">
        <v>400</v>
      </c>
      <c r="B401" s="46">
        <v>40561</v>
      </c>
      <c r="C401" s="47">
        <v>1</v>
      </c>
      <c r="D401" s="47">
        <v>0</v>
      </c>
      <c r="E401" s="47">
        <v>1</v>
      </c>
      <c r="F401" s="47">
        <v>15</v>
      </c>
      <c r="G401" s="47" t="b">
        <v>0</v>
      </c>
      <c r="H401" s="47">
        <v>2</v>
      </c>
      <c r="I401" s="47">
        <v>2</v>
      </c>
      <c r="J401" s="47">
        <v>0.22</v>
      </c>
      <c r="K401" s="47">
        <v>0.2273</v>
      </c>
      <c r="L401" s="47">
        <v>0.87</v>
      </c>
      <c r="M401" s="47">
        <v>0.16420000000000001</v>
      </c>
      <c r="N401" s="47">
        <v>3</v>
      </c>
      <c r="O401" s="47">
        <v>32</v>
      </c>
      <c r="P401" s="48">
        <v>35</v>
      </c>
    </row>
    <row r="402" spans="1:16">
      <c r="A402" s="41">
        <v>401</v>
      </c>
      <c r="B402" s="42">
        <v>40561</v>
      </c>
      <c r="C402" s="43">
        <v>1</v>
      </c>
      <c r="D402" s="43">
        <v>0</v>
      </c>
      <c r="E402" s="43">
        <v>1</v>
      </c>
      <c r="F402" s="43">
        <v>16</v>
      </c>
      <c r="G402" s="43" t="b">
        <v>0</v>
      </c>
      <c r="H402" s="43">
        <v>2</v>
      </c>
      <c r="I402" s="43">
        <v>2</v>
      </c>
      <c r="J402" s="43">
        <v>0.22</v>
      </c>
      <c r="K402" s="43">
        <v>0.2273</v>
      </c>
      <c r="L402" s="43">
        <v>0.87</v>
      </c>
      <c r="M402" s="43">
        <v>0.19400000000000001</v>
      </c>
      <c r="N402" s="43">
        <v>0</v>
      </c>
      <c r="O402" s="43">
        <v>61</v>
      </c>
      <c r="P402" s="44">
        <v>61</v>
      </c>
    </row>
    <row r="403" spans="1:16">
      <c r="A403" s="45">
        <v>402</v>
      </c>
      <c r="B403" s="46">
        <v>40561</v>
      </c>
      <c r="C403" s="47">
        <v>1</v>
      </c>
      <c r="D403" s="47">
        <v>0</v>
      </c>
      <c r="E403" s="47">
        <v>1</v>
      </c>
      <c r="F403" s="47">
        <v>17</v>
      </c>
      <c r="G403" s="47" t="b">
        <v>0</v>
      </c>
      <c r="H403" s="47">
        <v>2</v>
      </c>
      <c r="I403" s="47">
        <v>2</v>
      </c>
      <c r="J403" s="47">
        <v>0.22</v>
      </c>
      <c r="K403" s="47">
        <v>0.2273</v>
      </c>
      <c r="L403" s="47">
        <v>0.82</v>
      </c>
      <c r="M403" s="47">
        <v>0.19400000000000001</v>
      </c>
      <c r="N403" s="47">
        <v>1</v>
      </c>
      <c r="O403" s="47">
        <v>124</v>
      </c>
      <c r="P403" s="48">
        <v>125</v>
      </c>
    </row>
    <row r="404" spans="1:16">
      <c r="A404" s="41">
        <v>403</v>
      </c>
      <c r="B404" s="42">
        <v>40561</v>
      </c>
      <c r="C404" s="43">
        <v>1</v>
      </c>
      <c r="D404" s="43">
        <v>0</v>
      </c>
      <c r="E404" s="43">
        <v>1</v>
      </c>
      <c r="F404" s="43">
        <v>18</v>
      </c>
      <c r="G404" s="43" t="b">
        <v>0</v>
      </c>
      <c r="H404" s="43">
        <v>2</v>
      </c>
      <c r="I404" s="43">
        <v>2</v>
      </c>
      <c r="J404" s="43">
        <v>0.22</v>
      </c>
      <c r="K404" s="43">
        <v>0.2273</v>
      </c>
      <c r="L404" s="43">
        <v>0.8</v>
      </c>
      <c r="M404" s="43">
        <v>0.16420000000000001</v>
      </c>
      <c r="N404" s="43">
        <v>1</v>
      </c>
      <c r="O404" s="43">
        <v>132</v>
      </c>
      <c r="P404" s="44">
        <v>133</v>
      </c>
    </row>
    <row r="405" spans="1:16">
      <c r="A405" s="45">
        <v>404</v>
      </c>
      <c r="B405" s="46">
        <v>40561</v>
      </c>
      <c r="C405" s="47">
        <v>1</v>
      </c>
      <c r="D405" s="47">
        <v>0</v>
      </c>
      <c r="E405" s="47">
        <v>1</v>
      </c>
      <c r="F405" s="47">
        <v>19</v>
      </c>
      <c r="G405" s="47" t="b">
        <v>0</v>
      </c>
      <c r="H405" s="47">
        <v>2</v>
      </c>
      <c r="I405" s="47">
        <v>2</v>
      </c>
      <c r="J405" s="47">
        <v>0.22</v>
      </c>
      <c r="K405" s="47">
        <v>0.2273</v>
      </c>
      <c r="L405" s="47">
        <v>0.8</v>
      </c>
      <c r="M405" s="47">
        <v>0.1343</v>
      </c>
      <c r="N405" s="47">
        <v>1</v>
      </c>
      <c r="O405" s="47">
        <v>98</v>
      </c>
      <c r="P405" s="48">
        <v>99</v>
      </c>
    </row>
    <row r="406" spans="1:16">
      <c r="A406" s="41">
        <v>405</v>
      </c>
      <c r="B406" s="42">
        <v>40561</v>
      </c>
      <c r="C406" s="43">
        <v>1</v>
      </c>
      <c r="D406" s="43">
        <v>0</v>
      </c>
      <c r="E406" s="43">
        <v>1</v>
      </c>
      <c r="F406" s="43">
        <v>20</v>
      </c>
      <c r="G406" s="43" t="b">
        <v>0</v>
      </c>
      <c r="H406" s="43">
        <v>2</v>
      </c>
      <c r="I406" s="43">
        <v>2</v>
      </c>
      <c r="J406" s="43">
        <v>0.22</v>
      </c>
      <c r="K406" s="43">
        <v>0.2727</v>
      </c>
      <c r="L406" s="43">
        <v>0.87</v>
      </c>
      <c r="M406" s="43">
        <v>0</v>
      </c>
      <c r="N406" s="43">
        <v>0</v>
      </c>
      <c r="O406" s="43">
        <v>83</v>
      </c>
      <c r="P406" s="44">
        <v>83</v>
      </c>
    </row>
    <row r="407" spans="1:16">
      <c r="A407" s="45">
        <v>406</v>
      </c>
      <c r="B407" s="46">
        <v>40561</v>
      </c>
      <c r="C407" s="47">
        <v>1</v>
      </c>
      <c r="D407" s="47">
        <v>0</v>
      </c>
      <c r="E407" s="47">
        <v>1</v>
      </c>
      <c r="F407" s="47">
        <v>21</v>
      </c>
      <c r="G407" s="47" t="b">
        <v>0</v>
      </c>
      <c r="H407" s="47">
        <v>2</v>
      </c>
      <c r="I407" s="47">
        <v>2</v>
      </c>
      <c r="J407" s="47">
        <v>0.22</v>
      </c>
      <c r="K407" s="47">
        <v>0.2424</v>
      </c>
      <c r="L407" s="47">
        <v>0.93</v>
      </c>
      <c r="M407" s="47">
        <v>0.1045</v>
      </c>
      <c r="N407" s="47">
        <v>0</v>
      </c>
      <c r="O407" s="47">
        <v>41</v>
      </c>
      <c r="P407" s="48">
        <v>41</v>
      </c>
    </row>
    <row r="408" spans="1:16">
      <c r="A408" s="41">
        <v>407</v>
      </c>
      <c r="B408" s="42">
        <v>40561</v>
      </c>
      <c r="C408" s="43">
        <v>1</v>
      </c>
      <c r="D408" s="43">
        <v>0</v>
      </c>
      <c r="E408" s="43">
        <v>1</v>
      </c>
      <c r="F408" s="43">
        <v>22</v>
      </c>
      <c r="G408" s="43" t="b">
        <v>0</v>
      </c>
      <c r="H408" s="43">
        <v>2</v>
      </c>
      <c r="I408" s="43">
        <v>2</v>
      </c>
      <c r="J408" s="43">
        <v>0.22</v>
      </c>
      <c r="K408" s="43">
        <v>0.2576</v>
      </c>
      <c r="L408" s="43">
        <v>0.93</v>
      </c>
      <c r="M408" s="43">
        <v>8.9599999999999999E-2</v>
      </c>
      <c r="N408" s="43">
        <v>0</v>
      </c>
      <c r="O408" s="43">
        <v>33</v>
      </c>
      <c r="P408" s="44">
        <v>33</v>
      </c>
    </row>
    <row r="409" spans="1:16">
      <c r="A409" s="45">
        <v>408</v>
      </c>
      <c r="B409" s="46">
        <v>40561</v>
      </c>
      <c r="C409" s="47">
        <v>1</v>
      </c>
      <c r="D409" s="47">
        <v>0</v>
      </c>
      <c r="E409" s="47">
        <v>1</v>
      </c>
      <c r="F409" s="47">
        <v>23</v>
      </c>
      <c r="G409" s="47" t="b">
        <v>0</v>
      </c>
      <c r="H409" s="47">
        <v>2</v>
      </c>
      <c r="I409" s="47">
        <v>2</v>
      </c>
      <c r="J409" s="47">
        <v>0.22</v>
      </c>
      <c r="K409" s="47">
        <v>0.2727</v>
      </c>
      <c r="L409" s="47">
        <v>0.93</v>
      </c>
      <c r="M409" s="47">
        <v>0</v>
      </c>
      <c r="N409" s="47">
        <v>1</v>
      </c>
      <c r="O409" s="47">
        <v>19</v>
      </c>
      <c r="P409" s="48">
        <v>20</v>
      </c>
    </row>
    <row r="410" spans="1:16">
      <c r="A410" s="41">
        <v>409</v>
      </c>
      <c r="B410" s="42">
        <v>40562</v>
      </c>
      <c r="C410" s="43">
        <v>1</v>
      </c>
      <c r="D410" s="43">
        <v>0</v>
      </c>
      <c r="E410" s="43">
        <v>1</v>
      </c>
      <c r="F410" s="43">
        <v>0</v>
      </c>
      <c r="G410" s="43" t="b">
        <v>0</v>
      </c>
      <c r="H410" s="43">
        <v>3</v>
      </c>
      <c r="I410" s="43">
        <v>2</v>
      </c>
      <c r="J410" s="43">
        <v>0.22</v>
      </c>
      <c r="K410" s="43">
        <v>0.2727</v>
      </c>
      <c r="L410" s="43">
        <v>0.93</v>
      </c>
      <c r="M410" s="43">
        <v>0</v>
      </c>
      <c r="N410" s="43">
        <v>0</v>
      </c>
      <c r="O410" s="43">
        <v>3</v>
      </c>
      <c r="P410" s="44">
        <v>3</v>
      </c>
    </row>
    <row r="411" spans="1:16">
      <c r="A411" s="45">
        <v>410</v>
      </c>
      <c r="B411" s="46">
        <v>40562</v>
      </c>
      <c r="C411" s="47">
        <v>1</v>
      </c>
      <c r="D411" s="47">
        <v>0</v>
      </c>
      <c r="E411" s="47">
        <v>1</v>
      </c>
      <c r="F411" s="47">
        <v>1</v>
      </c>
      <c r="G411" s="47" t="b">
        <v>0</v>
      </c>
      <c r="H411" s="47">
        <v>3</v>
      </c>
      <c r="I411" s="47">
        <v>3</v>
      </c>
      <c r="J411" s="47">
        <v>0.22</v>
      </c>
      <c r="K411" s="47">
        <v>0.2273</v>
      </c>
      <c r="L411" s="47">
        <v>0.93</v>
      </c>
      <c r="M411" s="47">
        <v>0.1343</v>
      </c>
      <c r="N411" s="47">
        <v>1</v>
      </c>
      <c r="O411" s="47">
        <v>6</v>
      </c>
      <c r="P411" s="48">
        <v>7</v>
      </c>
    </row>
    <row r="412" spans="1:16">
      <c r="A412" s="41">
        <v>411</v>
      </c>
      <c r="B412" s="42">
        <v>40562</v>
      </c>
      <c r="C412" s="43">
        <v>1</v>
      </c>
      <c r="D412" s="43">
        <v>0</v>
      </c>
      <c r="E412" s="43">
        <v>1</v>
      </c>
      <c r="F412" s="43">
        <v>2</v>
      </c>
      <c r="G412" s="43" t="b">
        <v>0</v>
      </c>
      <c r="H412" s="43">
        <v>3</v>
      </c>
      <c r="I412" s="43">
        <v>3</v>
      </c>
      <c r="J412" s="43">
        <v>0.22</v>
      </c>
      <c r="K412" s="43">
        <v>0.2273</v>
      </c>
      <c r="L412" s="43">
        <v>0.93</v>
      </c>
      <c r="M412" s="43">
        <v>0.1343</v>
      </c>
      <c r="N412" s="43">
        <v>0</v>
      </c>
      <c r="O412" s="43">
        <v>3</v>
      </c>
      <c r="P412" s="44">
        <v>3</v>
      </c>
    </row>
    <row r="413" spans="1:16">
      <c r="A413" s="45">
        <v>412</v>
      </c>
      <c r="B413" s="46">
        <v>40562</v>
      </c>
      <c r="C413" s="47">
        <v>1</v>
      </c>
      <c r="D413" s="47">
        <v>0</v>
      </c>
      <c r="E413" s="47">
        <v>1</v>
      </c>
      <c r="F413" s="47">
        <v>4</v>
      </c>
      <c r="G413" s="47" t="b">
        <v>0</v>
      </c>
      <c r="H413" s="47">
        <v>3</v>
      </c>
      <c r="I413" s="47">
        <v>3</v>
      </c>
      <c r="J413" s="47">
        <v>0.22</v>
      </c>
      <c r="K413" s="47">
        <v>0.2273</v>
      </c>
      <c r="L413" s="47">
        <v>0.93</v>
      </c>
      <c r="M413" s="47">
        <v>0.1343</v>
      </c>
      <c r="N413" s="47">
        <v>1</v>
      </c>
      <c r="O413" s="47">
        <v>1</v>
      </c>
      <c r="P413" s="48">
        <v>2</v>
      </c>
    </row>
    <row r="414" spans="1:16">
      <c r="A414" s="41">
        <v>413</v>
      </c>
      <c r="B414" s="42">
        <v>40562</v>
      </c>
      <c r="C414" s="43">
        <v>1</v>
      </c>
      <c r="D414" s="43">
        <v>0</v>
      </c>
      <c r="E414" s="43">
        <v>1</v>
      </c>
      <c r="F414" s="43">
        <v>5</v>
      </c>
      <c r="G414" s="43" t="b">
        <v>0</v>
      </c>
      <c r="H414" s="43">
        <v>3</v>
      </c>
      <c r="I414" s="43">
        <v>2</v>
      </c>
      <c r="J414" s="43">
        <v>0.22</v>
      </c>
      <c r="K414" s="43">
        <v>0.2576</v>
      </c>
      <c r="L414" s="43">
        <v>0.93</v>
      </c>
      <c r="M414" s="43">
        <v>8.9599999999999999E-2</v>
      </c>
      <c r="N414" s="43">
        <v>0</v>
      </c>
      <c r="O414" s="43">
        <v>7</v>
      </c>
      <c r="P414" s="44">
        <v>7</v>
      </c>
    </row>
    <row r="415" spans="1:16">
      <c r="A415" s="45">
        <v>414</v>
      </c>
      <c r="B415" s="46">
        <v>40562</v>
      </c>
      <c r="C415" s="47">
        <v>1</v>
      </c>
      <c r="D415" s="47">
        <v>0</v>
      </c>
      <c r="E415" s="47">
        <v>1</v>
      </c>
      <c r="F415" s="47">
        <v>6</v>
      </c>
      <c r="G415" s="47" t="b">
        <v>0</v>
      </c>
      <c r="H415" s="47">
        <v>3</v>
      </c>
      <c r="I415" s="47">
        <v>2</v>
      </c>
      <c r="J415" s="47">
        <v>0.22</v>
      </c>
      <c r="K415" s="47">
        <v>0.2576</v>
      </c>
      <c r="L415" s="47">
        <v>0.93</v>
      </c>
      <c r="M415" s="47">
        <v>8.9599999999999999E-2</v>
      </c>
      <c r="N415" s="47">
        <v>0</v>
      </c>
      <c r="O415" s="47">
        <v>32</v>
      </c>
      <c r="P415" s="48">
        <v>32</v>
      </c>
    </row>
    <row r="416" spans="1:16">
      <c r="A416" s="41">
        <v>415</v>
      </c>
      <c r="B416" s="42">
        <v>40562</v>
      </c>
      <c r="C416" s="43">
        <v>1</v>
      </c>
      <c r="D416" s="43">
        <v>0</v>
      </c>
      <c r="E416" s="43">
        <v>1</v>
      </c>
      <c r="F416" s="43">
        <v>7</v>
      </c>
      <c r="G416" s="43" t="b">
        <v>0</v>
      </c>
      <c r="H416" s="43">
        <v>3</v>
      </c>
      <c r="I416" s="43">
        <v>2</v>
      </c>
      <c r="J416" s="43">
        <v>0.24</v>
      </c>
      <c r="K416" s="43">
        <v>0.2576</v>
      </c>
      <c r="L416" s="43">
        <v>0.92</v>
      </c>
      <c r="M416" s="43">
        <v>0.1045</v>
      </c>
      <c r="N416" s="43">
        <v>1</v>
      </c>
      <c r="O416" s="43">
        <v>89</v>
      </c>
      <c r="P416" s="44">
        <v>90</v>
      </c>
    </row>
    <row r="417" spans="1:16">
      <c r="A417" s="45">
        <v>416</v>
      </c>
      <c r="B417" s="46">
        <v>40562</v>
      </c>
      <c r="C417" s="47">
        <v>1</v>
      </c>
      <c r="D417" s="47">
        <v>0</v>
      </c>
      <c r="E417" s="47">
        <v>1</v>
      </c>
      <c r="F417" s="47">
        <v>8</v>
      </c>
      <c r="G417" s="47" t="b">
        <v>0</v>
      </c>
      <c r="H417" s="47">
        <v>3</v>
      </c>
      <c r="I417" s="47">
        <v>2</v>
      </c>
      <c r="J417" s="47">
        <v>0.24</v>
      </c>
      <c r="K417" s="47">
        <v>0.2576</v>
      </c>
      <c r="L417" s="47">
        <v>0.93</v>
      </c>
      <c r="M417" s="47">
        <v>0.1045</v>
      </c>
      <c r="N417" s="47">
        <v>1</v>
      </c>
      <c r="O417" s="47">
        <v>196</v>
      </c>
      <c r="P417" s="48">
        <v>197</v>
      </c>
    </row>
    <row r="418" spans="1:16">
      <c r="A418" s="41">
        <v>417</v>
      </c>
      <c r="B418" s="42">
        <v>40562</v>
      </c>
      <c r="C418" s="43">
        <v>1</v>
      </c>
      <c r="D418" s="43">
        <v>0</v>
      </c>
      <c r="E418" s="43">
        <v>1</v>
      </c>
      <c r="F418" s="43">
        <v>9</v>
      </c>
      <c r="G418" s="43" t="b">
        <v>0</v>
      </c>
      <c r="H418" s="43">
        <v>3</v>
      </c>
      <c r="I418" s="43">
        <v>2</v>
      </c>
      <c r="J418" s="43">
        <v>0.24</v>
      </c>
      <c r="K418" s="43">
        <v>0.2576</v>
      </c>
      <c r="L418" s="43">
        <v>0.93</v>
      </c>
      <c r="M418" s="43">
        <v>0.1045</v>
      </c>
      <c r="N418" s="43">
        <v>2</v>
      </c>
      <c r="O418" s="43">
        <v>107</v>
      </c>
      <c r="P418" s="44">
        <v>109</v>
      </c>
    </row>
    <row r="419" spans="1:16">
      <c r="A419" s="45">
        <v>418</v>
      </c>
      <c r="B419" s="46">
        <v>40562</v>
      </c>
      <c r="C419" s="47">
        <v>1</v>
      </c>
      <c r="D419" s="47">
        <v>0</v>
      </c>
      <c r="E419" s="47">
        <v>1</v>
      </c>
      <c r="F419" s="47">
        <v>10</v>
      </c>
      <c r="G419" s="47" t="b">
        <v>0</v>
      </c>
      <c r="H419" s="47">
        <v>3</v>
      </c>
      <c r="I419" s="47">
        <v>2</v>
      </c>
      <c r="J419" s="47">
        <v>0.26</v>
      </c>
      <c r="K419" s="47">
        <v>0.2727</v>
      </c>
      <c r="L419" s="47">
        <v>0.93</v>
      </c>
      <c r="M419" s="47">
        <v>0.1343</v>
      </c>
      <c r="N419" s="47">
        <v>1</v>
      </c>
      <c r="O419" s="47">
        <v>46</v>
      </c>
      <c r="P419" s="48">
        <v>47</v>
      </c>
    </row>
    <row r="420" spans="1:16">
      <c r="A420" s="41">
        <v>419</v>
      </c>
      <c r="B420" s="42">
        <v>40562</v>
      </c>
      <c r="C420" s="43">
        <v>1</v>
      </c>
      <c r="D420" s="43">
        <v>0</v>
      </c>
      <c r="E420" s="43">
        <v>1</v>
      </c>
      <c r="F420" s="43">
        <v>11</v>
      </c>
      <c r="G420" s="43" t="b">
        <v>0</v>
      </c>
      <c r="H420" s="43">
        <v>3</v>
      </c>
      <c r="I420" s="43">
        <v>2</v>
      </c>
      <c r="J420" s="43">
        <v>0.28000000000000003</v>
      </c>
      <c r="K420" s="43">
        <v>0.30299999999999999</v>
      </c>
      <c r="L420" s="43">
        <v>0.87</v>
      </c>
      <c r="M420" s="43">
        <v>8.9599999999999999E-2</v>
      </c>
      <c r="N420" s="43">
        <v>5</v>
      </c>
      <c r="O420" s="43">
        <v>47</v>
      </c>
      <c r="P420" s="44">
        <v>52</v>
      </c>
    </row>
    <row r="421" spans="1:16">
      <c r="A421" s="45">
        <v>420</v>
      </c>
      <c r="B421" s="46">
        <v>40562</v>
      </c>
      <c r="C421" s="47">
        <v>1</v>
      </c>
      <c r="D421" s="47">
        <v>0</v>
      </c>
      <c r="E421" s="47">
        <v>1</v>
      </c>
      <c r="F421" s="47">
        <v>12</v>
      </c>
      <c r="G421" s="47" t="b">
        <v>0</v>
      </c>
      <c r="H421" s="47">
        <v>3</v>
      </c>
      <c r="I421" s="47">
        <v>2</v>
      </c>
      <c r="J421" s="47">
        <v>0.3</v>
      </c>
      <c r="K421" s="47">
        <v>0.31819999999999998</v>
      </c>
      <c r="L421" s="47">
        <v>0.81</v>
      </c>
      <c r="M421" s="47">
        <v>8.9599999999999999E-2</v>
      </c>
      <c r="N421" s="47">
        <v>5</v>
      </c>
      <c r="O421" s="47">
        <v>65</v>
      </c>
      <c r="P421" s="48">
        <v>70</v>
      </c>
    </row>
    <row r="422" spans="1:16">
      <c r="A422" s="41">
        <v>421</v>
      </c>
      <c r="B422" s="42">
        <v>40562</v>
      </c>
      <c r="C422" s="43">
        <v>1</v>
      </c>
      <c r="D422" s="43">
        <v>0</v>
      </c>
      <c r="E422" s="43">
        <v>1</v>
      </c>
      <c r="F422" s="43">
        <v>13</v>
      </c>
      <c r="G422" s="43" t="b">
        <v>0</v>
      </c>
      <c r="H422" s="43">
        <v>3</v>
      </c>
      <c r="I422" s="43">
        <v>1</v>
      </c>
      <c r="J422" s="43">
        <v>0.4</v>
      </c>
      <c r="K422" s="43">
        <v>0.40910000000000002</v>
      </c>
      <c r="L422" s="43">
        <v>0.62</v>
      </c>
      <c r="M422" s="43">
        <v>0.28360000000000002</v>
      </c>
      <c r="N422" s="43">
        <v>11</v>
      </c>
      <c r="O422" s="43">
        <v>67</v>
      </c>
      <c r="P422" s="44">
        <v>78</v>
      </c>
    </row>
    <row r="423" spans="1:16">
      <c r="A423" s="45">
        <v>422</v>
      </c>
      <c r="B423" s="46">
        <v>40562</v>
      </c>
      <c r="C423" s="47">
        <v>1</v>
      </c>
      <c r="D423" s="47">
        <v>0</v>
      </c>
      <c r="E423" s="47">
        <v>1</v>
      </c>
      <c r="F423" s="47">
        <v>14</v>
      </c>
      <c r="G423" s="47" t="b">
        <v>0</v>
      </c>
      <c r="H423" s="47">
        <v>3</v>
      </c>
      <c r="I423" s="47">
        <v>1</v>
      </c>
      <c r="J423" s="47">
        <v>0.4</v>
      </c>
      <c r="K423" s="47">
        <v>0.40910000000000002</v>
      </c>
      <c r="L423" s="47">
        <v>0.57999999999999996</v>
      </c>
      <c r="M423" s="47">
        <v>0.25369999999999998</v>
      </c>
      <c r="N423" s="47">
        <v>7</v>
      </c>
      <c r="O423" s="47">
        <v>68</v>
      </c>
      <c r="P423" s="48">
        <v>75</v>
      </c>
    </row>
    <row r="424" spans="1:16">
      <c r="A424" s="41">
        <v>423</v>
      </c>
      <c r="B424" s="42">
        <v>40562</v>
      </c>
      <c r="C424" s="43">
        <v>1</v>
      </c>
      <c r="D424" s="43">
        <v>0</v>
      </c>
      <c r="E424" s="43">
        <v>1</v>
      </c>
      <c r="F424" s="43">
        <v>15</v>
      </c>
      <c r="G424" s="43" t="b">
        <v>0</v>
      </c>
      <c r="H424" s="43">
        <v>3</v>
      </c>
      <c r="I424" s="43">
        <v>1</v>
      </c>
      <c r="J424" s="43">
        <v>0.4</v>
      </c>
      <c r="K424" s="43">
        <v>0.40910000000000002</v>
      </c>
      <c r="L424" s="43">
        <v>0.54</v>
      </c>
      <c r="M424" s="43">
        <v>0.28360000000000002</v>
      </c>
      <c r="N424" s="43">
        <v>4</v>
      </c>
      <c r="O424" s="43">
        <v>78</v>
      </c>
      <c r="P424" s="44">
        <v>82</v>
      </c>
    </row>
    <row r="425" spans="1:16">
      <c r="A425" s="45">
        <v>424</v>
      </c>
      <c r="B425" s="46">
        <v>40562</v>
      </c>
      <c r="C425" s="47">
        <v>1</v>
      </c>
      <c r="D425" s="47">
        <v>0</v>
      </c>
      <c r="E425" s="47">
        <v>1</v>
      </c>
      <c r="F425" s="47">
        <v>16</v>
      </c>
      <c r="G425" s="47" t="b">
        <v>0</v>
      </c>
      <c r="H425" s="47">
        <v>3</v>
      </c>
      <c r="I425" s="47">
        <v>1</v>
      </c>
      <c r="J425" s="47">
        <v>0.38</v>
      </c>
      <c r="K425" s="47">
        <v>0.39389999999999997</v>
      </c>
      <c r="L425" s="47">
        <v>0.57999999999999996</v>
      </c>
      <c r="M425" s="47">
        <v>0.3881</v>
      </c>
      <c r="N425" s="47">
        <v>10</v>
      </c>
      <c r="O425" s="47">
        <v>94</v>
      </c>
      <c r="P425" s="48">
        <v>104</v>
      </c>
    </row>
    <row r="426" spans="1:16">
      <c r="A426" s="41">
        <v>425</v>
      </c>
      <c r="B426" s="42">
        <v>40562</v>
      </c>
      <c r="C426" s="43">
        <v>1</v>
      </c>
      <c r="D426" s="43">
        <v>0</v>
      </c>
      <c r="E426" s="43">
        <v>1</v>
      </c>
      <c r="F426" s="43">
        <v>17</v>
      </c>
      <c r="G426" s="43" t="b">
        <v>0</v>
      </c>
      <c r="H426" s="43">
        <v>3</v>
      </c>
      <c r="I426" s="43">
        <v>1</v>
      </c>
      <c r="J426" s="43">
        <v>0.36</v>
      </c>
      <c r="K426" s="43">
        <v>0.33329999999999999</v>
      </c>
      <c r="L426" s="43">
        <v>0.56999999999999995</v>
      </c>
      <c r="M426" s="43">
        <v>0.32840000000000003</v>
      </c>
      <c r="N426" s="43">
        <v>7</v>
      </c>
      <c r="O426" s="43">
        <v>190</v>
      </c>
      <c r="P426" s="44">
        <v>197</v>
      </c>
    </row>
    <row r="427" spans="1:16">
      <c r="A427" s="45">
        <v>426</v>
      </c>
      <c r="B427" s="46">
        <v>40562</v>
      </c>
      <c r="C427" s="47">
        <v>1</v>
      </c>
      <c r="D427" s="47">
        <v>0</v>
      </c>
      <c r="E427" s="47">
        <v>1</v>
      </c>
      <c r="F427" s="47">
        <v>18</v>
      </c>
      <c r="G427" s="47" t="b">
        <v>0</v>
      </c>
      <c r="H427" s="47">
        <v>3</v>
      </c>
      <c r="I427" s="47">
        <v>1</v>
      </c>
      <c r="J427" s="47">
        <v>0.34</v>
      </c>
      <c r="K427" s="47">
        <v>0.31819999999999998</v>
      </c>
      <c r="L427" s="47">
        <v>0.61</v>
      </c>
      <c r="M427" s="47">
        <v>0.28360000000000002</v>
      </c>
      <c r="N427" s="47">
        <v>5</v>
      </c>
      <c r="O427" s="47">
        <v>156</v>
      </c>
      <c r="P427" s="48">
        <v>161</v>
      </c>
    </row>
    <row r="428" spans="1:16">
      <c r="A428" s="41">
        <v>427</v>
      </c>
      <c r="B428" s="42">
        <v>40562</v>
      </c>
      <c r="C428" s="43">
        <v>1</v>
      </c>
      <c r="D428" s="43">
        <v>0</v>
      </c>
      <c r="E428" s="43">
        <v>1</v>
      </c>
      <c r="F428" s="43">
        <v>19</v>
      </c>
      <c r="G428" s="43" t="b">
        <v>0</v>
      </c>
      <c r="H428" s="43">
        <v>3</v>
      </c>
      <c r="I428" s="43">
        <v>1</v>
      </c>
      <c r="J428" s="43">
        <v>0.32</v>
      </c>
      <c r="K428" s="43">
        <v>0.28789999999999999</v>
      </c>
      <c r="L428" s="43">
        <v>0.56999999999999995</v>
      </c>
      <c r="M428" s="43">
        <v>0.41789999999999999</v>
      </c>
      <c r="N428" s="43">
        <v>4</v>
      </c>
      <c r="O428" s="43">
        <v>108</v>
      </c>
      <c r="P428" s="44">
        <v>112</v>
      </c>
    </row>
    <row r="429" spans="1:16">
      <c r="A429" s="45">
        <v>428</v>
      </c>
      <c r="B429" s="46">
        <v>40562</v>
      </c>
      <c r="C429" s="47">
        <v>1</v>
      </c>
      <c r="D429" s="47">
        <v>0</v>
      </c>
      <c r="E429" s="47">
        <v>1</v>
      </c>
      <c r="F429" s="47">
        <v>20</v>
      </c>
      <c r="G429" s="47" t="b">
        <v>0</v>
      </c>
      <c r="H429" s="47">
        <v>3</v>
      </c>
      <c r="I429" s="47">
        <v>1</v>
      </c>
      <c r="J429" s="47">
        <v>0.32</v>
      </c>
      <c r="K429" s="47">
        <v>0.30299999999999999</v>
      </c>
      <c r="L429" s="47">
        <v>0.49</v>
      </c>
      <c r="M429" s="47">
        <v>0.29849999999999999</v>
      </c>
      <c r="N429" s="47">
        <v>2</v>
      </c>
      <c r="O429" s="47">
        <v>74</v>
      </c>
      <c r="P429" s="48">
        <v>76</v>
      </c>
    </row>
    <row r="430" spans="1:16">
      <c r="A430" s="41">
        <v>429</v>
      </c>
      <c r="B430" s="42">
        <v>40562</v>
      </c>
      <c r="C430" s="43">
        <v>1</v>
      </c>
      <c r="D430" s="43">
        <v>0</v>
      </c>
      <c r="E430" s="43">
        <v>1</v>
      </c>
      <c r="F430" s="43">
        <v>21</v>
      </c>
      <c r="G430" s="43" t="b">
        <v>0</v>
      </c>
      <c r="H430" s="43">
        <v>3</v>
      </c>
      <c r="I430" s="43">
        <v>1</v>
      </c>
      <c r="J430" s="43">
        <v>0.32</v>
      </c>
      <c r="K430" s="43">
        <v>0.28789999999999999</v>
      </c>
      <c r="L430" s="43">
        <v>0.49</v>
      </c>
      <c r="M430" s="43">
        <v>0.41789999999999999</v>
      </c>
      <c r="N430" s="43">
        <v>4</v>
      </c>
      <c r="O430" s="43">
        <v>55</v>
      </c>
      <c r="P430" s="44">
        <v>59</v>
      </c>
    </row>
    <row r="431" spans="1:16">
      <c r="A431" s="45">
        <v>430</v>
      </c>
      <c r="B431" s="46">
        <v>40562</v>
      </c>
      <c r="C431" s="47">
        <v>1</v>
      </c>
      <c r="D431" s="47">
        <v>0</v>
      </c>
      <c r="E431" s="47">
        <v>1</v>
      </c>
      <c r="F431" s="47">
        <v>22</v>
      </c>
      <c r="G431" s="47" t="b">
        <v>0</v>
      </c>
      <c r="H431" s="47">
        <v>3</v>
      </c>
      <c r="I431" s="47">
        <v>1</v>
      </c>
      <c r="J431" s="47">
        <v>0.3</v>
      </c>
      <c r="K431" s="47">
        <v>0.30299999999999999</v>
      </c>
      <c r="L431" s="47">
        <v>0.52</v>
      </c>
      <c r="M431" s="47">
        <v>0.16420000000000001</v>
      </c>
      <c r="N431" s="47">
        <v>6</v>
      </c>
      <c r="O431" s="47">
        <v>53</v>
      </c>
      <c r="P431" s="48">
        <v>59</v>
      </c>
    </row>
    <row r="432" spans="1:16">
      <c r="A432" s="41">
        <v>431</v>
      </c>
      <c r="B432" s="42">
        <v>40562</v>
      </c>
      <c r="C432" s="43">
        <v>1</v>
      </c>
      <c r="D432" s="43">
        <v>0</v>
      </c>
      <c r="E432" s="43">
        <v>1</v>
      </c>
      <c r="F432" s="43">
        <v>23</v>
      </c>
      <c r="G432" s="43" t="b">
        <v>0</v>
      </c>
      <c r="H432" s="43">
        <v>3</v>
      </c>
      <c r="I432" s="43">
        <v>1</v>
      </c>
      <c r="J432" s="43">
        <v>0.3</v>
      </c>
      <c r="K432" s="43">
        <v>0.2727</v>
      </c>
      <c r="L432" s="43">
        <v>0.52</v>
      </c>
      <c r="M432" s="43">
        <v>0.4627</v>
      </c>
      <c r="N432" s="43">
        <v>1</v>
      </c>
      <c r="O432" s="43">
        <v>27</v>
      </c>
      <c r="P432" s="44">
        <v>28</v>
      </c>
    </row>
    <row r="433" spans="1:16">
      <c r="A433" s="45">
        <v>432</v>
      </c>
      <c r="B433" s="46">
        <v>40563</v>
      </c>
      <c r="C433" s="47">
        <v>1</v>
      </c>
      <c r="D433" s="47">
        <v>0</v>
      </c>
      <c r="E433" s="47">
        <v>1</v>
      </c>
      <c r="F433" s="47">
        <v>0</v>
      </c>
      <c r="G433" s="47" t="b">
        <v>0</v>
      </c>
      <c r="H433" s="47">
        <v>4</v>
      </c>
      <c r="I433" s="47">
        <v>1</v>
      </c>
      <c r="J433" s="47">
        <v>0.26</v>
      </c>
      <c r="K433" s="47">
        <v>0.2273</v>
      </c>
      <c r="L433" s="47">
        <v>0.56000000000000005</v>
      </c>
      <c r="M433" s="47">
        <v>0.3881</v>
      </c>
      <c r="N433" s="47">
        <v>5</v>
      </c>
      <c r="O433" s="47">
        <v>8</v>
      </c>
      <c r="P433" s="48">
        <v>13</v>
      </c>
    </row>
    <row r="434" spans="1:16">
      <c r="A434" s="41">
        <v>433</v>
      </c>
      <c r="B434" s="42">
        <v>40563</v>
      </c>
      <c r="C434" s="43">
        <v>1</v>
      </c>
      <c r="D434" s="43">
        <v>0</v>
      </c>
      <c r="E434" s="43">
        <v>1</v>
      </c>
      <c r="F434" s="43">
        <v>1</v>
      </c>
      <c r="G434" s="43" t="b">
        <v>0</v>
      </c>
      <c r="H434" s="43">
        <v>4</v>
      </c>
      <c r="I434" s="43">
        <v>1</v>
      </c>
      <c r="J434" s="43">
        <v>0.26</v>
      </c>
      <c r="K434" s="43">
        <v>0.2727</v>
      </c>
      <c r="L434" s="43">
        <v>0.56000000000000005</v>
      </c>
      <c r="M434" s="43">
        <v>0</v>
      </c>
      <c r="N434" s="43">
        <v>2</v>
      </c>
      <c r="O434" s="43">
        <v>3</v>
      </c>
      <c r="P434" s="44">
        <v>5</v>
      </c>
    </row>
    <row r="435" spans="1:16">
      <c r="A435" s="45">
        <v>434</v>
      </c>
      <c r="B435" s="46">
        <v>40563</v>
      </c>
      <c r="C435" s="47">
        <v>1</v>
      </c>
      <c r="D435" s="47">
        <v>0</v>
      </c>
      <c r="E435" s="47">
        <v>1</v>
      </c>
      <c r="F435" s="47">
        <v>2</v>
      </c>
      <c r="G435" s="47" t="b">
        <v>0</v>
      </c>
      <c r="H435" s="47">
        <v>4</v>
      </c>
      <c r="I435" s="47">
        <v>1</v>
      </c>
      <c r="J435" s="47">
        <v>0.26</v>
      </c>
      <c r="K435" s="47">
        <v>0.2727</v>
      </c>
      <c r="L435" s="47">
        <v>0.56000000000000005</v>
      </c>
      <c r="M435" s="47">
        <v>0</v>
      </c>
      <c r="N435" s="47">
        <v>0</v>
      </c>
      <c r="O435" s="47">
        <v>2</v>
      </c>
      <c r="P435" s="48">
        <v>2</v>
      </c>
    </row>
    <row r="436" spans="1:16">
      <c r="A436" s="41">
        <v>435</v>
      </c>
      <c r="B436" s="42">
        <v>40563</v>
      </c>
      <c r="C436" s="43">
        <v>1</v>
      </c>
      <c r="D436" s="43">
        <v>0</v>
      </c>
      <c r="E436" s="43">
        <v>1</v>
      </c>
      <c r="F436" s="43">
        <v>3</v>
      </c>
      <c r="G436" s="43" t="b">
        <v>0</v>
      </c>
      <c r="H436" s="43">
        <v>4</v>
      </c>
      <c r="I436" s="43">
        <v>1</v>
      </c>
      <c r="J436" s="43">
        <v>0.26</v>
      </c>
      <c r="K436" s="43">
        <v>0.2576</v>
      </c>
      <c r="L436" s="43">
        <v>0.56000000000000005</v>
      </c>
      <c r="M436" s="43">
        <v>0.16420000000000001</v>
      </c>
      <c r="N436" s="43">
        <v>0</v>
      </c>
      <c r="O436" s="43">
        <v>1</v>
      </c>
      <c r="P436" s="44">
        <v>1</v>
      </c>
    </row>
    <row r="437" spans="1:16">
      <c r="A437" s="45">
        <v>436</v>
      </c>
      <c r="B437" s="46">
        <v>40563</v>
      </c>
      <c r="C437" s="47">
        <v>1</v>
      </c>
      <c r="D437" s="47">
        <v>0</v>
      </c>
      <c r="E437" s="47">
        <v>1</v>
      </c>
      <c r="F437" s="47">
        <v>4</v>
      </c>
      <c r="G437" s="47" t="b">
        <v>0</v>
      </c>
      <c r="H437" s="47">
        <v>4</v>
      </c>
      <c r="I437" s="47">
        <v>1</v>
      </c>
      <c r="J437" s="47">
        <v>0.26</v>
      </c>
      <c r="K437" s="47">
        <v>0.2576</v>
      </c>
      <c r="L437" s="47">
        <v>0.56000000000000005</v>
      </c>
      <c r="M437" s="47">
        <v>0.16420000000000001</v>
      </c>
      <c r="N437" s="47">
        <v>0</v>
      </c>
      <c r="O437" s="47">
        <v>1</v>
      </c>
      <c r="P437" s="48">
        <v>1</v>
      </c>
    </row>
    <row r="438" spans="1:16">
      <c r="A438" s="41">
        <v>437</v>
      </c>
      <c r="B438" s="42">
        <v>40563</v>
      </c>
      <c r="C438" s="43">
        <v>1</v>
      </c>
      <c r="D438" s="43">
        <v>0</v>
      </c>
      <c r="E438" s="43">
        <v>1</v>
      </c>
      <c r="F438" s="43">
        <v>5</v>
      </c>
      <c r="G438" s="43" t="b">
        <v>0</v>
      </c>
      <c r="H438" s="43">
        <v>4</v>
      </c>
      <c r="I438" s="43">
        <v>1</v>
      </c>
      <c r="J438" s="43">
        <v>0.24</v>
      </c>
      <c r="K438" s="43">
        <v>0.2273</v>
      </c>
      <c r="L438" s="43">
        <v>0.6</v>
      </c>
      <c r="M438" s="43">
        <v>0.22389999999999999</v>
      </c>
      <c r="N438" s="43">
        <v>0</v>
      </c>
      <c r="O438" s="43">
        <v>6</v>
      </c>
      <c r="P438" s="44">
        <v>6</v>
      </c>
    </row>
    <row r="439" spans="1:16">
      <c r="A439" s="45">
        <v>438</v>
      </c>
      <c r="B439" s="46">
        <v>40563</v>
      </c>
      <c r="C439" s="47">
        <v>1</v>
      </c>
      <c r="D439" s="47">
        <v>0</v>
      </c>
      <c r="E439" s="47">
        <v>1</v>
      </c>
      <c r="F439" s="47">
        <v>6</v>
      </c>
      <c r="G439" s="47" t="b">
        <v>0</v>
      </c>
      <c r="H439" s="47">
        <v>4</v>
      </c>
      <c r="I439" s="47">
        <v>1</v>
      </c>
      <c r="J439" s="47">
        <v>0.22</v>
      </c>
      <c r="K439" s="47">
        <v>0.21210000000000001</v>
      </c>
      <c r="L439" s="47">
        <v>0.6</v>
      </c>
      <c r="M439" s="47">
        <v>0.22389999999999999</v>
      </c>
      <c r="N439" s="47">
        <v>0</v>
      </c>
      <c r="O439" s="47">
        <v>35</v>
      </c>
      <c r="P439" s="48">
        <v>35</v>
      </c>
    </row>
    <row r="440" spans="1:16">
      <c r="A440" s="41">
        <v>439</v>
      </c>
      <c r="B440" s="42">
        <v>40563</v>
      </c>
      <c r="C440" s="43">
        <v>1</v>
      </c>
      <c r="D440" s="43">
        <v>0</v>
      </c>
      <c r="E440" s="43">
        <v>1</v>
      </c>
      <c r="F440" s="43">
        <v>7</v>
      </c>
      <c r="G440" s="43" t="b">
        <v>0</v>
      </c>
      <c r="H440" s="43">
        <v>4</v>
      </c>
      <c r="I440" s="43">
        <v>1</v>
      </c>
      <c r="J440" s="43">
        <v>0.22</v>
      </c>
      <c r="K440" s="43">
        <v>0.21210000000000001</v>
      </c>
      <c r="L440" s="43">
        <v>0.55000000000000004</v>
      </c>
      <c r="M440" s="43">
        <v>0.22389999999999999</v>
      </c>
      <c r="N440" s="43">
        <v>1</v>
      </c>
      <c r="O440" s="43">
        <v>100</v>
      </c>
      <c r="P440" s="44">
        <v>101</v>
      </c>
    </row>
    <row r="441" spans="1:16">
      <c r="A441" s="45">
        <v>440</v>
      </c>
      <c r="B441" s="46">
        <v>40563</v>
      </c>
      <c r="C441" s="47">
        <v>1</v>
      </c>
      <c r="D441" s="47">
        <v>0</v>
      </c>
      <c r="E441" s="47">
        <v>1</v>
      </c>
      <c r="F441" s="47">
        <v>8</v>
      </c>
      <c r="G441" s="47" t="b">
        <v>0</v>
      </c>
      <c r="H441" s="47">
        <v>4</v>
      </c>
      <c r="I441" s="47">
        <v>1</v>
      </c>
      <c r="J441" s="47">
        <v>0.22</v>
      </c>
      <c r="K441" s="47">
        <v>0.21210000000000001</v>
      </c>
      <c r="L441" s="47">
        <v>0.55000000000000004</v>
      </c>
      <c r="M441" s="47">
        <v>0.28360000000000002</v>
      </c>
      <c r="N441" s="47">
        <v>2</v>
      </c>
      <c r="O441" s="47">
        <v>247</v>
      </c>
      <c r="P441" s="48">
        <v>249</v>
      </c>
    </row>
    <row r="442" spans="1:16">
      <c r="A442" s="41">
        <v>441</v>
      </c>
      <c r="B442" s="42">
        <v>40563</v>
      </c>
      <c r="C442" s="43">
        <v>1</v>
      </c>
      <c r="D442" s="43">
        <v>0</v>
      </c>
      <c r="E442" s="43">
        <v>1</v>
      </c>
      <c r="F442" s="43">
        <v>9</v>
      </c>
      <c r="G442" s="43" t="b">
        <v>0</v>
      </c>
      <c r="H442" s="43">
        <v>4</v>
      </c>
      <c r="I442" s="43">
        <v>2</v>
      </c>
      <c r="J442" s="43">
        <v>0.24</v>
      </c>
      <c r="K442" s="43">
        <v>0.2273</v>
      </c>
      <c r="L442" s="43">
        <v>0.52</v>
      </c>
      <c r="M442" s="43">
        <v>0.22389999999999999</v>
      </c>
      <c r="N442" s="43">
        <v>3</v>
      </c>
      <c r="O442" s="43">
        <v>140</v>
      </c>
      <c r="P442" s="44">
        <v>143</v>
      </c>
    </row>
    <row r="443" spans="1:16">
      <c r="A443" s="45">
        <v>442</v>
      </c>
      <c r="B443" s="46">
        <v>40563</v>
      </c>
      <c r="C443" s="47">
        <v>1</v>
      </c>
      <c r="D443" s="47">
        <v>0</v>
      </c>
      <c r="E443" s="47">
        <v>1</v>
      </c>
      <c r="F443" s="47">
        <v>10</v>
      </c>
      <c r="G443" s="47" t="b">
        <v>0</v>
      </c>
      <c r="H443" s="47">
        <v>4</v>
      </c>
      <c r="I443" s="47">
        <v>1</v>
      </c>
      <c r="J443" s="47">
        <v>0.26</v>
      </c>
      <c r="K443" s="47">
        <v>0.2273</v>
      </c>
      <c r="L443" s="47">
        <v>0.48</v>
      </c>
      <c r="M443" s="47">
        <v>0.29849999999999999</v>
      </c>
      <c r="N443" s="47">
        <v>1</v>
      </c>
      <c r="O443" s="47">
        <v>56</v>
      </c>
      <c r="P443" s="48">
        <v>57</v>
      </c>
    </row>
    <row r="444" spans="1:16">
      <c r="A444" s="41">
        <v>443</v>
      </c>
      <c r="B444" s="42">
        <v>40563</v>
      </c>
      <c r="C444" s="43">
        <v>1</v>
      </c>
      <c r="D444" s="43">
        <v>0</v>
      </c>
      <c r="E444" s="43">
        <v>1</v>
      </c>
      <c r="F444" s="43">
        <v>11</v>
      </c>
      <c r="G444" s="43" t="b">
        <v>0</v>
      </c>
      <c r="H444" s="43">
        <v>4</v>
      </c>
      <c r="I444" s="43">
        <v>2</v>
      </c>
      <c r="J444" s="43">
        <v>0.28000000000000003</v>
      </c>
      <c r="K444" s="43">
        <v>0.2727</v>
      </c>
      <c r="L444" s="43">
        <v>0.45</v>
      </c>
      <c r="M444" s="43">
        <v>0.16420000000000001</v>
      </c>
      <c r="N444" s="43">
        <v>5</v>
      </c>
      <c r="O444" s="43">
        <v>63</v>
      </c>
      <c r="P444" s="44">
        <v>68</v>
      </c>
    </row>
    <row r="445" spans="1:16">
      <c r="A445" s="45">
        <v>444</v>
      </c>
      <c r="B445" s="46">
        <v>40563</v>
      </c>
      <c r="C445" s="47">
        <v>1</v>
      </c>
      <c r="D445" s="47">
        <v>0</v>
      </c>
      <c r="E445" s="47">
        <v>1</v>
      </c>
      <c r="F445" s="47">
        <v>12</v>
      </c>
      <c r="G445" s="47" t="b">
        <v>0</v>
      </c>
      <c r="H445" s="47">
        <v>4</v>
      </c>
      <c r="I445" s="47">
        <v>2</v>
      </c>
      <c r="J445" s="47">
        <v>0.3</v>
      </c>
      <c r="K445" s="47">
        <v>0.33329999999999999</v>
      </c>
      <c r="L445" s="47">
        <v>0.42</v>
      </c>
      <c r="M445" s="47">
        <v>0</v>
      </c>
      <c r="N445" s="47">
        <v>7</v>
      </c>
      <c r="O445" s="47">
        <v>77</v>
      </c>
      <c r="P445" s="48">
        <v>84</v>
      </c>
    </row>
    <row r="446" spans="1:16">
      <c r="A446" s="41">
        <v>445</v>
      </c>
      <c r="B446" s="42">
        <v>40563</v>
      </c>
      <c r="C446" s="43">
        <v>1</v>
      </c>
      <c r="D446" s="43">
        <v>0</v>
      </c>
      <c r="E446" s="43">
        <v>1</v>
      </c>
      <c r="F446" s="43">
        <v>13</v>
      </c>
      <c r="G446" s="43" t="b">
        <v>0</v>
      </c>
      <c r="H446" s="43">
        <v>4</v>
      </c>
      <c r="I446" s="43">
        <v>2</v>
      </c>
      <c r="J446" s="43">
        <v>0.28000000000000003</v>
      </c>
      <c r="K446" s="43">
        <v>0.28789999999999999</v>
      </c>
      <c r="L446" s="43">
        <v>0.45</v>
      </c>
      <c r="M446" s="43">
        <v>0.1045</v>
      </c>
      <c r="N446" s="43">
        <v>12</v>
      </c>
      <c r="O446" s="43">
        <v>86</v>
      </c>
      <c r="P446" s="44">
        <v>98</v>
      </c>
    </row>
    <row r="447" spans="1:16">
      <c r="A447" s="45">
        <v>446</v>
      </c>
      <c r="B447" s="46">
        <v>40563</v>
      </c>
      <c r="C447" s="47">
        <v>1</v>
      </c>
      <c r="D447" s="47">
        <v>0</v>
      </c>
      <c r="E447" s="47">
        <v>1</v>
      </c>
      <c r="F447" s="47">
        <v>14</v>
      </c>
      <c r="G447" s="47" t="b">
        <v>0</v>
      </c>
      <c r="H447" s="47">
        <v>4</v>
      </c>
      <c r="I447" s="47">
        <v>2</v>
      </c>
      <c r="J447" s="47">
        <v>0.3</v>
      </c>
      <c r="K447" s="47">
        <v>0.30299999999999999</v>
      </c>
      <c r="L447" s="47">
        <v>0.45</v>
      </c>
      <c r="M447" s="47">
        <v>0.1343</v>
      </c>
      <c r="N447" s="47">
        <v>6</v>
      </c>
      <c r="O447" s="47">
        <v>75</v>
      </c>
      <c r="P447" s="48">
        <v>81</v>
      </c>
    </row>
    <row r="448" spans="1:16">
      <c r="A448" s="41">
        <v>447</v>
      </c>
      <c r="B448" s="42">
        <v>40563</v>
      </c>
      <c r="C448" s="43">
        <v>1</v>
      </c>
      <c r="D448" s="43">
        <v>0</v>
      </c>
      <c r="E448" s="43">
        <v>1</v>
      </c>
      <c r="F448" s="43">
        <v>15</v>
      </c>
      <c r="G448" s="43" t="b">
        <v>0</v>
      </c>
      <c r="H448" s="43">
        <v>4</v>
      </c>
      <c r="I448" s="43">
        <v>2</v>
      </c>
      <c r="J448" s="43">
        <v>0.32</v>
      </c>
      <c r="K448" s="43">
        <v>0.31819999999999998</v>
      </c>
      <c r="L448" s="43">
        <v>0.45</v>
      </c>
      <c r="M448" s="43">
        <v>0.19400000000000001</v>
      </c>
      <c r="N448" s="43">
        <v>8</v>
      </c>
      <c r="O448" s="43">
        <v>62</v>
      </c>
      <c r="P448" s="44">
        <v>70</v>
      </c>
    </row>
    <row r="449" spans="1:16">
      <c r="A449" s="45">
        <v>448</v>
      </c>
      <c r="B449" s="46">
        <v>40563</v>
      </c>
      <c r="C449" s="47">
        <v>1</v>
      </c>
      <c r="D449" s="47">
        <v>0</v>
      </c>
      <c r="E449" s="47">
        <v>1</v>
      </c>
      <c r="F449" s="47">
        <v>16</v>
      </c>
      <c r="G449" s="47" t="b">
        <v>0</v>
      </c>
      <c r="H449" s="47">
        <v>4</v>
      </c>
      <c r="I449" s="47">
        <v>2</v>
      </c>
      <c r="J449" s="47">
        <v>0.3</v>
      </c>
      <c r="K449" s="47">
        <v>0.30299999999999999</v>
      </c>
      <c r="L449" s="47">
        <v>0.49</v>
      </c>
      <c r="M449" s="47">
        <v>0.1343</v>
      </c>
      <c r="N449" s="47">
        <v>8</v>
      </c>
      <c r="O449" s="47">
        <v>83</v>
      </c>
      <c r="P449" s="48">
        <v>91</v>
      </c>
    </row>
    <row r="450" spans="1:16">
      <c r="A450" s="41">
        <v>449</v>
      </c>
      <c r="B450" s="42">
        <v>40563</v>
      </c>
      <c r="C450" s="43">
        <v>1</v>
      </c>
      <c r="D450" s="43">
        <v>0</v>
      </c>
      <c r="E450" s="43">
        <v>1</v>
      </c>
      <c r="F450" s="43">
        <v>17</v>
      </c>
      <c r="G450" s="43" t="b">
        <v>0</v>
      </c>
      <c r="H450" s="43">
        <v>4</v>
      </c>
      <c r="I450" s="43">
        <v>2</v>
      </c>
      <c r="J450" s="43">
        <v>0.3</v>
      </c>
      <c r="K450" s="43">
        <v>0.31819999999999998</v>
      </c>
      <c r="L450" s="43">
        <v>0.49</v>
      </c>
      <c r="M450" s="43">
        <v>0.1045</v>
      </c>
      <c r="N450" s="43">
        <v>8</v>
      </c>
      <c r="O450" s="43">
        <v>207</v>
      </c>
      <c r="P450" s="44">
        <v>215</v>
      </c>
    </row>
    <row r="451" spans="1:16">
      <c r="A451" s="45">
        <v>450</v>
      </c>
      <c r="B451" s="46">
        <v>40563</v>
      </c>
      <c r="C451" s="47">
        <v>1</v>
      </c>
      <c r="D451" s="47">
        <v>0</v>
      </c>
      <c r="E451" s="47">
        <v>1</v>
      </c>
      <c r="F451" s="47">
        <v>18</v>
      </c>
      <c r="G451" s="47" t="b">
        <v>0</v>
      </c>
      <c r="H451" s="47">
        <v>4</v>
      </c>
      <c r="I451" s="47">
        <v>2</v>
      </c>
      <c r="J451" s="47">
        <v>0.26</v>
      </c>
      <c r="K451" s="47">
        <v>0.2576</v>
      </c>
      <c r="L451" s="47">
        <v>0.56000000000000005</v>
      </c>
      <c r="M451" s="47">
        <v>0.19400000000000001</v>
      </c>
      <c r="N451" s="47">
        <v>1</v>
      </c>
      <c r="O451" s="47">
        <v>184</v>
      </c>
      <c r="P451" s="48">
        <v>185</v>
      </c>
    </row>
    <row r="452" spans="1:16">
      <c r="A452" s="41">
        <v>451</v>
      </c>
      <c r="B452" s="42">
        <v>40563</v>
      </c>
      <c r="C452" s="43">
        <v>1</v>
      </c>
      <c r="D452" s="43">
        <v>0</v>
      </c>
      <c r="E452" s="43">
        <v>1</v>
      </c>
      <c r="F452" s="43">
        <v>19</v>
      </c>
      <c r="G452" s="43" t="b">
        <v>0</v>
      </c>
      <c r="H452" s="43">
        <v>4</v>
      </c>
      <c r="I452" s="43">
        <v>1</v>
      </c>
      <c r="J452" s="43">
        <v>0.26</v>
      </c>
      <c r="K452" s="43">
        <v>0.2273</v>
      </c>
      <c r="L452" s="43">
        <v>0.56000000000000005</v>
      </c>
      <c r="M452" s="43">
        <v>0.32840000000000003</v>
      </c>
      <c r="N452" s="43">
        <v>6</v>
      </c>
      <c r="O452" s="43">
        <v>146</v>
      </c>
      <c r="P452" s="44">
        <v>152</v>
      </c>
    </row>
    <row r="453" spans="1:16">
      <c r="A453" s="45">
        <v>452</v>
      </c>
      <c r="B453" s="46">
        <v>40563</v>
      </c>
      <c r="C453" s="47">
        <v>1</v>
      </c>
      <c r="D453" s="47">
        <v>0</v>
      </c>
      <c r="E453" s="47">
        <v>1</v>
      </c>
      <c r="F453" s="47">
        <v>20</v>
      </c>
      <c r="G453" s="47" t="b">
        <v>0</v>
      </c>
      <c r="H453" s="47">
        <v>4</v>
      </c>
      <c r="I453" s="47">
        <v>2</v>
      </c>
      <c r="J453" s="47">
        <v>0.26</v>
      </c>
      <c r="K453" s="47">
        <v>0.2424</v>
      </c>
      <c r="L453" s="47">
        <v>0.6</v>
      </c>
      <c r="M453" s="47">
        <v>0.28360000000000002</v>
      </c>
      <c r="N453" s="47">
        <v>2</v>
      </c>
      <c r="O453" s="47">
        <v>124</v>
      </c>
      <c r="P453" s="48">
        <v>126</v>
      </c>
    </row>
    <row r="454" spans="1:16">
      <c r="A454" s="41">
        <v>453</v>
      </c>
      <c r="B454" s="42">
        <v>40563</v>
      </c>
      <c r="C454" s="43">
        <v>1</v>
      </c>
      <c r="D454" s="43">
        <v>0</v>
      </c>
      <c r="E454" s="43">
        <v>1</v>
      </c>
      <c r="F454" s="43">
        <v>21</v>
      </c>
      <c r="G454" s="43" t="b">
        <v>0</v>
      </c>
      <c r="H454" s="43">
        <v>4</v>
      </c>
      <c r="I454" s="43">
        <v>2</v>
      </c>
      <c r="J454" s="43">
        <v>0.24</v>
      </c>
      <c r="K454" s="43">
        <v>0.2273</v>
      </c>
      <c r="L454" s="43">
        <v>0.6</v>
      </c>
      <c r="M454" s="43">
        <v>0.25369999999999998</v>
      </c>
      <c r="N454" s="43">
        <v>3</v>
      </c>
      <c r="O454" s="43">
        <v>54</v>
      </c>
      <c r="P454" s="44">
        <v>57</v>
      </c>
    </row>
    <row r="455" spans="1:16">
      <c r="A455" s="45">
        <v>454</v>
      </c>
      <c r="B455" s="46">
        <v>40563</v>
      </c>
      <c r="C455" s="47">
        <v>1</v>
      </c>
      <c r="D455" s="47">
        <v>0</v>
      </c>
      <c r="E455" s="47">
        <v>1</v>
      </c>
      <c r="F455" s="47">
        <v>22</v>
      </c>
      <c r="G455" s="47" t="b">
        <v>0</v>
      </c>
      <c r="H455" s="47">
        <v>4</v>
      </c>
      <c r="I455" s="47">
        <v>2</v>
      </c>
      <c r="J455" s="47">
        <v>0.24</v>
      </c>
      <c r="K455" s="47">
        <v>0.21210000000000001</v>
      </c>
      <c r="L455" s="47">
        <v>0.65</v>
      </c>
      <c r="M455" s="47">
        <v>0.28360000000000002</v>
      </c>
      <c r="N455" s="47">
        <v>0</v>
      </c>
      <c r="O455" s="47">
        <v>56</v>
      </c>
      <c r="P455" s="48">
        <v>56</v>
      </c>
    </row>
    <row r="456" spans="1:16">
      <c r="A456" s="41">
        <v>455</v>
      </c>
      <c r="B456" s="42">
        <v>40563</v>
      </c>
      <c r="C456" s="43">
        <v>1</v>
      </c>
      <c r="D456" s="43">
        <v>0</v>
      </c>
      <c r="E456" s="43">
        <v>1</v>
      </c>
      <c r="F456" s="43">
        <v>23</v>
      </c>
      <c r="G456" s="43" t="b">
        <v>0</v>
      </c>
      <c r="H456" s="43">
        <v>4</v>
      </c>
      <c r="I456" s="43">
        <v>2</v>
      </c>
      <c r="J456" s="43">
        <v>0.24</v>
      </c>
      <c r="K456" s="43">
        <v>0.21210000000000001</v>
      </c>
      <c r="L456" s="43">
        <v>0.65</v>
      </c>
      <c r="M456" s="43">
        <v>0.32840000000000003</v>
      </c>
      <c r="N456" s="43">
        <v>3</v>
      </c>
      <c r="O456" s="43">
        <v>28</v>
      </c>
      <c r="P456" s="44">
        <v>31</v>
      </c>
    </row>
    <row r="457" spans="1:16">
      <c r="A457" s="45">
        <v>456</v>
      </c>
      <c r="B457" s="46">
        <v>40564</v>
      </c>
      <c r="C457" s="47">
        <v>1</v>
      </c>
      <c r="D457" s="47">
        <v>0</v>
      </c>
      <c r="E457" s="47">
        <v>1</v>
      </c>
      <c r="F457" s="47">
        <v>0</v>
      </c>
      <c r="G457" s="47" t="b">
        <v>0</v>
      </c>
      <c r="H457" s="47">
        <v>5</v>
      </c>
      <c r="I457" s="47">
        <v>2</v>
      </c>
      <c r="J457" s="47">
        <v>0.24</v>
      </c>
      <c r="K457" s="47">
        <v>0.2273</v>
      </c>
      <c r="L457" s="47">
        <v>0.7</v>
      </c>
      <c r="M457" s="47">
        <v>0.25369999999999998</v>
      </c>
      <c r="N457" s="47">
        <v>1</v>
      </c>
      <c r="O457" s="47">
        <v>20</v>
      </c>
      <c r="P457" s="48">
        <v>21</v>
      </c>
    </row>
    <row r="458" spans="1:16">
      <c r="A458" s="41">
        <v>457</v>
      </c>
      <c r="B458" s="42">
        <v>40564</v>
      </c>
      <c r="C458" s="43">
        <v>1</v>
      </c>
      <c r="D458" s="43">
        <v>0</v>
      </c>
      <c r="E458" s="43">
        <v>1</v>
      </c>
      <c r="F458" s="43">
        <v>1</v>
      </c>
      <c r="G458" s="43" t="b">
        <v>0</v>
      </c>
      <c r="H458" s="43">
        <v>5</v>
      </c>
      <c r="I458" s="43">
        <v>2</v>
      </c>
      <c r="J458" s="43">
        <v>0.24</v>
      </c>
      <c r="K458" s="43">
        <v>0.2273</v>
      </c>
      <c r="L458" s="43">
        <v>0.7</v>
      </c>
      <c r="M458" s="43">
        <v>0.25369999999999998</v>
      </c>
      <c r="N458" s="43">
        <v>0</v>
      </c>
      <c r="O458" s="43">
        <v>6</v>
      </c>
      <c r="P458" s="44">
        <v>6</v>
      </c>
    </row>
    <row r="459" spans="1:16">
      <c r="A459" s="45">
        <v>458</v>
      </c>
      <c r="B459" s="46">
        <v>40564</v>
      </c>
      <c r="C459" s="47">
        <v>1</v>
      </c>
      <c r="D459" s="47">
        <v>0</v>
      </c>
      <c r="E459" s="47">
        <v>1</v>
      </c>
      <c r="F459" s="47">
        <v>2</v>
      </c>
      <c r="G459" s="47" t="b">
        <v>0</v>
      </c>
      <c r="H459" s="47">
        <v>5</v>
      </c>
      <c r="I459" s="47">
        <v>3</v>
      </c>
      <c r="J459" s="47">
        <v>0.24</v>
      </c>
      <c r="K459" s="47">
        <v>0.2424</v>
      </c>
      <c r="L459" s="47">
        <v>0.75</v>
      </c>
      <c r="M459" s="47">
        <v>0.16420000000000001</v>
      </c>
      <c r="N459" s="47">
        <v>0</v>
      </c>
      <c r="O459" s="47">
        <v>2</v>
      </c>
      <c r="P459" s="48">
        <v>2</v>
      </c>
    </row>
    <row r="460" spans="1:16">
      <c r="A460" s="41">
        <v>459</v>
      </c>
      <c r="B460" s="42">
        <v>40564</v>
      </c>
      <c r="C460" s="43">
        <v>1</v>
      </c>
      <c r="D460" s="43">
        <v>0</v>
      </c>
      <c r="E460" s="43">
        <v>1</v>
      </c>
      <c r="F460" s="43">
        <v>3</v>
      </c>
      <c r="G460" s="43" t="b">
        <v>0</v>
      </c>
      <c r="H460" s="43">
        <v>5</v>
      </c>
      <c r="I460" s="43">
        <v>3</v>
      </c>
      <c r="J460" s="43">
        <v>0.22</v>
      </c>
      <c r="K460" s="43">
        <v>0.21210000000000001</v>
      </c>
      <c r="L460" s="43">
        <v>0.8</v>
      </c>
      <c r="M460" s="43">
        <v>0.29849999999999999</v>
      </c>
      <c r="N460" s="43">
        <v>0</v>
      </c>
      <c r="O460" s="43">
        <v>1</v>
      </c>
      <c r="P460" s="44">
        <v>1</v>
      </c>
    </row>
    <row r="461" spans="1:16">
      <c r="A461" s="45">
        <v>460</v>
      </c>
      <c r="B461" s="46">
        <v>40564</v>
      </c>
      <c r="C461" s="47">
        <v>1</v>
      </c>
      <c r="D461" s="47">
        <v>0</v>
      </c>
      <c r="E461" s="47">
        <v>1</v>
      </c>
      <c r="F461" s="47">
        <v>4</v>
      </c>
      <c r="G461" s="47" t="b">
        <v>0</v>
      </c>
      <c r="H461" s="47">
        <v>5</v>
      </c>
      <c r="I461" s="47">
        <v>2</v>
      </c>
      <c r="J461" s="47">
        <v>0.22</v>
      </c>
      <c r="K461" s="47">
        <v>0.2576</v>
      </c>
      <c r="L461" s="47">
        <v>0.87</v>
      </c>
      <c r="M461" s="47">
        <v>8.9599999999999999E-2</v>
      </c>
      <c r="N461" s="47">
        <v>0</v>
      </c>
      <c r="O461" s="47">
        <v>1</v>
      </c>
      <c r="P461" s="48">
        <v>1</v>
      </c>
    </row>
    <row r="462" spans="1:16">
      <c r="A462" s="41">
        <v>461</v>
      </c>
      <c r="B462" s="42">
        <v>40564</v>
      </c>
      <c r="C462" s="43">
        <v>1</v>
      </c>
      <c r="D462" s="43">
        <v>0</v>
      </c>
      <c r="E462" s="43">
        <v>1</v>
      </c>
      <c r="F462" s="43">
        <v>5</v>
      </c>
      <c r="G462" s="43" t="b">
        <v>0</v>
      </c>
      <c r="H462" s="43">
        <v>5</v>
      </c>
      <c r="I462" s="43">
        <v>1</v>
      </c>
      <c r="J462" s="43">
        <v>0.24</v>
      </c>
      <c r="K462" s="43">
        <v>0.19700000000000001</v>
      </c>
      <c r="L462" s="43">
        <v>0.6</v>
      </c>
      <c r="M462" s="43">
        <v>0.41789999999999999</v>
      </c>
      <c r="N462" s="43">
        <v>1</v>
      </c>
      <c r="O462" s="43">
        <v>4</v>
      </c>
      <c r="P462" s="44">
        <v>5</v>
      </c>
    </row>
    <row r="463" spans="1:16">
      <c r="A463" s="45">
        <v>462</v>
      </c>
      <c r="B463" s="46">
        <v>40564</v>
      </c>
      <c r="C463" s="47">
        <v>1</v>
      </c>
      <c r="D463" s="47">
        <v>0</v>
      </c>
      <c r="E463" s="47">
        <v>1</v>
      </c>
      <c r="F463" s="47">
        <v>6</v>
      </c>
      <c r="G463" s="47" t="b">
        <v>0</v>
      </c>
      <c r="H463" s="47">
        <v>5</v>
      </c>
      <c r="I463" s="47">
        <v>1</v>
      </c>
      <c r="J463" s="47">
        <v>0.22</v>
      </c>
      <c r="K463" s="47">
        <v>0.21210000000000001</v>
      </c>
      <c r="L463" s="47">
        <v>0.55000000000000004</v>
      </c>
      <c r="M463" s="47">
        <v>0.25369999999999998</v>
      </c>
      <c r="N463" s="47">
        <v>0</v>
      </c>
      <c r="O463" s="47">
        <v>27</v>
      </c>
      <c r="P463" s="48">
        <v>27</v>
      </c>
    </row>
    <row r="464" spans="1:16">
      <c r="A464" s="41">
        <v>463</v>
      </c>
      <c r="B464" s="42">
        <v>40564</v>
      </c>
      <c r="C464" s="43">
        <v>1</v>
      </c>
      <c r="D464" s="43">
        <v>0</v>
      </c>
      <c r="E464" s="43">
        <v>1</v>
      </c>
      <c r="F464" s="43">
        <v>7</v>
      </c>
      <c r="G464" s="43" t="b">
        <v>0</v>
      </c>
      <c r="H464" s="43">
        <v>5</v>
      </c>
      <c r="I464" s="43">
        <v>1</v>
      </c>
      <c r="J464" s="43">
        <v>0.2</v>
      </c>
      <c r="K464" s="43">
        <v>0.18179999999999999</v>
      </c>
      <c r="L464" s="43">
        <v>0.51</v>
      </c>
      <c r="M464" s="43">
        <v>0.28360000000000002</v>
      </c>
      <c r="N464" s="43">
        <v>2</v>
      </c>
      <c r="O464" s="43">
        <v>66</v>
      </c>
      <c r="P464" s="44">
        <v>68</v>
      </c>
    </row>
    <row r="465" spans="1:16">
      <c r="A465" s="45">
        <v>464</v>
      </c>
      <c r="B465" s="46">
        <v>40564</v>
      </c>
      <c r="C465" s="47">
        <v>1</v>
      </c>
      <c r="D465" s="47">
        <v>0</v>
      </c>
      <c r="E465" s="47">
        <v>1</v>
      </c>
      <c r="F465" s="47">
        <v>8</v>
      </c>
      <c r="G465" s="47" t="b">
        <v>0</v>
      </c>
      <c r="H465" s="47">
        <v>5</v>
      </c>
      <c r="I465" s="47">
        <v>1</v>
      </c>
      <c r="J465" s="47">
        <v>0.2</v>
      </c>
      <c r="K465" s="47">
        <v>0.18179999999999999</v>
      </c>
      <c r="L465" s="47">
        <v>0.47</v>
      </c>
      <c r="M465" s="47">
        <v>0.32840000000000003</v>
      </c>
      <c r="N465" s="47">
        <v>7</v>
      </c>
      <c r="O465" s="47">
        <v>210</v>
      </c>
      <c r="P465" s="48">
        <v>217</v>
      </c>
    </row>
    <row r="466" spans="1:16">
      <c r="A466" s="41">
        <v>465</v>
      </c>
      <c r="B466" s="42">
        <v>40564</v>
      </c>
      <c r="C466" s="43">
        <v>1</v>
      </c>
      <c r="D466" s="43">
        <v>0</v>
      </c>
      <c r="E466" s="43">
        <v>1</v>
      </c>
      <c r="F466" s="43">
        <v>9</v>
      </c>
      <c r="G466" s="43" t="b">
        <v>0</v>
      </c>
      <c r="H466" s="43">
        <v>5</v>
      </c>
      <c r="I466" s="43">
        <v>1</v>
      </c>
      <c r="J466" s="43">
        <v>0.2</v>
      </c>
      <c r="K466" s="43">
        <v>0.18179999999999999</v>
      </c>
      <c r="L466" s="43">
        <v>0.51</v>
      </c>
      <c r="M466" s="43">
        <v>0.35820000000000002</v>
      </c>
      <c r="N466" s="43">
        <v>7</v>
      </c>
      <c r="O466" s="43">
        <v>159</v>
      </c>
      <c r="P466" s="44">
        <v>166</v>
      </c>
    </row>
    <row r="467" spans="1:16">
      <c r="A467" s="45">
        <v>466</v>
      </c>
      <c r="B467" s="46">
        <v>40564</v>
      </c>
      <c r="C467" s="47">
        <v>1</v>
      </c>
      <c r="D467" s="47">
        <v>0</v>
      </c>
      <c r="E467" s="47">
        <v>1</v>
      </c>
      <c r="F467" s="47">
        <v>10</v>
      </c>
      <c r="G467" s="47" t="b">
        <v>0</v>
      </c>
      <c r="H467" s="47">
        <v>5</v>
      </c>
      <c r="I467" s="47">
        <v>1</v>
      </c>
      <c r="J467" s="47">
        <v>0.2</v>
      </c>
      <c r="K467" s="47">
        <v>0.16669999999999999</v>
      </c>
      <c r="L467" s="47">
        <v>0.47</v>
      </c>
      <c r="M467" s="47">
        <v>0.4627</v>
      </c>
      <c r="N467" s="47">
        <v>6</v>
      </c>
      <c r="O467" s="47">
        <v>57</v>
      </c>
      <c r="P467" s="48">
        <v>63</v>
      </c>
    </row>
    <row r="468" spans="1:16">
      <c r="A468" s="41">
        <v>467</v>
      </c>
      <c r="B468" s="42">
        <v>40564</v>
      </c>
      <c r="C468" s="43">
        <v>1</v>
      </c>
      <c r="D468" s="43">
        <v>0</v>
      </c>
      <c r="E468" s="43">
        <v>1</v>
      </c>
      <c r="F468" s="43">
        <v>11</v>
      </c>
      <c r="G468" s="43" t="b">
        <v>0</v>
      </c>
      <c r="H468" s="43">
        <v>5</v>
      </c>
      <c r="I468" s="43">
        <v>1</v>
      </c>
      <c r="J468" s="43">
        <v>0.22</v>
      </c>
      <c r="K468" s="43">
        <v>0.18179999999999999</v>
      </c>
      <c r="L468" s="43">
        <v>0.41</v>
      </c>
      <c r="M468" s="43">
        <v>0.4627</v>
      </c>
      <c r="N468" s="43">
        <v>6</v>
      </c>
      <c r="O468" s="43">
        <v>53</v>
      </c>
      <c r="P468" s="44">
        <v>59</v>
      </c>
    </row>
    <row r="469" spans="1:16">
      <c r="A469" s="45">
        <v>468</v>
      </c>
      <c r="B469" s="46">
        <v>40564</v>
      </c>
      <c r="C469" s="47">
        <v>1</v>
      </c>
      <c r="D469" s="47">
        <v>0</v>
      </c>
      <c r="E469" s="47">
        <v>1</v>
      </c>
      <c r="F469" s="47">
        <v>12</v>
      </c>
      <c r="G469" s="47" t="b">
        <v>0</v>
      </c>
      <c r="H469" s="47">
        <v>5</v>
      </c>
      <c r="I469" s="47">
        <v>1</v>
      </c>
      <c r="J469" s="47">
        <v>0.22</v>
      </c>
      <c r="K469" s="47">
        <v>0.18179999999999999</v>
      </c>
      <c r="L469" s="47">
        <v>0.27</v>
      </c>
      <c r="M469" s="47">
        <v>0.58209999999999995</v>
      </c>
      <c r="N469" s="47">
        <v>11</v>
      </c>
      <c r="O469" s="47">
        <v>67</v>
      </c>
      <c r="P469" s="48">
        <v>78</v>
      </c>
    </row>
    <row r="470" spans="1:16">
      <c r="A470" s="41">
        <v>469</v>
      </c>
      <c r="B470" s="42">
        <v>40564</v>
      </c>
      <c r="C470" s="43">
        <v>1</v>
      </c>
      <c r="D470" s="43">
        <v>0</v>
      </c>
      <c r="E470" s="43">
        <v>1</v>
      </c>
      <c r="F470" s="43">
        <v>13</v>
      </c>
      <c r="G470" s="43" t="b">
        <v>0</v>
      </c>
      <c r="H470" s="43">
        <v>5</v>
      </c>
      <c r="I470" s="43">
        <v>1</v>
      </c>
      <c r="J470" s="43">
        <v>0.2</v>
      </c>
      <c r="K470" s="43">
        <v>0.1515</v>
      </c>
      <c r="L470" s="43">
        <v>0.21</v>
      </c>
      <c r="M470" s="43">
        <v>0.58209999999999995</v>
      </c>
      <c r="N470" s="43">
        <v>8</v>
      </c>
      <c r="O470" s="43">
        <v>65</v>
      </c>
      <c r="P470" s="44">
        <v>73</v>
      </c>
    </row>
    <row r="471" spans="1:16">
      <c r="A471" s="45">
        <v>470</v>
      </c>
      <c r="B471" s="46">
        <v>40564</v>
      </c>
      <c r="C471" s="47">
        <v>1</v>
      </c>
      <c r="D471" s="47">
        <v>0</v>
      </c>
      <c r="E471" s="47">
        <v>1</v>
      </c>
      <c r="F471" s="47">
        <v>14</v>
      </c>
      <c r="G471" s="47" t="b">
        <v>0</v>
      </c>
      <c r="H471" s="47">
        <v>5</v>
      </c>
      <c r="I471" s="47">
        <v>1</v>
      </c>
      <c r="J471" s="47">
        <v>0.2</v>
      </c>
      <c r="K471" s="47">
        <v>0.1515</v>
      </c>
      <c r="L471" s="47">
        <v>0.25</v>
      </c>
      <c r="M471" s="47">
        <v>0.52239999999999998</v>
      </c>
      <c r="N471" s="47">
        <v>6</v>
      </c>
      <c r="O471" s="47">
        <v>56</v>
      </c>
      <c r="P471" s="48">
        <v>62</v>
      </c>
    </row>
    <row r="472" spans="1:16">
      <c r="A472" s="41">
        <v>471</v>
      </c>
      <c r="B472" s="42">
        <v>40564</v>
      </c>
      <c r="C472" s="43">
        <v>1</v>
      </c>
      <c r="D472" s="43">
        <v>0</v>
      </c>
      <c r="E472" s="43">
        <v>1</v>
      </c>
      <c r="F472" s="43">
        <v>15</v>
      </c>
      <c r="G472" s="43" t="b">
        <v>0</v>
      </c>
      <c r="H472" s="43">
        <v>5</v>
      </c>
      <c r="I472" s="43">
        <v>1</v>
      </c>
      <c r="J472" s="43">
        <v>0.16</v>
      </c>
      <c r="K472" s="43">
        <v>0.1212</v>
      </c>
      <c r="L472" s="43">
        <v>0.26</v>
      </c>
      <c r="M472" s="43">
        <v>0.44779999999999998</v>
      </c>
      <c r="N472" s="43">
        <v>4</v>
      </c>
      <c r="O472" s="43">
        <v>61</v>
      </c>
      <c r="P472" s="44">
        <v>65</v>
      </c>
    </row>
    <row r="473" spans="1:16">
      <c r="A473" s="45">
        <v>472</v>
      </c>
      <c r="B473" s="46">
        <v>40564</v>
      </c>
      <c r="C473" s="47">
        <v>1</v>
      </c>
      <c r="D473" s="47">
        <v>0</v>
      </c>
      <c r="E473" s="47">
        <v>1</v>
      </c>
      <c r="F473" s="47">
        <v>16</v>
      </c>
      <c r="G473" s="47" t="b">
        <v>0</v>
      </c>
      <c r="H473" s="47">
        <v>5</v>
      </c>
      <c r="I473" s="47">
        <v>1</v>
      </c>
      <c r="J473" s="47">
        <v>0.16</v>
      </c>
      <c r="K473" s="47">
        <v>0.13639999999999999</v>
      </c>
      <c r="L473" s="47">
        <v>0.26</v>
      </c>
      <c r="M473" s="47">
        <v>0.35820000000000002</v>
      </c>
      <c r="N473" s="47">
        <v>0</v>
      </c>
      <c r="O473" s="47">
        <v>97</v>
      </c>
      <c r="P473" s="48">
        <v>97</v>
      </c>
    </row>
    <row r="474" spans="1:16">
      <c r="A474" s="41">
        <v>473</v>
      </c>
      <c r="B474" s="42">
        <v>40564</v>
      </c>
      <c r="C474" s="43">
        <v>1</v>
      </c>
      <c r="D474" s="43">
        <v>0</v>
      </c>
      <c r="E474" s="43">
        <v>1</v>
      </c>
      <c r="F474" s="43">
        <v>17</v>
      </c>
      <c r="G474" s="43" t="b">
        <v>0</v>
      </c>
      <c r="H474" s="43">
        <v>5</v>
      </c>
      <c r="I474" s="43">
        <v>1</v>
      </c>
      <c r="J474" s="43">
        <v>0.14000000000000001</v>
      </c>
      <c r="K474" s="43">
        <v>0.1212</v>
      </c>
      <c r="L474" s="43">
        <v>0.28000000000000003</v>
      </c>
      <c r="M474" s="43">
        <v>0.35820000000000002</v>
      </c>
      <c r="N474" s="43">
        <v>10</v>
      </c>
      <c r="O474" s="43">
        <v>151</v>
      </c>
      <c r="P474" s="44">
        <v>161</v>
      </c>
    </row>
    <row r="475" spans="1:16">
      <c r="A475" s="45">
        <v>474</v>
      </c>
      <c r="B475" s="46">
        <v>40564</v>
      </c>
      <c r="C475" s="47">
        <v>1</v>
      </c>
      <c r="D475" s="47">
        <v>0</v>
      </c>
      <c r="E475" s="47">
        <v>1</v>
      </c>
      <c r="F475" s="47">
        <v>18</v>
      </c>
      <c r="G475" s="47" t="b">
        <v>0</v>
      </c>
      <c r="H475" s="47">
        <v>5</v>
      </c>
      <c r="I475" s="47">
        <v>1</v>
      </c>
      <c r="J475" s="47">
        <v>0.12</v>
      </c>
      <c r="K475" s="47">
        <v>0.1212</v>
      </c>
      <c r="L475" s="47">
        <v>0.3</v>
      </c>
      <c r="M475" s="47">
        <v>0.25369999999999998</v>
      </c>
      <c r="N475" s="47">
        <v>1</v>
      </c>
      <c r="O475" s="47">
        <v>119</v>
      </c>
      <c r="P475" s="48">
        <v>120</v>
      </c>
    </row>
    <row r="476" spans="1:16">
      <c r="A476" s="41">
        <v>475</v>
      </c>
      <c r="B476" s="42">
        <v>40564</v>
      </c>
      <c r="C476" s="43">
        <v>1</v>
      </c>
      <c r="D476" s="43">
        <v>0</v>
      </c>
      <c r="E476" s="43">
        <v>1</v>
      </c>
      <c r="F476" s="43">
        <v>19</v>
      </c>
      <c r="G476" s="43" t="b">
        <v>0</v>
      </c>
      <c r="H476" s="43">
        <v>5</v>
      </c>
      <c r="I476" s="43">
        <v>1</v>
      </c>
      <c r="J476" s="43">
        <v>0.12</v>
      </c>
      <c r="K476" s="43">
        <v>0.1061</v>
      </c>
      <c r="L476" s="43">
        <v>0.3</v>
      </c>
      <c r="M476" s="43">
        <v>0.32840000000000003</v>
      </c>
      <c r="N476" s="43">
        <v>3</v>
      </c>
      <c r="O476" s="43">
        <v>93</v>
      </c>
      <c r="P476" s="44">
        <v>96</v>
      </c>
    </row>
    <row r="477" spans="1:16">
      <c r="A477" s="45">
        <v>476</v>
      </c>
      <c r="B477" s="46">
        <v>40564</v>
      </c>
      <c r="C477" s="47">
        <v>1</v>
      </c>
      <c r="D477" s="47">
        <v>0</v>
      </c>
      <c r="E477" s="47">
        <v>1</v>
      </c>
      <c r="F477" s="47">
        <v>20</v>
      </c>
      <c r="G477" s="47" t="b">
        <v>0</v>
      </c>
      <c r="H477" s="47">
        <v>5</v>
      </c>
      <c r="I477" s="47">
        <v>1</v>
      </c>
      <c r="J477" s="47">
        <v>0.1</v>
      </c>
      <c r="K477" s="47">
        <v>7.5800000000000006E-2</v>
      </c>
      <c r="L477" s="47">
        <v>0.33</v>
      </c>
      <c r="M477" s="47">
        <v>0.41789999999999999</v>
      </c>
      <c r="N477" s="47">
        <v>1</v>
      </c>
      <c r="O477" s="47">
        <v>52</v>
      </c>
      <c r="P477" s="48">
        <v>53</v>
      </c>
    </row>
    <row r="478" spans="1:16">
      <c r="A478" s="41">
        <v>477</v>
      </c>
      <c r="B478" s="42">
        <v>40564</v>
      </c>
      <c r="C478" s="43">
        <v>1</v>
      </c>
      <c r="D478" s="43">
        <v>0</v>
      </c>
      <c r="E478" s="43">
        <v>1</v>
      </c>
      <c r="F478" s="43">
        <v>21</v>
      </c>
      <c r="G478" s="43" t="b">
        <v>0</v>
      </c>
      <c r="H478" s="43">
        <v>5</v>
      </c>
      <c r="I478" s="43">
        <v>1</v>
      </c>
      <c r="J478" s="43">
        <v>0.08</v>
      </c>
      <c r="K478" s="43">
        <v>7.5800000000000006E-2</v>
      </c>
      <c r="L478" s="43">
        <v>0.38</v>
      </c>
      <c r="M478" s="43">
        <v>0.28360000000000002</v>
      </c>
      <c r="N478" s="43">
        <v>0</v>
      </c>
      <c r="O478" s="43">
        <v>41</v>
      </c>
      <c r="P478" s="44">
        <v>41</v>
      </c>
    </row>
    <row r="479" spans="1:16">
      <c r="A479" s="45">
        <v>478</v>
      </c>
      <c r="B479" s="46">
        <v>40564</v>
      </c>
      <c r="C479" s="47">
        <v>1</v>
      </c>
      <c r="D479" s="47">
        <v>0</v>
      </c>
      <c r="E479" s="47">
        <v>1</v>
      </c>
      <c r="F479" s="47">
        <v>22</v>
      </c>
      <c r="G479" s="47" t="b">
        <v>0</v>
      </c>
      <c r="H479" s="47">
        <v>5</v>
      </c>
      <c r="I479" s="47">
        <v>1</v>
      </c>
      <c r="J479" s="47">
        <v>0.06</v>
      </c>
      <c r="K479" s="47">
        <v>3.0300000000000001E-2</v>
      </c>
      <c r="L479" s="47">
        <v>0.41</v>
      </c>
      <c r="M479" s="47">
        <v>0.3881</v>
      </c>
      <c r="N479" s="47">
        <v>1</v>
      </c>
      <c r="O479" s="47">
        <v>33</v>
      </c>
      <c r="P479" s="48">
        <v>34</v>
      </c>
    </row>
    <row r="480" spans="1:16">
      <c r="A480" s="41">
        <v>479</v>
      </c>
      <c r="B480" s="42">
        <v>40564</v>
      </c>
      <c r="C480" s="43">
        <v>1</v>
      </c>
      <c r="D480" s="43">
        <v>0</v>
      </c>
      <c r="E480" s="43">
        <v>1</v>
      </c>
      <c r="F480" s="43">
        <v>23</v>
      </c>
      <c r="G480" s="43" t="b">
        <v>0</v>
      </c>
      <c r="H480" s="43">
        <v>5</v>
      </c>
      <c r="I480" s="43">
        <v>1</v>
      </c>
      <c r="J480" s="43">
        <v>0.06</v>
      </c>
      <c r="K480" s="43">
        <v>4.5499999999999999E-2</v>
      </c>
      <c r="L480" s="43">
        <v>0.38</v>
      </c>
      <c r="M480" s="43">
        <v>0.32840000000000003</v>
      </c>
      <c r="N480" s="43">
        <v>0</v>
      </c>
      <c r="O480" s="43">
        <v>27</v>
      </c>
      <c r="P480" s="44">
        <v>27</v>
      </c>
    </row>
    <row r="481" spans="1:16">
      <c r="A481" s="45">
        <v>480</v>
      </c>
      <c r="B481" s="46">
        <v>40565</v>
      </c>
      <c r="C481" s="47">
        <v>1</v>
      </c>
      <c r="D481" s="47">
        <v>0</v>
      </c>
      <c r="E481" s="47">
        <v>1</v>
      </c>
      <c r="F481" s="47">
        <v>0</v>
      </c>
      <c r="G481" s="47" t="b">
        <v>0</v>
      </c>
      <c r="H481" s="47">
        <v>6</v>
      </c>
      <c r="I481" s="47">
        <v>1</v>
      </c>
      <c r="J481" s="47">
        <v>0.04</v>
      </c>
      <c r="K481" s="47">
        <v>3.0300000000000001E-2</v>
      </c>
      <c r="L481" s="47">
        <v>0.45</v>
      </c>
      <c r="M481" s="47">
        <v>0.25369999999999998</v>
      </c>
      <c r="N481" s="47">
        <v>0</v>
      </c>
      <c r="O481" s="47">
        <v>13</v>
      </c>
      <c r="P481" s="48">
        <v>13</v>
      </c>
    </row>
    <row r="482" spans="1:16">
      <c r="A482" s="41">
        <v>481</v>
      </c>
      <c r="B482" s="42">
        <v>40565</v>
      </c>
      <c r="C482" s="43">
        <v>1</v>
      </c>
      <c r="D482" s="43">
        <v>0</v>
      </c>
      <c r="E482" s="43">
        <v>1</v>
      </c>
      <c r="F482" s="43">
        <v>1</v>
      </c>
      <c r="G482" s="43" t="b">
        <v>0</v>
      </c>
      <c r="H482" s="43">
        <v>6</v>
      </c>
      <c r="I482" s="43">
        <v>2</v>
      </c>
      <c r="J482" s="43">
        <v>0.04</v>
      </c>
      <c r="K482" s="43">
        <v>0</v>
      </c>
      <c r="L482" s="43">
        <v>0.41</v>
      </c>
      <c r="M482" s="43">
        <v>0.3881</v>
      </c>
      <c r="N482" s="43">
        <v>3</v>
      </c>
      <c r="O482" s="43">
        <v>9</v>
      </c>
      <c r="P482" s="44">
        <v>12</v>
      </c>
    </row>
    <row r="483" spans="1:16">
      <c r="A483" s="45">
        <v>482</v>
      </c>
      <c r="B483" s="46">
        <v>40565</v>
      </c>
      <c r="C483" s="47">
        <v>1</v>
      </c>
      <c r="D483" s="47">
        <v>0</v>
      </c>
      <c r="E483" s="47">
        <v>1</v>
      </c>
      <c r="F483" s="47">
        <v>2</v>
      </c>
      <c r="G483" s="47" t="b">
        <v>0</v>
      </c>
      <c r="H483" s="47">
        <v>6</v>
      </c>
      <c r="I483" s="47">
        <v>2</v>
      </c>
      <c r="J483" s="47">
        <v>0.04</v>
      </c>
      <c r="K483" s="47">
        <v>3.0300000000000001E-2</v>
      </c>
      <c r="L483" s="47">
        <v>0.41</v>
      </c>
      <c r="M483" s="47">
        <v>0.25369999999999998</v>
      </c>
      <c r="N483" s="47">
        <v>0</v>
      </c>
      <c r="O483" s="47">
        <v>11</v>
      </c>
      <c r="P483" s="48">
        <v>11</v>
      </c>
    </row>
    <row r="484" spans="1:16">
      <c r="A484" s="41">
        <v>483</v>
      </c>
      <c r="B484" s="42">
        <v>40565</v>
      </c>
      <c r="C484" s="43">
        <v>1</v>
      </c>
      <c r="D484" s="43">
        <v>0</v>
      </c>
      <c r="E484" s="43">
        <v>1</v>
      </c>
      <c r="F484" s="43">
        <v>3</v>
      </c>
      <c r="G484" s="43" t="b">
        <v>0</v>
      </c>
      <c r="H484" s="43">
        <v>6</v>
      </c>
      <c r="I484" s="43">
        <v>2</v>
      </c>
      <c r="J484" s="43">
        <v>0.04</v>
      </c>
      <c r="K484" s="43">
        <v>3.0300000000000001E-2</v>
      </c>
      <c r="L484" s="43">
        <v>0.41</v>
      </c>
      <c r="M484" s="43">
        <v>0.28360000000000002</v>
      </c>
      <c r="N484" s="43">
        <v>1</v>
      </c>
      <c r="O484" s="43">
        <v>6</v>
      </c>
      <c r="P484" s="44">
        <v>7</v>
      </c>
    </row>
    <row r="485" spans="1:16">
      <c r="A485" s="45">
        <v>484</v>
      </c>
      <c r="B485" s="46">
        <v>40565</v>
      </c>
      <c r="C485" s="47">
        <v>1</v>
      </c>
      <c r="D485" s="47">
        <v>0</v>
      </c>
      <c r="E485" s="47">
        <v>1</v>
      </c>
      <c r="F485" s="47">
        <v>4</v>
      </c>
      <c r="G485" s="47" t="b">
        <v>0</v>
      </c>
      <c r="H485" s="47">
        <v>6</v>
      </c>
      <c r="I485" s="47">
        <v>2</v>
      </c>
      <c r="J485" s="47">
        <v>0.02</v>
      </c>
      <c r="K485" s="47">
        <v>1.52E-2</v>
      </c>
      <c r="L485" s="47">
        <v>0.48</v>
      </c>
      <c r="M485" s="47">
        <v>0.29849999999999999</v>
      </c>
      <c r="N485" s="47">
        <v>0</v>
      </c>
      <c r="O485" s="47">
        <v>3</v>
      </c>
      <c r="P485" s="48">
        <v>3</v>
      </c>
    </row>
    <row r="486" spans="1:16">
      <c r="A486" s="41">
        <v>485</v>
      </c>
      <c r="B486" s="42">
        <v>40565</v>
      </c>
      <c r="C486" s="43">
        <v>1</v>
      </c>
      <c r="D486" s="43">
        <v>0</v>
      </c>
      <c r="E486" s="43">
        <v>1</v>
      </c>
      <c r="F486" s="43">
        <v>6</v>
      </c>
      <c r="G486" s="43" t="b">
        <v>0</v>
      </c>
      <c r="H486" s="43">
        <v>6</v>
      </c>
      <c r="I486" s="43">
        <v>2</v>
      </c>
      <c r="J486" s="43">
        <v>0.02</v>
      </c>
      <c r="K486" s="43">
        <v>3.0300000000000001E-2</v>
      </c>
      <c r="L486" s="43">
        <v>0.44</v>
      </c>
      <c r="M486" s="43">
        <v>0.22389999999999999</v>
      </c>
      <c r="N486" s="43">
        <v>0</v>
      </c>
      <c r="O486" s="43">
        <v>2</v>
      </c>
      <c r="P486" s="44">
        <v>2</v>
      </c>
    </row>
    <row r="487" spans="1:16">
      <c r="A487" s="45">
        <v>486</v>
      </c>
      <c r="B487" s="46">
        <v>40565</v>
      </c>
      <c r="C487" s="47">
        <v>1</v>
      </c>
      <c r="D487" s="47">
        <v>0</v>
      </c>
      <c r="E487" s="47">
        <v>1</v>
      </c>
      <c r="F487" s="47">
        <v>7</v>
      </c>
      <c r="G487" s="47" t="b">
        <v>0</v>
      </c>
      <c r="H487" s="47">
        <v>6</v>
      </c>
      <c r="I487" s="47">
        <v>1</v>
      </c>
      <c r="J487" s="47">
        <v>0.02</v>
      </c>
      <c r="K487" s="47">
        <v>1.52E-2</v>
      </c>
      <c r="L487" s="47">
        <v>0.44</v>
      </c>
      <c r="M487" s="47">
        <v>0.28360000000000002</v>
      </c>
      <c r="N487" s="47">
        <v>0</v>
      </c>
      <c r="O487" s="47">
        <v>8</v>
      </c>
      <c r="P487" s="48">
        <v>8</v>
      </c>
    </row>
    <row r="488" spans="1:16">
      <c r="A488" s="41">
        <v>487</v>
      </c>
      <c r="B488" s="42">
        <v>40565</v>
      </c>
      <c r="C488" s="43">
        <v>1</v>
      </c>
      <c r="D488" s="43">
        <v>0</v>
      </c>
      <c r="E488" s="43">
        <v>1</v>
      </c>
      <c r="F488" s="43">
        <v>8</v>
      </c>
      <c r="G488" s="43" t="b">
        <v>0</v>
      </c>
      <c r="H488" s="43">
        <v>6</v>
      </c>
      <c r="I488" s="43">
        <v>1</v>
      </c>
      <c r="J488" s="43">
        <v>0.02</v>
      </c>
      <c r="K488" s="43">
        <v>0</v>
      </c>
      <c r="L488" s="43">
        <v>0.44</v>
      </c>
      <c r="M488" s="43">
        <v>0.32840000000000003</v>
      </c>
      <c r="N488" s="43">
        <v>1</v>
      </c>
      <c r="O488" s="43">
        <v>26</v>
      </c>
      <c r="P488" s="44">
        <v>27</v>
      </c>
    </row>
    <row r="489" spans="1:16">
      <c r="A489" s="45">
        <v>488</v>
      </c>
      <c r="B489" s="46">
        <v>40565</v>
      </c>
      <c r="C489" s="47">
        <v>1</v>
      </c>
      <c r="D489" s="47">
        <v>0</v>
      </c>
      <c r="E489" s="47">
        <v>1</v>
      </c>
      <c r="F489" s="47">
        <v>9</v>
      </c>
      <c r="G489" s="47" t="b">
        <v>0</v>
      </c>
      <c r="H489" s="47">
        <v>6</v>
      </c>
      <c r="I489" s="47">
        <v>1</v>
      </c>
      <c r="J489" s="47">
        <v>0.04</v>
      </c>
      <c r="K489" s="47">
        <v>3.0300000000000001E-2</v>
      </c>
      <c r="L489" s="47">
        <v>0.41</v>
      </c>
      <c r="M489" s="47">
        <v>0.25369999999999998</v>
      </c>
      <c r="N489" s="47">
        <v>3</v>
      </c>
      <c r="O489" s="47">
        <v>37</v>
      </c>
      <c r="P489" s="48">
        <v>40</v>
      </c>
    </row>
    <row r="490" spans="1:16">
      <c r="A490" s="41">
        <v>489</v>
      </c>
      <c r="B490" s="42">
        <v>40565</v>
      </c>
      <c r="C490" s="43">
        <v>1</v>
      </c>
      <c r="D490" s="43">
        <v>0</v>
      </c>
      <c r="E490" s="43">
        <v>1</v>
      </c>
      <c r="F490" s="43">
        <v>10</v>
      </c>
      <c r="G490" s="43" t="b">
        <v>0</v>
      </c>
      <c r="H490" s="43">
        <v>6</v>
      </c>
      <c r="I490" s="43">
        <v>2</v>
      </c>
      <c r="J490" s="43">
        <v>0.04</v>
      </c>
      <c r="K490" s="43">
        <v>6.0600000000000001E-2</v>
      </c>
      <c r="L490" s="43">
        <v>0.41</v>
      </c>
      <c r="M490" s="43">
        <v>0.16420000000000001</v>
      </c>
      <c r="N490" s="43">
        <v>3</v>
      </c>
      <c r="O490" s="43">
        <v>50</v>
      </c>
      <c r="P490" s="44">
        <v>53</v>
      </c>
    </row>
    <row r="491" spans="1:16">
      <c r="A491" s="45">
        <v>490</v>
      </c>
      <c r="B491" s="46">
        <v>40565</v>
      </c>
      <c r="C491" s="47">
        <v>1</v>
      </c>
      <c r="D491" s="47">
        <v>0</v>
      </c>
      <c r="E491" s="47">
        <v>1</v>
      </c>
      <c r="F491" s="47">
        <v>11</v>
      </c>
      <c r="G491" s="47" t="b">
        <v>0</v>
      </c>
      <c r="H491" s="47">
        <v>6</v>
      </c>
      <c r="I491" s="47">
        <v>2</v>
      </c>
      <c r="J491" s="47">
        <v>0.06</v>
      </c>
      <c r="K491" s="47">
        <v>7.5800000000000006E-2</v>
      </c>
      <c r="L491" s="47">
        <v>0.38</v>
      </c>
      <c r="M491" s="47">
        <v>0.1343</v>
      </c>
      <c r="N491" s="47">
        <v>4</v>
      </c>
      <c r="O491" s="47">
        <v>59</v>
      </c>
      <c r="P491" s="48">
        <v>63</v>
      </c>
    </row>
    <row r="492" spans="1:16">
      <c r="A492" s="41">
        <v>491</v>
      </c>
      <c r="B492" s="42">
        <v>40565</v>
      </c>
      <c r="C492" s="43">
        <v>1</v>
      </c>
      <c r="D492" s="43">
        <v>0</v>
      </c>
      <c r="E492" s="43">
        <v>1</v>
      </c>
      <c r="F492" s="43">
        <v>12</v>
      </c>
      <c r="G492" s="43" t="b">
        <v>0</v>
      </c>
      <c r="H492" s="43">
        <v>6</v>
      </c>
      <c r="I492" s="43">
        <v>2</v>
      </c>
      <c r="J492" s="43">
        <v>0.06</v>
      </c>
      <c r="K492" s="43">
        <v>0.1061</v>
      </c>
      <c r="L492" s="43">
        <v>0.38</v>
      </c>
      <c r="M492" s="43">
        <v>0.1045</v>
      </c>
      <c r="N492" s="43">
        <v>10</v>
      </c>
      <c r="O492" s="43">
        <v>60</v>
      </c>
      <c r="P492" s="44">
        <v>70</v>
      </c>
    </row>
    <row r="493" spans="1:16">
      <c r="A493" s="45">
        <v>492</v>
      </c>
      <c r="B493" s="46">
        <v>40565</v>
      </c>
      <c r="C493" s="47">
        <v>1</v>
      </c>
      <c r="D493" s="47">
        <v>0</v>
      </c>
      <c r="E493" s="47">
        <v>1</v>
      </c>
      <c r="F493" s="47">
        <v>13</v>
      </c>
      <c r="G493" s="47" t="b">
        <v>0</v>
      </c>
      <c r="H493" s="47">
        <v>6</v>
      </c>
      <c r="I493" s="47">
        <v>1</v>
      </c>
      <c r="J493" s="47">
        <v>0.08</v>
      </c>
      <c r="K493" s="47">
        <v>0.16669999999999999</v>
      </c>
      <c r="L493" s="47">
        <v>0.35</v>
      </c>
      <c r="M493" s="47">
        <v>0</v>
      </c>
      <c r="N493" s="47">
        <v>12</v>
      </c>
      <c r="O493" s="47">
        <v>72</v>
      </c>
      <c r="P493" s="48">
        <v>84</v>
      </c>
    </row>
    <row r="494" spans="1:16">
      <c r="A494" s="41">
        <v>493</v>
      </c>
      <c r="B494" s="42">
        <v>40565</v>
      </c>
      <c r="C494" s="43">
        <v>1</v>
      </c>
      <c r="D494" s="43">
        <v>0</v>
      </c>
      <c r="E494" s="43">
        <v>1</v>
      </c>
      <c r="F494" s="43">
        <v>14</v>
      </c>
      <c r="G494" s="43" t="b">
        <v>0</v>
      </c>
      <c r="H494" s="43">
        <v>6</v>
      </c>
      <c r="I494" s="43">
        <v>1</v>
      </c>
      <c r="J494" s="43">
        <v>0.1</v>
      </c>
      <c r="K494" s="43">
        <v>0.13639999999999999</v>
      </c>
      <c r="L494" s="43">
        <v>0.33</v>
      </c>
      <c r="M494" s="43">
        <v>0.1045</v>
      </c>
      <c r="N494" s="43">
        <v>11</v>
      </c>
      <c r="O494" s="43">
        <v>64</v>
      </c>
      <c r="P494" s="44">
        <v>75</v>
      </c>
    </row>
    <row r="495" spans="1:16">
      <c r="A495" s="45">
        <v>494</v>
      </c>
      <c r="B495" s="46">
        <v>40565</v>
      </c>
      <c r="C495" s="47">
        <v>1</v>
      </c>
      <c r="D495" s="47">
        <v>0</v>
      </c>
      <c r="E495" s="47">
        <v>1</v>
      </c>
      <c r="F495" s="47">
        <v>15</v>
      </c>
      <c r="G495" s="47" t="b">
        <v>0</v>
      </c>
      <c r="H495" s="47">
        <v>6</v>
      </c>
      <c r="I495" s="47">
        <v>1</v>
      </c>
      <c r="J495" s="47">
        <v>0.12</v>
      </c>
      <c r="K495" s="47">
        <v>0.1515</v>
      </c>
      <c r="L495" s="47">
        <v>0.28000000000000003</v>
      </c>
      <c r="M495" s="47">
        <v>0</v>
      </c>
      <c r="N495" s="47">
        <v>10</v>
      </c>
      <c r="O495" s="47">
        <v>93</v>
      </c>
      <c r="P495" s="48">
        <v>103</v>
      </c>
    </row>
    <row r="496" spans="1:16">
      <c r="A496" s="41">
        <v>495</v>
      </c>
      <c r="B496" s="42">
        <v>40565</v>
      </c>
      <c r="C496" s="43">
        <v>1</v>
      </c>
      <c r="D496" s="43">
        <v>0</v>
      </c>
      <c r="E496" s="43">
        <v>1</v>
      </c>
      <c r="F496" s="43">
        <v>16</v>
      </c>
      <c r="G496" s="43" t="b">
        <v>0</v>
      </c>
      <c r="H496" s="43">
        <v>6</v>
      </c>
      <c r="I496" s="43">
        <v>1</v>
      </c>
      <c r="J496" s="43">
        <v>0.12</v>
      </c>
      <c r="K496" s="43">
        <v>0.13639999999999999</v>
      </c>
      <c r="L496" s="43">
        <v>0.28000000000000003</v>
      </c>
      <c r="M496" s="43">
        <v>0.19400000000000001</v>
      </c>
      <c r="N496" s="43">
        <v>11</v>
      </c>
      <c r="O496" s="43">
        <v>72</v>
      </c>
      <c r="P496" s="44">
        <v>83</v>
      </c>
    </row>
    <row r="497" spans="1:16">
      <c r="A497" s="45">
        <v>496</v>
      </c>
      <c r="B497" s="46">
        <v>40565</v>
      </c>
      <c r="C497" s="47">
        <v>1</v>
      </c>
      <c r="D497" s="47">
        <v>0</v>
      </c>
      <c r="E497" s="47">
        <v>1</v>
      </c>
      <c r="F497" s="47">
        <v>17</v>
      </c>
      <c r="G497" s="47" t="b">
        <v>0</v>
      </c>
      <c r="H497" s="47">
        <v>6</v>
      </c>
      <c r="I497" s="47">
        <v>1</v>
      </c>
      <c r="J497" s="47">
        <v>0.12</v>
      </c>
      <c r="K497" s="47">
        <v>0.19700000000000001</v>
      </c>
      <c r="L497" s="47">
        <v>0.28000000000000003</v>
      </c>
      <c r="M497" s="47">
        <v>0</v>
      </c>
      <c r="N497" s="47">
        <v>8</v>
      </c>
      <c r="O497" s="47">
        <v>59</v>
      </c>
      <c r="P497" s="48">
        <v>67</v>
      </c>
    </row>
    <row r="498" spans="1:16">
      <c r="A498" s="41">
        <v>497</v>
      </c>
      <c r="B498" s="42">
        <v>40565</v>
      </c>
      <c r="C498" s="43">
        <v>1</v>
      </c>
      <c r="D498" s="43">
        <v>0</v>
      </c>
      <c r="E498" s="43">
        <v>1</v>
      </c>
      <c r="F498" s="43">
        <v>18</v>
      </c>
      <c r="G498" s="43" t="b">
        <v>0</v>
      </c>
      <c r="H498" s="43">
        <v>6</v>
      </c>
      <c r="I498" s="43">
        <v>1</v>
      </c>
      <c r="J498" s="43">
        <v>0.08</v>
      </c>
      <c r="K498" s="43">
        <v>9.0899999999999995E-2</v>
      </c>
      <c r="L498" s="43">
        <v>0.35</v>
      </c>
      <c r="M498" s="43">
        <v>0.19400000000000001</v>
      </c>
      <c r="N498" s="43">
        <v>0</v>
      </c>
      <c r="O498" s="43">
        <v>54</v>
      </c>
      <c r="P498" s="44">
        <v>54</v>
      </c>
    </row>
    <row r="499" spans="1:16">
      <c r="A499" s="45">
        <v>498</v>
      </c>
      <c r="B499" s="46">
        <v>40565</v>
      </c>
      <c r="C499" s="47">
        <v>1</v>
      </c>
      <c r="D499" s="47">
        <v>0</v>
      </c>
      <c r="E499" s="47">
        <v>1</v>
      </c>
      <c r="F499" s="47">
        <v>19</v>
      </c>
      <c r="G499" s="47" t="b">
        <v>0</v>
      </c>
      <c r="H499" s="47">
        <v>6</v>
      </c>
      <c r="I499" s="47">
        <v>1</v>
      </c>
      <c r="J499" s="47">
        <v>0.08</v>
      </c>
      <c r="K499" s="47">
        <v>0.1061</v>
      </c>
      <c r="L499" s="47">
        <v>0.35</v>
      </c>
      <c r="M499" s="47">
        <v>0.1343</v>
      </c>
      <c r="N499" s="47">
        <v>6</v>
      </c>
      <c r="O499" s="47">
        <v>53</v>
      </c>
      <c r="P499" s="48">
        <v>59</v>
      </c>
    </row>
    <row r="500" spans="1:16">
      <c r="A500" s="41">
        <v>499</v>
      </c>
      <c r="B500" s="42">
        <v>40565</v>
      </c>
      <c r="C500" s="43">
        <v>1</v>
      </c>
      <c r="D500" s="43">
        <v>0</v>
      </c>
      <c r="E500" s="43">
        <v>1</v>
      </c>
      <c r="F500" s="43">
        <v>20</v>
      </c>
      <c r="G500" s="43" t="b">
        <v>0</v>
      </c>
      <c r="H500" s="43">
        <v>6</v>
      </c>
      <c r="I500" s="43">
        <v>1</v>
      </c>
      <c r="J500" s="43">
        <v>0.06</v>
      </c>
      <c r="K500" s="43">
        <v>7.5800000000000006E-2</v>
      </c>
      <c r="L500" s="43">
        <v>0.45</v>
      </c>
      <c r="M500" s="43">
        <v>0.16420000000000001</v>
      </c>
      <c r="N500" s="43">
        <v>1</v>
      </c>
      <c r="O500" s="43">
        <v>44</v>
      </c>
      <c r="P500" s="44">
        <v>45</v>
      </c>
    </row>
    <row r="501" spans="1:16">
      <c r="A501" s="45">
        <v>500</v>
      </c>
      <c r="B501" s="46">
        <v>40565</v>
      </c>
      <c r="C501" s="47">
        <v>1</v>
      </c>
      <c r="D501" s="47">
        <v>0</v>
      </c>
      <c r="E501" s="47">
        <v>1</v>
      </c>
      <c r="F501" s="47">
        <v>21</v>
      </c>
      <c r="G501" s="47" t="b">
        <v>0</v>
      </c>
      <c r="H501" s="47">
        <v>6</v>
      </c>
      <c r="I501" s="47">
        <v>1</v>
      </c>
      <c r="J501" s="47">
        <v>0.06</v>
      </c>
      <c r="K501" s="47">
        <v>0.1061</v>
      </c>
      <c r="L501" s="47">
        <v>0.41</v>
      </c>
      <c r="M501" s="47">
        <v>8.9599999999999999E-2</v>
      </c>
      <c r="N501" s="47">
        <v>0</v>
      </c>
      <c r="O501" s="47">
        <v>39</v>
      </c>
      <c r="P501" s="48">
        <v>39</v>
      </c>
    </row>
    <row r="502" spans="1:16">
      <c r="A502" s="41">
        <v>501</v>
      </c>
      <c r="B502" s="42">
        <v>40565</v>
      </c>
      <c r="C502" s="43">
        <v>1</v>
      </c>
      <c r="D502" s="43">
        <v>0</v>
      </c>
      <c r="E502" s="43">
        <v>1</v>
      </c>
      <c r="F502" s="43">
        <v>22</v>
      </c>
      <c r="G502" s="43" t="b">
        <v>0</v>
      </c>
      <c r="H502" s="43">
        <v>6</v>
      </c>
      <c r="I502" s="43">
        <v>1</v>
      </c>
      <c r="J502" s="43">
        <v>0.06</v>
      </c>
      <c r="K502" s="43">
        <v>0.1515</v>
      </c>
      <c r="L502" s="43">
        <v>0.49</v>
      </c>
      <c r="M502" s="43">
        <v>0</v>
      </c>
      <c r="N502" s="43">
        <v>7</v>
      </c>
      <c r="O502" s="43">
        <v>23</v>
      </c>
      <c r="P502" s="44">
        <v>30</v>
      </c>
    </row>
    <row r="503" spans="1:16">
      <c r="A503" s="45">
        <v>502</v>
      </c>
      <c r="B503" s="46">
        <v>40565</v>
      </c>
      <c r="C503" s="47">
        <v>1</v>
      </c>
      <c r="D503" s="47">
        <v>0</v>
      </c>
      <c r="E503" s="47">
        <v>1</v>
      </c>
      <c r="F503" s="47">
        <v>23</v>
      </c>
      <c r="G503" s="47" t="b">
        <v>0</v>
      </c>
      <c r="H503" s="47">
        <v>6</v>
      </c>
      <c r="I503" s="47">
        <v>1</v>
      </c>
      <c r="J503" s="47">
        <v>0.04</v>
      </c>
      <c r="K503" s="47">
        <v>7.5800000000000006E-2</v>
      </c>
      <c r="L503" s="47">
        <v>0.56999999999999995</v>
      </c>
      <c r="M503" s="47">
        <v>0.1045</v>
      </c>
      <c r="N503" s="47">
        <v>2</v>
      </c>
      <c r="O503" s="47">
        <v>31</v>
      </c>
      <c r="P503" s="48">
        <v>33</v>
      </c>
    </row>
    <row r="504" spans="1:16">
      <c r="A504" s="41">
        <v>503</v>
      </c>
      <c r="B504" s="42">
        <v>40566</v>
      </c>
      <c r="C504" s="43">
        <v>1</v>
      </c>
      <c r="D504" s="43">
        <v>0</v>
      </c>
      <c r="E504" s="43">
        <v>1</v>
      </c>
      <c r="F504" s="43">
        <v>0</v>
      </c>
      <c r="G504" s="43" t="b">
        <v>0</v>
      </c>
      <c r="H504" s="43">
        <v>0</v>
      </c>
      <c r="I504" s="43">
        <v>1</v>
      </c>
      <c r="J504" s="43">
        <v>0.04</v>
      </c>
      <c r="K504" s="43">
        <v>7.5800000000000006E-2</v>
      </c>
      <c r="L504" s="43">
        <v>0.56999999999999995</v>
      </c>
      <c r="M504" s="43">
        <v>0.1045</v>
      </c>
      <c r="N504" s="43">
        <v>2</v>
      </c>
      <c r="O504" s="43">
        <v>20</v>
      </c>
      <c r="P504" s="44">
        <v>22</v>
      </c>
    </row>
    <row r="505" spans="1:16">
      <c r="A505" s="45">
        <v>504</v>
      </c>
      <c r="B505" s="46">
        <v>40566</v>
      </c>
      <c r="C505" s="47">
        <v>1</v>
      </c>
      <c r="D505" s="47">
        <v>0</v>
      </c>
      <c r="E505" s="47">
        <v>1</v>
      </c>
      <c r="F505" s="47">
        <v>1</v>
      </c>
      <c r="G505" s="47" t="b">
        <v>0</v>
      </c>
      <c r="H505" s="47">
        <v>0</v>
      </c>
      <c r="I505" s="47">
        <v>1</v>
      </c>
      <c r="J505" s="47">
        <v>0.04</v>
      </c>
      <c r="K505" s="47">
        <v>7.5800000000000006E-2</v>
      </c>
      <c r="L505" s="47">
        <v>0.56999999999999995</v>
      </c>
      <c r="M505" s="47">
        <v>0.1045</v>
      </c>
      <c r="N505" s="47">
        <v>1</v>
      </c>
      <c r="O505" s="47">
        <v>12</v>
      </c>
      <c r="P505" s="48">
        <v>13</v>
      </c>
    </row>
    <row r="506" spans="1:16">
      <c r="A506" s="41">
        <v>505</v>
      </c>
      <c r="B506" s="42">
        <v>40566</v>
      </c>
      <c r="C506" s="43">
        <v>1</v>
      </c>
      <c r="D506" s="43">
        <v>0</v>
      </c>
      <c r="E506" s="43">
        <v>1</v>
      </c>
      <c r="F506" s="43">
        <v>2</v>
      </c>
      <c r="G506" s="43" t="b">
        <v>0</v>
      </c>
      <c r="H506" s="43">
        <v>0</v>
      </c>
      <c r="I506" s="43">
        <v>1</v>
      </c>
      <c r="J506" s="43">
        <v>0.02</v>
      </c>
      <c r="K506" s="43">
        <v>6.0600000000000001E-2</v>
      </c>
      <c r="L506" s="43">
        <v>0.62</v>
      </c>
      <c r="M506" s="43">
        <v>0.1343</v>
      </c>
      <c r="N506" s="43">
        <v>3</v>
      </c>
      <c r="O506" s="43">
        <v>15</v>
      </c>
      <c r="P506" s="44">
        <v>18</v>
      </c>
    </row>
    <row r="507" spans="1:16">
      <c r="A507" s="45">
        <v>506</v>
      </c>
      <c r="B507" s="46">
        <v>40566</v>
      </c>
      <c r="C507" s="47">
        <v>1</v>
      </c>
      <c r="D507" s="47">
        <v>0</v>
      </c>
      <c r="E507" s="47">
        <v>1</v>
      </c>
      <c r="F507" s="47">
        <v>3</v>
      </c>
      <c r="G507" s="47" t="b">
        <v>0</v>
      </c>
      <c r="H507" s="47">
        <v>0</v>
      </c>
      <c r="I507" s="47">
        <v>1</v>
      </c>
      <c r="J507" s="47">
        <v>0.02</v>
      </c>
      <c r="K507" s="47">
        <v>6.0600000000000001E-2</v>
      </c>
      <c r="L507" s="47">
        <v>0.62</v>
      </c>
      <c r="M507" s="47">
        <v>0.1343</v>
      </c>
      <c r="N507" s="47">
        <v>1</v>
      </c>
      <c r="O507" s="47">
        <v>4</v>
      </c>
      <c r="P507" s="48">
        <v>5</v>
      </c>
    </row>
    <row r="508" spans="1:16">
      <c r="A508" s="41">
        <v>507</v>
      </c>
      <c r="B508" s="42">
        <v>40566</v>
      </c>
      <c r="C508" s="43">
        <v>1</v>
      </c>
      <c r="D508" s="43">
        <v>0</v>
      </c>
      <c r="E508" s="43">
        <v>1</v>
      </c>
      <c r="F508" s="43">
        <v>5</v>
      </c>
      <c r="G508" s="43" t="b">
        <v>0</v>
      </c>
      <c r="H508" s="43">
        <v>0</v>
      </c>
      <c r="I508" s="43">
        <v>2</v>
      </c>
      <c r="J508" s="43">
        <v>0.04</v>
      </c>
      <c r="K508" s="43">
        <v>7.5800000000000006E-2</v>
      </c>
      <c r="L508" s="43">
        <v>0.56999999999999995</v>
      </c>
      <c r="M508" s="43">
        <v>0.1045</v>
      </c>
      <c r="N508" s="43">
        <v>0</v>
      </c>
      <c r="O508" s="43">
        <v>3</v>
      </c>
      <c r="P508" s="44">
        <v>3</v>
      </c>
    </row>
    <row r="509" spans="1:16">
      <c r="A509" s="45">
        <v>508</v>
      </c>
      <c r="B509" s="46">
        <v>40566</v>
      </c>
      <c r="C509" s="47">
        <v>1</v>
      </c>
      <c r="D509" s="47">
        <v>0</v>
      </c>
      <c r="E509" s="47">
        <v>1</v>
      </c>
      <c r="F509" s="47">
        <v>6</v>
      </c>
      <c r="G509" s="47" t="b">
        <v>0</v>
      </c>
      <c r="H509" s="47">
        <v>0</v>
      </c>
      <c r="I509" s="47">
        <v>2</v>
      </c>
      <c r="J509" s="47">
        <v>0.04</v>
      </c>
      <c r="K509" s="47">
        <v>7.5800000000000006E-2</v>
      </c>
      <c r="L509" s="47">
        <v>0.56999999999999995</v>
      </c>
      <c r="M509" s="47">
        <v>0.1045</v>
      </c>
      <c r="N509" s="47">
        <v>0</v>
      </c>
      <c r="O509" s="47">
        <v>1</v>
      </c>
      <c r="P509" s="48">
        <v>1</v>
      </c>
    </row>
    <row r="510" spans="1:16">
      <c r="A510" s="41">
        <v>509</v>
      </c>
      <c r="B510" s="42">
        <v>40566</v>
      </c>
      <c r="C510" s="43">
        <v>1</v>
      </c>
      <c r="D510" s="43">
        <v>0</v>
      </c>
      <c r="E510" s="43">
        <v>1</v>
      </c>
      <c r="F510" s="43">
        <v>7</v>
      </c>
      <c r="G510" s="43" t="b">
        <v>0</v>
      </c>
      <c r="H510" s="43">
        <v>0</v>
      </c>
      <c r="I510" s="43">
        <v>1</v>
      </c>
      <c r="J510" s="43">
        <v>0.08</v>
      </c>
      <c r="K510" s="43">
        <v>0.1061</v>
      </c>
      <c r="L510" s="43">
        <v>0.57999999999999996</v>
      </c>
      <c r="M510" s="43">
        <v>0.16420000000000001</v>
      </c>
      <c r="N510" s="43">
        <v>1</v>
      </c>
      <c r="O510" s="43">
        <v>1</v>
      </c>
      <c r="P510" s="44">
        <v>2</v>
      </c>
    </row>
    <row r="511" spans="1:16">
      <c r="A511" s="45">
        <v>510</v>
      </c>
      <c r="B511" s="46">
        <v>40566</v>
      </c>
      <c r="C511" s="47">
        <v>1</v>
      </c>
      <c r="D511" s="47">
        <v>0</v>
      </c>
      <c r="E511" s="47">
        <v>1</v>
      </c>
      <c r="F511" s="47">
        <v>8</v>
      </c>
      <c r="G511" s="47" t="b">
        <v>0</v>
      </c>
      <c r="H511" s="47">
        <v>0</v>
      </c>
      <c r="I511" s="47">
        <v>1</v>
      </c>
      <c r="J511" s="47">
        <v>0.06</v>
      </c>
      <c r="K511" s="47">
        <v>7.5800000000000006E-2</v>
      </c>
      <c r="L511" s="47">
        <v>0.62</v>
      </c>
      <c r="M511" s="47">
        <v>0.16420000000000001</v>
      </c>
      <c r="N511" s="47">
        <v>2</v>
      </c>
      <c r="O511" s="47">
        <v>17</v>
      </c>
      <c r="P511" s="48">
        <v>19</v>
      </c>
    </row>
    <row r="512" spans="1:16">
      <c r="A512" s="41">
        <v>511</v>
      </c>
      <c r="B512" s="42">
        <v>40566</v>
      </c>
      <c r="C512" s="43">
        <v>1</v>
      </c>
      <c r="D512" s="43">
        <v>0</v>
      </c>
      <c r="E512" s="43">
        <v>1</v>
      </c>
      <c r="F512" s="43">
        <v>9</v>
      </c>
      <c r="G512" s="43" t="b">
        <v>0</v>
      </c>
      <c r="H512" s="43">
        <v>0</v>
      </c>
      <c r="I512" s="43">
        <v>1</v>
      </c>
      <c r="J512" s="43">
        <v>0.1</v>
      </c>
      <c r="K512" s="43">
        <v>7.5800000000000006E-2</v>
      </c>
      <c r="L512" s="43">
        <v>0.54</v>
      </c>
      <c r="M512" s="43">
        <v>0.35820000000000002</v>
      </c>
      <c r="N512" s="43">
        <v>3</v>
      </c>
      <c r="O512" s="43">
        <v>25</v>
      </c>
      <c r="P512" s="44">
        <v>28</v>
      </c>
    </row>
    <row r="513" spans="1:16">
      <c r="A513" s="45">
        <v>512</v>
      </c>
      <c r="B513" s="46">
        <v>40566</v>
      </c>
      <c r="C513" s="47">
        <v>1</v>
      </c>
      <c r="D513" s="47">
        <v>0</v>
      </c>
      <c r="E513" s="47">
        <v>1</v>
      </c>
      <c r="F513" s="47">
        <v>10</v>
      </c>
      <c r="G513" s="47" t="b">
        <v>0</v>
      </c>
      <c r="H513" s="47">
        <v>0</v>
      </c>
      <c r="I513" s="47">
        <v>1</v>
      </c>
      <c r="J513" s="47">
        <v>0.14000000000000001</v>
      </c>
      <c r="K513" s="47">
        <v>0.1061</v>
      </c>
      <c r="L513" s="47">
        <v>0.46</v>
      </c>
      <c r="M513" s="47">
        <v>0.3881</v>
      </c>
      <c r="N513" s="47">
        <v>7</v>
      </c>
      <c r="O513" s="47">
        <v>51</v>
      </c>
      <c r="P513" s="48">
        <v>58</v>
      </c>
    </row>
    <row r="514" spans="1:16">
      <c r="A514" s="41">
        <v>513</v>
      </c>
      <c r="B514" s="42">
        <v>40566</v>
      </c>
      <c r="C514" s="43">
        <v>1</v>
      </c>
      <c r="D514" s="43">
        <v>0</v>
      </c>
      <c r="E514" s="43">
        <v>1</v>
      </c>
      <c r="F514" s="43">
        <v>11</v>
      </c>
      <c r="G514" s="43" t="b">
        <v>0</v>
      </c>
      <c r="H514" s="43">
        <v>0</v>
      </c>
      <c r="I514" s="43">
        <v>1</v>
      </c>
      <c r="J514" s="43">
        <v>0.14000000000000001</v>
      </c>
      <c r="K514" s="43">
        <v>0.13639999999999999</v>
      </c>
      <c r="L514" s="43">
        <v>0.43</v>
      </c>
      <c r="M514" s="43">
        <v>0.22389999999999999</v>
      </c>
      <c r="N514" s="43">
        <v>22</v>
      </c>
      <c r="O514" s="43">
        <v>77</v>
      </c>
      <c r="P514" s="44">
        <v>99</v>
      </c>
    </row>
    <row r="515" spans="1:16">
      <c r="A515" s="45">
        <v>514</v>
      </c>
      <c r="B515" s="46">
        <v>40566</v>
      </c>
      <c r="C515" s="47">
        <v>1</v>
      </c>
      <c r="D515" s="47">
        <v>0</v>
      </c>
      <c r="E515" s="47">
        <v>1</v>
      </c>
      <c r="F515" s="47">
        <v>12</v>
      </c>
      <c r="G515" s="47" t="b">
        <v>0</v>
      </c>
      <c r="H515" s="47">
        <v>0</v>
      </c>
      <c r="I515" s="47">
        <v>1</v>
      </c>
      <c r="J515" s="47">
        <v>0.16</v>
      </c>
      <c r="K515" s="47">
        <v>0.1212</v>
      </c>
      <c r="L515" s="47">
        <v>0.37</v>
      </c>
      <c r="M515" s="47">
        <v>0.4627</v>
      </c>
      <c r="N515" s="47">
        <v>24</v>
      </c>
      <c r="O515" s="47">
        <v>92</v>
      </c>
      <c r="P515" s="48">
        <v>116</v>
      </c>
    </row>
    <row r="516" spans="1:16">
      <c r="A516" s="41">
        <v>515</v>
      </c>
      <c r="B516" s="42">
        <v>40566</v>
      </c>
      <c r="C516" s="43">
        <v>1</v>
      </c>
      <c r="D516" s="43">
        <v>0</v>
      </c>
      <c r="E516" s="43">
        <v>1</v>
      </c>
      <c r="F516" s="43">
        <v>13</v>
      </c>
      <c r="G516" s="43" t="b">
        <v>0</v>
      </c>
      <c r="H516" s="43">
        <v>0</v>
      </c>
      <c r="I516" s="43">
        <v>1</v>
      </c>
      <c r="J516" s="43">
        <v>0.14000000000000001</v>
      </c>
      <c r="K516" s="43">
        <v>0.1061</v>
      </c>
      <c r="L516" s="43">
        <v>0.33</v>
      </c>
      <c r="M516" s="43">
        <v>0.3881</v>
      </c>
      <c r="N516" s="43">
        <v>12</v>
      </c>
      <c r="O516" s="43">
        <v>75</v>
      </c>
      <c r="P516" s="44">
        <v>87</v>
      </c>
    </row>
    <row r="517" spans="1:16">
      <c r="A517" s="45">
        <v>516</v>
      </c>
      <c r="B517" s="46">
        <v>40566</v>
      </c>
      <c r="C517" s="47">
        <v>1</v>
      </c>
      <c r="D517" s="47">
        <v>0</v>
      </c>
      <c r="E517" s="47">
        <v>1</v>
      </c>
      <c r="F517" s="47">
        <v>14</v>
      </c>
      <c r="G517" s="47" t="b">
        <v>0</v>
      </c>
      <c r="H517" s="47">
        <v>0</v>
      </c>
      <c r="I517" s="47">
        <v>1</v>
      </c>
      <c r="J517" s="47">
        <v>0.16</v>
      </c>
      <c r="K517" s="47">
        <v>0.13639999999999999</v>
      </c>
      <c r="L517" s="47">
        <v>0.28000000000000003</v>
      </c>
      <c r="M517" s="47">
        <v>0.35820000000000002</v>
      </c>
      <c r="N517" s="47">
        <v>17</v>
      </c>
      <c r="O517" s="47">
        <v>93</v>
      </c>
      <c r="P517" s="48">
        <v>110</v>
      </c>
    </row>
    <row r="518" spans="1:16">
      <c r="A518" s="41">
        <v>517</v>
      </c>
      <c r="B518" s="42">
        <v>40566</v>
      </c>
      <c r="C518" s="43">
        <v>1</v>
      </c>
      <c r="D518" s="43">
        <v>0</v>
      </c>
      <c r="E518" s="43">
        <v>1</v>
      </c>
      <c r="F518" s="43">
        <v>15</v>
      </c>
      <c r="G518" s="43" t="b">
        <v>0</v>
      </c>
      <c r="H518" s="43">
        <v>0</v>
      </c>
      <c r="I518" s="43">
        <v>1</v>
      </c>
      <c r="J518" s="43">
        <v>0.16</v>
      </c>
      <c r="K518" s="43">
        <v>0.13639999999999999</v>
      </c>
      <c r="L518" s="43">
        <v>0.28000000000000003</v>
      </c>
      <c r="M518" s="43">
        <v>0.35820000000000002</v>
      </c>
      <c r="N518" s="43">
        <v>13</v>
      </c>
      <c r="O518" s="43">
        <v>64</v>
      </c>
      <c r="P518" s="44">
        <v>77</v>
      </c>
    </row>
    <row r="519" spans="1:16">
      <c r="A519" s="45">
        <v>518</v>
      </c>
      <c r="B519" s="46">
        <v>40566</v>
      </c>
      <c r="C519" s="47">
        <v>1</v>
      </c>
      <c r="D519" s="47">
        <v>0</v>
      </c>
      <c r="E519" s="47">
        <v>1</v>
      </c>
      <c r="F519" s="47">
        <v>16</v>
      </c>
      <c r="G519" s="47" t="b">
        <v>0</v>
      </c>
      <c r="H519" s="47">
        <v>0</v>
      </c>
      <c r="I519" s="47">
        <v>1</v>
      </c>
      <c r="J519" s="47">
        <v>0.16</v>
      </c>
      <c r="K519" s="47">
        <v>0.13639999999999999</v>
      </c>
      <c r="L519" s="47">
        <v>0.26</v>
      </c>
      <c r="M519" s="47">
        <v>0.32840000000000003</v>
      </c>
      <c r="N519" s="47">
        <v>9</v>
      </c>
      <c r="O519" s="47">
        <v>56</v>
      </c>
      <c r="P519" s="48">
        <v>65</v>
      </c>
    </row>
    <row r="520" spans="1:16">
      <c r="A520" s="41">
        <v>519</v>
      </c>
      <c r="B520" s="42">
        <v>40566</v>
      </c>
      <c r="C520" s="43">
        <v>1</v>
      </c>
      <c r="D520" s="43">
        <v>0</v>
      </c>
      <c r="E520" s="43">
        <v>1</v>
      </c>
      <c r="F520" s="43">
        <v>17</v>
      </c>
      <c r="G520" s="43" t="b">
        <v>0</v>
      </c>
      <c r="H520" s="43">
        <v>0</v>
      </c>
      <c r="I520" s="43">
        <v>1</v>
      </c>
      <c r="J520" s="43">
        <v>0.14000000000000001</v>
      </c>
      <c r="K520" s="43">
        <v>0.1061</v>
      </c>
      <c r="L520" s="43">
        <v>0.26</v>
      </c>
      <c r="M520" s="43">
        <v>0.3881</v>
      </c>
      <c r="N520" s="43">
        <v>5</v>
      </c>
      <c r="O520" s="43">
        <v>50</v>
      </c>
      <c r="P520" s="44">
        <v>55</v>
      </c>
    </row>
    <row r="521" spans="1:16">
      <c r="A521" s="45">
        <v>520</v>
      </c>
      <c r="B521" s="46">
        <v>40566</v>
      </c>
      <c r="C521" s="47">
        <v>1</v>
      </c>
      <c r="D521" s="47">
        <v>0</v>
      </c>
      <c r="E521" s="47">
        <v>1</v>
      </c>
      <c r="F521" s="47">
        <v>18</v>
      </c>
      <c r="G521" s="47" t="b">
        <v>0</v>
      </c>
      <c r="H521" s="47">
        <v>0</v>
      </c>
      <c r="I521" s="47">
        <v>1</v>
      </c>
      <c r="J521" s="47">
        <v>0.12</v>
      </c>
      <c r="K521" s="47">
        <v>0.1212</v>
      </c>
      <c r="L521" s="47">
        <v>0.3</v>
      </c>
      <c r="M521" s="47">
        <v>0.25369999999999998</v>
      </c>
      <c r="N521" s="47">
        <v>5</v>
      </c>
      <c r="O521" s="47">
        <v>44</v>
      </c>
      <c r="P521" s="48">
        <v>49</v>
      </c>
    </row>
    <row r="522" spans="1:16">
      <c r="A522" s="41">
        <v>521</v>
      </c>
      <c r="B522" s="42">
        <v>40566</v>
      </c>
      <c r="C522" s="43">
        <v>1</v>
      </c>
      <c r="D522" s="43">
        <v>0</v>
      </c>
      <c r="E522" s="43">
        <v>1</v>
      </c>
      <c r="F522" s="43">
        <v>19</v>
      </c>
      <c r="G522" s="43" t="b">
        <v>0</v>
      </c>
      <c r="H522" s="43">
        <v>0</v>
      </c>
      <c r="I522" s="43">
        <v>1</v>
      </c>
      <c r="J522" s="43">
        <v>0.12</v>
      </c>
      <c r="K522" s="43">
        <v>0.1212</v>
      </c>
      <c r="L522" s="43">
        <v>0.3</v>
      </c>
      <c r="M522" s="43">
        <v>0.28360000000000002</v>
      </c>
      <c r="N522" s="43">
        <v>5</v>
      </c>
      <c r="O522" s="43">
        <v>45</v>
      </c>
      <c r="P522" s="44">
        <v>50</v>
      </c>
    </row>
    <row r="523" spans="1:16">
      <c r="A523" s="45">
        <v>522</v>
      </c>
      <c r="B523" s="46">
        <v>40566</v>
      </c>
      <c r="C523" s="47">
        <v>1</v>
      </c>
      <c r="D523" s="47">
        <v>0</v>
      </c>
      <c r="E523" s="47">
        <v>1</v>
      </c>
      <c r="F523" s="47">
        <v>20</v>
      </c>
      <c r="G523" s="47" t="b">
        <v>0</v>
      </c>
      <c r="H523" s="47">
        <v>0</v>
      </c>
      <c r="I523" s="47">
        <v>1</v>
      </c>
      <c r="J523" s="47">
        <v>0.1</v>
      </c>
      <c r="K523" s="47">
        <v>0.1061</v>
      </c>
      <c r="L523" s="47">
        <v>0.36</v>
      </c>
      <c r="M523" s="47">
        <v>0.25369999999999998</v>
      </c>
      <c r="N523" s="47">
        <v>4</v>
      </c>
      <c r="O523" s="47">
        <v>31</v>
      </c>
      <c r="P523" s="48">
        <v>35</v>
      </c>
    </row>
    <row r="524" spans="1:16">
      <c r="A524" s="41">
        <v>523</v>
      </c>
      <c r="B524" s="42">
        <v>40566</v>
      </c>
      <c r="C524" s="43">
        <v>1</v>
      </c>
      <c r="D524" s="43">
        <v>0</v>
      </c>
      <c r="E524" s="43">
        <v>1</v>
      </c>
      <c r="F524" s="43">
        <v>21</v>
      </c>
      <c r="G524" s="43" t="b">
        <v>0</v>
      </c>
      <c r="H524" s="43">
        <v>0</v>
      </c>
      <c r="I524" s="43">
        <v>1</v>
      </c>
      <c r="J524" s="43">
        <v>0.1</v>
      </c>
      <c r="K524" s="43">
        <v>0.1061</v>
      </c>
      <c r="L524" s="43">
        <v>0.36</v>
      </c>
      <c r="M524" s="43">
        <v>0.19400000000000001</v>
      </c>
      <c r="N524" s="43">
        <v>5</v>
      </c>
      <c r="O524" s="43">
        <v>20</v>
      </c>
      <c r="P524" s="44">
        <v>25</v>
      </c>
    </row>
    <row r="525" spans="1:16">
      <c r="A525" s="45">
        <v>524</v>
      </c>
      <c r="B525" s="46">
        <v>40566</v>
      </c>
      <c r="C525" s="47">
        <v>1</v>
      </c>
      <c r="D525" s="47">
        <v>0</v>
      </c>
      <c r="E525" s="47">
        <v>1</v>
      </c>
      <c r="F525" s="47">
        <v>22</v>
      </c>
      <c r="G525" s="47" t="b">
        <v>0</v>
      </c>
      <c r="H525" s="47">
        <v>0</v>
      </c>
      <c r="I525" s="47">
        <v>1</v>
      </c>
      <c r="J525" s="47">
        <v>0.08</v>
      </c>
      <c r="K525" s="47">
        <v>9.0899999999999995E-2</v>
      </c>
      <c r="L525" s="47">
        <v>0.38</v>
      </c>
      <c r="M525" s="47">
        <v>0.19400000000000001</v>
      </c>
      <c r="N525" s="47">
        <v>5</v>
      </c>
      <c r="O525" s="47">
        <v>23</v>
      </c>
      <c r="P525" s="48">
        <v>28</v>
      </c>
    </row>
    <row r="526" spans="1:16">
      <c r="A526" s="41">
        <v>525</v>
      </c>
      <c r="B526" s="42">
        <v>40566</v>
      </c>
      <c r="C526" s="43">
        <v>1</v>
      </c>
      <c r="D526" s="43">
        <v>0</v>
      </c>
      <c r="E526" s="43">
        <v>1</v>
      </c>
      <c r="F526" s="43">
        <v>23</v>
      </c>
      <c r="G526" s="43" t="b">
        <v>0</v>
      </c>
      <c r="H526" s="43">
        <v>0</v>
      </c>
      <c r="I526" s="43">
        <v>1</v>
      </c>
      <c r="J526" s="43">
        <v>0.06</v>
      </c>
      <c r="K526" s="43">
        <v>6.0600000000000001E-2</v>
      </c>
      <c r="L526" s="43">
        <v>0.41</v>
      </c>
      <c r="M526" s="43">
        <v>0.22389999999999999</v>
      </c>
      <c r="N526" s="43">
        <v>4</v>
      </c>
      <c r="O526" s="43">
        <v>17</v>
      </c>
      <c r="P526" s="44">
        <v>21</v>
      </c>
    </row>
    <row r="527" spans="1:16">
      <c r="A527" s="45">
        <v>526</v>
      </c>
      <c r="B527" s="46">
        <v>40567</v>
      </c>
      <c r="C527" s="47">
        <v>1</v>
      </c>
      <c r="D527" s="47">
        <v>0</v>
      </c>
      <c r="E527" s="47">
        <v>1</v>
      </c>
      <c r="F527" s="47">
        <v>0</v>
      </c>
      <c r="G527" s="47" t="b">
        <v>0</v>
      </c>
      <c r="H527" s="47">
        <v>1</v>
      </c>
      <c r="I527" s="47">
        <v>1</v>
      </c>
      <c r="J527" s="47">
        <v>0.06</v>
      </c>
      <c r="K527" s="47">
        <v>6.0600000000000001E-2</v>
      </c>
      <c r="L527" s="47">
        <v>0.41</v>
      </c>
      <c r="M527" s="47">
        <v>0.19400000000000001</v>
      </c>
      <c r="N527" s="47">
        <v>0</v>
      </c>
      <c r="O527" s="47">
        <v>7</v>
      </c>
      <c r="P527" s="48">
        <v>7</v>
      </c>
    </row>
    <row r="528" spans="1:16">
      <c r="A528" s="41">
        <v>527</v>
      </c>
      <c r="B528" s="42">
        <v>40567</v>
      </c>
      <c r="C528" s="43">
        <v>1</v>
      </c>
      <c r="D528" s="43">
        <v>0</v>
      </c>
      <c r="E528" s="43">
        <v>1</v>
      </c>
      <c r="F528" s="43">
        <v>1</v>
      </c>
      <c r="G528" s="43" t="b">
        <v>0</v>
      </c>
      <c r="H528" s="43">
        <v>1</v>
      </c>
      <c r="I528" s="43">
        <v>1</v>
      </c>
      <c r="J528" s="43">
        <v>0.04</v>
      </c>
      <c r="K528" s="43">
        <v>4.5499999999999999E-2</v>
      </c>
      <c r="L528" s="43">
        <v>0.45</v>
      </c>
      <c r="M528" s="43">
        <v>0.19400000000000001</v>
      </c>
      <c r="N528" s="43">
        <v>0</v>
      </c>
      <c r="O528" s="43">
        <v>1</v>
      </c>
      <c r="P528" s="44">
        <v>1</v>
      </c>
    </row>
    <row r="529" spans="1:16">
      <c r="A529" s="45">
        <v>528</v>
      </c>
      <c r="B529" s="46">
        <v>40567</v>
      </c>
      <c r="C529" s="47">
        <v>1</v>
      </c>
      <c r="D529" s="47">
        <v>0</v>
      </c>
      <c r="E529" s="47">
        <v>1</v>
      </c>
      <c r="F529" s="47">
        <v>3</v>
      </c>
      <c r="G529" s="47" t="b">
        <v>0</v>
      </c>
      <c r="H529" s="47">
        <v>1</v>
      </c>
      <c r="I529" s="47">
        <v>1</v>
      </c>
      <c r="J529" s="47">
        <v>0.04</v>
      </c>
      <c r="K529" s="47">
        <v>3.0300000000000001E-2</v>
      </c>
      <c r="L529" s="47">
        <v>0.45</v>
      </c>
      <c r="M529" s="47">
        <v>0.25369999999999998</v>
      </c>
      <c r="N529" s="47">
        <v>0</v>
      </c>
      <c r="O529" s="47">
        <v>1</v>
      </c>
      <c r="P529" s="48">
        <v>1</v>
      </c>
    </row>
    <row r="530" spans="1:16">
      <c r="A530" s="41">
        <v>529</v>
      </c>
      <c r="B530" s="42">
        <v>40567</v>
      </c>
      <c r="C530" s="43">
        <v>1</v>
      </c>
      <c r="D530" s="43">
        <v>0</v>
      </c>
      <c r="E530" s="43">
        <v>1</v>
      </c>
      <c r="F530" s="43">
        <v>4</v>
      </c>
      <c r="G530" s="43" t="b">
        <v>0</v>
      </c>
      <c r="H530" s="43">
        <v>1</v>
      </c>
      <c r="I530" s="43">
        <v>1</v>
      </c>
      <c r="J530" s="43">
        <v>0.02</v>
      </c>
      <c r="K530" s="43">
        <v>6.0600000000000001E-2</v>
      </c>
      <c r="L530" s="43">
        <v>0.48</v>
      </c>
      <c r="M530" s="43">
        <v>0.1343</v>
      </c>
      <c r="N530" s="43">
        <v>0</v>
      </c>
      <c r="O530" s="43">
        <v>1</v>
      </c>
      <c r="P530" s="44">
        <v>1</v>
      </c>
    </row>
    <row r="531" spans="1:16">
      <c r="A531" s="45">
        <v>530</v>
      </c>
      <c r="B531" s="46">
        <v>40567</v>
      </c>
      <c r="C531" s="47">
        <v>1</v>
      </c>
      <c r="D531" s="47">
        <v>0</v>
      </c>
      <c r="E531" s="47">
        <v>1</v>
      </c>
      <c r="F531" s="47">
        <v>5</v>
      </c>
      <c r="G531" s="47" t="b">
        <v>0</v>
      </c>
      <c r="H531" s="47">
        <v>1</v>
      </c>
      <c r="I531" s="47">
        <v>1</v>
      </c>
      <c r="J531" s="47">
        <v>0.02</v>
      </c>
      <c r="K531" s="47">
        <v>6.0600000000000001E-2</v>
      </c>
      <c r="L531" s="47">
        <v>0.48</v>
      </c>
      <c r="M531" s="47">
        <v>0.1343</v>
      </c>
      <c r="N531" s="47">
        <v>0</v>
      </c>
      <c r="O531" s="47">
        <v>5</v>
      </c>
      <c r="P531" s="48">
        <v>5</v>
      </c>
    </row>
    <row r="532" spans="1:16">
      <c r="A532" s="41">
        <v>531</v>
      </c>
      <c r="B532" s="42">
        <v>40567</v>
      </c>
      <c r="C532" s="43">
        <v>1</v>
      </c>
      <c r="D532" s="43">
        <v>0</v>
      </c>
      <c r="E532" s="43">
        <v>1</v>
      </c>
      <c r="F532" s="43">
        <v>6</v>
      </c>
      <c r="G532" s="43" t="b">
        <v>0</v>
      </c>
      <c r="H532" s="43">
        <v>1</v>
      </c>
      <c r="I532" s="43">
        <v>1</v>
      </c>
      <c r="J532" s="43">
        <v>0.02</v>
      </c>
      <c r="K532" s="43">
        <v>7.5800000000000006E-2</v>
      </c>
      <c r="L532" s="43">
        <v>0.48</v>
      </c>
      <c r="M532" s="43">
        <v>8.9599999999999999E-2</v>
      </c>
      <c r="N532" s="43">
        <v>0</v>
      </c>
      <c r="O532" s="43">
        <v>15</v>
      </c>
      <c r="P532" s="44">
        <v>15</v>
      </c>
    </row>
    <row r="533" spans="1:16">
      <c r="A533" s="45">
        <v>532</v>
      </c>
      <c r="B533" s="46">
        <v>40567</v>
      </c>
      <c r="C533" s="47">
        <v>1</v>
      </c>
      <c r="D533" s="47">
        <v>0</v>
      </c>
      <c r="E533" s="47">
        <v>1</v>
      </c>
      <c r="F533" s="47">
        <v>7</v>
      </c>
      <c r="G533" s="47" t="b">
        <v>0</v>
      </c>
      <c r="H533" s="47">
        <v>1</v>
      </c>
      <c r="I533" s="47">
        <v>1</v>
      </c>
      <c r="J533" s="47">
        <v>0.02</v>
      </c>
      <c r="K533" s="47">
        <v>0.1212</v>
      </c>
      <c r="L533" s="47">
        <v>0.48</v>
      </c>
      <c r="M533" s="47">
        <v>0</v>
      </c>
      <c r="N533" s="47">
        <v>5</v>
      </c>
      <c r="O533" s="47">
        <v>79</v>
      </c>
      <c r="P533" s="48">
        <v>84</v>
      </c>
    </row>
    <row r="534" spans="1:16">
      <c r="A534" s="41">
        <v>533</v>
      </c>
      <c r="B534" s="42">
        <v>40567</v>
      </c>
      <c r="C534" s="43">
        <v>1</v>
      </c>
      <c r="D534" s="43">
        <v>0</v>
      </c>
      <c r="E534" s="43">
        <v>1</v>
      </c>
      <c r="F534" s="43">
        <v>8</v>
      </c>
      <c r="G534" s="43" t="b">
        <v>0</v>
      </c>
      <c r="H534" s="43">
        <v>1</v>
      </c>
      <c r="I534" s="43">
        <v>1</v>
      </c>
      <c r="J534" s="43">
        <v>0.04</v>
      </c>
      <c r="K534" s="43">
        <v>0.13639999999999999</v>
      </c>
      <c r="L534" s="43">
        <v>0.49</v>
      </c>
      <c r="M534" s="43">
        <v>0</v>
      </c>
      <c r="N534" s="43">
        <v>6</v>
      </c>
      <c r="O534" s="43">
        <v>171</v>
      </c>
      <c r="P534" s="44">
        <v>177</v>
      </c>
    </row>
    <row r="535" spans="1:16">
      <c r="A535" s="45">
        <v>534</v>
      </c>
      <c r="B535" s="46">
        <v>40567</v>
      </c>
      <c r="C535" s="47">
        <v>1</v>
      </c>
      <c r="D535" s="47">
        <v>0</v>
      </c>
      <c r="E535" s="47">
        <v>1</v>
      </c>
      <c r="F535" s="47">
        <v>9</v>
      </c>
      <c r="G535" s="47" t="b">
        <v>0</v>
      </c>
      <c r="H535" s="47">
        <v>1</v>
      </c>
      <c r="I535" s="47">
        <v>1</v>
      </c>
      <c r="J535" s="47">
        <v>0.06</v>
      </c>
      <c r="K535" s="47">
        <v>0.1515</v>
      </c>
      <c r="L535" s="47">
        <v>0.41</v>
      </c>
      <c r="M535" s="47">
        <v>0</v>
      </c>
      <c r="N535" s="47">
        <v>4</v>
      </c>
      <c r="O535" s="47">
        <v>98</v>
      </c>
      <c r="P535" s="48">
        <v>102</v>
      </c>
    </row>
    <row r="536" spans="1:16">
      <c r="A536" s="41">
        <v>535</v>
      </c>
      <c r="B536" s="42">
        <v>40567</v>
      </c>
      <c r="C536" s="43">
        <v>1</v>
      </c>
      <c r="D536" s="43">
        <v>0</v>
      </c>
      <c r="E536" s="43">
        <v>1</v>
      </c>
      <c r="F536" s="43">
        <v>10</v>
      </c>
      <c r="G536" s="43" t="b">
        <v>0</v>
      </c>
      <c r="H536" s="43">
        <v>1</v>
      </c>
      <c r="I536" s="43">
        <v>1</v>
      </c>
      <c r="J536" s="43">
        <v>0.1</v>
      </c>
      <c r="K536" s="43">
        <v>0.13639999999999999</v>
      </c>
      <c r="L536" s="43">
        <v>0.42</v>
      </c>
      <c r="M536" s="43">
        <v>0</v>
      </c>
      <c r="N536" s="43">
        <v>6</v>
      </c>
      <c r="O536" s="43">
        <v>34</v>
      </c>
      <c r="P536" s="44">
        <v>40</v>
      </c>
    </row>
    <row r="537" spans="1:16">
      <c r="A537" s="45">
        <v>536</v>
      </c>
      <c r="B537" s="46">
        <v>40567</v>
      </c>
      <c r="C537" s="47">
        <v>1</v>
      </c>
      <c r="D537" s="47">
        <v>0</v>
      </c>
      <c r="E537" s="47">
        <v>1</v>
      </c>
      <c r="F537" s="47">
        <v>11</v>
      </c>
      <c r="G537" s="47" t="b">
        <v>0</v>
      </c>
      <c r="H537" s="47">
        <v>1</v>
      </c>
      <c r="I537" s="47">
        <v>1</v>
      </c>
      <c r="J537" s="47">
        <v>0.1</v>
      </c>
      <c r="K537" s="47">
        <v>0.1212</v>
      </c>
      <c r="L537" s="47">
        <v>0.46</v>
      </c>
      <c r="M537" s="47">
        <v>0.1343</v>
      </c>
      <c r="N537" s="47">
        <v>3</v>
      </c>
      <c r="O537" s="47">
        <v>43</v>
      </c>
      <c r="P537" s="48">
        <v>46</v>
      </c>
    </row>
    <row r="538" spans="1:16">
      <c r="A538" s="41">
        <v>537</v>
      </c>
      <c r="B538" s="42">
        <v>40567</v>
      </c>
      <c r="C538" s="43">
        <v>1</v>
      </c>
      <c r="D538" s="43">
        <v>0</v>
      </c>
      <c r="E538" s="43">
        <v>1</v>
      </c>
      <c r="F538" s="43">
        <v>12</v>
      </c>
      <c r="G538" s="43" t="b">
        <v>0</v>
      </c>
      <c r="H538" s="43">
        <v>1</v>
      </c>
      <c r="I538" s="43">
        <v>2</v>
      </c>
      <c r="J538" s="43">
        <v>0.12</v>
      </c>
      <c r="K538" s="43">
        <v>0.13639999999999999</v>
      </c>
      <c r="L538" s="43">
        <v>0.42</v>
      </c>
      <c r="M538" s="43">
        <v>0.19400000000000001</v>
      </c>
      <c r="N538" s="43">
        <v>11</v>
      </c>
      <c r="O538" s="43">
        <v>52</v>
      </c>
      <c r="P538" s="44">
        <v>63</v>
      </c>
    </row>
    <row r="539" spans="1:16">
      <c r="A539" s="45">
        <v>538</v>
      </c>
      <c r="B539" s="46">
        <v>40567</v>
      </c>
      <c r="C539" s="47">
        <v>1</v>
      </c>
      <c r="D539" s="47">
        <v>0</v>
      </c>
      <c r="E539" s="47">
        <v>1</v>
      </c>
      <c r="F539" s="47">
        <v>13</v>
      </c>
      <c r="G539" s="47" t="b">
        <v>0</v>
      </c>
      <c r="H539" s="47">
        <v>1</v>
      </c>
      <c r="I539" s="47">
        <v>2</v>
      </c>
      <c r="J539" s="47">
        <v>0.14000000000000001</v>
      </c>
      <c r="K539" s="47">
        <v>0.13639999999999999</v>
      </c>
      <c r="L539" s="47">
        <v>0.43</v>
      </c>
      <c r="M539" s="47">
        <v>0.22389999999999999</v>
      </c>
      <c r="N539" s="47">
        <v>6</v>
      </c>
      <c r="O539" s="47">
        <v>54</v>
      </c>
      <c r="P539" s="48">
        <v>60</v>
      </c>
    </row>
    <row r="540" spans="1:16">
      <c r="A540" s="41">
        <v>539</v>
      </c>
      <c r="B540" s="42">
        <v>40567</v>
      </c>
      <c r="C540" s="43">
        <v>1</v>
      </c>
      <c r="D540" s="43">
        <v>0</v>
      </c>
      <c r="E540" s="43">
        <v>1</v>
      </c>
      <c r="F540" s="43">
        <v>14</v>
      </c>
      <c r="G540" s="43" t="b">
        <v>0</v>
      </c>
      <c r="H540" s="43">
        <v>1</v>
      </c>
      <c r="I540" s="43">
        <v>2</v>
      </c>
      <c r="J540" s="43">
        <v>0.14000000000000001</v>
      </c>
      <c r="K540" s="43">
        <v>0.13639999999999999</v>
      </c>
      <c r="L540" s="43">
        <v>0.46</v>
      </c>
      <c r="M540" s="43">
        <v>0.22389999999999999</v>
      </c>
      <c r="N540" s="43">
        <v>2</v>
      </c>
      <c r="O540" s="43">
        <v>43</v>
      </c>
      <c r="P540" s="44">
        <v>45</v>
      </c>
    </row>
    <row r="541" spans="1:16">
      <c r="A541" s="45">
        <v>540</v>
      </c>
      <c r="B541" s="46">
        <v>40567</v>
      </c>
      <c r="C541" s="47">
        <v>1</v>
      </c>
      <c r="D541" s="47">
        <v>0</v>
      </c>
      <c r="E541" s="47">
        <v>1</v>
      </c>
      <c r="F541" s="47">
        <v>15</v>
      </c>
      <c r="G541" s="47" t="b">
        <v>0</v>
      </c>
      <c r="H541" s="47">
        <v>1</v>
      </c>
      <c r="I541" s="47">
        <v>1</v>
      </c>
      <c r="J541" s="47">
        <v>0.16</v>
      </c>
      <c r="K541" s="47">
        <v>0.16669999999999999</v>
      </c>
      <c r="L541" s="47">
        <v>0.4</v>
      </c>
      <c r="M541" s="47">
        <v>0.16420000000000001</v>
      </c>
      <c r="N541" s="47">
        <v>7</v>
      </c>
      <c r="O541" s="47">
        <v>50</v>
      </c>
      <c r="P541" s="48">
        <v>57</v>
      </c>
    </row>
    <row r="542" spans="1:16">
      <c r="A542" s="41">
        <v>541</v>
      </c>
      <c r="B542" s="42">
        <v>40567</v>
      </c>
      <c r="C542" s="43">
        <v>1</v>
      </c>
      <c r="D542" s="43">
        <v>0</v>
      </c>
      <c r="E542" s="43">
        <v>1</v>
      </c>
      <c r="F542" s="43">
        <v>16</v>
      </c>
      <c r="G542" s="43" t="b">
        <v>0</v>
      </c>
      <c r="H542" s="43">
        <v>1</v>
      </c>
      <c r="I542" s="43">
        <v>1</v>
      </c>
      <c r="J542" s="43">
        <v>0.16</v>
      </c>
      <c r="K542" s="43">
        <v>0.1515</v>
      </c>
      <c r="L542" s="43">
        <v>0.47</v>
      </c>
      <c r="M542" s="43">
        <v>0.25369999999999998</v>
      </c>
      <c r="N542" s="43">
        <v>4</v>
      </c>
      <c r="O542" s="43">
        <v>66</v>
      </c>
      <c r="P542" s="44">
        <v>70</v>
      </c>
    </row>
    <row r="543" spans="1:16">
      <c r="A543" s="45">
        <v>542</v>
      </c>
      <c r="B543" s="46">
        <v>40567</v>
      </c>
      <c r="C543" s="47">
        <v>1</v>
      </c>
      <c r="D543" s="47">
        <v>0</v>
      </c>
      <c r="E543" s="47">
        <v>1</v>
      </c>
      <c r="F543" s="47">
        <v>17</v>
      </c>
      <c r="G543" s="47" t="b">
        <v>0</v>
      </c>
      <c r="H543" s="47">
        <v>1</v>
      </c>
      <c r="I543" s="47">
        <v>1</v>
      </c>
      <c r="J543" s="47">
        <v>0.14000000000000001</v>
      </c>
      <c r="K543" s="47">
        <v>0.1212</v>
      </c>
      <c r="L543" s="47">
        <v>0.5</v>
      </c>
      <c r="M543" s="47">
        <v>0.25369999999999998</v>
      </c>
      <c r="N543" s="47">
        <v>6</v>
      </c>
      <c r="O543" s="47">
        <v>178</v>
      </c>
      <c r="P543" s="48">
        <v>184</v>
      </c>
    </row>
    <row r="544" spans="1:16">
      <c r="A544" s="41">
        <v>543</v>
      </c>
      <c r="B544" s="42">
        <v>40567</v>
      </c>
      <c r="C544" s="43">
        <v>1</v>
      </c>
      <c r="D544" s="43">
        <v>0</v>
      </c>
      <c r="E544" s="43">
        <v>1</v>
      </c>
      <c r="F544" s="43">
        <v>18</v>
      </c>
      <c r="G544" s="43" t="b">
        <v>0</v>
      </c>
      <c r="H544" s="43">
        <v>1</v>
      </c>
      <c r="I544" s="43">
        <v>1</v>
      </c>
      <c r="J544" s="43">
        <v>0.14000000000000001</v>
      </c>
      <c r="K544" s="43">
        <v>0.13639999999999999</v>
      </c>
      <c r="L544" s="43">
        <v>0.59</v>
      </c>
      <c r="M544" s="43">
        <v>0.19400000000000001</v>
      </c>
      <c r="N544" s="43">
        <v>8</v>
      </c>
      <c r="O544" s="43">
        <v>145</v>
      </c>
      <c r="P544" s="44">
        <v>153</v>
      </c>
    </row>
    <row r="545" spans="1:16">
      <c r="A545" s="45">
        <v>544</v>
      </c>
      <c r="B545" s="46">
        <v>40567</v>
      </c>
      <c r="C545" s="47">
        <v>1</v>
      </c>
      <c r="D545" s="47">
        <v>0</v>
      </c>
      <c r="E545" s="47">
        <v>1</v>
      </c>
      <c r="F545" s="47">
        <v>19</v>
      </c>
      <c r="G545" s="47" t="b">
        <v>0</v>
      </c>
      <c r="H545" s="47">
        <v>1</v>
      </c>
      <c r="I545" s="47">
        <v>1</v>
      </c>
      <c r="J545" s="47">
        <v>0.14000000000000001</v>
      </c>
      <c r="K545" s="47">
        <v>0.1515</v>
      </c>
      <c r="L545" s="47">
        <v>0.54</v>
      </c>
      <c r="M545" s="47">
        <v>0.16420000000000001</v>
      </c>
      <c r="N545" s="47">
        <v>5</v>
      </c>
      <c r="O545" s="47">
        <v>101</v>
      </c>
      <c r="P545" s="48">
        <v>106</v>
      </c>
    </row>
    <row r="546" spans="1:16">
      <c r="A546" s="41">
        <v>545</v>
      </c>
      <c r="B546" s="42">
        <v>40567</v>
      </c>
      <c r="C546" s="43">
        <v>1</v>
      </c>
      <c r="D546" s="43">
        <v>0</v>
      </c>
      <c r="E546" s="43">
        <v>1</v>
      </c>
      <c r="F546" s="43">
        <v>20</v>
      </c>
      <c r="G546" s="43" t="b">
        <v>0</v>
      </c>
      <c r="H546" s="43">
        <v>1</v>
      </c>
      <c r="I546" s="43">
        <v>1</v>
      </c>
      <c r="J546" s="43">
        <v>0.14000000000000001</v>
      </c>
      <c r="K546" s="43">
        <v>0.13639999999999999</v>
      </c>
      <c r="L546" s="43">
        <v>0.59</v>
      </c>
      <c r="M546" s="43">
        <v>0.19400000000000001</v>
      </c>
      <c r="N546" s="43">
        <v>1</v>
      </c>
      <c r="O546" s="43">
        <v>80</v>
      </c>
      <c r="P546" s="44">
        <v>81</v>
      </c>
    </row>
    <row r="547" spans="1:16">
      <c r="A547" s="45">
        <v>546</v>
      </c>
      <c r="B547" s="46">
        <v>40567</v>
      </c>
      <c r="C547" s="47">
        <v>1</v>
      </c>
      <c r="D547" s="47">
        <v>0</v>
      </c>
      <c r="E547" s="47">
        <v>1</v>
      </c>
      <c r="F547" s="47">
        <v>21</v>
      </c>
      <c r="G547" s="47" t="b">
        <v>0</v>
      </c>
      <c r="H547" s="47">
        <v>1</v>
      </c>
      <c r="I547" s="47">
        <v>1</v>
      </c>
      <c r="J547" s="47">
        <v>0.14000000000000001</v>
      </c>
      <c r="K547" s="47">
        <v>0.1515</v>
      </c>
      <c r="L547" s="47">
        <v>0.63</v>
      </c>
      <c r="M547" s="47">
        <v>0.16420000000000001</v>
      </c>
      <c r="N547" s="47">
        <v>6</v>
      </c>
      <c r="O547" s="47">
        <v>53</v>
      </c>
      <c r="P547" s="48">
        <v>59</v>
      </c>
    </row>
    <row r="548" spans="1:16">
      <c r="A548" s="41">
        <v>547</v>
      </c>
      <c r="B548" s="42">
        <v>40567</v>
      </c>
      <c r="C548" s="43">
        <v>1</v>
      </c>
      <c r="D548" s="43">
        <v>0</v>
      </c>
      <c r="E548" s="43">
        <v>1</v>
      </c>
      <c r="F548" s="43">
        <v>22</v>
      </c>
      <c r="G548" s="43" t="b">
        <v>0</v>
      </c>
      <c r="H548" s="43">
        <v>1</v>
      </c>
      <c r="I548" s="43">
        <v>2</v>
      </c>
      <c r="J548" s="43">
        <v>0.14000000000000001</v>
      </c>
      <c r="K548" s="43">
        <v>0.13639999999999999</v>
      </c>
      <c r="L548" s="43">
        <v>0.63</v>
      </c>
      <c r="M548" s="43">
        <v>0.22389999999999999</v>
      </c>
      <c r="N548" s="43">
        <v>3</v>
      </c>
      <c r="O548" s="43">
        <v>32</v>
      </c>
      <c r="P548" s="44">
        <v>35</v>
      </c>
    </row>
    <row r="549" spans="1:16">
      <c r="A549" s="45">
        <v>548</v>
      </c>
      <c r="B549" s="46">
        <v>40567</v>
      </c>
      <c r="C549" s="47">
        <v>1</v>
      </c>
      <c r="D549" s="47">
        <v>0</v>
      </c>
      <c r="E549" s="47">
        <v>1</v>
      </c>
      <c r="F549" s="47">
        <v>23</v>
      </c>
      <c r="G549" s="47" t="b">
        <v>0</v>
      </c>
      <c r="H549" s="47">
        <v>1</v>
      </c>
      <c r="I549" s="47">
        <v>2</v>
      </c>
      <c r="J549" s="47">
        <v>0.16</v>
      </c>
      <c r="K549" s="47">
        <v>0.1515</v>
      </c>
      <c r="L549" s="47">
        <v>0.64</v>
      </c>
      <c r="M549" s="47">
        <v>0.25369999999999998</v>
      </c>
      <c r="N549" s="47">
        <v>3</v>
      </c>
      <c r="O549" s="47">
        <v>21</v>
      </c>
      <c r="P549" s="48">
        <v>24</v>
      </c>
    </row>
    <row r="550" spans="1:16">
      <c r="A550" s="41">
        <v>549</v>
      </c>
      <c r="B550" s="42">
        <v>40568</v>
      </c>
      <c r="C550" s="43">
        <v>1</v>
      </c>
      <c r="D550" s="43">
        <v>0</v>
      </c>
      <c r="E550" s="43">
        <v>1</v>
      </c>
      <c r="F550" s="43">
        <v>0</v>
      </c>
      <c r="G550" s="43" t="b">
        <v>0</v>
      </c>
      <c r="H550" s="43">
        <v>2</v>
      </c>
      <c r="I550" s="43">
        <v>2</v>
      </c>
      <c r="J550" s="43">
        <v>0.16</v>
      </c>
      <c r="K550" s="43">
        <v>0.13639999999999999</v>
      </c>
      <c r="L550" s="43">
        <v>0.69</v>
      </c>
      <c r="M550" s="43">
        <v>0.28360000000000002</v>
      </c>
      <c r="N550" s="43">
        <v>3</v>
      </c>
      <c r="O550" s="43">
        <v>6</v>
      </c>
      <c r="P550" s="44">
        <v>9</v>
      </c>
    </row>
    <row r="551" spans="1:16">
      <c r="A551" s="45">
        <v>550</v>
      </c>
      <c r="B551" s="46">
        <v>40568</v>
      </c>
      <c r="C551" s="47">
        <v>1</v>
      </c>
      <c r="D551" s="47">
        <v>0</v>
      </c>
      <c r="E551" s="47">
        <v>1</v>
      </c>
      <c r="F551" s="47">
        <v>1</v>
      </c>
      <c r="G551" s="47" t="b">
        <v>0</v>
      </c>
      <c r="H551" s="47">
        <v>2</v>
      </c>
      <c r="I551" s="47">
        <v>2</v>
      </c>
      <c r="J551" s="47">
        <v>0.16</v>
      </c>
      <c r="K551" s="47">
        <v>0.16669999999999999</v>
      </c>
      <c r="L551" s="47">
        <v>0.69</v>
      </c>
      <c r="M551" s="47">
        <v>0.16420000000000001</v>
      </c>
      <c r="N551" s="47">
        <v>0</v>
      </c>
      <c r="O551" s="47">
        <v>5</v>
      </c>
      <c r="P551" s="48">
        <v>5</v>
      </c>
    </row>
    <row r="552" spans="1:16">
      <c r="A552" s="41">
        <v>551</v>
      </c>
      <c r="B552" s="42">
        <v>40568</v>
      </c>
      <c r="C552" s="43">
        <v>1</v>
      </c>
      <c r="D552" s="43">
        <v>0</v>
      </c>
      <c r="E552" s="43">
        <v>1</v>
      </c>
      <c r="F552" s="43">
        <v>2</v>
      </c>
      <c r="G552" s="43" t="b">
        <v>0</v>
      </c>
      <c r="H552" s="43">
        <v>2</v>
      </c>
      <c r="I552" s="43">
        <v>1</v>
      </c>
      <c r="J552" s="43">
        <v>0.16</v>
      </c>
      <c r="K552" s="43">
        <v>0.1515</v>
      </c>
      <c r="L552" s="43">
        <v>0.69</v>
      </c>
      <c r="M552" s="43">
        <v>0.22389999999999999</v>
      </c>
      <c r="N552" s="43">
        <v>0</v>
      </c>
      <c r="O552" s="43">
        <v>2</v>
      </c>
      <c r="P552" s="44">
        <v>2</v>
      </c>
    </row>
    <row r="553" spans="1:16">
      <c r="A553" s="45">
        <v>552</v>
      </c>
      <c r="B553" s="46">
        <v>40568</v>
      </c>
      <c r="C553" s="47">
        <v>1</v>
      </c>
      <c r="D553" s="47">
        <v>0</v>
      </c>
      <c r="E553" s="47">
        <v>1</v>
      </c>
      <c r="F553" s="47">
        <v>4</v>
      </c>
      <c r="G553" s="47" t="b">
        <v>0</v>
      </c>
      <c r="H553" s="47">
        <v>2</v>
      </c>
      <c r="I553" s="47">
        <v>1</v>
      </c>
      <c r="J553" s="47">
        <v>0.14000000000000001</v>
      </c>
      <c r="K553" s="47">
        <v>0.16669999999999999</v>
      </c>
      <c r="L553" s="47">
        <v>0.74</v>
      </c>
      <c r="M553" s="47">
        <v>0.1045</v>
      </c>
      <c r="N553" s="47">
        <v>0</v>
      </c>
      <c r="O553" s="47">
        <v>1</v>
      </c>
      <c r="P553" s="48">
        <v>1</v>
      </c>
    </row>
    <row r="554" spans="1:16">
      <c r="A554" s="41">
        <v>553</v>
      </c>
      <c r="B554" s="42">
        <v>40568</v>
      </c>
      <c r="C554" s="43">
        <v>1</v>
      </c>
      <c r="D554" s="43">
        <v>0</v>
      </c>
      <c r="E554" s="43">
        <v>1</v>
      </c>
      <c r="F554" s="43">
        <v>5</v>
      </c>
      <c r="G554" s="43" t="b">
        <v>0</v>
      </c>
      <c r="H554" s="43">
        <v>2</v>
      </c>
      <c r="I554" s="43">
        <v>1</v>
      </c>
      <c r="J554" s="43">
        <v>0.14000000000000001</v>
      </c>
      <c r="K554" s="43">
        <v>0.13639999999999999</v>
      </c>
      <c r="L554" s="43">
        <v>0.74</v>
      </c>
      <c r="M554" s="43">
        <v>0.22389999999999999</v>
      </c>
      <c r="N554" s="43">
        <v>0</v>
      </c>
      <c r="O554" s="43">
        <v>9</v>
      </c>
      <c r="P554" s="44">
        <v>9</v>
      </c>
    </row>
    <row r="555" spans="1:16">
      <c r="A555" s="45">
        <v>554</v>
      </c>
      <c r="B555" s="46">
        <v>40568</v>
      </c>
      <c r="C555" s="47">
        <v>1</v>
      </c>
      <c r="D555" s="47">
        <v>0</v>
      </c>
      <c r="E555" s="47">
        <v>1</v>
      </c>
      <c r="F555" s="47">
        <v>6</v>
      </c>
      <c r="G555" s="47" t="b">
        <v>0</v>
      </c>
      <c r="H555" s="47">
        <v>2</v>
      </c>
      <c r="I555" s="47">
        <v>1</v>
      </c>
      <c r="J555" s="47">
        <v>0.16</v>
      </c>
      <c r="K555" s="47">
        <v>0.18179999999999999</v>
      </c>
      <c r="L555" s="47">
        <v>0.74</v>
      </c>
      <c r="M555" s="47">
        <v>0.1045</v>
      </c>
      <c r="N555" s="47">
        <v>1</v>
      </c>
      <c r="O555" s="47">
        <v>35</v>
      </c>
      <c r="P555" s="48">
        <v>36</v>
      </c>
    </row>
    <row r="556" spans="1:16">
      <c r="A556" s="41">
        <v>555</v>
      </c>
      <c r="B556" s="42">
        <v>40568</v>
      </c>
      <c r="C556" s="43">
        <v>1</v>
      </c>
      <c r="D556" s="43">
        <v>0</v>
      </c>
      <c r="E556" s="43">
        <v>1</v>
      </c>
      <c r="F556" s="43">
        <v>7</v>
      </c>
      <c r="G556" s="43" t="b">
        <v>0</v>
      </c>
      <c r="H556" s="43">
        <v>2</v>
      </c>
      <c r="I556" s="43">
        <v>1</v>
      </c>
      <c r="J556" s="43">
        <v>0.16</v>
      </c>
      <c r="K556" s="43">
        <v>0.1515</v>
      </c>
      <c r="L556" s="43">
        <v>0.74</v>
      </c>
      <c r="M556" s="43">
        <v>0.22389999999999999</v>
      </c>
      <c r="N556" s="43">
        <v>5</v>
      </c>
      <c r="O556" s="43">
        <v>103</v>
      </c>
      <c r="P556" s="44">
        <v>108</v>
      </c>
    </row>
    <row r="557" spans="1:16">
      <c r="A557" s="45">
        <v>556</v>
      </c>
      <c r="B557" s="46">
        <v>40568</v>
      </c>
      <c r="C557" s="47">
        <v>1</v>
      </c>
      <c r="D557" s="47">
        <v>0</v>
      </c>
      <c r="E557" s="47">
        <v>1</v>
      </c>
      <c r="F557" s="47">
        <v>8</v>
      </c>
      <c r="G557" s="47" t="b">
        <v>0</v>
      </c>
      <c r="H557" s="47">
        <v>2</v>
      </c>
      <c r="I557" s="47">
        <v>2</v>
      </c>
      <c r="J557" s="47">
        <v>0.16</v>
      </c>
      <c r="K557" s="47">
        <v>0.18179999999999999</v>
      </c>
      <c r="L557" s="47">
        <v>0.74</v>
      </c>
      <c r="M557" s="47">
        <v>0.1343</v>
      </c>
      <c r="N557" s="47">
        <v>5</v>
      </c>
      <c r="O557" s="47">
        <v>233</v>
      </c>
      <c r="P557" s="48">
        <v>238</v>
      </c>
    </row>
    <row r="558" spans="1:16">
      <c r="A558" s="41">
        <v>557</v>
      </c>
      <c r="B558" s="42">
        <v>40568</v>
      </c>
      <c r="C558" s="43">
        <v>1</v>
      </c>
      <c r="D558" s="43">
        <v>0</v>
      </c>
      <c r="E558" s="43">
        <v>1</v>
      </c>
      <c r="F558" s="43">
        <v>9</v>
      </c>
      <c r="G558" s="43" t="b">
        <v>0</v>
      </c>
      <c r="H558" s="43">
        <v>2</v>
      </c>
      <c r="I558" s="43">
        <v>2</v>
      </c>
      <c r="J558" s="43">
        <v>0.2</v>
      </c>
      <c r="K558" s="43">
        <v>0.2273</v>
      </c>
      <c r="L558" s="43">
        <v>0.64</v>
      </c>
      <c r="M558" s="43">
        <v>8.9599999999999999E-2</v>
      </c>
      <c r="N558" s="43">
        <v>10</v>
      </c>
      <c r="O558" s="43">
        <v>134</v>
      </c>
      <c r="P558" s="44">
        <v>144</v>
      </c>
    </row>
    <row r="559" spans="1:16">
      <c r="A559" s="45">
        <v>558</v>
      </c>
      <c r="B559" s="46">
        <v>40568</v>
      </c>
      <c r="C559" s="47">
        <v>1</v>
      </c>
      <c r="D559" s="47">
        <v>0</v>
      </c>
      <c r="E559" s="47">
        <v>1</v>
      </c>
      <c r="F559" s="47">
        <v>10</v>
      </c>
      <c r="G559" s="47" t="b">
        <v>0</v>
      </c>
      <c r="H559" s="47">
        <v>2</v>
      </c>
      <c r="I559" s="47">
        <v>2</v>
      </c>
      <c r="J559" s="47">
        <v>0.22</v>
      </c>
      <c r="K559" s="47">
        <v>0.2424</v>
      </c>
      <c r="L559" s="47">
        <v>0.6</v>
      </c>
      <c r="M559" s="47">
        <v>0.1045</v>
      </c>
      <c r="N559" s="47">
        <v>6</v>
      </c>
      <c r="O559" s="47">
        <v>49</v>
      </c>
      <c r="P559" s="48">
        <v>55</v>
      </c>
    </row>
    <row r="560" spans="1:16">
      <c r="A560" s="41">
        <v>559</v>
      </c>
      <c r="B560" s="42">
        <v>40568</v>
      </c>
      <c r="C560" s="43">
        <v>1</v>
      </c>
      <c r="D560" s="43">
        <v>0</v>
      </c>
      <c r="E560" s="43">
        <v>1</v>
      </c>
      <c r="F560" s="43">
        <v>11</v>
      </c>
      <c r="G560" s="43" t="b">
        <v>0</v>
      </c>
      <c r="H560" s="43">
        <v>2</v>
      </c>
      <c r="I560" s="43">
        <v>2</v>
      </c>
      <c r="J560" s="43">
        <v>0.24</v>
      </c>
      <c r="K560" s="43">
        <v>0.2424</v>
      </c>
      <c r="L560" s="43">
        <v>0.6</v>
      </c>
      <c r="M560" s="43">
        <v>0.1343</v>
      </c>
      <c r="N560" s="43">
        <v>6</v>
      </c>
      <c r="O560" s="43">
        <v>55</v>
      </c>
      <c r="P560" s="44">
        <v>61</v>
      </c>
    </row>
    <row r="561" spans="1:16">
      <c r="A561" s="45">
        <v>560</v>
      </c>
      <c r="B561" s="46">
        <v>40568</v>
      </c>
      <c r="C561" s="47">
        <v>1</v>
      </c>
      <c r="D561" s="47">
        <v>0</v>
      </c>
      <c r="E561" s="47">
        <v>1</v>
      </c>
      <c r="F561" s="47">
        <v>12</v>
      </c>
      <c r="G561" s="47" t="b">
        <v>0</v>
      </c>
      <c r="H561" s="47">
        <v>2</v>
      </c>
      <c r="I561" s="47">
        <v>2</v>
      </c>
      <c r="J561" s="47">
        <v>0.26</v>
      </c>
      <c r="K561" s="47">
        <v>0.28789999999999999</v>
      </c>
      <c r="L561" s="47">
        <v>0.56000000000000005</v>
      </c>
      <c r="M561" s="47">
        <v>8.9599999999999999E-2</v>
      </c>
      <c r="N561" s="47">
        <v>21</v>
      </c>
      <c r="O561" s="47">
        <v>85</v>
      </c>
      <c r="P561" s="48">
        <v>106</v>
      </c>
    </row>
    <row r="562" spans="1:16">
      <c r="A562" s="41">
        <v>561</v>
      </c>
      <c r="B562" s="42">
        <v>40568</v>
      </c>
      <c r="C562" s="43">
        <v>1</v>
      </c>
      <c r="D562" s="43">
        <v>0</v>
      </c>
      <c r="E562" s="43">
        <v>1</v>
      </c>
      <c r="F562" s="43">
        <v>13</v>
      </c>
      <c r="G562" s="43" t="b">
        <v>0</v>
      </c>
      <c r="H562" s="43">
        <v>2</v>
      </c>
      <c r="I562" s="43">
        <v>2</v>
      </c>
      <c r="J562" s="43">
        <v>0.26</v>
      </c>
      <c r="K562" s="43">
        <v>0.2727</v>
      </c>
      <c r="L562" s="43">
        <v>0.56000000000000005</v>
      </c>
      <c r="M562" s="43">
        <v>0.1343</v>
      </c>
      <c r="N562" s="43">
        <v>21</v>
      </c>
      <c r="O562" s="43">
        <v>72</v>
      </c>
      <c r="P562" s="44">
        <v>93</v>
      </c>
    </row>
    <row r="563" spans="1:16">
      <c r="A563" s="45">
        <v>562</v>
      </c>
      <c r="B563" s="46">
        <v>40568</v>
      </c>
      <c r="C563" s="47">
        <v>1</v>
      </c>
      <c r="D563" s="47">
        <v>0</v>
      </c>
      <c r="E563" s="47">
        <v>1</v>
      </c>
      <c r="F563" s="47">
        <v>14</v>
      </c>
      <c r="G563" s="47" t="b">
        <v>0</v>
      </c>
      <c r="H563" s="47">
        <v>2</v>
      </c>
      <c r="I563" s="47">
        <v>2</v>
      </c>
      <c r="J563" s="47">
        <v>0.3</v>
      </c>
      <c r="K563" s="47">
        <v>0.33329999999999999</v>
      </c>
      <c r="L563" s="47">
        <v>0.45</v>
      </c>
      <c r="M563" s="47">
        <v>0</v>
      </c>
      <c r="N563" s="47">
        <v>11</v>
      </c>
      <c r="O563" s="47">
        <v>57</v>
      </c>
      <c r="P563" s="48">
        <v>68</v>
      </c>
    </row>
    <row r="564" spans="1:16">
      <c r="A564" s="41">
        <v>563</v>
      </c>
      <c r="B564" s="42">
        <v>40568</v>
      </c>
      <c r="C564" s="43">
        <v>1</v>
      </c>
      <c r="D564" s="43">
        <v>0</v>
      </c>
      <c r="E564" s="43">
        <v>1</v>
      </c>
      <c r="F564" s="43">
        <v>15</v>
      </c>
      <c r="G564" s="43" t="b">
        <v>0</v>
      </c>
      <c r="H564" s="43">
        <v>2</v>
      </c>
      <c r="I564" s="43">
        <v>2</v>
      </c>
      <c r="J564" s="43">
        <v>0.32</v>
      </c>
      <c r="K564" s="43">
        <v>0.34849999999999998</v>
      </c>
      <c r="L564" s="43">
        <v>0.42</v>
      </c>
      <c r="M564" s="43">
        <v>0</v>
      </c>
      <c r="N564" s="43">
        <v>21</v>
      </c>
      <c r="O564" s="43">
        <v>63</v>
      </c>
      <c r="P564" s="44">
        <v>84</v>
      </c>
    </row>
    <row r="565" spans="1:16">
      <c r="A565" s="45">
        <v>564</v>
      </c>
      <c r="B565" s="46">
        <v>40568</v>
      </c>
      <c r="C565" s="47">
        <v>1</v>
      </c>
      <c r="D565" s="47">
        <v>0</v>
      </c>
      <c r="E565" s="47">
        <v>1</v>
      </c>
      <c r="F565" s="47">
        <v>16</v>
      </c>
      <c r="G565" s="47" t="b">
        <v>0</v>
      </c>
      <c r="H565" s="47">
        <v>2</v>
      </c>
      <c r="I565" s="47">
        <v>2</v>
      </c>
      <c r="J565" s="47">
        <v>0.32</v>
      </c>
      <c r="K565" s="47">
        <v>0.34849999999999998</v>
      </c>
      <c r="L565" s="47">
        <v>0.42</v>
      </c>
      <c r="M565" s="47">
        <v>0</v>
      </c>
      <c r="N565" s="47">
        <v>14</v>
      </c>
      <c r="O565" s="47">
        <v>102</v>
      </c>
      <c r="P565" s="48">
        <v>116</v>
      </c>
    </row>
    <row r="566" spans="1:16">
      <c r="A566" s="41">
        <v>565</v>
      </c>
      <c r="B566" s="42">
        <v>40568</v>
      </c>
      <c r="C566" s="43">
        <v>1</v>
      </c>
      <c r="D566" s="43">
        <v>0</v>
      </c>
      <c r="E566" s="43">
        <v>1</v>
      </c>
      <c r="F566" s="43">
        <v>17</v>
      </c>
      <c r="G566" s="43" t="b">
        <v>0</v>
      </c>
      <c r="H566" s="43">
        <v>2</v>
      </c>
      <c r="I566" s="43">
        <v>1</v>
      </c>
      <c r="J566" s="43">
        <v>0.3</v>
      </c>
      <c r="K566" s="43">
        <v>0.33329999999999999</v>
      </c>
      <c r="L566" s="43">
        <v>0.45</v>
      </c>
      <c r="M566" s="43">
        <v>0</v>
      </c>
      <c r="N566" s="43">
        <v>14</v>
      </c>
      <c r="O566" s="43">
        <v>208</v>
      </c>
      <c r="P566" s="44">
        <v>222</v>
      </c>
    </row>
    <row r="567" spans="1:16">
      <c r="A567" s="45">
        <v>566</v>
      </c>
      <c r="B567" s="46">
        <v>40568</v>
      </c>
      <c r="C567" s="47">
        <v>1</v>
      </c>
      <c r="D567" s="47">
        <v>0</v>
      </c>
      <c r="E567" s="47">
        <v>1</v>
      </c>
      <c r="F567" s="47">
        <v>18</v>
      </c>
      <c r="G567" s="47" t="b">
        <v>0</v>
      </c>
      <c r="H567" s="47">
        <v>2</v>
      </c>
      <c r="I567" s="47">
        <v>2</v>
      </c>
      <c r="J567" s="47">
        <v>0.3</v>
      </c>
      <c r="K567" s="47">
        <v>0.31819999999999998</v>
      </c>
      <c r="L567" s="47">
        <v>0.49</v>
      </c>
      <c r="M567" s="47">
        <v>8.9599999999999999E-2</v>
      </c>
      <c r="N567" s="47">
        <v>7</v>
      </c>
      <c r="O567" s="47">
        <v>218</v>
      </c>
      <c r="P567" s="48">
        <v>225</v>
      </c>
    </row>
    <row r="568" spans="1:16">
      <c r="A568" s="41">
        <v>567</v>
      </c>
      <c r="B568" s="42">
        <v>40568</v>
      </c>
      <c r="C568" s="43">
        <v>1</v>
      </c>
      <c r="D568" s="43">
        <v>0</v>
      </c>
      <c r="E568" s="43">
        <v>1</v>
      </c>
      <c r="F568" s="43">
        <v>19</v>
      </c>
      <c r="G568" s="43" t="b">
        <v>0</v>
      </c>
      <c r="H568" s="43">
        <v>2</v>
      </c>
      <c r="I568" s="43">
        <v>2</v>
      </c>
      <c r="J568" s="43">
        <v>0.26</v>
      </c>
      <c r="K568" s="43">
        <v>0.2576</v>
      </c>
      <c r="L568" s="43">
        <v>0.65</v>
      </c>
      <c r="M568" s="43">
        <v>0.16420000000000001</v>
      </c>
      <c r="N568" s="43">
        <v>13</v>
      </c>
      <c r="O568" s="43">
        <v>133</v>
      </c>
      <c r="P568" s="44">
        <v>146</v>
      </c>
    </row>
    <row r="569" spans="1:16">
      <c r="A569" s="45">
        <v>568</v>
      </c>
      <c r="B569" s="46">
        <v>40568</v>
      </c>
      <c r="C569" s="47">
        <v>1</v>
      </c>
      <c r="D569" s="47">
        <v>0</v>
      </c>
      <c r="E569" s="47">
        <v>1</v>
      </c>
      <c r="F569" s="47">
        <v>20</v>
      </c>
      <c r="G569" s="47" t="b">
        <v>0</v>
      </c>
      <c r="H569" s="47">
        <v>2</v>
      </c>
      <c r="I569" s="47">
        <v>1</v>
      </c>
      <c r="J569" s="47">
        <v>0.24</v>
      </c>
      <c r="K569" s="47">
        <v>0.2273</v>
      </c>
      <c r="L569" s="47">
        <v>0.65</v>
      </c>
      <c r="M569" s="47">
        <v>0.19400000000000001</v>
      </c>
      <c r="N569" s="47">
        <v>16</v>
      </c>
      <c r="O569" s="47">
        <v>103</v>
      </c>
      <c r="P569" s="48">
        <v>119</v>
      </c>
    </row>
    <row r="570" spans="1:16">
      <c r="A570" s="41">
        <v>569</v>
      </c>
      <c r="B570" s="42">
        <v>40568</v>
      </c>
      <c r="C570" s="43">
        <v>1</v>
      </c>
      <c r="D570" s="43">
        <v>0</v>
      </c>
      <c r="E570" s="43">
        <v>1</v>
      </c>
      <c r="F570" s="43">
        <v>21</v>
      </c>
      <c r="G570" s="43" t="b">
        <v>0</v>
      </c>
      <c r="H570" s="43">
        <v>2</v>
      </c>
      <c r="I570" s="43">
        <v>1</v>
      </c>
      <c r="J570" s="43">
        <v>0.24</v>
      </c>
      <c r="K570" s="43">
        <v>0.2273</v>
      </c>
      <c r="L570" s="43">
        <v>0.65</v>
      </c>
      <c r="M570" s="43">
        <v>0.19400000000000001</v>
      </c>
      <c r="N570" s="43">
        <v>5</v>
      </c>
      <c r="O570" s="43">
        <v>40</v>
      </c>
      <c r="P570" s="44">
        <v>45</v>
      </c>
    </row>
    <row r="571" spans="1:16">
      <c r="A571" s="45">
        <v>570</v>
      </c>
      <c r="B571" s="46">
        <v>40568</v>
      </c>
      <c r="C571" s="47">
        <v>1</v>
      </c>
      <c r="D571" s="47">
        <v>0</v>
      </c>
      <c r="E571" s="47">
        <v>1</v>
      </c>
      <c r="F571" s="47">
        <v>22</v>
      </c>
      <c r="G571" s="47" t="b">
        <v>0</v>
      </c>
      <c r="H571" s="47">
        <v>2</v>
      </c>
      <c r="I571" s="47">
        <v>1</v>
      </c>
      <c r="J571" s="47">
        <v>0.22</v>
      </c>
      <c r="K571" s="47">
        <v>0.2273</v>
      </c>
      <c r="L571" s="47">
        <v>0.64</v>
      </c>
      <c r="M571" s="47">
        <v>0.16420000000000001</v>
      </c>
      <c r="N571" s="47">
        <v>4</v>
      </c>
      <c r="O571" s="47">
        <v>49</v>
      </c>
      <c r="P571" s="48">
        <v>53</v>
      </c>
    </row>
    <row r="572" spans="1:16">
      <c r="A572" s="41">
        <v>571</v>
      </c>
      <c r="B572" s="42">
        <v>40568</v>
      </c>
      <c r="C572" s="43">
        <v>1</v>
      </c>
      <c r="D572" s="43">
        <v>0</v>
      </c>
      <c r="E572" s="43">
        <v>1</v>
      </c>
      <c r="F572" s="43">
        <v>23</v>
      </c>
      <c r="G572" s="43" t="b">
        <v>0</v>
      </c>
      <c r="H572" s="43">
        <v>2</v>
      </c>
      <c r="I572" s="43">
        <v>2</v>
      </c>
      <c r="J572" s="43">
        <v>0.22</v>
      </c>
      <c r="K572" s="43">
        <v>0.2273</v>
      </c>
      <c r="L572" s="43">
        <v>0.64</v>
      </c>
      <c r="M572" s="43">
        <v>0.16420000000000001</v>
      </c>
      <c r="N572" s="43">
        <v>3</v>
      </c>
      <c r="O572" s="43">
        <v>37</v>
      </c>
      <c r="P572" s="44">
        <v>40</v>
      </c>
    </row>
    <row r="573" spans="1:16">
      <c r="A573" s="45">
        <v>572</v>
      </c>
      <c r="B573" s="46">
        <v>40569</v>
      </c>
      <c r="C573" s="47">
        <v>1</v>
      </c>
      <c r="D573" s="47">
        <v>0</v>
      </c>
      <c r="E573" s="47">
        <v>1</v>
      </c>
      <c r="F573" s="47">
        <v>0</v>
      </c>
      <c r="G573" s="47" t="b">
        <v>0</v>
      </c>
      <c r="H573" s="47">
        <v>3</v>
      </c>
      <c r="I573" s="47">
        <v>2</v>
      </c>
      <c r="J573" s="47">
        <v>0.22</v>
      </c>
      <c r="K573" s="47">
        <v>0.2273</v>
      </c>
      <c r="L573" s="47">
        <v>0.69</v>
      </c>
      <c r="M573" s="47">
        <v>0.1343</v>
      </c>
      <c r="N573" s="47">
        <v>3</v>
      </c>
      <c r="O573" s="47">
        <v>14</v>
      </c>
      <c r="P573" s="48">
        <v>17</v>
      </c>
    </row>
    <row r="574" spans="1:16">
      <c r="A574" s="41">
        <v>573</v>
      </c>
      <c r="B574" s="42">
        <v>40569</v>
      </c>
      <c r="C574" s="43">
        <v>1</v>
      </c>
      <c r="D574" s="43">
        <v>0</v>
      </c>
      <c r="E574" s="43">
        <v>1</v>
      </c>
      <c r="F574" s="43">
        <v>1</v>
      </c>
      <c r="G574" s="43" t="b">
        <v>0</v>
      </c>
      <c r="H574" s="43">
        <v>3</v>
      </c>
      <c r="I574" s="43">
        <v>2</v>
      </c>
      <c r="J574" s="43">
        <v>0.24</v>
      </c>
      <c r="K574" s="43">
        <v>0.2424</v>
      </c>
      <c r="L574" s="43">
        <v>0.65</v>
      </c>
      <c r="M574" s="43">
        <v>0.1343</v>
      </c>
      <c r="N574" s="43">
        <v>0</v>
      </c>
      <c r="O574" s="43">
        <v>5</v>
      </c>
      <c r="P574" s="44">
        <v>5</v>
      </c>
    </row>
    <row r="575" spans="1:16">
      <c r="A575" s="45">
        <v>574</v>
      </c>
      <c r="B575" s="46">
        <v>40569</v>
      </c>
      <c r="C575" s="47">
        <v>1</v>
      </c>
      <c r="D575" s="47">
        <v>0</v>
      </c>
      <c r="E575" s="47">
        <v>1</v>
      </c>
      <c r="F575" s="47">
        <v>2</v>
      </c>
      <c r="G575" s="47" t="b">
        <v>0</v>
      </c>
      <c r="H575" s="47">
        <v>3</v>
      </c>
      <c r="I575" s="47">
        <v>3</v>
      </c>
      <c r="J575" s="47">
        <v>0.22</v>
      </c>
      <c r="K575" s="47">
        <v>0.2273</v>
      </c>
      <c r="L575" s="47">
        <v>0.69</v>
      </c>
      <c r="M575" s="47">
        <v>0.19400000000000001</v>
      </c>
      <c r="N575" s="47">
        <v>3</v>
      </c>
      <c r="O575" s="47">
        <v>7</v>
      </c>
      <c r="P575" s="48">
        <v>10</v>
      </c>
    </row>
    <row r="576" spans="1:16">
      <c r="A576" s="41">
        <v>575</v>
      </c>
      <c r="B576" s="42">
        <v>40569</v>
      </c>
      <c r="C576" s="43">
        <v>1</v>
      </c>
      <c r="D576" s="43">
        <v>0</v>
      </c>
      <c r="E576" s="43">
        <v>1</v>
      </c>
      <c r="F576" s="43">
        <v>5</v>
      </c>
      <c r="G576" s="43" t="b">
        <v>0</v>
      </c>
      <c r="H576" s="43">
        <v>3</v>
      </c>
      <c r="I576" s="43">
        <v>3</v>
      </c>
      <c r="J576" s="43">
        <v>0.2</v>
      </c>
      <c r="K576" s="43">
        <v>0.18179999999999999</v>
      </c>
      <c r="L576" s="43">
        <v>0.86</v>
      </c>
      <c r="M576" s="43">
        <v>0.28360000000000002</v>
      </c>
      <c r="N576" s="43">
        <v>0</v>
      </c>
      <c r="O576" s="43">
        <v>1</v>
      </c>
      <c r="P576" s="44">
        <v>1</v>
      </c>
    </row>
    <row r="577" spans="1:16">
      <c r="A577" s="45">
        <v>576</v>
      </c>
      <c r="B577" s="46">
        <v>40569</v>
      </c>
      <c r="C577" s="47">
        <v>1</v>
      </c>
      <c r="D577" s="47">
        <v>0</v>
      </c>
      <c r="E577" s="47">
        <v>1</v>
      </c>
      <c r="F577" s="47">
        <v>6</v>
      </c>
      <c r="G577" s="47" t="b">
        <v>0</v>
      </c>
      <c r="H577" s="47">
        <v>3</v>
      </c>
      <c r="I577" s="47">
        <v>3</v>
      </c>
      <c r="J577" s="47">
        <v>0.2</v>
      </c>
      <c r="K577" s="47">
        <v>0.18179999999999999</v>
      </c>
      <c r="L577" s="47">
        <v>0.86</v>
      </c>
      <c r="M577" s="47">
        <v>0.28360000000000002</v>
      </c>
      <c r="N577" s="47">
        <v>0</v>
      </c>
      <c r="O577" s="47">
        <v>8</v>
      </c>
      <c r="P577" s="48">
        <v>8</v>
      </c>
    </row>
    <row r="578" spans="1:16">
      <c r="A578" s="41">
        <v>577</v>
      </c>
      <c r="B578" s="42">
        <v>40569</v>
      </c>
      <c r="C578" s="43">
        <v>1</v>
      </c>
      <c r="D578" s="43">
        <v>0</v>
      </c>
      <c r="E578" s="43">
        <v>1</v>
      </c>
      <c r="F578" s="43">
        <v>7</v>
      </c>
      <c r="G578" s="43" t="b">
        <v>0</v>
      </c>
      <c r="H578" s="43">
        <v>3</v>
      </c>
      <c r="I578" s="43">
        <v>3</v>
      </c>
      <c r="J578" s="43">
        <v>0.22</v>
      </c>
      <c r="K578" s="43">
        <v>0.21210000000000001</v>
      </c>
      <c r="L578" s="43">
        <v>0.87</v>
      </c>
      <c r="M578" s="43">
        <v>0.29849999999999999</v>
      </c>
      <c r="N578" s="43">
        <v>1</v>
      </c>
      <c r="O578" s="43">
        <v>29</v>
      </c>
      <c r="P578" s="44">
        <v>30</v>
      </c>
    </row>
    <row r="579" spans="1:16">
      <c r="A579" s="45">
        <v>578</v>
      </c>
      <c r="B579" s="46">
        <v>40569</v>
      </c>
      <c r="C579" s="47">
        <v>1</v>
      </c>
      <c r="D579" s="47">
        <v>0</v>
      </c>
      <c r="E579" s="47">
        <v>1</v>
      </c>
      <c r="F579" s="47">
        <v>8</v>
      </c>
      <c r="G579" s="47" t="b">
        <v>0</v>
      </c>
      <c r="H579" s="47">
        <v>3</v>
      </c>
      <c r="I579" s="47">
        <v>3</v>
      </c>
      <c r="J579" s="47">
        <v>0.22</v>
      </c>
      <c r="K579" s="47">
        <v>0.21210000000000001</v>
      </c>
      <c r="L579" s="47">
        <v>0.87</v>
      </c>
      <c r="M579" s="47">
        <v>0.29849999999999999</v>
      </c>
      <c r="N579" s="47">
        <v>3</v>
      </c>
      <c r="O579" s="47">
        <v>69</v>
      </c>
      <c r="P579" s="48">
        <v>72</v>
      </c>
    </row>
    <row r="580" spans="1:16">
      <c r="A580" s="41">
        <v>579</v>
      </c>
      <c r="B580" s="42">
        <v>40569</v>
      </c>
      <c r="C580" s="43">
        <v>1</v>
      </c>
      <c r="D580" s="43">
        <v>0</v>
      </c>
      <c r="E580" s="43">
        <v>1</v>
      </c>
      <c r="F580" s="43">
        <v>9</v>
      </c>
      <c r="G580" s="43" t="b">
        <v>0</v>
      </c>
      <c r="H580" s="43">
        <v>3</v>
      </c>
      <c r="I580" s="43">
        <v>3</v>
      </c>
      <c r="J580" s="43">
        <v>0.22</v>
      </c>
      <c r="K580" s="43">
        <v>0.21210000000000001</v>
      </c>
      <c r="L580" s="43">
        <v>0.87</v>
      </c>
      <c r="M580" s="43">
        <v>0.29849999999999999</v>
      </c>
      <c r="N580" s="43">
        <v>3</v>
      </c>
      <c r="O580" s="43">
        <v>55</v>
      </c>
      <c r="P580" s="44">
        <v>58</v>
      </c>
    </row>
    <row r="581" spans="1:16">
      <c r="A581" s="45">
        <v>580</v>
      </c>
      <c r="B581" s="46">
        <v>40569</v>
      </c>
      <c r="C581" s="47">
        <v>1</v>
      </c>
      <c r="D581" s="47">
        <v>0</v>
      </c>
      <c r="E581" s="47">
        <v>1</v>
      </c>
      <c r="F581" s="47">
        <v>10</v>
      </c>
      <c r="G581" s="47" t="b">
        <v>0</v>
      </c>
      <c r="H581" s="47">
        <v>3</v>
      </c>
      <c r="I581" s="47">
        <v>3</v>
      </c>
      <c r="J581" s="47">
        <v>0.22</v>
      </c>
      <c r="K581" s="47">
        <v>0.21210000000000001</v>
      </c>
      <c r="L581" s="47">
        <v>0.93</v>
      </c>
      <c r="M581" s="47">
        <v>0.28360000000000002</v>
      </c>
      <c r="N581" s="47">
        <v>2</v>
      </c>
      <c r="O581" s="47">
        <v>26</v>
      </c>
      <c r="P581" s="48">
        <v>28</v>
      </c>
    </row>
    <row r="582" spans="1:16">
      <c r="A582" s="41">
        <v>581</v>
      </c>
      <c r="B582" s="42">
        <v>40569</v>
      </c>
      <c r="C582" s="43">
        <v>1</v>
      </c>
      <c r="D582" s="43">
        <v>0</v>
      </c>
      <c r="E582" s="43">
        <v>1</v>
      </c>
      <c r="F582" s="43">
        <v>11</v>
      </c>
      <c r="G582" s="43" t="b">
        <v>0</v>
      </c>
      <c r="H582" s="43">
        <v>3</v>
      </c>
      <c r="I582" s="43">
        <v>3</v>
      </c>
      <c r="J582" s="43">
        <v>0.22</v>
      </c>
      <c r="K582" s="43">
        <v>0.19700000000000001</v>
      </c>
      <c r="L582" s="43">
        <v>0.93</v>
      </c>
      <c r="M582" s="43">
        <v>0.32840000000000003</v>
      </c>
      <c r="N582" s="43">
        <v>6</v>
      </c>
      <c r="O582" s="43">
        <v>35</v>
      </c>
      <c r="P582" s="44">
        <v>41</v>
      </c>
    </row>
    <row r="583" spans="1:16">
      <c r="A583" s="45">
        <v>582</v>
      </c>
      <c r="B583" s="46">
        <v>40569</v>
      </c>
      <c r="C583" s="47">
        <v>1</v>
      </c>
      <c r="D583" s="47">
        <v>0</v>
      </c>
      <c r="E583" s="47">
        <v>1</v>
      </c>
      <c r="F583" s="47">
        <v>12</v>
      </c>
      <c r="G583" s="47" t="b">
        <v>0</v>
      </c>
      <c r="H583" s="47">
        <v>3</v>
      </c>
      <c r="I583" s="47">
        <v>3</v>
      </c>
      <c r="J583" s="47">
        <v>0.22</v>
      </c>
      <c r="K583" s="47">
        <v>0.19700000000000001</v>
      </c>
      <c r="L583" s="47">
        <v>0.93</v>
      </c>
      <c r="M583" s="47">
        <v>0.32840000000000003</v>
      </c>
      <c r="N583" s="47">
        <v>7</v>
      </c>
      <c r="O583" s="47">
        <v>41</v>
      </c>
      <c r="P583" s="48">
        <v>48</v>
      </c>
    </row>
    <row r="584" spans="1:16">
      <c r="A584" s="41">
        <v>583</v>
      </c>
      <c r="B584" s="42">
        <v>40569</v>
      </c>
      <c r="C584" s="43">
        <v>1</v>
      </c>
      <c r="D584" s="43">
        <v>0</v>
      </c>
      <c r="E584" s="43">
        <v>1</v>
      </c>
      <c r="F584" s="43">
        <v>13</v>
      </c>
      <c r="G584" s="43" t="b">
        <v>0</v>
      </c>
      <c r="H584" s="43">
        <v>3</v>
      </c>
      <c r="I584" s="43">
        <v>3</v>
      </c>
      <c r="J584" s="43">
        <v>0.22</v>
      </c>
      <c r="K584" s="43">
        <v>0.19700000000000001</v>
      </c>
      <c r="L584" s="43">
        <v>0.93</v>
      </c>
      <c r="M584" s="43">
        <v>0.32840000000000003</v>
      </c>
      <c r="N584" s="43">
        <v>4</v>
      </c>
      <c r="O584" s="43">
        <v>43</v>
      </c>
      <c r="P584" s="44">
        <v>47</v>
      </c>
    </row>
    <row r="585" spans="1:16">
      <c r="A585" s="45">
        <v>584</v>
      </c>
      <c r="B585" s="46">
        <v>40569</v>
      </c>
      <c r="C585" s="47">
        <v>1</v>
      </c>
      <c r="D585" s="47">
        <v>0</v>
      </c>
      <c r="E585" s="47">
        <v>1</v>
      </c>
      <c r="F585" s="47">
        <v>14</v>
      </c>
      <c r="G585" s="47" t="b">
        <v>0</v>
      </c>
      <c r="H585" s="47">
        <v>3</v>
      </c>
      <c r="I585" s="47">
        <v>3</v>
      </c>
      <c r="J585" s="47">
        <v>0.22</v>
      </c>
      <c r="K585" s="47">
        <v>0.19700000000000001</v>
      </c>
      <c r="L585" s="47">
        <v>0.93</v>
      </c>
      <c r="M585" s="47">
        <v>0.35820000000000002</v>
      </c>
      <c r="N585" s="47">
        <v>0</v>
      </c>
      <c r="O585" s="47">
        <v>36</v>
      </c>
      <c r="P585" s="48">
        <v>36</v>
      </c>
    </row>
    <row r="586" spans="1:16">
      <c r="A586" s="41">
        <v>585</v>
      </c>
      <c r="B586" s="42">
        <v>40569</v>
      </c>
      <c r="C586" s="43">
        <v>1</v>
      </c>
      <c r="D586" s="43">
        <v>0</v>
      </c>
      <c r="E586" s="43">
        <v>1</v>
      </c>
      <c r="F586" s="43">
        <v>15</v>
      </c>
      <c r="G586" s="43" t="b">
        <v>0</v>
      </c>
      <c r="H586" s="43">
        <v>3</v>
      </c>
      <c r="I586" s="43">
        <v>3</v>
      </c>
      <c r="J586" s="43">
        <v>0.22</v>
      </c>
      <c r="K586" s="43">
        <v>0.18179999999999999</v>
      </c>
      <c r="L586" s="43">
        <v>0.93</v>
      </c>
      <c r="M586" s="43">
        <v>0.4627</v>
      </c>
      <c r="N586" s="43">
        <v>1</v>
      </c>
      <c r="O586" s="43">
        <v>42</v>
      </c>
      <c r="P586" s="44">
        <v>43</v>
      </c>
    </row>
    <row r="587" spans="1:16">
      <c r="A587" s="45">
        <v>586</v>
      </c>
      <c r="B587" s="46">
        <v>40569</v>
      </c>
      <c r="C587" s="47">
        <v>1</v>
      </c>
      <c r="D587" s="47">
        <v>0</v>
      </c>
      <c r="E587" s="47">
        <v>1</v>
      </c>
      <c r="F587" s="47">
        <v>16</v>
      </c>
      <c r="G587" s="47" t="b">
        <v>0</v>
      </c>
      <c r="H587" s="47">
        <v>3</v>
      </c>
      <c r="I587" s="47">
        <v>4</v>
      </c>
      <c r="J587" s="47">
        <v>0.22</v>
      </c>
      <c r="K587" s="47">
        <v>0.19700000000000001</v>
      </c>
      <c r="L587" s="47">
        <v>0.93</v>
      </c>
      <c r="M587" s="47">
        <v>0.32840000000000003</v>
      </c>
      <c r="N587" s="47">
        <v>1</v>
      </c>
      <c r="O587" s="47">
        <v>35</v>
      </c>
      <c r="P587" s="48">
        <v>36</v>
      </c>
    </row>
    <row r="588" spans="1:16">
      <c r="A588" s="41">
        <v>587</v>
      </c>
      <c r="B588" s="42">
        <v>40569</v>
      </c>
      <c r="C588" s="43">
        <v>1</v>
      </c>
      <c r="D588" s="43">
        <v>0</v>
      </c>
      <c r="E588" s="43">
        <v>1</v>
      </c>
      <c r="F588" s="43">
        <v>17</v>
      </c>
      <c r="G588" s="43" t="b">
        <v>0</v>
      </c>
      <c r="H588" s="43">
        <v>3</v>
      </c>
      <c r="I588" s="43">
        <v>3</v>
      </c>
      <c r="J588" s="43">
        <v>0.2</v>
      </c>
      <c r="K588" s="43">
        <v>0.18179999999999999</v>
      </c>
      <c r="L588" s="43">
        <v>0.93</v>
      </c>
      <c r="M588" s="43">
        <v>0.35820000000000002</v>
      </c>
      <c r="N588" s="43">
        <v>0</v>
      </c>
      <c r="O588" s="43">
        <v>26</v>
      </c>
      <c r="P588" s="44">
        <v>26</v>
      </c>
    </row>
    <row r="589" spans="1:16">
      <c r="A589" s="45">
        <v>588</v>
      </c>
      <c r="B589" s="46">
        <v>40570</v>
      </c>
      <c r="C589" s="47">
        <v>1</v>
      </c>
      <c r="D589" s="47">
        <v>0</v>
      </c>
      <c r="E589" s="47">
        <v>1</v>
      </c>
      <c r="F589" s="47">
        <v>16</v>
      </c>
      <c r="G589" s="47" t="b">
        <v>0</v>
      </c>
      <c r="H589" s="47">
        <v>4</v>
      </c>
      <c r="I589" s="47">
        <v>1</v>
      </c>
      <c r="J589" s="47">
        <v>0.22</v>
      </c>
      <c r="K589" s="47">
        <v>0.2273</v>
      </c>
      <c r="L589" s="47">
        <v>0.55000000000000004</v>
      </c>
      <c r="M589" s="47">
        <v>0.19400000000000001</v>
      </c>
      <c r="N589" s="47">
        <v>1</v>
      </c>
      <c r="O589" s="47">
        <v>23</v>
      </c>
      <c r="P589" s="48">
        <v>24</v>
      </c>
    </row>
    <row r="590" spans="1:16">
      <c r="A590" s="41">
        <v>589</v>
      </c>
      <c r="B590" s="42">
        <v>40570</v>
      </c>
      <c r="C590" s="43">
        <v>1</v>
      </c>
      <c r="D590" s="43">
        <v>0</v>
      </c>
      <c r="E590" s="43">
        <v>1</v>
      </c>
      <c r="F590" s="43">
        <v>17</v>
      </c>
      <c r="G590" s="43" t="b">
        <v>0</v>
      </c>
      <c r="H590" s="43">
        <v>4</v>
      </c>
      <c r="I590" s="43">
        <v>1</v>
      </c>
      <c r="J590" s="43">
        <v>0.22</v>
      </c>
      <c r="K590" s="43">
        <v>0.2424</v>
      </c>
      <c r="L590" s="43">
        <v>0.55000000000000004</v>
      </c>
      <c r="M590" s="43">
        <v>0.1045</v>
      </c>
      <c r="N590" s="43">
        <v>2</v>
      </c>
      <c r="O590" s="43">
        <v>82</v>
      </c>
      <c r="P590" s="44">
        <v>84</v>
      </c>
    </row>
    <row r="591" spans="1:16">
      <c r="A591" s="45">
        <v>590</v>
      </c>
      <c r="B591" s="46">
        <v>40570</v>
      </c>
      <c r="C591" s="47">
        <v>1</v>
      </c>
      <c r="D591" s="47">
        <v>0</v>
      </c>
      <c r="E591" s="47">
        <v>1</v>
      </c>
      <c r="F591" s="47">
        <v>18</v>
      </c>
      <c r="G591" s="47" t="b">
        <v>0</v>
      </c>
      <c r="H591" s="47">
        <v>4</v>
      </c>
      <c r="I591" s="47">
        <v>1</v>
      </c>
      <c r="J591" s="47">
        <v>0.2</v>
      </c>
      <c r="K591" s="47">
        <v>0.2273</v>
      </c>
      <c r="L591" s="47">
        <v>0.69</v>
      </c>
      <c r="M591" s="47">
        <v>8.9599999999999999E-2</v>
      </c>
      <c r="N591" s="47">
        <v>3</v>
      </c>
      <c r="O591" s="47">
        <v>101</v>
      </c>
      <c r="P591" s="48">
        <v>104</v>
      </c>
    </row>
    <row r="592" spans="1:16">
      <c r="A592" s="41">
        <v>591</v>
      </c>
      <c r="B592" s="42">
        <v>40570</v>
      </c>
      <c r="C592" s="43">
        <v>1</v>
      </c>
      <c r="D592" s="43">
        <v>0</v>
      </c>
      <c r="E592" s="43">
        <v>1</v>
      </c>
      <c r="F592" s="43">
        <v>19</v>
      </c>
      <c r="G592" s="43" t="b">
        <v>0</v>
      </c>
      <c r="H592" s="43">
        <v>4</v>
      </c>
      <c r="I592" s="43">
        <v>1</v>
      </c>
      <c r="J592" s="43">
        <v>0.2</v>
      </c>
      <c r="K592" s="43">
        <v>0.2273</v>
      </c>
      <c r="L592" s="43">
        <v>0.69</v>
      </c>
      <c r="M592" s="43">
        <v>8.9599999999999999E-2</v>
      </c>
      <c r="N592" s="43">
        <v>3</v>
      </c>
      <c r="O592" s="43">
        <v>76</v>
      </c>
      <c r="P592" s="44">
        <v>79</v>
      </c>
    </row>
    <row r="593" spans="1:16">
      <c r="A593" s="45">
        <v>592</v>
      </c>
      <c r="B593" s="46">
        <v>40570</v>
      </c>
      <c r="C593" s="47">
        <v>1</v>
      </c>
      <c r="D593" s="47">
        <v>0</v>
      </c>
      <c r="E593" s="47">
        <v>1</v>
      </c>
      <c r="F593" s="47">
        <v>20</v>
      </c>
      <c r="G593" s="47" t="b">
        <v>0</v>
      </c>
      <c r="H593" s="47">
        <v>4</v>
      </c>
      <c r="I593" s="47">
        <v>1</v>
      </c>
      <c r="J593" s="47">
        <v>0.18</v>
      </c>
      <c r="K593" s="47">
        <v>0.21210000000000001</v>
      </c>
      <c r="L593" s="47">
        <v>0.74</v>
      </c>
      <c r="M593" s="47">
        <v>8.9599999999999999E-2</v>
      </c>
      <c r="N593" s="47">
        <v>4</v>
      </c>
      <c r="O593" s="47">
        <v>55</v>
      </c>
      <c r="P593" s="48">
        <v>59</v>
      </c>
    </row>
    <row r="594" spans="1:16">
      <c r="A594" s="41">
        <v>593</v>
      </c>
      <c r="B594" s="42">
        <v>40570</v>
      </c>
      <c r="C594" s="43">
        <v>1</v>
      </c>
      <c r="D594" s="43">
        <v>0</v>
      </c>
      <c r="E594" s="43">
        <v>1</v>
      </c>
      <c r="F594" s="43">
        <v>21</v>
      </c>
      <c r="G594" s="43" t="b">
        <v>0</v>
      </c>
      <c r="H594" s="43">
        <v>4</v>
      </c>
      <c r="I594" s="43">
        <v>1</v>
      </c>
      <c r="J594" s="43">
        <v>0.18</v>
      </c>
      <c r="K594" s="43">
        <v>0.21210000000000001</v>
      </c>
      <c r="L594" s="43">
        <v>0.74</v>
      </c>
      <c r="M594" s="43">
        <v>8.9599999999999999E-2</v>
      </c>
      <c r="N594" s="43">
        <v>2</v>
      </c>
      <c r="O594" s="43">
        <v>36</v>
      </c>
      <c r="P594" s="44">
        <v>38</v>
      </c>
    </row>
    <row r="595" spans="1:16">
      <c r="A595" s="45">
        <v>594</v>
      </c>
      <c r="B595" s="46">
        <v>40570</v>
      </c>
      <c r="C595" s="47">
        <v>1</v>
      </c>
      <c r="D595" s="47">
        <v>0</v>
      </c>
      <c r="E595" s="47">
        <v>1</v>
      </c>
      <c r="F595" s="47">
        <v>22</v>
      </c>
      <c r="G595" s="47" t="b">
        <v>0</v>
      </c>
      <c r="H595" s="47">
        <v>4</v>
      </c>
      <c r="I595" s="47">
        <v>1</v>
      </c>
      <c r="J595" s="47">
        <v>0.18</v>
      </c>
      <c r="K595" s="47">
        <v>0.21210000000000001</v>
      </c>
      <c r="L595" s="47">
        <v>0.74</v>
      </c>
      <c r="M595" s="47">
        <v>8.9599999999999999E-2</v>
      </c>
      <c r="N595" s="47">
        <v>0</v>
      </c>
      <c r="O595" s="47">
        <v>27</v>
      </c>
      <c r="P595" s="48">
        <v>27</v>
      </c>
    </row>
    <row r="596" spans="1:16">
      <c r="A596" s="41">
        <v>595</v>
      </c>
      <c r="B596" s="42">
        <v>40570</v>
      </c>
      <c r="C596" s="43">
        <v>1</v>
      </c>
      <c r="D596" s="43">
        <v>0</v>
      </c>
      <c r="E596" s="43">
        <v>1</v>
      </c>
      <c r="F596" s="43">
        <v>23</v>
      </c>
      <c r="G596" s="43" t="b">
        <v>0</v>
      </c>
      <c r="H596" s="43">
        <v>4</v>
      </c>
      <c r="I596" s="43">
        <v>1</v>
      </c>
      <c r="J596" s="43">
        <v>0.18</v>
      </c>
      <c r="K596" s="43">
        <v>0.19700000000000001</v>
      </c>
      <c r="L596" s="43">
        <v>0.8</v>
      </c>
      <c r="M596" s="43">
        <v>0.16420000000000001</v>
      </c>
      <c r="N596" s="43">
        <v>0</v>
      </c>
      <c r="O596" s="43">
        <v>16</v>
      </c>
      <c r="P596" s="44">
        <v>16</v>
      </c>
    </row>
    <row r="597" spans="1:16">
      <c r="A597" s="45">
        <v>596</v>
      </c>
      <c r="B597" s="46">
        <v>40571</v>
      </c>
      <c r="C597" s="47">
        <v>1</v>
      </c>
      <c r="D597" s="47">
        <v>0</v>
      </c>
      <c r="E597" s="47">
        <v>1</v>
      </c>
      <c r="F597" s="47">
        <v>0</v>
      </c>
      <c r="G597" s="47" t="b">
        <v>0</v>
      </c>
      <c r="H597" s="47">
        <v>5</v>
      </c>
      <c r="I597" s="47">
        <v>2</v>
      </c>
      <c r="J597" s="47">
        <v>0.2</v>
      </c>
      <c r="K597" s="47">
        <v>0.21210000000000001</v>
      </c>
      <c r="L597" s="47">
        <v>0.75</v>
      </c>
      <c r="M597" s="47">
        <v>0.1343</v>
      </c>
      <c r="N597" s="47">
        <v>0</v>
      </c>
      <c r="O597" s="47">
        <v>9</v>
      </c>
      <c r="P597" s="48">
        <v>9</v>
      </c>
    </row>
    <row r="598" spans="1:16">
      <c r="A598" s="41">
        <v>597</v>
      </c>
      <c r="B598" s="42">
        <v>40571</v>
      </c>
      <c r="C598" s="43">
        <v>1</v>
      </c>
      <c r="D598" s="43">
        <v>0</v>
      </c>
      <c r="E598" s="43">
        <v>1</v>
      </c>
      <c r="F598" s="43">
        <v>1</v>
      </c>
      <c r="G598" s="43" t="b">
        <v>0</v>
      </c>
      <c r="H598" s="43">
        <v>5</v>
      </c>
      <c r="I598" s="43">
        <v>2</v>
      </c>
      <c r="J598" s="43">
        <v>0.2</v>
      </c>
      <c r="K598" s="43">
        <v>0.21210000000000001</v>
      </c>
      <c r="L598" s="43">
        <v>0.75</v>
      </c>
      <c r="M598" s="43">
        <v>0.1343</v>
      </c>
      <c r="N598" s="43">
        <v>1</v>
      </c>
      <c r="O598" s="43">
        <v>2</v>
      </c>
      <c r="P598" s="44">
        <v>3</v>
      </c>
    </row>
    <row r="599" spans="1:16">
      <c r="A599" s="45">
        <v>598</v>
      </c>
      <c r="B599" s="46">
        <v>40571</v>
      </c>
      <c r="C599" s="47">
        <v>1</v>
      </c>
      <c r="D599" s="47">
        <v>0</v>
      </c>
      <c r="E599" s="47">
        <v>1</v>
      </c>
      <c r="F599" s="47">
        <v>2</v>
      </c>
      <c r="G599" s="47" t="b">
        <v>0</v>
      </c>
      <c r="H599" s="47">
        <v>5</v>
      </c>
      <c r="I599" s="47">
        <v>2</v>
      </c>
      <c r="J599" s="47">
        <v>0.2</v>
      </c>
      <c r="K599" s="47">
        <v>0.21210000000000001</v>
      </c>
      <c r="L599" s="47">
        <v>0.75</v>
      </c>
      <c r="M599" s="47">
        <v>0.16420000000000001</v>
      </c>
      <c r="N599" s="47">
        <v>0</v>
      </c>
      <c r="O599" s="47">
        <v>2</v>
      </c>
      <c r="P599" s="48">
        <v>2</v>
      </c>
    </row>
    <row r="600" spans="1:16">
      <c r="A600" s="41">
        <v>599</v>
      </c>
      <c r="B600" s="42">
        <v>40571</v>
      </c>
      <c r="C600" s="43">
        <v>1</v>
      </c>
      <c r="D600" s="43">
        <v>0</v>
      </c>
      <c r="E600" s="43">
        <v>1</v>
      </c>
      <c r="F600" s="43">
        <v>3</v>
      </c>
      <c r="G600" s="43" t="b">
        <v>0</v>
      </c>
      <c r="H600" s="43">
        <v>5</v>
      </c>
      <c r="I600" s="43">
        <v>2</v>
      </c>
      <c r="J600" s="43">
        <v>0.2</v>
      </c>
      <c r="K600" s="43">
        <v>0.2273</v>
      </c>
      <c r="L600" s="43">
        <v>0.75</v>
      </c>
      <c r="M600" s="43">
        <v>0.1045</v>
      </c>
      <c r="N600" s="43">
        <v>1</v>
      </c>
      <c r="O600" s="43">
        <v>0</v>
      </c>
      <c r="P600" s="44">
        <v>1</v>
      </c>
    </row>
    <row r="601" spans="1:16">
      <c r="A601" s="45">
        <v>600</v>
      </c>
      <c r="B601" s="46">
        <v>40571</v>
      </c>
      <c r="C601" s="47">
        <v>1</v>
      </c>
      <c r="D601" s="47">
        <v>0</v>
      </c>
      <c r="E601" s="47">
        <v>1</v>
      </c>
      <c r="F601" s="47">
        <v>5</v>
      </c>
      <c r="G601" s="47" t="b">
        <v>0</v>
      </c>
      <c r="H601" s="47">
        <v>5</v>
      </c>
      <c r="I601" s="47">
        <v>2</v>
      </c>
      <c r="J601" s="47">
        <v>0.18</v>
      </c>
      <c r="K601" s="47">
        <v>0.21210000000000001</v>
      </c>
      <c r="L601" s="47">
        <v>0.8</v>
      </c>
      <c r="M601" s="47">
        <v>0.1045</v>
      </c>
      <c r="N601" s="47">
        <v>0</v>
      </c>
      <c r="O601" s="47">
        <v>4</v>
      </c>
      <c r="P601" s="48">
        <v>4</v>
      </c>
    </row>
    <row r="602" spans="1:16">
      <c r="A602" s="41">
        <v>601</v>
      </c>
      <c r="B602" s="42">
        <v>40571</v>
      </c>
      <c r="C602" s="43">
        <v>1</v>
      </c>
      <c r="D602" s="43">
        <v>0</v>
      </c>
      <c r="E602" s="43">
        <v>1</v>
      </c>
      <c r="F602" s="43">
        <v>6</v>
      </c>
      <c r="G602" s="43" t="b">
        <v>0</v>
      </c>
      <c r="H602" s="43">
        <v>5</v>
      </c>
      <c r="I602" s="43">
        <v>2</v>
      </c>
      <c r="J602" s="43">
        <v>0.18</v>
      </c>
      <c r="K602" s="43">
        <v>0.19700000000000001</v>
      </c>
      <c r="L602" s="43">
        <v>0.8</v>
      </c>
      <c r="M602" s="43">
        <v>0.1343</v>
      </c>
      <c r="N602" s="43">
        <v>0</v>
      </c>
      <c r="O602" s="43">
        <v>16</v>
      </c>
      <c r="P602" s="44">
        <v>16</v>
      </c>
    </row>
    <row r="603" spans="1:16">
      <c r="A603" s="45">
        <v>602</v>
      </c>
      <c r="B603" s="46">
        <v>40571</v>
      </c>
      <c r="C603" s="47">
        <v>1</v>
      </c>
      <c r="D603" s="47">
        <v>0</v>
      </c>
      <c r="E603" s="47">
        <v>1</v>
      </c>
      <c r="F603" s="47">
        <v>7</v>
      </c>
      <c r="G603" s="47" t="b">
        <v>0</v>
      </c>
      <c r="H603" s="47">
        <v>5</v>
      </c>
      <c r="I603" s="47">
        <v>2</v>
      </c>
      <c r="J603" s="47">
        <v>0.16</v>
      </c>
      <c r="K603" s="47">
        <v>0.19700000000000001</v>
      </c>
      <c r="L603" s="47">
        <v>0.86</v>
      </c>
      <c r="M603" s="47">
        <v>8.9599999999999999E-2</v>
      </c>
      <c r="N603" s="47">
        <v>2</v>
      </c>
      <c r="O603" s="47">
        <v>58</v>
      </c>
      <c r="P603" s="48">
        <v>60</v>
      </c>
    </row>
    <row r="604" spans="1:16">
      <c r="A604" s="41">
        <v>603</v>
      </c>
      <c r="B604" s="42">
        <v>40571</v>
      </c>
      <c r="C604" s="43">
        <v>1</v>
      </c>
      <c r="D604" s="43">
        <v>0</v>
      </c>
      <c r="E604" s="43">
        <v>1</v>
      </c>
      <c r="F604" s="43">
        <v>8</v>
      </c>
      <c r="G604" s="43" t="b">
        <v>0</v>
      </c>
      <c r="H604" s="43">
        <v>5</v>
      </c>
      <c r="I604" s="43">
        <v>2</v>
      </c>
      <c r="J604" s="43">
        <v>0.16</v>
      </c>
      <c r="K604" s="43">
        <v>0.19700000000000001</v>
      </c>
      <c r="L604" s="43">
        <v>0.86</v>
      </c>
      <c r="M604" s="43">
        <v>8.9599999999999999E-2</v>
      </c>
      <c r="N604" s="43">
        <v>2</v>
      </c>
      <c r="O604" s="43">
        <v>155</v>
      </c>
      <c r="P604" s="44">
        <v>157</v>
      </c>
    </row>
    <row r="605" spans="1:16">
      <c r="A605" s="45">
        <v>604</v>
      </c>
      <c r="B605" s="46">
        <v>40571</v>
      </c>
      <c r="C605" s="47">
        <v>1</v>
      </c>
      <c r="D605" s="47">
        <v>0</v>
      </c>
      <c r="E605" s="47">
        <v>1</v>
      </c>
      <c r="F605" s="47">
        <v>9</v>
      </c>
      <c r="G605" s="47" t="b">
        <v>0</v>
      </c>
      <c r="H605" s="47">
        <v>5</v>
      </c>
      <c r="I605" s="47">
        <v>3</v>
      </c>
      <c r="J605" s="47">
        <v>0.18</v>
      </c>
      <c r="K605" s="47">
        <v>0.21210000000000001</v>
      </c>
      <c r="L605" s="47">
        <v>0.86</v>
      </c>
      <c r="M605" s="47">
        <v>8.9599999999999999E-2</v>
      </c>
      <c r="N605" s="47">
        <v>6</v>
      </c>
      <c r="O605" s="47">
        <v>95</v>
      </c>
      <c r="P605" s="48">
        <v>101</v>
      </c>
    </row>
    <row r="606" spans="1:16">
      <c r="A606" s="41">
        <v>605</v>
      </c>
      <c r="B606" s="42">
        <v>40571</v>
      </c>
      <c r="C606" s="43">
        <v>1</v>
      </c>
      <c r="D606" s="43">
        <v>0</v>
      </c>
      <c r="E606" s="43">
        <v>1</v>
      </c>
      <c r="F606" s="43">
        <v>10</v>
      </c>
      <c r="G606" s="43" t="b">
        <v>0</v>
      </c>
      <c r="H606" s="43">
        <v>5</v>
      </c>
      <c r="I606" s="43">
        <v>3</v>
      </c>
      <c r="J606" s="43">
        <v>0.18</v>
      </c>
      <c r="K606" s="43">
        <v>0.21210000000000001</v>
      </c>
      <c r="L606" s="43">
        <v>0.86</v>
      </c>
      <c r="M606" s="43">
        <v>0.1045</v>
      </c>
      <c r="N606" s="43">
        <v>0</v>
      </c>
      <c r="O606" s="43">
        <v>49</v>
      </c>
      <c r="P606" s="44">
        <v>49</v>
      </c>
    </row>
    <row r="607" spans="1:16">
      <c r="A607" s="45">
        <v>606</v>
      </c>
      <c r="B607" s="46">
        <v>40571</v>
      </c>
      <c r="C607" s="47">
        <v>1</v>
      </c>
      <c r="D607" s="47">
        <v>0</v>
      </c>
      <c r="E607" s="47">
        <v>1</v>
      </c>
      <c r="F607" s="47">
        <v>11</v>
      </c>
      <c r="G607" s="47" t="b">
        <v>0</v>
      </c>
      <c r="H607" s="47">
        <v>5</v>
      </c>
      <c r="I607" s="47">
        <v>3</v>
      </c>
      <c r="J607" s="47">
        <v>0.18</v>
      </c>
      <c r="K607" s="47">
        <v>0.21210000000000001</v>
      </c>
      <c r="L607" s="47">
        <v>0.93</v>
      </c>
      <c r="M607" s="47">
        <v>0.1045</v>
      </c>
      <c r="N607" s="47">
        <v>0</v>
      </c>
      <c r="O607" s="47">
        <v>30</v>
      </c>
      <c r="P607" s="48">
        <v>30</v>
      </c>
    </row>
    <row r="608" spans="1:16">
      <c r="A608" s="41">
        <v>607</v>
      </c>
      <c r="B608" s="42">
        <v>40571</v>
      </c>
      <c r="C608" s="43">
        <v>1</v>
      </c>
      <c r="D608" s="43">
        <v>0</v>
      </c>
      <c r="E608" s="43">
        <v>1</v>
      </c>
      <c r="F608" s="43">
        <v>12</v>
      </c>
      <c r="G608" s="43" t="b">
        <v>0</v>
      </c>
      <c r="H608" s="43">
        <v>5</v>
      </c>
      <c r="I608" s="43">
        <v>3</v>
      </c>
      <c r="J608" s="43">
        <v>0.18</v>
      </c>
      <c r="K608" s="43">
        <v>0.21210000000000001</v>
      </c>
      <c r="L608" s="43">
        <v>0.93</v>
      </c>
      <c r="M608" s="43">
        <v>0.1045</v>
      </c>
      <c r="N608" s="43">
        <v>1</v>
      </c>
      <c r="O608" s="43">
        <v>28</v>
      </c>
      <c r="P608" s="44">
        <v>29</v>
      </c>
    </row>
    <row r="609" spans="1:16">
      <c r="A609" s="45">
        <v>608</v>
      </c>
      <c r="B609" s="46">
        <v>40571</v>
      </c>
      <c r="C609" s="47">
        <v>1</v>
      </c>
      <c r="D609" s="47">
        <v>0</v>
      </c>
      <c r="E609" s="47">
        <v>1</v>
      </c>
      <c r="F609" s="47">
        <v>13</v>
      </c>
      <c r="G609" s="47" t="b">
        <v>0</v>
      </c>
      <c r="H609" s="47">
        <v>5</v>
      </c>
      <c r="I609" s="47">
        <v>3</v>
      </c>
      <c r="J609" s="47">
        <v>0.18</v>
      </c>
      <c r="K609" s="47">
        <v>0.21210000000000001</v>
      </c>
      <c r="L609" s="47">
        <v>0.93</v>
      </c>
      <c r="M609" s="47">
        <v>0.1045</v>
      </c>
      <c r="N609" s="47">
        <v>0</v>
      </c>
      <c r="O609" s="47">
        <v>31</v>
      </c>
      <c r="P609" s="48">
        <v>31</v>
      </c>
    </row>
    <row r="610" spans="1:16">
      <c r="A610" s="41">
        <v>609</v>
      </c>
      <c r="B610" s="42">
        <v>40571</v>
      </c>
      <c r="C610" s="43">
        <v>1</v>
      </c>
      <c r="D610" s="43">
        <v>0</v>
      </c>
      <c r="E610" s="43">
        <v>1</v>
      </c>
      <c r="F610" s="43">
        <v>14</v>
      </c>
      <c r="G610" s="43" t="b">
        <v>0</v>
      </c>
      <c r="H610" s="43">
        <v>5</v>
      </c>
      <c r="I610" s="43">
        <v>3</v>
      </c>
      <c r="J610" s="43">
        <v>0.22</v>
      </c>
      <c r="K610" s="43">
        <v>0.2727</v>
      </c>
      <c r="L610" s="43">
        <v>0.8</v>
      </c>
      <c r="M610" s="43">
        <v>0</v>
      </c>
      <c r="N610" s="43">
        <v>2</v>
      </c>
      <c r="O610" s="43">
        <v>36</v>
      </c>
      <c r="P610" s="44">
        <v>38</v>
      </c>
    </row>
    <row r="611" spans="1:16">
      <c r="A611" s="45">
        <v>610</v>
      </c>
      <c r="B611" s="46">
        <v>40571</v>
      </c>
      <c r="C611" s="47">
        <v>1</v>
      </c>
      <c r="D611" s="47">
        <v>0</v>
      </c>
      <c r="E611" s="47">
        <v>1</v>
      </c>
      <c r="F611" s="47">
        <v>15</v>
      </c>
      <c r="G611" s="47" t="b">
        <v>0</v>
      </c>
      <c r="H611" s="47">
        <v>5</v>
      </c>
      <c r="I611" s="47">
        <v>2</v>
      </c>
      <c r="J611" s="47">
        <v>0.2</v>
      </c>
      <c r="K611" s="47">
        <v>0.2576</v>
      </c>
      <c r="L611" s="47">
        <v>0.86</v>
      </c>
      <c r="M611" s="47">
        <v>0</v>
      </c>
      <c r="N611" s="47">
        <v>1</v>
      </c>
      <c r="O611" s="47">
        <v>40</v>
      </c>
      <c r="P611" s="48">
        <v>41</v>
      </c>
    </row>
    <row r="612" spans="1:16">
      <c r="A612" s="41">
        <v>611</v>
      </c>
      <c r="B612" s="42">
        <v>40571</v>
      </c>
      <c r="C612" s="43">
        <v>1</v>
      </c>
      <c r="D612" s="43">
        <v>0</v>
      </c>
      <c r="E612" s="43">
        <v>1</v>
      </c>
      <c r="F612" s="43">
        <v>16</v>
      </c>
      <c r="G612" s="43" t="b">
        <v>0</v>
      </c>
      <c r="H612" s="43">
        <v>5</v>
      </c>
      <c r="I612" s="43">
        <v>1</v>
      </c>
      <c r="J612" s="43">
        <v>0.22</v>
      </c>
      <c r="K612" s="43">
        <v>0.2727</v>
      </c>
      <c r="L612" s="43">
        <v>0.8</v>
      </c>
      <c r="M612" s="43">
        <v>0</v>
      </c>
      <c r="N612" s="43">
        <v>10</v>
      </c>
      <c r="O612" s="43">
        <v>70</v>
      </c>
      <c r="P612" s="44">
        <v>80</v>
      </c>
    </row>
    <row r="613" spans="1:16">
      <c r="A613" s="45">
        <v>612</v>
      </c>
      <c r="B613" s="46">
        <v>40571</v>
      </c>
      <c r="C613" s="47">
        <v>1</v>
      </c>
      <c r="D613" s="47">
        <v>0</v>
      </c>
      <c r="E613" s="47">
        <v>1</v>
      </c>
      <c r="F613" s="47">
        <v>17</v>
      </c>
      <c r="G613" s="47" t="b">
        <v>0</v>
      </c>
      <c r="H613" s="47">
        <v>5</v>
      </c>
      <c r="I613" s="47">
        <v>1</v>
      </c>
      <c r="J613" s="47">
        <v>0.24</v>
      </c>
      <c r="K613" s="47">
        <v>0.2424</v>
      </c>
      <c r="L613" s="47">
        <v>0.75</v>
      </c>
      <c r="M613" s="47">
        <v>0.1343</v>
      </c>
      <c r="N613" s="47">
        <v>2</v>
      </c>
      <c r="O613" s="47">
        <v>147</v>
      </c>
      <c r="P613" s="48">
        <v>149</v>
      </c>
    </row>
    <row r="614" spans="1:16">
      <c r="A614" s="41">
        <v>613</v>
      </c>
      <c r="B614" s="42">
        <v>40571</v>
      </c>
      <c r="C614" s="43">
        <v>1</v>
      </c>
      <c r="D614" s="43">
        <v>0</v>
      </c>
      <c r="E614" s="43">
        <v>1</v>
      </c>
      <c r="F614" s="43">
        <v>18</v>
      </c>
      <c r="G614" s="43" t="b">
        <v>0</v>
      </c>
      <c r="H614" s="43">
        <v>5</v>
      </c>
      <c r="I614" s="43">
        <v>1</v>
      </c>
      <c r="J614" s="43">
        <v>0.24</v>
      </c>
      <c r="K614" s="43">
        <v>0.2273</v>
      </c>
      <c r="L614" s="43">
        <v>0.75</v>
      </c>
      <c r="M614" s="43">
        <v>0.19400000000000001</v>
      </c>
      <c r="N614" s="43">
        <v>2</v>
      </c>
      <c r="O614" s="43">
        <v>107</v>
      </c>
      <c r="P614" s="44">
        <v>109</v>
      </c>
    </row>
    <row r="615" spans="1:16">
      <c r="A615" s="45">
        <v>614</v>
      </c>
      <c r="B615" s="46">
        <v>40571</v>
      </c>
      <c r="C615" s="47">
        <v>1</v>
      </c>
      <c r="D615" s="47">
        <v>0</v>
      </c>
      <c r="E615" s="47">
        <v>1</v>
      </c>
      <c r="F615" s="47">
        <v>19</v>
      </c>
      <c r="G615" s="47" t="b">
        <v>0</v>
      </c>
      <c r="H615" s="47">
        <v>5</v>
      </c>
      <c r="I615" s="47">
        <v>2</v>
      </c>
      <c r="J615" s="47">
        <v>0.24</v>
      </c>
      <c r="K615" s="47">
        <v>0.2424</v>
      </c>
      <c r="L615" s="47">
        <v>0.75</v>
      </c>
      <c r="M615" s="47">
        <v>0.1343</v>
      </c>
      <c r="N615" s="47">
        <v>5</v>
      </c>
      <c r="O615" s="47">
        <v>84</v>
      </c>
      <c r="P615" s="48">
        <v>89</v>
      </c>
    </row>
    <row r="616" spans="1:16">
      <c r="A616" s="41">
        <v>615</v>
      </c>
      <c r="B616" s="42">
        <v>40571</v>
      </c>
      <c r="C616" s="43">
        <v>1</v>
      </c>
      <c r="D616" s="43">
        <v>0</v>
      </c>
      <c r="E616" s="43">
        <v>1</v>
      </c>
      <c r="F616" s="43">
        <v>20</v>
      </c>
      <c r="G616" s="43" t="b">
        <v>0</v>
      </c>
      <c r="H616" s="43">
        <v>5</v>
      </c>
      <c r="I616" s="43">
        <v>2</v>
      </c>
      <c r="J616" s="43">
        <v>0.24</v>
      </c>
      <c r="K616" s="43">
        <v>0.2273</v>
      </c>
      <c r="L616" s="43">
        <v>0.7</v>
      </c>
      <c r="M616" s="43">
        <v>0.19400000000000001</v>
      </c>
      <c r="N616" s="43">
        <v>1</v>
      </c>
      <c r="O616" s="43">
        <v>61</v>
      </c>
      <c r="P616" s="44">
        <v>62</v>
      </c>
    </row>
    <row r="617" spans="1:16">
      <c r="A617" s="45">
        <v>616</v>
      </c>
      <c r="B617" s="46">
        <v>40571</v>
      </c>
      <c r="C617" s="47">
        <v>1</v>
      </c>
      <c r="D617" s="47">
        <v>0</v>
      </c>
      <c r="E617" s="47">
        <v>1</v>
      </c>
      <c r="F617" s="47">
        <v>21</v>
      </c>
      <c r="G617" s="47" t="b">
        <v>0</v>
      </c>
      <c r="H617" s="47">
        <v>5</v>
      </c>
      <c r="I617" s="47">
        <v>2</v>
      </c>
      <c r="J617" s="47">
        <v>0.22</v>
      </c>
      <c r="K617" s="47">
        <v>0.2273</v>
      </c>
      <c r="L617" s="47">
        <v>0.75</v>
      </c>
      <c r="M617" s="47">
        <v>0.1343</v>
      </c>
      <c r="N617" s="47">
        <v>1</v>
      </c>
      <c r="O617" s="47">
        <v>57</v>
      </c>
      <c r="P617" s="48">
        <v>58</v>
      </c>
    </row>
    <row r="618" spans="1:16">
      <c r="A618" s="41">
        <v>617</v>
      </c>
      <c r="B618" s="42">
        <v>40571</v>
      </c>
      <c r="C618" s="43">
        <v>1</v>
      </c>
      <c r="D618" s="43">
        <v>0</v>
      </c>
      <c r="E618" s="43">
        <v>1</v>
      </c>
      <c r="F618" s="43">
        <v>22</v>
      </c>
      <c r="G618" s="43" t="b">
        <v>0</v>
      </c>
      <c r="H618" s="43">
        <v>5</v>
      </c>
      <c r="I618" s="43">
        <v>1</v>
      </c>
      <c r="J618" s="43">
        <v>0.24</v>
      </c>
      <c r="K618" s="43">
        <v>0.21210000000000001</v>
      </c>
      <c r="L618" s="43">
        <v>0.65</v>
      </c>
      <c r="M618" s="43">
        <v>0.35820000000000002</v>
      </c>
      <c r="N618" s="43">
        <v>0</v>
      </c>
      <c r="O618" s="43">
        <v>26</v>
      </c>
      <c r="P618" s="44">
        <v>26</v>
      </c>
    </row>
    <row r="619" spans="1:16">
      <c r="A619" s="45">
        <v>618</v>
      </c>
      <c r="B619" s="46">
        <v>40571</v>
      </c>
      <c r="C619" s="47">
        <v>1</v>
      </c>
      <c r="D619" s="47">
        <v>0</v>
      </c>
      <c r="E619" s="47">
        <v>1</v>
      </c>
      <c r="F619" s="47">
        <v>23</v>
      </c>
      <c r="G619" s="47" t="b">
        <v>0</v>
      </c>
      <c r="H619" s="47">
        <v>5</v>
      </c>
      <c r="I619" s="47">
        <v>1</v>
      </c>
      <c r="J619" s="47">
        <v>0.24</v>
      </c>
      <c r="K619" s="47">
        <v>0.2273</v>
      </c>
      <c r="L619" s="47">
        <v>0.6</v>
      </c>
      <c r="M619" s="47">
        <v>0.22389999999999999</v>
      </c>
      <c r="N619" s="47">
        <v>1</v>
      </c>
      <c r="O619" s="47">
        <v>22</v>
      </c>
      <c r="P619" s="48">
        <v>23</v>
      </c>
    </row>
    <row r="620" spans="1:16">
      <c r="A620" s="41">
        <v>619</v>
      </c>
      <c r="B620" s="42">
        <v>40572</v>
      </c>
      <c r="C620" s="43">
        <v>1</v>
      </c>
      <c r="D620" s="43">
        <v>0</v>
      </c>
      <c r="E620" s="43">
        <v>1</v>
      </c>
      <c r="F620" s="43">
        <v>0</v>
      </c>
      <c r="G620" s="43" t="b">
        <v>0</v>
      </c>
      <c r="H620" s="43">
        <v>6</v>
      </c>
      <c r="I620" s="43">
        <v>1</v>
      </c>
      <c r="J620" s="43">
        <v>0.22</v>
      </c>
      <c r="K620" s="43">
        <v>0.19700000000000001</v>
      </c>
      <c r="L620" s="43">
        <v>0.64</v>
      </c>
      <c r="M620" s="43">
        <v>0.35820000000000002</v>
      </c>
      <c r="N620" s="43">
        <v>2</v>
      </c>
      <c r="O620" s="43">
        <v>26</v>
      </c>
      <c r="P620" s="44">
        <v>28</v>
      </c>
    </row>
    <row r="621" spans="1:16">
      <c r="A621" s="45">
        <v>620</v>
      </c>
      <c r="B621" s="46">
        <v>40572</v>
      </c>
      <c r="C621" s="47">
        <v>1</v>
      </c>
      <c r="D621" s="47">
        <v>0</v>
      </c>
      <c r="E621" s="47">
        <v>1</v>
      </c>
      <c r="F621" s="47">
        <v>1</v>
      </c>
      <c r="G621" s="47" t="b">
        <v>0</v>
      </c>
      <c r="H621" s="47">
        <v>6</v>
      </c>
      <c r="I621" s="47">
        <v>1</v>
      </c>
      <c r="J621" s="47">
        <v>0.22</v>
      </c>
      <c r="K621" s="47">
        <v>0.2273</v>
      </c>
      <c r="L621" s="47">
        <v>0.64</v>
      </c>
      <c r="M621" s="47">
        <v>0.19400000000000001</v>
      </c>
      <c r="N621" s="47">
        <v>0</v>
      </c>
      <c r="O621" s="47">
        <v>20</v>
      </c>
      <c r="P621" s="48">
        <v>20</v>
      </c>
    </row>
    <row r="622" spans="1:16">
      <c r="A622" s="41">
        <v>621</v>
      </c>
      <c r="B622" s="42">
        <v>40572</v>
      </c>
      <c r="C622" s="43">
        <v>1</v>
      </c>
      <c r="D622" s="43">
        <v>0</v>
      </c>
      <c r="E622" s="43">
        <v>1</v>
      </c>
      <c r="F622" s="43">
        <v>2</v>
      </c>
      <c r="G622" s="43" t="b">
        <v>0</v>
      </c>
      <c r="H622" s="43">
        <v>6</v>
      </c>
      <c r="I622" s="43">
        <v>1</v>
      </c>
      <c r="J622" s="43">
        <v>0.22</v>
      </c>
      <c r="K622" s="43">
        <v>0.2273</v>
      </c>
      <c r="L622" s="43">
        <v>0.64</v>
      </c>
      <c r="M622" s="43">
        <v>0.16420000000000001</v>
      </c>
      <c r="N622" s="43">
        <v>0</v>
      </c>
      <c r="O622" s="43">
        <v>15</v>
      </c>
      <c r="P622" s="44">
        <v>15</v>
      </c>
    </row>
    <row r="623" spans="1:16">
      <c r="A623" s="45">
        <v>622</v>
      </c>
      <c r="B623" s="46">
        <v>40572</v>
      </c>
      <c r="C623" s="47">
        <v>1</v>
      </c>
      <c r="D623" s="47">
        <v>0</v>
      </c>
      <c r="E623" s="47">
        <v>1</v>
      </c>
      <c r="F623" s="47">
        <v>3</v>
      </c>
      <c r="G623" s="47" t="b">
        <v>0</v>
      </c>
      <c r="H623" s="47">
        <v>6</v>
      </c>
      <c r="I623" s="47">
        <v>1</v>
      </c>
      <c r="J623" s="47">
        <v>0.2</v>
      </c>
      <c r="K623" s="47">
        <v>0.21210000000000001</v>
      </c>
      <c r="L623" s="47">
        <v>0.64</v>
      </c>
      <c r="M623" s="47">
        <v>0.1343</v>
      </c>
      <c r="N623" s="47">
        <v>3</v>
      </c>
      <c r="O623" s="47">
        <v>5</v>
      </c>
      <c r="P623" s="48">
        <v>8</v>
      </c>
    </row>
    <row r="624" spans="1:16">
      <c r="A624" s="41">
        <v>623</v>
      </c>
      <c r="B624" s="42">
        <v>40572</v>
      </c>
      <c r="C624" s="43">
        <v>1</v>
      </c>
      <c r="D624" s="43">
        <v>0</v>
      </c>
      <c r="E624" s="43">
        <v>1</v>
      </c>
      <c r="F624" s="43">
        <v>4</v>
      </c>
      <c r="G624" s="43" t="b">
        <v>0</v>
      </c>
      <c r="H624" s="43">
        <v>6</v>
      </c>
      <c r="I624" s="43">
        <v>1</v>
      </c>
      <c r="J624" s="43">
        <v>0.16</v>
      </c>
      <c r="K624" s="43">
        <v>0.18179999999999999</v>
      </c>
      <c r="L624" s="43">
        <v>0.69</v>
      </c>
      <c r="M624" s="43">
        <v>0.1045</v>
      </c>
      <c r="N624" s="43">
        <v>1</v>
      </c>
      <c r="O624" s="43">
        <v>2</v>
      </c>
      <c r="P624" s="44">
        <v>3</v>
      </c>
    </row>
    <row r="625" spans="1:16">
      <c r="A625" s="45">
        <v>624</v>
      </c>
      <c r="B625" s="46">
        <v>40572</v>
      </c>
      <c r="C625" s="47">
        <v>1</v>
      </c>
      <c r="D625" s="47">
        <v>0</v>
      </c>
      <c r="E625" s="47">
        <v>1</v>
      </c>
      <c r="F625" s="47">
        <v>6</v>
      </c>
      <c r="G625" s="47" t="b">
        <v>0</v>
      </c>
      <c r="H625" s="47">
        <v>6</v>
      </c>
      <c r="I625" s="47">
        <v>1</v>
      </c>
      <c r="J625" s="47">
        <v>0.16</v>
      </c>
      <c r="K625" s="47">
        <v>0.18179999999999999</v>
      </c>
      <c r="L625" s="47">
        <v>0.64</v>
      </c>
      <c r="M625" s="47">
        <v>0.1343</v>
      </c>
      <c r="N625" s="47">
        <v>0</v>
      </c>
      <c r="O625" s="47">
        <v>2</v>
      </c>
      <c r="P625" s="48">
        <v>2</v>
      </c>
    </row>
    <row r="626" spans="1:16">
      <c r="A626" s="41">
        <v>625</v>
      </c>
      <c r="B626" s="42">
        <v>40572</v>
      </c>
      <c r="C626" s="43">
        <v>1</v>
      </c>
      <c r="D626" s="43">
        <v>0</v>
      </c>
      <c r="E626" s="43">
        <v>1</v>
      </c>
      <c r="F626" s="43">
        <v>7</v>
      </c>
      <c r="G626" s="43" t="b">
        <v>0</v>
      </c>
      <c r="H626" s="43">
        <v>6</v>
      </c>
      <c r="I626" s="43">
        <v>1</v>
      </c>
      <c r="J626" s="43">
        <v>0.16</v>
      </c>
      <c r="K626" s="43">
        <v>0.18179999999999999</v>
      </c>
      <c r="L626" s="43">
        <v>0.59</v>
      </c>
      <c r="M626" s="43">
        <v>0.1045</v>
      </c>
      <c r="N626" s="43">
        <v>1</v>
      </c>
      <c r="O626" s="43">
        <v>4</v>
      </c>
      <c r="P626" s="44">
        <v>5</v>
      </c>
    </row>
    <row r="627" spans="1:16">
      <c r="A627" s="45">
        <v>626</v>
      </c>
      <c r="B627" s="46">
        <v>40572</v>
      </c>
      <c r="C627" s="47">
        <v>1</v>
      </c>
      <c r="D627" s="47">
        <v>0</v>
      </c>
      <c r="E627" s="47">
        <v>1</v>
      </c>
      <c r="F627" s="47">
        <v>8</v>
      </c>
      <c r="G627" s="47" t="b">
        <v>0</v>
      </c>
      <c r="H627" s="47">
        <v>6</v>
      </c>
      <c r="I627" s="47">
        <v>1</v>
      </c>
      <c r="J627" s="47">
        <v>0.18</v>
      </c>
      <c r="K627" s="47">
        <v>0.19700000000000001</v>
      </c>
      <c r="L627" s="47">
        <v>0.55000000000000004</v>
      </c>
      <c r="M627" s="47">
        <v>0.16420000000000001</v>
      </c>
      <c r="N627" s="47">
        <v>3</v>
      </c>
      <c r="O627" s="47">
        <v>31</v>
      </c>
      <c r="P627" s="48">
        <v>34</v>
      </c>
    </row>
    <row r="628" spans="1:16">
      <c r="A628" s="41">
        <v>627</v>
      </c>
      <c r="B628" s="42">
        <v>40572</v>
      </c>
      <c r="C628" s="43">
        <v>1</v>
      </c>
      <c r="D628" s="43">
        <v>0</v>
      </c>
      <c r="E628" s="43">
        <v>1</v>
      </c>
      <c r="F628" s="43">
        <v>9</v>
      </c>
      <c r="G628" s="43" t="b">
        <v>0</v>
      </c>
      <c r="H628" s="43">
        <v>6</v>
      </c>
      <c r="I628" s="43">
        <v>1</v>
      </c>
      <c r="J628" s="43">
        <v>0.18</v>
      </c>
      <c r="K628" s="43">
        <v>0.21210000000000001</v>
      </c>
      <c r="L628" s="43">
        <v>0.59</v>
      </c>
      <c r="M628" s="43">
        <v>8.9599999999999999E-2</v>
      </c>
      <c r="N628" s="43">
        <v>0</v>
      </c>
      <c r="O628" s="43">
        <v>34</v>
      </c>
      <c r="P628" s="44">
        <v>34</v>
      </c>
    </row>
    <row r="629" spans="1:16">
      <c r="A629" s="45">
        <v>628</v>
      </c>
      <c r="B629" s="46">
        <v>40572</v>
      </c>
      <c r="C629" s="47">
        <v>1</v>
      </c>
      <c r="D629" s="47">
        <v>0</v>
      </c>
      <c r="E629" s="47">
        <v>1</v>
      </c>
      <c r="F629" s="47">
        <v>10</v>
      </c>
      <c r="G629" s="47" t="b">
        <v>0</v>
      </c>
      <c r="H629" s="47">
        <v>6</v>
      </c>
      <c r="I629" s="47">
        <v>2</v>
      </c>
      <c r="J629" s="47">
        <v>0.18</v>
      </c>
      <c r="K629" s="47">
        <v>0.21210000000000001</v>
      </c>
      <c r="L629" s="47">
        <v>0.64</v>
      </c>
      <c r="M629" s="47">
        <v>0.1045</v>
      </c>
      <c r="N629" s="47">
        <v>4</v>
      </c>
      <c r="O629" s="47">
        <v>51</v>
      </c>
      <c r="P629" s="48">
        <v>55</v>
      </c>
    </row>
    <row r="630" spans="1:16">
      <c r="A630" s="41">
        <v>629</v>
      </c>
      <c r="B630" s="42">
        <v>40572</v>
      </c>
      <c r="C630" s="43">
        <v>1</v>
      </c>
      <c r="D630" s="43">
        <v>0</v>
      </c>
      <c r="E630" s="43">
        <v>1</v>
      </c>
      <c r="F630" s="43">
        <v>11</v>
      </c>
      <c r="G630" s="43" t="b">
        <v>0</v>
      </c>
      <c r="H630" s="43">
        <v>6</v>
      </c>
      <c r="I630" s="43">
        <v>2</v>
      </c>
      <c r="J630" s="43">
        <v>0.18</v>
      </c>
      <c r="K630" s="43">
        <v>0.19700000000000001</v>
      </c>
      <c r="L630" s="43">
        <v>0.64</v>
      </c>
      <c r="M630" s="43">
        <v>0.1343</v>
      </c>
      <c r="N630" s="43">
        <v>4</v>
      </c>
      <c r="O630" s="43">
        <v>60</v>
      </c>
      <c r="P630" s="44">
        <v>64</v>
      </c>
    </row>
    <row r="631" spans="1:16">
      <c r="A631" s="45">
        <v>630</v>
      </c>
      <c r="B631" s="46">
        <v>40572</v>
      </c>
      <c r="C631" s="47">
        <v>1</v>
      </c>
      <c r="D631" s="47">
        <v>0</v>
      </c>
      <c r="E631" s="47">
        <v>1</v>
      </c>
      <c r="F631" s="47">
        <v>12</v>
      </c>
      <c r="G631" s="47" t="b">
        <v>0</v>
      </c>
      <c r="H631" s="47">
        <v>6</v>
      </c>
      <c r="I631" s="47">
        <v>2</v>
      </c>
      <c r="J631" s="47">
        <v>0.2</v>
      </c>
      <c r="K631" s="47">
        <v>0.19700000000000001</v>
      </c>
      <c r="L631" s="47">
        <v>0.59</v>
      </c>
      <c r="M631" s="47">
        <v>0.19400000000000001</v>
      </c>
      <c r="N631" s="47">
        <v>12</v>
      </c>
      <c r="O631" s="47">
        <v>66</v>
      </c>
      <c r="P631" s="48">
        <v>78</v>
      </c>
    </row>
    <row r="632" spans="1:16">
      <c r="A632" s="41">
        <v>631</v>
      </c>
      <c r="B632" s="42">
        <v>40572</v>
      </c>
      <c r="C632" s="43">
        <v>1</v>
      </c>
      <c r="D632" s="43">
        <v>0</v>
      </c>
      <c r="E632" s="43">
        <v>1</v>
      </c>
      <c r="F632" s="43">
        <v>13</v>
      </c>
      <c r="G632" s="43" t="b">
        <v>0</v>
      </c>
      <c r="H632" s="43">
        <v>6</v>
      </c>
      <c r="I632" s="43">
        <v>2</v>
      </c>
      <c r="J632" s="43">
        <v>0.22</v>
      </c>
      <c r="K632" s="43">
        <v>0.2273</v>
      </c>
      <c r="L632" s="43">
        <v>0.55000000000000004</v>
      </c>
      <c r="M632" s="43">
        <v>0.16420000000000001</v>
      </c>
      <c r="N632" s="43">
        <v>9</v>
      </c>
      <c r="O632" s="43">
        <v>56</v>
      </c>
      <c r="P632" s="44">
        <v>65</v>
      </c>
    </row>
    <row r="633" spans="1:16">
      <c r="A633" s="45">
        <v>632</v>
      </c>
      <c r="B633" s="46">
        <v>40572</v>
      </c>
      <c r="C633" s="47">
        <v>1</v>
      </c>
      <c r="D633" s="47">
        <v>0</v>
      </c>
      <c r="E633" s="47">
        <v>1</v>
      </c>
      <c r="F633" s="47">
        <v>14</v>
      </c>
      <c r="G633" s="47" t="b">
        <v>0</v>
      </c>
      <c r="H633" s="47">
        <v>6</v>
      </c>
      <c r="I633" s="47">
        <v>2</v>
      </c>
      <c r="J633" s="47">
        <v>0.22</v>
      </c>
      <c r="K633" s="47">
        <v>0.2273</v>
      </c>
      <c r="L633" s="47">
        <v>0.6</v>
      </c>
      <c r="M633" s="47">
        <v>0.1343</v>
      </c>
      <c r="N633" s="47">
        <v>10</v>
      </c>
      <c r="O633" s="47">
        <v>89</v>
      </c>
      <c r="P633" s="48">
        <v>99</v>
      </c>
    </row>
    <row r="634" spans="1:16">
      <c r="A634" s="41">
        <v>633</v>
      </c>
      <c r="B634" s="42">
        <v>40572</v>
      </c>
      <c r="C634" s="43">
        <v>1</v>
      </c>
      <c r="D634" s="43">
        <v>0</v>
      </c>
      <c r="E634" s="43">
        <v>1</v>
      </c>
      <c r="F634" s="43">
        <v>15</v>
      </c>
      <c r="G634" s="43" t="b">
        <v>0</v>
      </c>
      <c r="H634" s="43">
        <v>6</v>
      </c>
      <c r="I634" s="43">
        <v>1</v>
      </c>
      <c r="J634" s="43">
        <v>0.22</v>
      </c>
      <c r="K634" s="43">
        <v>0.21210000000000001</v>
      </c>
      <c r="L634" s="43">
        <v>0.69</v>
      </c>
      <c r="M634" s="43">
        <v>0.25369999999999998</v>
      </c>
      <c r="N634" s="43">
        <v>22</v>
      </c>
      <c r="O634" s="43">
        <v>98</v>
      </c>
      <c r="P634" s="44">
        <v>120</v>
      </c>
    </row>
    <row r="635" spans="1:16">
      <c r="A635" s="45">
        <v>634</v>
      </c>
      <c r="B635" s="46">
        <v>40572</v>
      </c>
      <c r="C635" s="47">
        <v>1</v>
      </c>
      <c r="D635" s="47">
        <v>0</v>
      </c>
      <c r="E635" s="47">
        <v>1</v>
      </c>
      <c r="F635" s="47">
        <v>16</v>
      </c>
      <c r="G635" s="47" t="b">
        <v>0</v>
      </c>
      <c r="H635" s="47">
        <v>6</v>
      </c>
      <c r="I635" s="47">
        <v>1</v>
      </c>
      <c r="J635" s="47">
        <v>0.24</v>
      </c>
      <c r="K635" s="47">
        <v>0.2424</v>
      </c>
      <c r="L635" s="47">
        <v>0.6</v>
      </c>
      <c r="M635" s="47">
        <v>0.16420000000000001</v>
      </c>
      <c r="N635" s="47">
        <v>19</v>
      </c>
      <c r="O635" s="47">
        <v>88</v>
      </c>
      <c r="P635" s="48">
        <v>107</v>
      </c>
    </row>
    <row r="636" spans="1:16">
      <c r="A636" s="41">
        <v>635</v>
      </c>
      <c r="B636" s="42">
        <v>40572</v>
      </c>
      <c r="C636" s="43">
        <v>1</v>
      </c>
      <c r="D636" s="43">
        <v>0</v>
      </c>
      <c r="E636" s="43">
        <v>1</v>
      </c>
      <c r="F636" s="43">
        <v>17</v>
      </c>
      <c r="G636" s="43" t="b">
        <v>0</v>
      </c>
      <c r="H636" s="43">
        <v>6</v>
      </c>
      <c r="I636" s="43">
        <v>1</v>
      </c>
      <c r="J636" s="43">
        <v>0.24</v>
      </c>
      <c r="K636" s="43">
        <v>0.28789999999999999</v>
      </c>
      <c r="L636" s="43">
        <v>0.6</v>
      </c>
      <c r="M636" s="43">
        <v>0</v>
      </c>
      <c r="N636" s="43">
        <v>9</v>
      </c>
      <c r="O636" s="43">
        <v>82</v>
      </c>
      <c r="P636" s="44">
        <v>91</v>
      </c>
    </row>
    <row r="637" spans="1:16">
      <c r="A637" s="45">
        <v>636</v>
      </c>
      <c r="B637" s="46">
        <v>40572</v>
      </c>
      <c r="C637" s="47">
        <v>1</v>
      </c>
      <c r="D637" s="47">
        <v>0</v>
      </c>
      <c r="E637" s="47">
        <v>1</v>
      </c>
      <c r="F637" s="47">
        <v>18</v>
      </c>
      <c r="G637" s="47" t="b">
        <v>0</v>
      </c>
      <c r="H637" s="47">
        <v>6</v>
      </c>
      <c r="I637" s="47">
        <v>1</v>
      </c>
      <c r="J637" s="47">
        <v>0.22</v>
      </c>
      <c r="K637" s="47">
        <v>0.2273</v>
      </c>
      <c r="L637" s="47">
        <v>0.69</v>
      </c>
      <c r="M637" s="47">
        <v>0.1343</v>
      </c>
      <c r="N637" s="47">
        <v>9</v>
      </c>
      <c r="O637" s="47">
        <v>59</v>
      </c>
      <c r="P637" s="48">
        <v>68</v>
      </c>
    </row>
    <row r="638" spans="1:16">
      <c r="A638" s="41">
        <v>637</v>
      </c>
      <c r="B638" s="42">
        <v>40572</v>
      </c>
      <c r="C638" s="43">
        <v>1</v>
      </c>
      <c r="D638" s="43">
        <v>0</v>
      </c>
      <c r="E638" s="43">
        <v>1</v>
      </c>
      <c r="F638" s="43">
        <v>19</v>
      </c>
      <c r="G638" s="43" t="b">
        <v>0</v>
      </c>
      <c r="H638" s="43">
        <v>6</v>
      </c>
      <c r="I638" s="43">
        <v>2</v>
      </c>
      <c r="J638" s="43">
        <v>0.22</v>
      </c>
      <c r="K638" s="43">
        <v>0.21210000000000001</v>
      </c>
      <c r="L638" s="43">
        <v>0.69</v>
      </c>
      <c r="M638" s="43">
        <v>0.25369999999999998</v>
      </c>
      <c r="N638" s="43">
        <v>6</v>
      </c>
      <c r="O638" s="43">
        <v>52</v>
      </c>
      <c r="P638" s="44">
        <v>58</v>
      </c>
    </row>
    <row r="639" spans="1:16">
      <c r="A639" s="45">
        <v>638</v>
      </c>
      <c r="B639" s="46">
        <v>40572</v>
      </c>
      <c r="C639" s="47">
        <v>1</v>
      </c>
      <c r="D639" s="47">
        <v>0</v>
      </c>
      <c r="E639" s="47">
        <v>1</v>
      </c>
      <c r="F639" s="47">
        <v>20</v>
      </c>
      <c r="G639" s="47" t="b">
        <v>0</v>
      </c>
      <c r="H639" s="47">
        <v>6</v>
      </c>
      <c r="I639" s="47">
        <v>1</v>
      </c>
      <c r="J639" s="47">
        <v>0.18</v>
      </c>
      <c r="K639" s="47">
        <v>0.21210000000000001</v>
      </c>
      <c r="L639" s="47">
        <v>0.74</v>
      </c>
      <c r="M639" s="47">
        <v>8.9599999999999999E-2</v>
      </c>
      <c r="N639" s="47">
        <v>1</v>
      </c>
      <c r="O639" s="47">
        <v>42</v>
      </c>
      <c r="P639" s="48">
        <v>43</v>
      </c>
    </row>
    <row r="640" spans="1:16">
      <c r="A640" s="41">
        <v>639</v>
      </c>
      <c r="B640" s="42">
        <v>40572</v>
      </c>
      <c r="C640" s="43">
        <v>1</v>
      </c>
      <c r="D640" s="43">
        <v>0</v>
      </c>
      <c r="E640" s="43">
        <v>1</v>
      </c>
      <c r="F640" s="43">
        <v>21</v>
      </c>
      <c r="G640" s="43" t="b">
        <v>0</v>
      </c>
      <c r="H640" s="43">
        <v>6</v>
      </c>
      <c r="I640" s="43">
        <v>1</v>
      </c>
      <c r="J640" s="43">
        <v>0.18</v>
      </c>
      <c r="K640" s="43">
        <v>0.21210000000000001</v>
      </c>
      <c r="L640" s="43">
        <v>0.74</v>
      </c>
      <c r="M640" s="43">
        <v>8.9599999999999999E-2</v>
      </c>
      <c r="N640" s="43">
        <v>1</v>
      </c>
      <c r="O640" s="43">
        <v>35</v>
      </c>
      <c r="P640" s="44">
        <v>36</v>
      </c>
    </row>
    <row r="641" spans="1:16">
      <c r="A641" s="45">
        <v>640</v>
      </c>
      <c r="B641" s="46">
        <v>40572</v>
      </c>
      <c r="C641" s="47">
        <v>1</v>
      </c>
      <c r="D641" s="47">
        <v>0</v>
      </c>
      <c r="E641" s="47">
        <v>1</v>
      </c>
      <c r="F641" s="47">
        <v>22</v>
      </c>
      <c r="G641" s="47" t="b">
        <v>0</v>
      </c>
      <c r="H641" s="47">
        <v>6</v>
      </c>
      <c r="I641" s="47">
        <v>1</v>
      </c>
      <c r="J641" s="47">
        <v>0.16</v>
      </c>
      <c r="K641" s="47">
        <v>0.19700000000000001</v>
      </c>
      <c r="L641" s="47">
        <v>0.8</v>
      </c>
      <c r="M641" s="47">
        <v>8.9599999999999999E-2</v>
      </c>
      <c r="N641" s="47">
        <v>4</v>
      </c>
      <c r="O641" s="47">
        <v>28</v>
      </c>
      <c r="P641" s="48">
        <v>32</v>
      </c>
    </row>
    <row r="642" spans="1:16">
      <c r="A642" s="41">
        <v>641</v>
      </c>
      <c r="B642" s="42">
        <v>40572</v>
      </c>
      <c r="C642" s="43">
        <v>1</v>
      </c>
      <c r="D642" s="43">
        <v>0</v>
      </c>
      <c r="E642" s="43">
        <v>1</v>
      </c>
      <c r="F642" s="43">
        <v>23</v>
      </c>
      <c r="G642" s="43" t="b">
        <v>0</v>
      </c>
      <c r="H642" s="43">
        <v>6</v>
      </c>
      <c r="I642" s="43">
        <v>1</v>
      </c>
      <c r="J642" s="43">
        <v>0.16</v>
      </c>
      <c r="K642" s="43">
        <v>0.19700000000000001</v>
      </c>
      <c r="L642" s="43">
        <v>0.8</v>
      </c>
      <c r="M642" s="43">
        <v>8.9599999999999999E-2</v>
      </c>
      <c r="N642" s="43">
        <v>3</v>
      </c>
      <c r="O642" s="43">
        <v>30</v>
      </c>
      <c r="P642" s="44">
        <v>33</v>
      </c>
    </row>
    <row r="643" spans="1:16">
      <c r="A643" s="45">
        <v>642</v>
      </c>
      <c r="B643" s="46">
        <v>40573</v>
      </c>
      <c r="C643" s="47">
        <v>1</v>
      </c>
      <c r="D643" s="47">
        <v>0</v>
      </c>
      <c r="E643" s="47">
        <v>1</v>
      </c>
      <c r="F643" s="47">
        <v>0</v>
      </c>
      <c r="G643" s="47" t="b">
        <v>0</v>
      </c>
      <c r="H643" s="47">
        <v>0</v>
      </c>
      <c r="I643" s="47">
        <v>1</v>
      </c>
      <c r="J643" s="47">
        <v>0.16</v>
      </c>
      <c r="K643" s="47">
        <v>0.18179999999999999</v>
      </c>
      <c r="L643" s="47">
        <v>0.8</v>
      </c>
      <c r="M643" s="47">
        <v>0.1045</v>
      </c>
      <c r="N643" s="47">
        <v>0</v>
      </c>
      <c r="O643" s="47">
        <v>33</v>
      </c>
      <c r="P643" s="48">
        <v>33</v>
      </c>
    </row>
    <row r="644" spans="1:16">
      <c r="A644" s="41">
        <v>643</v>
      </c>
      <c r="B644" s="42">
        <v>40573</v>
      </c>
      <c r="C644" s="43">
        <v>1</v>
      </c>
      <c r="D644" s="43">
        <v>0</v>
      </c>
      <c r="E644" s="43">
        <v>1</v>
      </c>
      <c r="F644" s="43">
        <v>1</v>
      </c>
      <c r="G644" s="43" t="b">
        <v>0</v>
      </c>
      <c r="H644" s="43">
        <v>0</v>
      </c>
      <c r="I644" s="43">
        <v>1</v>
      </c>
      <c r="J644" s="43">
        <v>0.14000000000000001</v>
      </c>
      <c r="K644" s="43">
        <v>0.21210000000000001</v>
      </c>
      <c r="L644" s="43">
        <v>0.8</v>
      </c>
      <c r="M644" s="43">
        <v>0</v>
      </c>
      <c r="N644" s="43">
        <v>7</v>
      </c>
      <c r="O644" s="43">
        <v>22</v>
      </c>
      <c r="P644" s="44">
        <v>29</v>
      </c>
    </row>
    <row r="645" spans="1:16">
      <c r="A645" s="45">
        <v>644</v>
      </c>
      <c r="B645" s="46">
        <v>40573</v>
      </c>
      <c r="C645" s="47">
        <v>1</v>
      </c>
      <c r="D645" s="47">
        <v>0</v>
      </c>
      <c r="E645" s="47">
        <v>1</v>
      </c>
      <c r="F645" s="47">
        <v>2</v>
      </c>
      <c r="G645" s="47" t="b">
        <v>0</v>
      </c>
      <c r="H645" s="47">
        <v>0</v>
      </c>
      <c r="I645" s="47">
        <v>1</v>
      </c>
      <c r="J645" s="47">
        <v>0.16</v>
      </c>
      <c r="K645" s="47">
        <v>0.2273</v>
      </c>
      <c r="L645" s="47">
        <v>0.8</v>
      </c>
      <c r="M645" s="47">
        <v>0</v>
      </c>
      <c r="N645" s="47">
        <v>1</v>
      </c>
      <c r="O645" s="47">
        <v>10</v>
      </c>
      <c r="P645" s="48">
        <v>11</v>
      </c>
    </row>
    <row r="646" spans="1:16">
      <c r="A646" s="41">
        <v>645</v>
      </c>
      <c r="B646" s="42">
        <v>40573</v>
      </c>
      <c r="C646" s="43">
        <v>1</v>
      </c>
      <c r="D646" s="43">
        <v>0</v>
      </c>
      <c r="E646" s="43">
        <v>1</v>
      </c>
      <c r="F646" s="43">
        <v>3</v>
      </c>
      <c r="G646" s="43" t="b">
        <v>0</v>
      </c>
      <c r="H646" s="43">
        <v>0</v>
      </c>
      <c r="I646" s="43">
        <v>1</v>
      </c>
      <c r="J646" s="43">
        <v>0.14000000000000001</v>
      </c>
      <c r="K646" s="43">
        <v>0.21210000000000001</v>
      </c>
      <c r="L646" s="43">
        <v>0.93</v>
      </c>
      <c r="M646" s="43">
        <v>0</v>
      </c>
      <c r="N646" s="43">
        <v>1</v>
      </c>
      <c r="O646" s="43">
        <v>7</v>
      </c>
      <c r="P646" s="44">
        <v>8</v>
      </c>
    </row>
    <row r="647" spans="1:16">
      <c r="A647" s="45">
        <v>646</v>
      </c>
      <c r="B647" s="46">
        <v>40573</v>
      </c>
      <c r="C647" s="47">
        <v>1</v>
      </c>
      <c r="D647" s="47">
        <v>0</v>
      </c>
      <c r="E647" s="47">
        <v>1</v>
      </c>
      <c r="F647" s="47">
        <v>4</v>
      </c>
      <c r="G647" s="47" t="b">
        <v>0</v>
      </c>
      <c r="H647" s="47">
        <v>0</v>
      </c>
      <c r="I647" s="47">
        <v>1</v>
      </c>
      <c r="J647" s="47">
        <v>0.14000000000000001</v>
      </c>
      <c r="K647" s="47">
        <v>0.21210000000000001</v>
      </c>
      <c r="L647" s="47">
        <v>0.93</v>
      </c>
      <c r="M647" s="47">
        <v>0</v>
      </c>
      <c r="N647" s="47">
        <v>0</v>
      </c>
      <c r="O647" s="47">
        <v>1</v>
      </c>
      <c r="P647" s="48">
        <v>1</v>
      </c>
    </row>
    <row r="648" spans="1:16">
      <c r="A648" s="41">
        <v>647</v>
      </c>
      <c r="B648" s="42">
        <v>40573</v>
      </c>
      <c r="C648" s="43">
        <v>1</v>
      </c>
      <c r="D648" s="43">
        <v>0</v>
      </c>
      <c r="E648" s="43">
        <v>1</v>
      </c>
      <c r="F648" s="43">
        <v>5</v>
      </c>
      <c r="G648" s="43" t="b">
        <v>0</v>
      </c>
      <c r="H648" s="43">
        <v>0</v>
      </c>
      <c r="I648" s="43">
        <v>1</v>
      </c>
      <c r="J648" s="43">
        <v>0.14000000000000001</v>
      </c>
      <c r="K648" s="43">
        <v>0.21210000000000001</v>
      </c>
      <c r="L648" s="43">
        <v>0.86</v>
      </c>
      <c r="M648" s="43">
        <v>0</v>
      </c>
      <c r="N648" s="43">
        <v>0</v>
      </c>
      <c r="O648" s="43">
        <v>3</v>
      </c>
      <c r="P648" s="44">
        <v>3</v>
      </c>
    </row>
    <row r="649" spans="1:16">
      <c r="A649" s="45">
        <v>648</v>
      </c>
      <c r="B649" s="46">
        <v>40573</v>
      </c>
      <c r="C649" s="47">
        <v>1</v>
      </c>
      <c r="D649" s="47">
        <v>0</v>
      </c>
      <c r="E649" s="47">
        <v>1</v>
      </c>
      <c r="F649" s="47">
        <v>7</v>
      </c>
      <c r="G649" s="47" t="b">
        <v>0</v>
      </c>
      <c r="H649" s="47">
        <v>0</v>
      </c>
      <c r="I649" s="47">
        <v>1</v>
      </c>
      <c r="J649" s="47">
        <v>0.14000000000000001</v>
      </c>
      <c r="K649" s="47">
        <v>0.21210000000000001</v>
      </c>
      <c r="L649" s="47">
        <v>0.86</v>
      </c>
      <c r="M649" s="47">
        <v>0</v>
      </c>
      <c r="N649" s="47">
        <v>0</v>
      </c>
      <c r="O649" s="47">
        <v>3</v>
      </c>
      <c r="P649" s="48">
        <v>3</v>
      </c>
    </row>
    <row r="650" spans="1:16">
      <c r="A650" s="41">
        <v>649</v>
      </c>
      <c r="B650" s="42">
        <v>40573</v>
      </c>
      <c r="C650" s="43">
        <v>1</v>
      </c>
      <c r="D650" s="43">
        <v>0</v>
      </c>
      <c r="E650" s="43">
        <v>1</v>
      </c>
      <c r="F650" s="43">
        <v>8</v>
      </c>
      <c r="G650" s="43" t="b">
        <v>0</v>
      </c>
      <c r="H650" s="43">
        <v>0</v>
      </c>
      <c r="I650" s="43">
        <v>2</v>
      </c>
      <c r="J650" s="43">
        <v>0.14000000000000001</v>
      </c>
      <c r="K650" s="43">
        <v>0.21210000000000001</v>
      </c>
      <c r="L650" s="43">
        <v>0.86</v>
      </c>
      <c r="M650" s="43">
        <v>0</v>
      </c>
      <c r="N650" s="43">
        <v>1</v>
      </c>
      <c r="O650" s="43">
        <v>11</v>
      </c>
      <c r="P650" s="44">
        <v>12</v>
      </c>
    </row>
    <row r="651" spans="1:16">
      <c r="A651" s="45">
        <v>650</v>
      </c>
      <c r="B651" s="46">
        <v>40573</v>
      </c>
      <c r="C651" s="47">
        <v>1</v>
      </c>
      <c r="D651" s="47">
        <v>0</v>
      </c>
      <c r="E651" s="47">
        <v>1</v>
      </c>
      <c r="F651" s="47">
        <v>9</v>
      </c>
      <c r="G651" s="47" t="b">
        <v>0</v>
      </c>
      <c r="H651" s="47">
        <v>0</v>
      </c>
      <c r="I651" s="47">
        <v>2</v>
      </c>
      <c r="J651" s="47">
        <v>0.16</v>
      </c>
      <c r="K651" s="47">
        <v>0.2273</v>
      </c>
      <c r="L651" s="47">
        <v>0.8</v>
      </c>
      <c r="M651" s="47">
        <v>0</v>
      </c>
      <c r="N651" s="47">
        <v>4</v>
      </c>
      <c r="O651" s="47">
        <v>34</v>
      </c>
      <c r="P651" s="48">
        <v>38</v>
      </c>
    </row>
    <row r="652" spans="1:16">
      <c r="A652" s="41">
        <v>651</v>
      </c>
      <c r="B652" s="42">
        <v>40573</v>
      </c>
      <c r="C652" s="43">
        <v>1</v>
      </c>
      <c r="D652" s="43">
        <v>0</v>
      </c>
      <c r="E652" s="43">
        <v>1</v>
      </c>
      <c r="F652" s="43">
        <v>10</v>
      </c>
      <c r="G652" s="43" t="b">
        <v>0</v>
      </c>
      <c r="H652" s="43">
        <v>0</v>
      </c>
      <c r="I652" s="43">
        <v>2</v>
      </c>
      <c r="J652" s="43">
        <v>0.18</v>
      </c>
      <c r="K652" s="43">
        <v>0.2424</v>
      </c>
      <c r="L652" s="43">
        <v>0.8</v>
      </c>
      <c r="M652" s="43">
        <v>0</v>
      </c>
      <c r="N652" s="43">
        <v>7</v>
      </c>
      <c r="O652" s="43">
        <v>57</v>
      </c>
      <c r="P652" s="44">
        <v>64</v>
      </c>
    </row>
    <row r="653" spans="1:16">
      <c r="A653" s="45">
        <v>652</v>
      </c>
      <c r="B653" s="46">
        <v>40573</v>
      </c>
      <c r="C653" s="47">
        <v>1</v>
      </c>
      <c r="D653" s="47">
        <v>0</v>
      </c>
      <c r="E653" s="47">
        <v>1</v>
      </c>
      <c r="F653" s="47">
        <v>11</v>
      </c>
      <c r="G653" s="47" t="b">
        <v>0</v>
      </c>
      <c r="H653" s="47">
        <v>0</v>
      </c>
      <c r="I653" s="47">
        <v>1</v>
      </c>
      <c r="J653" s="47">
        <v>0.22</v>
      </c>
      <c r="K653" s="47">
        <v>0.2727</v>
      </c>
      <c r="L653" s="47">
        <v>0.75</v>
      </c>
      <c r="M653" s="47">
        <v>0</v>
      </c>
      <c r="N653" s="47">
        <v>9</v>
      </c>
      <c r="O653" s="47">
        <v>50</v>
      </c>
      <c r="P653" s="48">
        <v>59</v>
      </c>
    </row>
    <row r="654" spans="1:16">
      <c r="A654" s="41">
        <v>653</v>
      </c>
      <c r="B654" s="42">
        <v>40573</v>
      </c>
      <c r="C654" s="43">
        <v>1</v>
      </c>
      <c r="D654" s="43">
        <v>0</v>
      </c>
      <c r="E654" s="43">
        <v>1</v>
      </c>
      <c r="F654" s="43">
        <v>12</v>
      </c>
      <c r="G654" s="43" t="b">
        <v>0</v>
      </c>
      <c r="H654" s="43">
        <v>0</v>
      </c>
      <c r="I654" s="43">
        <v>1</v>
      </c>
      <c r="J654" s="43">
        <v>0.3</v>
      </c>
      <c r="K654" s="43">
        <v>0.31819999999999998</v>
      </c>
      <c r="L654" s="43">
        <v>0.52</v>
      </c>
      <c r="M654" s="43">
        <v>0.1045</v>
      </c>
      <c r="N654" s="43">
        <v>10</v>
      </c>
      <c r="O654" s="43">
        <v>87</v>
      </c>
      <c r="P654" s="44">
        <v>97</v>
      </c>
    </row>
    <row r="655" spans="1:16">
      <c r="A655" s="45">
        <v>654</v>
      </c>
      <c r="B655" s="46">
        <v>40573</v>
      </c>
      <c r="C655" s="47">
        <v>1</v>
      </c>
      <c r="D655" s="47">
        <v>0</v>
      </c>
      <c r="E655" s="47">
        <v>1</v>
      </c>
      <c r="F655" s="47">
        <v>13</v>
      </c>
      <c r="G655" s="47" t="b">
        <v>0</v>
      </c>
      <c r="H655" s="47">
        <v>0</v>
      </c>
      <c r="I655" s="47">
        <v>1</v>
      </c>
      <c r="J655" s="47">
        <v>0.28000000000000003</v>
      </c>
      <c r="K655" s="47">
        <v>0.28789999999999999</v>
      </c>
      <c r="L655" s="47">
        <v>0.61</v>
      </c>
      <c r="M655" s="47">
        <v>0.1045</v>
      </c>
      <c r="N655" s="47">
        <v>13</v>
      </c>
      <c r="O655" s="47">
        <v>71</v>
      </c>
      <c r="P655" s="48">
        <v>84</v>
      </c>
    </row>
    <row r="656" spans="1:16">
      <c r="A656" s="41">
        <v>655</v>
      </c>
      <c r="B656" s="42">
        <v>40573</v>
      </c>
      <c r="C656" s="43">
        <v>1</v>
      </c>
      <c r="D656" s="43">
        <v>0</v>
      </c>
      <c r="E656" s="43">
        <v>1</v>
      </c>
      <c r="F656" s="43">
        <v>14</v>
      </c>
      <c r="G656" s="43" t="b">
        <v>0</v>
      </c>
      <c r="H656" s="43">
        <v>0</v>
      </c>
      <c r="I656" s="43">
        <v>1</v>
      </c>
      <c r="J656" s="43">
        <v>0.28000000000000003</v>
      </c>
      <c r="K656" s="43">
        <v>0.30299999999999999</v>
      </c>
      <c r="L656" s="43">
        <v>0.61</v>
      </c>
      <c r="M656" s="43">
        <v>8.9599999999999999E-2</v>
      </c>
      <c r="N656" s="43">
        <v>18</v>
      </c>
      <c r="O656" s="43">
        <v>104</v>
      </c>
      <c r="P656" s="44">
        <v>122</v>
      </c>
    </row>
    <row r="657" spans="1:16">
      <c r="A657" s="45">
        <v>656</v>
      </c>
      <c r="B657" s="46">
        <v>40573</v>
      </c>
      <c r="C657" s="47">
        <v>1</v>
      </c>
      <c r="D657" s="47">
        <v>0</v>
      </c>
      <c r="E657" s="47">
        <v>1</v>
      </c>
      <c r="F657" s="47">
        <v>15</v>
      </c>
      <c r="G657" s="47" t="b">
        <v>0</v>
      </c>
      <c r="H657" s="47">
        <v>0</v>
      </c>
      <c r="I657" s="47">
        <v>1</v>
      </c>
      <c r="J657" s="47">
        <v>0.3</v>
      </c>
      <c r="K657" s="47">
        <v>0.33329999999999999</v>
      </c>
      <c r="L657" s="47">
        <v>0.56000000000000005</v>
      </c>
      <c r="M657" s="47">
        <v>0</v>
      </c>
      <c r="N657" s="47">
        <v>14</v>
      </c>
      <c r="O657" s="47">
        <v>95</v>
      </c>
      <c r="P657" s="48">
        <v>109</v>
      </c>
    </row>
    <row r="658" spans="1:16">
      <c r="A658" s="41">
        <v>657</v>
      </c>
      <c r="B658" s="42">
        <v>40573</v>
      </c>
      <c r="C658" s="43">
        <v>1</v>
      </c>
      <c r="D658" s="43">
        <v>0</v>
      </c>
      <c r="E658" s="43">
        <v>1</v>
      </c>
      <c r="F658" s="43">
        <v>16</v>
      </c>
      <c r="G658" s="43" t="b">
        <v>0</v>
      </c>
      <c r="H658" s="43">
        <v>0</v>
      </c>
      <c r="I658" s="43">
        <v>1</v>
      </c>
      <c r="J658" s="43">
        <v>0.3</v>
      </c>
      <c r="K658" s="43">
        <v>0.33329999999999999</v>
      </c>
      <c r="L658" s="43">
        <v>0.56000000000000005</v>
      </c>
      <c r="M658" s="43">
        <v>0</v>
      </c>
      <c r="N658" s="43">
        <v>19</v>
      </c>
      <c r="O658" s="43">
        <v>104</v>
      </c>
      <c r="P658" s="44">
        <v>123</v>
      </c>
    </row>
    <row r="659" spans="1:16">
      <c r="A659" s="45">
        <v>658</v>
      </c>
      <c r="B659" s="46">
        <v>40573</v>
      </c>
      <c r="C659" s="47">
        <v>1</v>
      </c>
      <c r="D659" s="47">
        <v>0</v>
      </c>
      <c r="E659" s="47">
        <v>1</v>
      </c>
      <c r="F659" s="47">
        <v>17</v>
      </c>
      <c r="G659" s="47" t="b">
        <v>0</v>
      </c>
      <c r="H659" s="47">
        <v>0</v>
      </c>
      <c r="I659" s="47">
        <v>1</v>
      </c>
      <c r="J659" s="47">
        <v>0.3</v>
      </c>
      <c r="K659" s="47">
        <v>0.28789999999999999</v>
      </c>
      <c r="L659" s="47">
        <v>0.56000000000000005</v>
      </c>
      <c r="M659" s="47">
        <v>0.19400000000000001</v>
      </c>
      <c r="N659" s="47">
        <v>6</v>
      </c>
      <c r="O659" s="47">
        <v>71</v>
      </c>
      <c r="P659" s="48">
        <v>77</v>
      </c>
    </row>
    <row r="660" spans="1:16">
      <c r="A660" s="41">
        <v>659</v>
      </c>
      <c r="B660" s="42">
        <v>40573</v>
      </c>
      <c r="C660" s="43">
        <v>1</v>
      </c>
      <c r="D660" s="43">
        <v>0</v>
      </c>
      <c r="E660" s="43">
        <v>1</v>
      </c>
      <c r="F660" s="43">
        <v>18</v>
      </c>
      <c r="G660" s="43" t="b">
        <v>0</v>
      </c>
      <c r="H660" s="43">
        <v>0</v>
      </c>
      <c r="I660" s="43">
        <v>1</v>
      </c>
      <c r="J660" s="43">
        <v>0.26</v>
      </c>
      <c r="K660" s="43">
        <v>0.2576</v>
      </c>
      <c r="L660" s="43">
        <v>0.65</v>
      </c>
      <c r="M660" s="43">
        <v>0.16420000000000001</v>
      </c>
      <c r="N660" s="43">
        <v>8</v>
      </c>
      <c r="O660" s="43">
        <v>57</v>
      </c>
      <c r="P660" s="44">
        <v>65</v>
      </c>
    </row>
    <row r="661" spans="1:16">
      <c r="A661" s="45">
        <v>660</v>
      </c>
      <c r="B661" s="46">
        <v>40573</v>
      </c>
      <c r="C661" s="47">
        <v>1</v>
      </c>
      <c r="D661" s="47">
        <v>0</v>
      </c>
      <c r="E661" s="47">
        <v>1</v>
      </c>
      <c r="F661" s="47">
        <v>19</v>
      </c>
      <c r="G661" s="47" t="b">
        <v>0</v>
      </c>
      <c r="H661" s="47">
        <v>0</v>
      </c>
      <c r="I661" s="47">
        <v>1</v>
      </c>
      <c r="J661" s="47">
        <v>0.26</v>
      </c>
      <c r="K661" s="47">
        <v>0.2576</v>
      </c>
      <c r="L661" s="47">
        <v>0.65</v>
      </c>
      <c r="M661" s="47">
        <v>0.19400000000000001</v>
      </c>
      <c r="N661" s="47">
        <v>9</v>
      </c>
      <c r="O661" s="47">
        <v>46</v>
      </c>
      <c r="P661" s="48">
        <v>55</v>
      </c>
    </row>
    <row r="662" spans="1:16">
      <c r="A662" s="41">
        <v>661</v>
      </c>
      <c r="B662" s="42">
        <v>40573</v>
      </c>
      <c r="C662" s="43">
        <v>1</v>
      </c>
      <c r="D662" s="43">
        <v>0</v>
      </c>
      <c r="E662" s="43">
        <v>1</v>
      </c>
      <c r="F662" s="43">
        <v>20</v>
      </c>
      <c r="G662" s="43" t="b">
        <v>0</v>
      </c>
      <c r="H662" s="43">
        <v>0</v>
      </c>
      <c r="I662" s="43">
        <v>2</v>
      </c>
      <c r="J662" s="43">
        <v>0.26</v>
      </c>
      <c r="K662" s="43">
        <v>0.2727</v>
      </c>
      <c r="L662" s="43">
        <v>0.65</v>
      </c>
      <c r="M662" s="43">
        <v>0.1045</v>
      </c>
      <c r="N662" s="43">
        <v>3</v>
      </c>
      <c r="O662" s="43">
        <v>30</v>
      </c>
      <c r="P662" s="44">
        <v>33</v>
      </c>
    </row>
    <row r="663" spans="1:16">
      <c r="A663" s="45">
        <v>662</v>
      </c>
      <c r="B663" s="46">
        <v>40573</v>
      </c>
      <c r="C663" s="47">
        <v>1</v>
      </c>
      <c r="D663" s="47">
        <v>0</v>
      </c>
      <c r="E663" s="47">
        <v>1</v>
      </c>
      <c r="F663" s="47">
        <v>21</v>
      </c>
      <c r="G663" s="47" t="b">
        <v>0</v>
      </c>
      <c r="H663" s="47">
        <v>0</v>
      </c>
      <c r="I663" s="47">
        <v>2</v>
      </c>
      <c r="J663" s="47">
        <v>0.24</v>
      </c>
      <c r="K663" s="47">
        <v>0.2424</v>
      </c>
      <c r="L663" s="47">
        <v>0.7</v>
      </c>
      <c r="M663" s="47">
        <v>0.16420000000000001</v>
      </c>
      <c r="N663" s="47">
        <v>3</v>
      </c>
      <c r="O663" s="47">
        <v>25</v>
      </c>
      <c r="P663" s="48">
        <v>28</v>
      </c>
    </row>
    <row r="664" spans="1:16">
      <c r="A664" s="41">
        <v>663</v>
      </c>
      <c r="B664" s="42">
        <v>40573</v>
      </c>
      <c r="C664" s="43">
        <v>1</v>
      </c>
      <c r="D664" s="43">
        <v>0</v>
      </c>
      <c r="E664" s="43">
        <v>1</v>
      </c>
      <c r="F664" s="43">
        <v>22</v>
      </c>
      <c r="G664" s="43" t="b">
        <v>0</v>
      </c>
      <c r="H664" s="43">
        <v>0</v>
      </c>
      <c r="I664" s="43">
        <v>2</v>
      </c>
      <c r="J664" s="43">
        <v>0.24</v>
      </c>
      <c r="K664" s="43">
        <v>0.2273</v>
      </c>
      <c r="L664" s="43">
        <v>0.7</v>
      </c>
      <c r="M664" s="43">
        <v>0.19400000000000001</v>
      </c>
      <c r="N664" s="43">
        <v>2</v>
      </c>
      <c r="O664" s="43">
        <v>19</v>
      </c>
      <c r="P664" s="44">
        <v>21</v>
      </c>
    </row>
    <row r="665" spans="1:16">
      <c r="A665" s="45">
        <v>664</v>
      </c>
      <c r="B665" s="46">
        <v>40573</v>
      </c>
      <c r="C665" s="47">
        <v>1</v>
      </c>
      <c r="D665" s="47">
        <v>0</v>
      </c>
      <c r="E665" s="47">
        <v>1</v>
      </c>
      <c r="F665" s="47">
        <v>23</v>
      </c>
      <c r="G665" s="47" t="b">
        <v>0</v>
      </c>
      <c r="H665" s="47">
        <v>0</v>
      </c>
      <c r="I665" s="47">
        <v>2</v>
      </c>
      <c r="J665" s="47">
        <v>0.24</v>
      </c>
      <c r="K665" s="47">
        <v>0.21210000000000001</v>
      </c>
      <c r="L665" s="47">
        <v>0.65</v>
      </c>
      <c r="M665" s="47">
        <v>0.28360000000000002</v>
      </c>
      <c r="N665" s="47">
        <v>5</v>
      </c>
      <c r="O665" s="47">
        <v>16</v>
      </c>
      <c r="P665" s="48">
        <v>21</v>
      </c>
    </row>
    <row r="666" spans="1:16">
      <c r="A666" s="41">
        <v>665</v>
      </c>
      <c r="B666" s="42">
        <v>40574</v>
      </c>
      <c r="C666" s="43">
        <v>1</v>
      </c>
      <c r="D666" s="43">
        <v>0</v>
      </c>
      <c r="E666" s="43">
        <v>1</v>
      </c>
      <c r="F666" s="43">
        <v>0</v>
      </c>
      <c r="G666" s="43" t="b">
        <v>0</v>
      </c>
      <c r="H666" s="43">
        <v>1</v>
      </c>
      <c r="I666" s="43">
        <v>2</v>
      </c>
      <c r="J666" s="43">
        <v>0.24</v>
      </c>
      <c r="K666" s="43">
        <v>0.2273</v>
      </c>
      <c r="L666" s="43">
        <v>0.65</v>
      </c>
      <c r="M666" s="43">
        <v>0.22389999999999999</v>
      </c>
      <c r="N666" s="43">
        <v>1</v>
      </c>
      <c r="O666" s="43">
        <v>6</v>
      </c>
      <c r="P666" s="44">
        <v>7</v>
      </c>
    </row>
    <row r="667" spans="1:16">
      <c r="A667" s="45">
        <v>666</v>
      </c>
      <c r="B667" s="46">
        <v>40574</v>
      </c>
      <c r="C667" s="47">
        <v>1</v>
      </c>
      <c r="D667" s="47">
        <v>0</v>
      </c>
      <c r="E667" s="47">
        <v>1</v>
      </c>
      <c r="F667" s="47">
        <v>1</v>
      </c>
      <c r="G667" s="47" t="b">
        <v>0</v>
      </c>
      <c r="H667" s="47">
        <v>1</v>
      </c>
      <c r="I667" s="47">
        <v>1</v>
      </c>
      <c r="J667" s="47">
        <v>0.22</v>
      </c>
      <c r="K667" s="47">
        <v>0.21210000000000001</v>
      </c>
      <c r="L667" s="47">
        <v>0.64</v>
      </c>
      <c r="M667" s="47">
        <v>0.25369999999999998</v>
      </c>
      <c r="N667" s="47">
        <v>2</v>
      </c>
      <c r="O667" s="47">
        <v>5</v>
      </c>
      <c r="P667" s="48">
        <v>7</v>
      </c>
    </row>
    <row r="668" spans="1:16">
      <c r="A668" s="41">
        <v>667</v>
      </c>
      <c r="B668" s="42">
        <v>40574</v>
      </c>
      <c r="C668" s="43">
        <v>1</v>
      </c>
      <c r="D668" s="43">
        <v>0</v>
      </c>
      <c r="E668" s="43">
        <v>1</v>
      </c>
      <c r="F668" s="43">
        <v>2</v>
      </c>
      <c r="G668" s="43" t="b">
        <v>0</v>
      </c>
      <c r="H668" s="43">
        <v>1</v>
      </c>
      <c r="I668" s="43">
        <v>1</v>
      </c>
      <c r="J668" s="43">
        <v>0.22</v>
      </c>
      <c r="K668" s="43">
        <v>0.2273</v>
      </c>
      <c r="L668" s="43">
        <v>0.64</v>
      </c>
      <c r="M668" s="43">
        <v>0.19400000000000001</v>
      </c>
      <c r="N668" s="43">
        <v>0</v>
      </c>
      <c r="O668" s="43">
        <v>1</v>
      </c>
      <c r="P668" s="44">
        <v>1</v>
      </c>
    </row>
    <row r="669" spans="1:16">
      <c r="A669" s="45">
        <v>668</v>
      </c>
      <c r="B669" s="46">
        <v>40574</v>
      </c>
      <c r="C669" s="47">
        <v>1</v>
      </c>
      <c r="D669" s="47">
        <v>0</v>
      </c>
      <c r="E669" s="47">
        <v>1</v>
      </c>
      <c r="F669" s="47">
        <v>3</v>
      </c>
      <c r="G669" s="47" t="b">
        <v>0</v>
      </c>
      <c r="H669" s="47">
        <v>1</v>
      </c>
      <c r="I669" s="47">
        <v>1</v>
      </c>
      <c r="J669" s="47">
        <v>0.22</v>
      </c>
      <c r="K669" s="47">
        <v>0.2273</v>
      </c>
      <c r="L669" s="47">
        <v>0.64</v>
      </c>
      <c r="M669" s="47">
        <v>0.19400000000000001</v>
      </c>
      <c r="N669" s="47">
        <v>0</v>
      </c>
      <c r="O669" s="47">
        <v>2</v>
      </c>
      <c r="P669" s="48">
        <v>2</v>
      </c>
    </row>
    <row r="670" spans="1:16">
      <c r="A670" s="41">
        <v>669</v>
      </c>
      <c r="B670" s="42">
        <v>40574</v>
      </c>
      <c r="C670" s="43">
        <v>1</v>
      </c>
      <c r="D670" s="43">
        <v>0</v>
      </c>
      <c r="E670" s="43">
        <v>1</v>
      </c>
      <c r="F670" s="43">
        <v>4</v>
      </c>
      <c r="G670" s="43" t="b">
        <v>0</v>
      </c>
      <c r="H670" s="43">
        <v>1</v>
      </c>
      <c r="I670" s="43">
        <v>1</v>
      </c>
      <c r="J670" s="43">
        <v>0.2</v>
      </c>
      <c r="K670" s="43">
        <v>0.19700000000000001</v>
      </c>
      <c r="L670" s="43">
        <v>0.59</v>
      </c>
      <c r="M670" s="43">
        <v>0.22389999999999999</v>
      </c>
      <c r="N670" s="43">
        <v>0</v>
      </c>
      <c r="O670" s="43">
        <v>2</v>
      </c>
      <c r="P670" s="44">
        <v>2</v>
      </c>
    </row>
    <row r="671" spans="1:16">
      <c r="A671" s="45">
        <v>670</v>
      </c>
      <c r="B671" s="46">
        <v>40574</v>
      </c>
      <c r="C671" s="47">
        <v>1</v>
      </c>
      <c r="D671" s="47">
        <v>0</v>
      </c>
      <c r="E671" s="47">
        <v>1</v>
      </c>
      <c r="F671" s="47">
        <v>5</v>
      </c>
      <c r="G671" s="47" t="b">
        <v>0</v>
      </c>
      <c r="H671" s="47">
        <v>1</v>
      </c>
      <c r="I671" s="47">
        <v>1</v>
      </c>
      <c r="J671" s="47">
        <v>0.18</v>
      </c>
      <c r="K671" s="47">
        <v>0.16669999999999999</v>
      </c>
      <c r="L671" s="47">
        <v>0.64</v>
      </c>
      <c r="M671" s="47">
        <v>0.28360000000000002</v>
      </c>
      <c r="N671" s="47">
        <v>0</v>
      </c>
      <c r="O671" s="47">
        <v>8</v>
      </c>
      <c r="P671" s="48">
        <v>8</v>
      </c>
    </row>
    <row r="672" spans="1:16">
      <c r="A672" s="41">
        <v>671</v>
      </c>
      <c r="B672" s="42">
        <v>40574</v>
      </c>
      <c r="C672" s="43">
        <v>1</v>
      </c>
      <c r="D672" s="43">
        <v>0</v>
      </c>
      <c r="E672" s="43">
        <v>1</v>
      </c>
      <c r="F672" s="43">
        <v>6</v>
      </c>
      <c r="G672" s="43" t="b">
        <v>0</v>
      </c>
      <c r="H672" s="43">
        <v>1</v>
      </c>
      <c r="I672" s="43">
        <v>1</v>
      </c>
      <c r="J672" s="43">
        <v>0.16</v>
      </c>
      <c r="K672" s="43">
        <v>0.13639999999999999</v>
      </c>
      <c r="L672" s="43">
        <v>0.69</v>
      </c>
      <c r="M672" s="43">
        <v>0.32840000000000003</v>
      </c>
      <c r="N672" s="43">
        <v>0</v>
      </c>
      <c r="O672" s="43">
        <v>37</v>
      </c>
      <c r="P672" s="44">
        <v>37</v>
      </c>
    </row>
    <row r="673" spans="1:16">
      <c r="A673" s="45">
        <v>672</v>
      </c>
      <c r="B673" s="46">
        <v>40574</v>
      </c>
      <c r="C673" s="47">
        <v>1</v>
      </c>
      <c r="D673" s="47">
        <v>0</v>
      </c>
      <c r="E673" s="47">
        <v>1</v>
      </c>
      <c r="F673" s="47">
        <v>7</v>
      </c>
      <c r="G673" s="47" t="b">
        <v>0</v>
      </c>
      <c r="H673" s="47">
        <v>1</v>
      </c>
      <c r="I673" s="47">
        <v>2</v>
      </c>
      <c r="J673" s="47">
        <v>0.16</v>
      </c>
      <c r="K673" s="47">
        <v>0.13639999999999999</v>
      </c>
      <c r="L673" s="47">
        <v>0.64</v>
      </c>
      <c r="M673" s="47">
        <v>0.28360000000000002</v>
      </c>
      <c r="N673" s="47">
        <v>1</v>
      </c>
      <c r="O673" s="47">
        <v>71</v>
      </c>
      <c r="P673" s="48">
        <v>72</v>
      </c>
    </row>
    <row r="674" spans="1:16">
      <c r="A674" s="41">
        <v>673</v>
      </c>
      <c r="B674" s="42">
        <v>40574</v>
      </c>
      <c r="C674" s="43">
        <v>1</v>
      </c>
      <c r="D674" s="43">
        <v>0</v>
      </c>
      <c r="E674" s="43">
        <v>1</v>
      </c>
      <c r="F674" s="43">
        <v>8</v>
      </c>
      <c r="G674" s="43" t="b">
        <v>0</v>
      </c>
      <c r="H674" s="43">
        <v>1</v>
      </c>
      <c r="I674" s="43">
        <v>2</v>
      </c>
      <c r="J674" s="43">
        <v>0.16</v>
      </c>
      <c r="K674" s="43">
        <v>0.13639999999999999</v>
      </c>
      <c r="L674" s="43">
        <v>0.59</v>
      </c>
      <c r="M674" s="43">
        <v>0.28360000000000002</v>
      </c>
      <c r="N674" s="43">
        <v>3</v>
      </c>
      <c r="O674" s="43">
        <v>182</v>
      </c>
      <c r="P674" s="44">
        <v>185</v>
      </c>
    </row>
    <row r="675" spans="1:16">
      <c r="A675" s="45">
        <v>674</v>
      </c>
      <c r="B675" s="46">
        <v>40574</v>
      </c>
      <c r="C675" s="47">
        <v>1</v>
      </c>
      <c r="D675" s="47">
        <v>0</v>
      </c>
      <c r="E675" s="47">
        <v>1</v>
      </c>
      <c r="F675" s="47">
        <v>9</v>
      </c>
      <c r="G675" s="47" t="b">
        <v>0</v>
      </c>
      <c r="H675" s="47">
        <v>1</v>
      </c>
      <c r="I675" s="47">
        <v>2</v>
      </c>
      <c r="J675" s="47">
        <v>0.16</v>
      </c>
      <c r="K675" s="47">
        <v>0.13639999999999999</v>
      </c>
      <c r="L675" s="47">
        <v>0.59</v>
      </c>
      <c r="M675" s="47">
        <v>0.29849999999999999</v>
      </c>
      <c r="N675" s="47">
        <v>0</v>
      </c>
      <c r="O675" s="47">
        <v>112</v>
      </c>
      <c r="P675" s="48">
        <v>112</v>
      </c>
    </row>
    <row r="676" spans="1:16">
      <c r="A676" s="41">
        <v>675</v>
      </c>
      <c r="B676" s="42">
        <v>40574</v>
      </c>
      <c r="C676" s="43">
        <v>1</v>
      </c>
      <c r="D676" s="43">
        <v>0</v>
      </c>
      <c r="E676" s="43">
        <v>1</v>
      </c>
      <c r="F676" s="43">
        <v>10</v>
      </c>
      <c r="G676" s="43" t="b">
        <v>0</v>
      </c>
      <c r="H676" s="43">
        <v>1</v>
      </c>
      <c r="I676" s="43">
        <v>2</v>
      </c>
      <c r="J676" s="43">
        <v>0.16</v>
      </c>
      <c r="K676" s="43">
        <v>0.1515</v>
      </c>
      <c r="L676" s="43">
        <v>0.59</v>
      </c>
      <c r="M676" s="43">
        <v>0.19400000000000001</v>
      </c>
      <c r="N676" s="43">
        <v>1</v>
      </c>
      <c r="O676" s="43">
        <v>68</v>
      </c>
      <c r="P676" s="44">
        <v>69</v>
      </c>
    </row>
    <row r="677" spans="1:16">
      <c r="A677" s="45">
        <v>676</v>
      </c>
      <c r="B677" s="46">
        <v>40574</v>
      </c>
      <c r="C677" s="47">
        <v>1</v>
      </c>
      <c r="D677" s="47">
        <v>0</v>
      </c>
      <c r="E677" s="47">
        <v>1</v>
      </c>
      <c r="F677" s="47">
        <v>11</v>
      </c>
      <c r="G677" s="47" t="b">
        <v>0</v>
      </c>
      <c r="H677" s="47">
        <v>1</v>
      </c>
      <c r="I677" s="47">
        <v>2</v>
      </c>
      <c r="J677" s="47">
        <v>0.16</v>
      </c>
      <c r="K677" s="47">
        <v>0.1515</v>
      </c>
      <c r="L677" s="47">
        <v>0.59</v>
      </c>
      <c r="M677" s="47">
        <v>0.19400000000000001</v>
      </c>
      <c r="N677" s="47">
        <v>2</v>
      </c>
      <c r="O677" s="47">
        <v>46</v>
      </c>
      <c r="P677" s="48">
        <v>48</v>
      </c>
    </row>
    <row r="678" spans="1:16">
      <c r="A678" s="41">
        <v>677</v>
      </c>
      <c r="B678" s="42">
        <v>40574</v>
      </c>
      <c r="C678" s="43">
        <v>1</v>
      </c>
      <c r="D678" s="43">
        <v>0</v>
      </c>
      <c r="E678" s="43">
        <v>1</v>
      </c>
      <c r="F678" s="43">
        <v>12</v>
      </c>
      <c r="G678" s="43" t="b">
        <v>0</v>
      </c>
      <c r="H678" s="43">
        <v>1</v>
      </c>
      <c r="I678" s="43">
        <v>2</v>
      </c>
      <c r="J678" s="43">
        <v>0.18</v>
      </c>
      <c r="K678" s="43">
        <v>0.21210000000000001</v>
      </c>
      <c r="L678" s="43">
        <v>0.55000000000000004</v>
      </c>
      <c r="M678" s="43">
        <v>0.1045</v>
      </c>
      <c r="N678" s="43">
        <v>6</v>
      </c>
      <c r="O678" s="43">
        <v>62</v>
      </c>
      <c r="P678" s="44">
        <v>68</v>
      </c>
    </row>
    <row r="679" spans="1:16">
      <c r="A679" s="45">
        <v>678</v>
      </c>
      <c r="B679" s="46">
        <v>40574</v>
      </c>
      <c r="C679" s="47">
        <v>1</v>
      </c>
      <c r="D679" s="47">
        <v>0</v>
      </c>
      <c r="E679" s="47">
        <v>1</v>
      </c>
      <c r="F679" s="47">
        <v>13</v>
      </c>
      <c r="G679" s="47" t="b">
        <v>0</v>
      </c>
      <c r="H679" s="47">
        <v>1</v>
      </c>
      <c r="I679" s="47">
        <v>2</v>
      </c>
      <c r="J679" s="47">
        <v>0.16</v>
      </c>
      <c r="K679" s="47">
        <v>0.2273</v>
      </c>
      <c r="L679" s="47">
        <v>0.59</v>
      </c>
      <c r="M679" s="47">
        <v>0</v>
      </c>
      <c r="N679" s="47">
        <v>2</v>
      </c>
      <c r="O679" s="47">
        <v>52</v>
      </c>
      <c r="P679" s="48">
        <v>54</v>
      </c>
    </row>
    <row r="680" spans="1:16">
      <c r="A680" s="41">
        <v>679</v>
      </c>
      <c r="B680" s="42">
        <v>40574</v>
      </c>
      <c r="C680" s="43">
        <v>1</v>
      </c>
      <c r="D680" s="43">
        <v>0</v>
      </c>
      <c r="E680" s="43">
        <v>1</v>
      </c>
      <c r="F680" s="43">
        <v>14</v>
      </c>
      <c r="G680" s="43" t="b">
        <v>0</v>
      </c>
      <c r="H680" s="43">
        <v>1</v>
      </c>
      <c r="I680" s="43">
        <v>2</v>
      </c>
      <c r="J680" s="43">
        <v>0.18</v>
      </c>
      <c r="K680" s="43">
        <v>0.19700000000000001</v>
      </c>
      <c r="L680" s="43">
        <v>0.55000000000000004</v>
      </c>
      <c r="M680" s="43">
        <v>0.1343</v>
      </c>
      <c r="N680" s="43">
        <v>1</v>
      </c>
      <c r="O680" s="43">
        <v>85</v>
      </c>
      <c r="P680" s="44">
        <v>86</v>
      </c>
    </row>
    <row r="681" spans="1:16">
      <c r="A681" s="45">
        <v>680</v>
      </c>
      <c r="B681" s="46">
        <v>40574</v>
      </c>
      <c r="C681" s="47">
        <v>1</v>
      </c>
      <c r="D681" s="47">
        <v>0</v>
      </c>
      <c r="E681" s="47">
        <v>1</v>
      </c>
      <c r="F681" s="47">
        <v>15</v>
      </c>
      <c r="G681" s="47" t="b">
        <v>0</v>
      </c>
      <c r="H681" s="47">
        <v>1</v>
      </c>
      <c r="I681" s="47">
        <v>2</v>
      </c>
      <c r="J681" s="47">
        <v>0.16</v>
      </c>
      <c r="K681" s="47">
        <v>0.18179999999999999</v>
      </c>
      <c r="L681" s="47">
        <v>0.59</v>
      </c>
      <c r="M681" s="47">
        <v>0.1343</v>
      </c>
      <c r="N681" s="47">
        <v>3</v>
      </c>
      <c r="O681" s="47">
        <v>41</v>
      </c>
      <c r="P681" s="48">
        <v>44</v>
      </c>
    </row>
    <row r="682" spans="1:16">
      <c r="A682" s="41">
        <v>681</v>
      </c>
      <c r="B682" s="42">
        <v>40574</v>
      </c>
      <c r="C682" s="43">
        <v>1</v>
      </c>
      <c r="D682" s="43">
        <v>0</v>
      </c>
      <c r="E682" s="43">
        <v>1</v>
      </c>
      <c r="F682" s="43">
        <v>16</v>
      </c>
      <c r="G682" s="43" t="b">
        <v>0</v>
      </c>
      <c r="H682" s="43">
        <v>1</v>
      </c>
      <c r="I682" s="43">
        <v>2</v>
      </c>
      <c r="J682" s="43">
        <v>0.16</v>
      </c>
      <c r="K682" s="43">
        <v>0.18179999999999999</v>
      </c>
      <c r="L682" s="43">
        <v>0.56000000000000005</v>
      </c>
      <c r="M682" s="43">
        <v>0.19400000000000001</v>
      </c>
      <c r="N682" s="43">
        <v>3</v>
      </c>
      <c r="O682" s="43">
        <v>83</v>
      </c>
      <c r="P682" s="44">
        <v>86</v>
      </c>
    </row>
    <row r="683" spans="1:16">
      <c r="A683" s="45">
        <v>682</v>
      </c>
      <c r="B683" s="46">
        <v>40574</v>
      </c>
      <c r="C683" s="47">
        <v>1</v>
      </c>
      <c r="D683" s="47">
        <v>0</v>
      </c>
      <c r="E683" s="47">
        <v>1</v>
      </c>
      <c r="F683" s="47">
        <v>17</v>
      </c>
      <c r="G683" s="47" t="b">
        <v>0</v>
      </c>
      <c r="H683" s="47">
        <v>1</v>
      </c>
      <c r="I683" s="47">
        <v>2</v>
      </c>
      <c r="J683" s="47">
        <v>0.16</v>
      </c>
      <c r="K683" s="47">
        <v>0.1515</v>
      </c>
      <c r="L683" s="47">
        <v>0.59</v>
      </c>
      <c r="M683" s="47">
        <v>0.19400000000000001</v>
      </c>
      <c r="N683" s="47">
        <v>6</v>
      </c>
      <c r="O683" s="47">
        <v>155</v>
      </c>
      <c r="P683" s="48">
        <v>161</v>
      </c>
    </row>
    <row r="684" spans="1:16">
      <c r="A684" s="41">
        <v>683</v>
      </c>
      <c r="B684" s="42">
        <v>40574</v>
      </c>
      <c r="C684" s="43">
        <v>1</v>
      </c>
      <c r="D684" s="43">
        <v>0</v>
      </c>
      <c r="E684" s="43">
        <v>1</v>
      </c>
      <c r="F684" s="43">
        <v>18</v>
      </c>
      <c r="G684" s="43" t="b">
        <v>0</v>
      </c>
      <c r="H684" s="43">
        <v>1</v>
      </c>
      <c r="I684" s="43">
        <v>2</v>
      </c>
      <c r="J684" s="43">
        <v>0.16</v>
      </c>
      <c r="K684" s="43">
        <v>0.1515</v>
      </c>
      <c r="L684" s="43">
        <v>0.55000000000000004</v>
      </c>
      <c r="M684" s="43">
        <v>0.22389999999999999</v>
      </c>
      <c r="N684" s="43">
        <v>3</v>
      </c>
      <c r="O684" s="43">
        <v>153</v>
      </c>
      <c r="P684" s="44">
        <v>156</v>
      </c>
    </row>
    <row r="685" spans="1:16">
      <c r="A685" s="45">
        <v>684</v>
      </c>
      <c r="B685" s="46">
        <v>40574</v>
      </c>
      <c r="C685" s="47">
        <v>1</v>
      </c>
      <c r="D685" s="47">
        <v>0</v>
      </c>
      <c r="E685" s="47">
        <v>1</v>
      </c>
      <c r="F685" s="47">
        <v>19</v>
      </c>
      <c r="G685" s="47" t="b">
        <v>0</v>
      </c>
      <c r="H685" s="47">
        <v>1</v>
      </c>
      <c r="I685" s="47">
        <v>1</v>
      </c>
      <c r="J685" s="47">
        <v>0.3</v>
      </c>
      <c r="K685" s="47">
        <v>0.31819999999999998</v>
      </c>
      <c r="L685" s="47">
        <v>0.61</v>
      </c>
      <c r="M685" s="47">
        <v>0.1045</v>
      </c>
      <c r="N685" s="47">
        <v>3</v>
      </c>
      <c r="O685" s="47">
        <v>108</v>
      </c>
      <c r="P685" s="48">
        <v>111</v>
      </c>
    </row>
    <row r="686" spans="1:16">
      <c r="A686" s="41">
        <v>685</v>
      </c>
      <c r="B686" s="42">
        <v>40574</v>
      </c>
      <c r="C686" s="43">
        <v>1</v>
      </c>
      <c r="D686" s="43">
        <v>0</v>
      </c>
      <c r="E686" s="43">
        <v>1</v>
      </c>
      <c r="F686" s="43">
        <v>20</v>
      </c>
      <c r="G686" s="43" t="b">
        <v>0</v>
      </c>
      <c r="H686" s="43">
        <v>1</v>
      </c>
      <c r="I686" s="43">
        <v>3</v>
      </c>
      <c r="J686" s="43">
        <v>0.16</v>
      </c>
      <c r="K686" s="43">
        <v>0.16669999999999999</v>
      </c>
      <c r="L686" s="43">
        <v>0.59</v>
      </c>
      <c r="M686" s="43">
        <v>0.16420000000000001</v>
      </c>
      <c r="N686" s="43">
        <v>0</v>
      </c>
      <c r="O686" s="43">
        <v>78</v>
      </c>
      <c r="P686" s="44">
        <v>78</v>
      </c>
    </row>
    <row r="687" spans="1:16">
      <c r="A687" s="45">
        <v>686</v>
      </c>
      <c r="B687" s="46">
        <v>40574</v>
      </c>
      <c r="C687" s="47">
        <v>1</v>
      </c>
      <c r="D687" s="47">
        <v>0</v>
      </c>
      <c r="E687" s="47">
        <v>1</v>
      </c>
      <c r="F687" s="47">
        <v>21</v>
      </c>
      <c r="G687" s="47" t="b">
        <v>0</v>
      </c>
      <c r="H687" s="47">
        <v>1</v>
      </c>
      <c r="I687" s="47">
        <v>3</v>
      </c>
      <c r="J687" s="47">
        <v>0.16</v>
      </c>
      <c r="K687" s="47">
        <v>0.19700000000000001</v>
      </c>
      <c r="L687" s="47">
        <v>0.59</v>
      </c>
      <c r="M687" s="47">
        <v>8.9599999999999999E-2</v>
      </c>
      <c r="N687" s="47">
        <v>3</v>
      </c>
      <c r="O687" s="47">
        <v>53</v>
      </c>
      <c r="P687" s="48">
        <v>56</v>
      </c>
    </row>
    <row r="688" spans="1:16">
      <c r="A688" s="41">
        <v>687</v>
      </c>
      <c r="B688" s="42">
        <v>40574</v>
      </c>
      <c r="C688" s="43">
        <v>1</v>
      </c>
      <c r="D688" s="43">
        <v>0</v>
      </c>
      <c r="E688" s="43">
        <v>1</v>
      </c>
      <c r="F688" s="43">
        <v>22</v>
      </c>
      <c r="G688" s="43" t="b">
        <v>0</v>
      </c>
      <c r="H688" s="43">
        <v>1</v>
      </c>
      <c r="I688" s="43">
        <v>2</v>
      </c>
      <c r="J688" s="43">
        <v>0.16</v>
      </c>
      <c r="K688" s="43">
        <v>0.18179999999999999</v>
      </c>
      <c r="L688" s="43">
        <v>0.59</v>
      </c>
      <c r="M688" s="43">
        <v>0.1045</v>
      </c>
      <c r="N688" s="43">
        <v>0</v>
      </c>
      <c r="O688" s="43">
        <v>34</v>
      </c>
      <c r="P688" s="44">
        <v>34</v>
      </c>
    </row>
    <row r="689" spans="1:16">
      <c r="A689" s="45">
        <v>688</v>
      </c>
      <c r="B689" s="46">
        <v>40574</v>
      </c>
      <c r="C689" s="47">
        <v>1</v>
      </c>
      <c r="D689" s="47">
        <v>0</v>
      </c>
      <c r="E689" s="47">
        <v>1</v>
      </c>
      <c r="F689" s="47">
        <v>23</v>
      </c>
      <c r="G689" s="47" t="b">
        <v>0</v>
      </c>
      <c r="H689" s="47">
        <v>1</v>
      </c>
      <c r="I689" s="47">
        <v>2</v>
      </c>
      <c r="J689" s="47">
        <v>0.16</v>
      </c>
      <c r="K689" s="47">
        <v>0.19700000000000001</v>
      </c>
      <c r="L689" s="47">
        <v>0.64</v>
      </c>
      <c r="M689" s="47">
        <v>8.9599999999999999E-2</v>
      </c>
      <c r="N689" s="47">
        <v>2</v>
      </c>
      <c r="O689" s="47">
        <v>15</v>
      </c>
      <c r="P689" s="48">
        <v>17</v>
      </c>
    </row>
    <row r="690" spans="1:16">
      <c r="A690" s="41">
        <v>689</v>
      </c>
      <c r="B690" s="42">
        <v>40575</v>
      </c>
      <c r="C690" s="43">
        <v>1</v>
      </c>
      <c r="D690" s="43">
        <v>0</v>
      </c>
      <c r="E690" s="43">
        <v>2</v>
      </c>
      <c r="F690" s="43">
        <v>0</v>
      </c>
      <c r="G690" s="43" t="b">
        <v>0</v>
      </c>
      <c r="H690" s="43">
        <v>2</v>
      </c>
      <c r="I690" s="43">
        <v>2</v>
      </c>
      <c r="J690" s="43">
        <v>0.16</v>
      </c>
      <c r="K690" s="43">
        <v>0.18179999999999999</v>
      </c>
      <c r="L690" s="43">
        <v>0.64</v>
      </c>
      <c r="M690" s="43">
        <v>0.1045</v>
      </c>
      <c r="N690" s="43">
        <v>2</v>
      </c>
      <c r="O690" s="43">
        <v>6</v>
      </c>
      <c r="P690" s="44">
        <v>8</v>
      </c>
    </row>
    <row r="691" spans="1:16">
      <c r="A691" s="45">
        <v>690</v>
      </c>
      <c r="B691" s="46">
        <v>40575</v>
      </c>
      <c r="C691" s="47">
        <v>1</v>
      </c>
      <c r="D691" s="47">
        <v>0</v>
      </c>
      <c r="E691" s="47">
        <v>2</v>
      </c>
      <c r="F691" s="47">
        <v>1</v>
      </c>
      <c r="G691" s="47" t="b">
        <v>0</v>
      </c>
      <c r="H691" s="47">
        <v>2</v>
      </c>
      <c r="I691" s="47">
        <v>2</v>
      </c>
      <c r="J691" s="47">
        <v>0.16</v>
      </c>
      <c r="K691" s="47">
        <v>0.18179999999999999</v>
      </c>
      <c r="L691" s="47">
        <v>0.69</v>
      </c>
      <c r="M691" s="47">
        <v>0.1045</v>
      </c>
      <c r="N691" s="47">
        <v>0</v>
      </c>
      <c r="O691" s="47">
        <v>3</v>
      </c>
      <c r="P691" s="48">
        <v>3</v>
      </c>
    </row>
    <row r="692" spans="1:16">
      <c r="A692" s="41">
        <v>691</v>
      </c>
      <c r="B692" s="42">
        <v>40575</v>
      </c>
      <c r="C692" s="43">
        <v>1</v>
      </c>
      <c r="D692" s="43">
        <v>0</v>
      </c>
      <c r="E692" s="43">
        <v>2</v>
      </c>
      <c r="F692" s="43">
        <v>2</v>
      </c>
      <c r="G692" s="43" t="b">
        <v>0</v>
      </c>
      <c r="H692" s="43">
        <v>2</v>
      </c>
      <c r="I692" s="43">
        <v>2</v>
      </c>
      <c r="J692" s="43">
        <v>0.16</v>
      </c>
      <c r="K692" s="43">
        <v>0.2273</v>
      </c>
      <c r="L692" s="43">
        <v>0.69</v>
      </c>
      <c r="M692" s="43">
        <v>0</v>
      </c>
      <c r="N692" s="43">
        <v>0</v>
      </c>
      <c r="O692" s="43">
        <v>2</v>
      </c>
      <c r="P692" s="44">
        <v>2</v>
      </c>
    </row>
    <row r="693" spans="1:16">
      <c r="A693" s="45">
        <v>692</v>
      </c>
      <c r="B693" s="46">
        <v>40575</v>
      </c>
      <c r="C693" s="47">
        <v>1</v>
      </c>
      <c r="D693" s="47">
        <v>0</v>
      </c>
      <c r="E693" s="47">
        <v>2</v>
      </c>
      <c r="F693" s="47">
        <v>3</v>
      </c>
      <c r="G693" s="47" t="b">
        <v>0</v>
      </c>
      <c r="H693" s="47">
        <v>2</v>
      </c>
      <c r="I693" s="47">
        <v>2</v>
      </c>
      <c r="J693" s="47">
        <v>0.16</v>
      </c>
      <c r="K693" s="47">
        <v>0.2273</v>
      </c>
      <c r="L693" s="47">
        <v>0.69</v>
      </c>
      <c r="M693" s="47">
        <v>0</v>
      </c>
      <c r="N693" s="47">
        <v>0</v>
      </c>
      <c r="O693" s="47">
        <v>2</v>
      </c>
      <c r="P693" s="48">
        <v>2</v>
      </c>
    </row>
    <row r="694" spans="1:16">
      <c r="A694" s="41">
        <v>693</v>
      </c>
      <c r="B694" s="42">
        <v>40575</v>
      </c>
      <c r="C694" s="43">
        <v>1</v>
      </c>
      <c r="D694" s="43">
        <v>0</v>
      </c>
      <c r="E694" s="43">
        <v>2</v>
      </c>
      <c r="F694" s="43">
        <v>5</v>
      </c>
      <c r="G694" s="43" t="b">
        <v>0</v>
      </c>
      <c r="H694" s="43">
        <v>2</v>
      </c>
      <c r="I694" s="43">
        <v>3</v>
      </c>
      <c r="J694" s="43">
        <v>0.14000000000000001</v>
      </c>
      <c r="K694" s="43">
        <v>0.21210000000000001</v>
      </c>
      <c r="L694" s="43">
        <v>0.93</v>
      </c>
      <c r="M694" s="43">
        <v>0</v>
      </c>
      <c r="N694" s="43">
        <v>0</v>
      </c>
      <c r="O694" s="43">
        <v>3</v>
      </c>
      <c r="P694" s="44">
        <v>3</v>
      </c>
    </row>
    <row r="695" spans="1:16">
      <c r="A695" s="45">
        <v>694</v>
      </c>
      <c r="B695" s="46">
        <v>40575</v>
      </c>
      <c r="C695" s="47">
        <v>1</v>
      </c>
      <c r="D695" s="47">
        <v>0</v>
      </c>
      <c r="E695" s="47">
        <v>2</v>
      </c>
      <c r="F695" s="47">
        <v>6</v>
      </c>
      <c r="G695" s="47" t="b">
        <v>0</v>
      </c>
      <c r="H695" s="47">
        <v>2</v>
      </c>
      <c r="I695" s="47">
        <v>3</v>
      </c>
      <c r="J695" s="47">
        <v>0.14000000000000001</v>
      </c>
      <c r="K695" s="47">
        <v>0.21210000000000001</v>
      </c>
      <c r="L695" s="47">
        <v>0.93</v>
      </c>
      <c r="M695" s="47">
        <v>0</v>
      </c>
      <c r="N695" s="47">
        <v>0</v>
      </c>
      <c r="O695" s="47">
        <v>22</v>
      </c>
      <c r="P695" s="48">
        <v>22</v>
      </c>
    </row>
    <row r="696" spans="1:16">
      <c r="A696" s="41">
        <v>695</v>
      </c>
      <c r="B696" s="42">
        <v>40575</v>
      </c>
      <c r="C696" s="43">
        <v>1</v>
      </c>
      <c r="D696" s="43">
        <v>0</v>
      </c>
      <c r="E696" s="43">
        <v>2</v>
      </c>
      <c r="F696" s="43">
        <v>7</v>
      </c>
      <c r="G696" s="43" t="b">
        <v>0</v>
      </c>
      <c r="H696" s="43">
        <v>2</v>
      </c>
      <c r="I696" s="43">
        <v>3</v>
      </c>
      <c r="J696" s="43">
        <v>0.16</v>
      </c>
      <c r="K696" s="43">
        <v>0.2273</v>
      </c>
      <c r="L696" s="43">
        <v>0.93</v>
      </c>
      <c r="M696" s="43">
        <v>0</v>
      </c>
      <c r="N696" s="43">
        <v>0</v>
      </c>
      <c r="O696" s="43">
        <v>52</v>
      </c>
      <c r="P696" s="44">
        <v>52</v>
      </c>
    </row>
    <row r="697" spans="1:16">
      <c r="A697" s="45">
        <v>696</v>
      </c>
      <c r="B697" s="46">
        <v>40575</v>
      </c>
      <c r="C697" s="47">
        <v>1</v>
      </c>
      <c r="D697" s="47">
        <v>0</v>
      </c>
      <c r="E697" s="47">
        <v>2</v>
      </c>
      <c r="F697" s="47">
        <v>8</v>
      </c>
      <c r="G697" s="47" t="b">
        <v>0</v>
      </c>
      <c r="H697" s="47">
        <v>2</v>
      </c>
      <c r="I697" s="47">
        <v>3</v>
      </c>
      <c r="J697" s="47">
        <v>0.16</v>
      </c>
      <c r="K697" s="47">
        <v>0.2273</v>
      </c>
      <c r="L697" s="47">
        <v>0.93</v>
      </c>
      <c r="M697" s="47">
        <v>0</v>
      </c>
      <c r="N697" s="47">
        <v>3</v>
      </c>
      <c r="O697" s="47">
        <v>132</v>
      </c>
      <c r="P697" s="48">
        <v>135</v>
      </c>
    </row>
    <row r="698" spans="1:16">
      <c r="A698" s="41">
        <v>697</v>
      </c>
      <c r="B698" s="42">
        <v>40575</v>
      </c>
      <c r="C698" s="43">
        <v>1</v>
      </c>
      <c r="D698" s="43">
        <v>0</v>
      </c>
      <c r="E698" s="43">
        <v>2</v>
      </c>
      <c r="F698" s="43">
        <v>9</v>
      </c>
      <c r="G698" s="43" t="b">
        <v>0</v>
      </c>
      <c r="H698" s="43">
        <v>2</v>
      </c>
      <c r="I698" s="43">
        <v>2</v>
      </c>
      <c r="J698" s="43">
        <v>0.16</v>
      </c>
      <c r="K698" s="43">
        <v>0.2273</v>
      </c>
      <c r="L698" s="43">
        <v>0.93</v>
      </c>
      <c r="M698" s="43">
        <v>0</v>
      </c>
      <c r="N698" s="43">
        <v>2</v>
      </c>
      <c r="O698" s="43">
        <v>114</v>
      </c>
      <c r="P698" s="44">
        <v>116</v>
      </c>
    </row>
    <row r="699" spans="1:16">
      <c r="A699" s="45">
        <v>698</v>
      </c>
      <c r="B699" s="46">
        <v>40575</v>
      </c>
      <c r="C699" s="47">
        <v>1</v>
      </c>
      <c r="D699" s="47">
        <v>0</v>
      </c>
      <c r="E699" s="47">
        <v>2</v>
      </c>
      <c r="F699" s="47">
        <v>10</v>
      </c>
      <c r="G699" s="47" t="b">
        <v>0</v>
      </c>
      <c r="H699" s="47">
        <v>2</v>
      </c>
      <c r="I699" s="47">
        <v>2</v>
      </c>
      <c r="J699" s="47">
        <v>0.16</v>
      </c>
      <c r="K699" s="47">
        <v>0.2273</v>
      </c>
      <c r="L699" s="47">
        <v>0.93</v>
      </c>
      <c r="M699" s="47">
        <v>0</v>
      </c>
      <c r="N699" s="47">
        <v>0</v>
      </c>
      <c r="O699" s="47">
        <v>47</v>
      </c>
      <c r="P699" s="48">
        <v>47</v>
      </c>
    </row>
    <row r="700" spans="1:16">
      <c r="A700" s="41">
        <v>699</v>
      </c>
      <c r="B700" s="42">
        <v>40575</v>
      </c>
      <c r="C700" s="43">
        <v>1</v>
      </c>
      <c r="D700" s="43">
        <v>0</v>
      </c>
      <c r="E700" s="43">
        <v>2</v>
      </c>
      <c r="F700" s="43">
        <v>11</v>
      </c>
      <c r="G700" s="43" t="b">
        <v>0</v>
      </c>
      <c r="H700" s="43">
        <v>2</v>
      </c>
      <c r="I700" s="43">
        <v>2</v>
      </c>
      <c r="J700" s="43">
        <v>0.18</v>
      </c>
      <c r="K700" s="43">
        <v>0.2424</v>
      </c>
      <c r="L700" s="43">
        <v>0.86</v>
      </c>
      <c r="M700" s="43">
        <v>0</v>
      </c>
      <c r="N700" s="43">
        <v>2</v>
      </c>
      <c r="O700" s="43">
        <v>49</v>
      </c>
      <c r="P700" s="44">
        <v>51</v>
      </c>
    </row>
    <row r="701" spans="1:16">
      <c r="A701" s="45">
        <v>700</v>
      </c>
      <c r="B701" s="46">
        <v>40575</v>
      </c>
      <c r="C701" s="47">
        <v>1</v>
      </c>
      <c r="D701" s="47">
        <v>0</v>
      </c>
      <c r="E701" s="47">
        <v>2</v>
      </c>
      <c r="F701" s="47">
        <v>12</v>
      </c>
      <c r="G701" s="47" t="b">
        <v>0</v>
      </c>
      <c r="H701" s="47">
        <v>2</v>
      </c>
      <c r="I701" s="47">
        <v>2</v>
      </c>
      <c r="J701" s="47">
        <v>0.2</v>
      </c>
      <c r="K701" s="47">
        <v>0.2576</v>
      </c>
      <c r="L701" s="47">
        <v>0.86</v>
      </c>
      <c r="M701" s="47">
        <v>0</v>
      </c>
      <c r="N701" s="47">
        <v>2</v>
      </c>
      <c r="O701" s="47">
        <v>53</v>
      </c>
      <c r="P701" s="48">
        <v>55</v>
      </c>
    </row>
    <row r="702" spans="1:16">
      <c r="A702" s="41">
        <v>701</v>
      </c>
      <c r="B702" s="42">
        <v>40575</v>
      </c>
      <c r="C702" s="43">
        <v>1</v>
      </c>
      <c r="D702" s="43">
        <v>0</v>
      </c>
      <c r="E702" s="43">
        <v>2</v>
      </c>
      <c r="F702" s="43">
        <v>13</v>
      </c>
      <c r="G702" s="43" t="b">
        <v>0</v>
      </c>
      <c r="H702" s="43">
        <v>2</v>
      </c>
      <c r="I702" s="43">
        <v>2</v>
      </c>
      <c r="J702" s="43">
        <v>0.2</v>
      </c>
      <c r="K702" s="43">
        <v>0.2576</v>
      </c>
      <c r="L702" s="43">
        <v>0.86</v>
      </c>
      <c r="M702" s="43">
        <v>0</v>
      </c>
      <c r="N702" s="43">
        <v>3</v>
      </c>
      <c r="O702" s="43">
        <v>49</v>
      </c>
      <c r="P702" s="44">
        <v>52</v>
      </c>
    </row>
    <row r="703" spans="1:16">
      <c r="A703" s="45">
        <v>702</v>
      </c>
      <c r="B703" s="46">
        <v>40575</v>
      </c>
      <c r="C703" s="47">
        <v>1</v>
      </c>
      <c r="D703" s="47">
        <v>0</v>
      </c>
      <c r="E703" s="47">
        <v>2</v>
      </c>
      <c r="F703" s="47">
        <v>14</v>
      </c>
      <c r="G703" s="47" t="b">
        <v>0</v>
      </c>
      <c r="H703" s="47">
        <v>2</v>
      </c>
      <c r="I703" s="47">
        <v>2</v>
      </c>
      <c r="J703" s="47">
        <v>0.22</v>
      </c>
      <c r="K703" s="47">
        <v>0.2576</v>
      </c>
      <c r="L703" s="47">
        <v>0.8</v>
      </c>
      <c r="M703" s="47">
        <v>8.9599999999999999E-2</v>
      </c>
      <c r="N703" s="47">
        <v>5</v>
      </c>
      <c r="O703" s="47">
        <v>49</v>
      </c>
      <c r="P703" s="48">
        <v>54</v>
      </c>
    </row>
    <row r="704" spans="1:16">
      <c r="A704" s="41">
        <v>703</v>
      </c>
      <c r="B704" s="42">
        <v>40575</v>
      </c>
      <c r="C704" s="43">
        <v>1</v>
      </c>
      <c r="D704" s="43">
        <v>0</v>
      </c>
      <c r="E704" s="43">
        <v>2</v>
      </c>
      <c r="F704" s="43">
        <v>15</v>
      </c>
      <c r="G704" s="43" t="b">
        <v>0</v>
      </c>
      <c r="H704" s="43">
        <v>2</v>
      </c>
      <c r="I704" s="43">
        <v>2</v>
      </c>
      <c r="J704" s="43">
        <v>0.24</v>
      </c>
      <c r="K704" s="43">
        <v>0.28789999999999999</v>
      </c>
      <c r="L704" s="43">
        <v>0.75</v>
      </c>
      <c r="M704" s="43">
        <v>0</v>
      </c>
      <c r="N704" s="43">
        <v>7</v>
      </c>
      <c r="O704" s="43">
        <v>45</v>
      </c>
      <c r="P704" s="44">
        <v>52</v>
      </c>
    </row>
    <row r="705" spans="1:16">
      <c r="A705" s="45">
        <v>704</v>
      </c>
      <c r="B705" s="46">
        <v>40575</v>
      </c>
      <c r="C705" s="47">
        <v>1</v>
      </c>
      <c r="D705" s="47">
        <v>0</v>
      </c>
      <c r="E705" s="47">
        <v>2</v>
      </c>
      <c r="F705" s="47">
        <v>16</v>
      </c>
      <c r="G705" s="47" t="b">
        <v>0</v>
      </c>
      <c r="H705" s="47">
        <v>2</v>
      </c>
      <c r="I705" s="47">
        <v>2</v>
      </c>
      <c r="J705" s="47">
        <v>0.24</v>
      </c>
      <c r="K705" s="47">
        <v>0.2424</v>
      </c>
      <c r="L705" s="47">
        <v>0.75</v>
      </c>
      <c r="M705" s="47">
        <v>0.1343</v>
      </c>
      <c r="N705" s="47">
        <v>3</v>
      </c>
      <c r="O705" s="47">
        <v>61</v>
      </c>
      <c r="P705" s="48">
        <v>64</v>
      </c>
    </row>
    <row r="706" spans="1:16">
      <c r="A706" s="41">
        <v>705</v>
      </c>
      <c r="B706" s="42">
        <v>40575</v>
      </c>
      <c r="C706" s="43">
        <v>1</v>
      </c>
      <c r="D706" s="43">
        <v>0</v>
      </c>
      <c r="E706" s="43">
        <v>2</v>
      </c>
      <c r="F706" s="43">
        <v>17</v>
      </c>
      <c r="G706" s="43" t="b">
        <v>0</v>
      </c>
      <c r="H706" s="43">
        <v>2</v>
      </c>
      <c r="I706" s="43">
        <v>2</v>
      </c>
      <c r="J706" s="43">
        <v>0.24</v>
      </c>
      <c r="K706" s="43">
        <v>0.28789999999999999</v>
      </c>
      <c r="L706" s="43">
        <v>0.75</v>
      </c>
      <c r="M706" s="43">
        <v>0</v>
      </c>
      <c r="N706" s="43">
        <v>4</v>
      </c>
      <c r="O706" s="43">
        <v>172</v>
      </c>
      <c r="P706" s="44">
        <v>176</v>
      </c>
    </row>
    <row r="707" spans="1:16">
      <c r="A707" s="45">
        <v>706</v>
      </c>
      <c r="B707" s="46">
        <v>40575</v>
      </c>
      <c r="C707" s="47">
        <v>1</v>
      </c>
      <c r="D707" s="47">
        <v>0</v>
      </c>
      <c r="E707" s="47">
        <v>2</v>
      </c>
      <c r="F707" s="47">
        <v>18</v>
      </c>
      <c r="G707" s="47" t="b">
        <v>0</v>
      </c>
      <c r="H707" s="47">
        <v>2</v>
      </c>
      <c r="I707" s="47">
        <v>2</v>
      </c>
      <c r="J707" s="47">
        <v>0.24</v>
      </c>
      <c r="K707" s="47">
        <v>0.2576</v>
      </c>
      <c r="L707" s="47">
        <v>0.81</v>
      </c>
      <c r="M707" s="47">
        <v>0.1045</v>
      </c>
      <c r="N707" s="47">
        <v>3</v>
      </c>
      <c r="O707" s="47">
        <v>165</v>
      </c>
      <c r="P707" s="48">
        <v>168</v>
      </c>
    </row>
    <row r="708" spans="1:16">
      <c r="A708" s="41">
        <v>707</v>
      </c>
      <c r="B708" s="42">
        <v>40575</v>
      </c>
      <c r="C708" s="43">
        <v>1</v>
      </c>
      <c r="D708" s="43">
        <v>0</v>
      </c>
      <c r="E708" s="43">
        <v>2</v>
      </c>
      <c r="F708" s="43">
        <v>19</v>
      </c>
      <c r="G708" s="43" t="b">
        <v>0</v>
      </c>
      <c r="H708" s="43">
        <v>2</v>
      </c>
      <c r="I708" s="43">
        <v>2</v>
      </c>
      <c r="J708" s="43">
        <v>0.24</v>
      </c>
      <c r="K708" s="43">
        <v>0.2424</v>
      </c>
      <c r="L708" s="43">
        <v>0.81</v>
      </c>
      <c r="M708" s="43">
        <v>0.1343</v>
      </c>
      <c r="N708" s="43">
        <v>3</v>
      </c>
      <c r="O708" s="43">
        <v>105</v>
      </c>
      <c r="P708" s="44">
        <v>108</v>
      </c>
    </row>
    <row r="709" spans="1:16">
      <c r="A709" s="45">
        <v>708</v>
      </c>
      <c r="B709" s="46">
        <v>40575</v>
      </c>
      <c r="C709" s="47">
        <v>1</v>
      </c>
      <c r="D709" s="47">
        <v>0</v>
      </c>
      <c r="E709" s="47">
        <v>2</v>
      </c>
      <c r="F709" s="47">
        <v>20</v>
      </c>
      <c r="G709" s="47" t="b">
        <v>0</v>
      </c>
      <c r="H709" s="47">
        <v>2</v>
      </c>
      <c r="I709" s="47">
        <v>2</v>
      </c>
      <c r="J709" s="47">
        <v>0.22</v>
      </c>
      <c r="K709" s="47">
        <v>0.2273</v>
      </c>
      <c r="L709" s="47">
        <v>0.87</v>
      </c>
      <c r="M709" s="47">
        <v>0.1343</v>
      </c>
      <c r="N709" s="47">
        <v>5</v>
      </c>
      <c r="O709" s="47">
        <v>69</v>
      </c>
      <c r="P709" s="48">
        <v>74</v>
      </c>
    </row>
    <row r="710" spans="1:16">
      <c r="A710" s="41">
        <v>709</v>
      </c>
      <c r="B710" s="42">
        <v>40575</v>
      </c>
      <c r="C710" s="43">
        <v>1</v>
      </c>
      <c r="D710" s="43">
        <v>0</v>
      </c>
      <c r="E710" s="43">
        <v>2</v>
      </c>
      <c r="F710" s="43">
        <v>21</v>
      </c>
      <c r="G710" s="43" t="b">
        <v>0</v>
      </c>
      <c r="H710" s="43">
        <v>2</v>
      </c>
      <c r="I710" s="43">
        <v>2</v>
      </c>
      <c r="J710" s="43">
        <v>0.22</v>
      </c>
      <c r="K710" s="43">
        <v>0.2273</v>
      </c>
      <c r="L710" s="43">
        <v>0.87</v>
      </c>
      <c r="M710" s="43">
        <v>0.1343</v>
      </c>
      <c r="N710" s="43">
        <v>0</v>
      </c>
      <c r="O710" s="43">
        <v>64</v>
      </c>
      <c r="P710" s="44">
        <v>64</v>
      </c>
    </row>
    <row r="711" spans="1:16">
      <c r="A711" s="45">
        <v>710</v>
      </c>
      <c r="B711" s="46">
        <v>40575</v>
      </c>
      <c r="C711" s="47">
        <v>1</v>
      </c>
      <c r="D711" s="47">
        <v>0</v>
      </c>
      <c r="E711" s="47">
        <v>2</v>
      </c>
      <c r="F711" s="47">
        <v>22</v>
      </c>
      <c r="G711" s="47" t="b">
        <v>0</v>
      </c>
      <c r="H711" s="47">
        <v>2</v>
      </c>
      <c r="I711" s="47">
        <v>2</v>
      </c>
      <c r="J711" s="47">
        <v>0.22</v>
      </c>
      <c r="K711" s="47">
        <v>0.2576</v>
      </c>
      <c r="L711" s="47">
        <v>0.87</v>
      </c>
      <c r="M711" s="47">
        <v>8.9599999999999999E-2</v>
      </c>
      <c r="N711" s="47">
        <v>2</v>
      </c>
      <c r="O711" s="47">
        <v>34</v>
      </c>
      <c r="P711" s="48">
        <v>36</v>
      </c>
    </row>
    <row r="712" spans="1:16">
      <c r="A712" s="41">
        <v>711</v>
      </c>
      <c r="B712" s="42">
        <v>40575</v>
      </c>
      <c r="C712" s="43">
        <v>1</v>
      </c>
      <c r="D712" s="43">
        <v>0</v>
      </c>
      <c r="E712" s="43">
        <v>2</v>
      </c>
      <c r="F712" s="43">
        <v>23</v>
      </c>
      <c r="G712" s="43" t="b">
        <v>0</v>
      </c>
      <c r="H712" s="43">
        <v>2</v>
      </c>
      <c r="I712" s="43">
        <v>3</v>
      </c>
      <c r="J712" s="43">
        <v>0.2</v>
      </c>
      <c r="K712" s="43">
        <v>0.19700000000000001</v>
      </c>
      <c r="L712" s="43">
        <v>0.93</v>
      </c>
      <c r="M712" s="43">
        <v>0.19400000000000001</v>
      </c>
      <c r="N712" s="43">
        <v>1</v>
      </c>
      <c r="O712" s="43">
        <v>15</v>
      </c>
      <c r="P712" s="44">
        <v>16</v>
      </c>
    </row>
    <row r="713" spans="1:16">
      <c r="A713" s="45">
        <v>712</v>
      </c>
      <c r="B713" s="46">
        <v>40576</v>
      </c>
      <c r="C713" s="47">
        <v>1</v>
      </c>
      <c r="D713" s="47">
        <v>0</v>
      </c>
      <c r="E713" s="47">
        <v>2</v>
      </c>
      <c r="F713" s="47">
        <v>0</v>
      </c>
      <c r="G713" s="47" t="b">
        <v>0</v>
      </c>
      <c r="H713" s="47">
        <v>3</v>
      </c>
      <c r="I713" s="47">
        <v>3</v>
      </c>
      <c r="J713" s="47">
        <v>0.22</v>
      </c>
      <c r="K713" s="47">
        <v>0.2424</v>
      </c>
      <c r="L713" s="47">
        <v>0.93</v>
      </c>
      <c r="M713" s="47">
        <v>0.1045</v>
      </c>
      <c r="N713" s="47">
        <v>0</v>
      </c>
      <c r="O713" s="47">
        <v>2</v>
      </c>
      <c r="P713" s="48">
        <v>2</v>
      </c>
    </row>
    <row r="714" spans="1:16">
      <c r="A714" s="41">
        <v>713</v>
      </c>
      <c r="B714" s="42">
        <v>40576</v>
      </c>
      <c r="C714" s="43">
        <v>1</v>
      </c>
      <c r="D714" s="43">
        <v>0</v>
      </c>
      <c r="E714" s="43">
        <v>2</v>
      </c>
      <c r="F714" s="43">
        <v>1</v>
      </c>
      <c r="G714" s="43" t="b">
        <v>0</v>
      </c>
      <c r="H714" s="43">
        <v>3</v>
      </c>
      <c r="I714" s="43">
        <v>3</v>
      </c>
      <c r="J714" s="43">
        <v>0.22</v>
      </c>
      <c r="K714" s="43">
        <v>0.2273</v>
      </c>
      <c r="L714" s="43">
        <v>0.93</v>
      </c>
      <c r="M714" s="43">
        <v>0.19400000000000001</v>
      </c>
      <c r="N714" s="43">
        <v>0</v>
      </c>
      <c r="O714" s="43">
        <v>3</v>
      </c>
      <c r="P714" s="44">
        <v>3</v>
      </c>
    </row>
    <row r="715" spans="1:16">
      <c r="A715" s="45">
        <v>714</v>
      </c>
      <c r="B715" s="46">
        <v>40576</v>
      </c>
      <c r="C715" s="47">
        <v>1</v>
      </c>
      <c r="D715" s="47">
        <v>0</v>
      </c>
      <c r="E715" s="47">
        <v>2</v>
      </c>
      <c r="F715" s="47">
        <v>2</v>
      </c>
      <c r="G715" s="47" t="b">
        <v>0</v>
      </c>
      <c r="H715" s="47">
        <v>3</v>
      </c>
      <c r="I715" s="47">
        <v>3</v>
      </c>
      <c r="J715" s="47">
        <v>0.22</v>
      </c>
      <c r="K715" s="47">
        <v>0.2273</v>
      </c>
      <c r="L715" s="47">
        <v>0.93</v>
      </c>
      <c r="M715" s="47">
        <v>0.1343</v>
      </c>
      <c r="N715" s="47">
        <v>4</v>
      </c>
      <c r="O715" s="47">
        <v>0</v>
      </c>
      <c r="P715" s="48">
        <v>4</v>
      </c>
    </row>
    <row r="716" spans="1:16">
      <c r="A716" s="41">
        <v>715</v>
      </c>
      <c r="B716" s="42">
        <v>40576</v>
      </c>
      <c r="C716" s="43">
        <v>1</v>
      </c>
      <c r="D716" s="43">
        <v>0</v>
      </c>
      <c r="E716" s="43">
        <v>2</v>
      </c>
      <c r="F716" s="43">
        <v>3</v>
      </c>
      <c r="G716" s="43" t="b">
        <v>0</v>
      </c>
      <c r="H716" s="43">
        <v>3</v>
      </c>
      <c r="I716" s="43">
        <v>3</v>
      </c>
      <c r="J716" s="43">
        <v>0.22</v>
      </c>
      <c r="K716" s="43">
        <v>0.2273</v>
      </c>
      <c r="L716" s="43">
        <v>0.93</v>
      </c>
      <c r="M716" s="43">
        <v>0.1343</v>
      </c>
      <c r="N716" s="43">
        <v>0</v>
      </c>
      <c r="O716" s="43">
        <v>1</v>
      </c>
      <c r="P716" s="44">
        <v>1</v>
      </c>
    </row>
    <row r="717" spans="1:16">
      <c r="A717" s="45">
        <v>716</v>
      </c>
      <c r="B717" s="46">
        <v>40576</v>
      </c>
      <c r="C717" s="47">
        <v>1</v>
      </c>
      <c r="D717" s="47">
        <v>0</v>
      </c>
      <c r="E717" s="47">
        <v>2</v>
      </c>
      <c r="F717" s="47">
        <v>4</v>
      </c>
      <c r="G717" s="47" t="b">
        <v>0</v>
      </c>
      <c r="H717" s="47">
        <v>3</v>
      </c>
      <c r="I717" s="47">
        <v>3</v>
      </c>
      <c r="J717" s="47">
        <v>0.22</v>
      </c>
      <c r="K717" s="47">
        <v>0.21210000000000001</v>
      </c>
      <c r="L717" s="47">
        <v>0.93</v>
      </c>
      <c r="M717" s="47">
        <v>0.28360000000000002</v>
      </c>
      <c r="N717" s="47">
        <v>0</v>
      </c>
      <c r="O717" s="47">
        <v>1</v>
      </c>
      <c r="P717" s="48">
        <v>1</v>
      </c>
    </row>
    <row r="718" spans="1:16">
      <c r="A718" s="41">
        <v>717</v>
      </c>
      <c r="B718" s="42">
        <v>40576</v>
      </c>
      <c r="C718" s="43">
        <v>1</v>
      </c>
      <c r="D718" s="43">
        <v>0</v>
      </c>
      <c r="E718" s="43">
        <v>2</v>
      </c>
      <c r="F718" s="43">
        <v>5</v>
      </c>
      <c r="G718" s="43" t="b">
        <v>0</v>
      </c>
      <c r="H718" s="43">
        <v>3</v>
      </c>
      <c r="I718" s="43">
        <v>3</v>
      </c>
      <c r="J718" s="43">
        <v>0.22</v>
      </c>
      <c r="K718" s="43">
        <v>0.2424</v>
      </c>
      <c r="L718" s="43">
        <v>0.93</v>
      </c>
      <c r="M718" s="43">
        <v>0.1045</v>
      </c>
      <c r="N718" s="43">
        <v>0</v>
      </c>
      <c r="O718" s="43">
        <v>3</v>
      </c>
      <c r="P718" s="44">
        <v>3</v>
      </c>
    </row>
    <row r="719" spans="1:16">
      <c r="A719" s="45">
        <v>718</v>
      </c>
      <c r="B719" s="46">
        <v>40576</v>
      </c>
      <c r="C719" s="47">
        <v>1</v>
      </c>
      <c r="D719" s="47">
        <v>0</v>
      </c>
      <c r="E719" s="47">
        <v>2</v>
      </c>
      <c r="F719" s="47">
        <v>6</v>
      </c>
      <c r="G719" s="47" t="b">
        <v>0</v>
      </c>
      <c r="H719" s="47">
        <v>3</v>
      </c>
      <c r="I719" s="47">
        <v>3</v>
      </c>
      <c r="J719" s="47">
        <v>0.22</v>
      </c>
      <c r="K719" s="47">
        <v>0.2424</v>
      </c>
      <c r="L719" s="47">
        <v>0.93</v>
      </c>
      <c r="M719" s="47">
        <v>0.1045</v>
      </c>
      <c r="N719" s="47">
        <v>1</v>
      </c>
      <c r="O719" s="47">
        <v>17</v>
      </c>
      <c r="P719" s="48">
        <v>18</v>
      </c>
    </row>
    <row r="720" spans="1:16">
      <c r="A720" s="41">
        <v>719</v>
      </c>
      <c r="B720" s="42">
        <v>40576</v>
      </c>
      <c r="C720" s="43">
        <v>1</v>
      </c>
      <c r="D720" s="43">
        <v>0</v>
      </c>
      <c r="E720" s="43">
        <v>2</v>
      </c>
      <c r="F720" s="43">
        <v>7</v>
      </c>
      <c r="G720" s="43" t="b">
        <v>0</v>
      </c>
      <c r="H720" s="43">
        <v>3</v>
      </c>
      <c r="I720" s="43">
        <v>3</v>
      </c>
      <c r="J720" s="43">
        <v>0.22</v>
      </c>
      <c r="K720" s="43">
        <v>0.21210000000000001</v>
      </c>
      <c r="L720" s="43">
        <v>0.93</v>
      </c>
      <c r="M720" s="43">
        <v>0.22389999999999999</v>
      </c>
      <c r="N720" s="43">
        <v>1</v>
      </c>
      <c r="O720" s="43">
        <v>48</v>
      </c>
      <c r="P720" s="44">
        <v>49</v>
      </c>
    </row>
    <row r="721" spans="1:16">
      <c r="A721" s="45">
        <v>720</v>
      </c>
      <c r="B721" s="46">
        <v>40576</v>
      </c>
      <c r="C721" s="47">
        <v>1</v>
      </c>
      <c r="D721" s="47">
        <v>0</v>
      </c>
      <c r="E721" s="47">
        <v>2</v>
      </c>
      <c r="F721" s="47">
        <v>8</v>
      </c>
      <c r="G721" s="47" t="b">
        <v>0</v>
      </c>
      <c r="H721" s="47">
        <v>3</v>
      </c>
      <c r="I721" s="47">
        <v>3</v>
      </c>
      <c r="J721" s="47">
        <v>0.22</v>
      </c>
      <c r="K721" s="47">
        <v>0.21210000000000001</v>
      </c>
      <c r="L721" s="47">
        <v>0.93</v>
      </c>
      <c r="M721" s="47">
        <v>0.22389999999999999</v>
      </c>
      <c r="N721" s="47">
        <v>1</v>
      </c>
      <c r="O721" s="47">
        <v>154</v>
      </c>
      <c r="P721" s="48">
        <v>155</v>
      </c>
    </row>
    <row r="722" spans="1:16">
      <c r="A722" s="41">
        <v>721</v>
      </c>
      <c r="B722" s="42">
        <v>40576</v>
      </c>
      <c r="C722" s="43">
        <v>1</v>
      </c>
      <c r="D722" s="43">
        <v>0</v>
      </c>
      <c r="E722" s="43">
        <v>2</v>
      </c>
      <c r="F722" s="43">
        <v>9</v>
      </c>
      <c r="G722" s="43" t="b">
        <v>0</v>
      </c>
      <c r="H722" s="43">
        <v>3</v>
      </c>
      <c r="I722" s="43">
        <v>2</v>
      </c>
      <c r="J722" s="43">
        <v>0.24</v>
      </c>
      <c r="K722" s="43">
        <v>0.2576</v>
      </c>
      <c r="L722" s="43">
        <v>0.93</v>
      </c>
      <c r="M722" s="43">
        <v>8.9599999999999999E-2</v>
      </c>
      <c r="N722" s="43">
        <v>4</v>
      </c>
      <c r="O722" s="43">
        <v>119</v>
      </c>
      <c r="P722" s="44">
        <v>123</v>
      </c>
    </row>
    <row r="723" spans="1:16">
      <c r="A723" s="45">
        <v>722</v>
      </c>
      <c r="B723" s="46">
        <v>40576</v>
      </c>
      <c r="C723" s="47">
        <v>1</v>
      </c>
      <c r="D723" s="47">
        <v>0</v>
      </c>
      <c r="E723" s="47">
        <v>2</v>
      </c>
      <c r="F723" s="47">
        <v>10</v>
      </c>
      <c r="G723" s="47" t="b">
        <v>0</v>
      </c>
      <c r="H723" s="47">
        <v>3</v>
      </c>
      <c r="I723" s="47">
        <v>2</v>
      </c>
      <c r="J723" s="47">
        <v>0.22</v>
      </c>
      <c r="K723" s="47">
        <v>0.2727</v>
      </c>
      <c r="L723" s="47">
        <v>1</v>
      </c>
      <c r="M723" s="47">
        <v>0</v>
      </c>
      <c r="N723" s="47">
        <v>2</v>
      </c>
      <c r="O723" s="47">
        <v>59</v>
      </c>
      <c r="P723" s="48">
        <v>61</v>
      </c>
    </row>
    <row r="724" spans="1:16">
      <c r="A724" s="41">
        <v>723</v>
      </c>
      <c r="B724" s="42">
        <v>40576</v>
      </c>
      <c r="C724" s="43">
        <v>1</v>
      </c>
      <c r="D724" s="43">
        <v>0</v>
      </c>
      <c r="E724" s="43">
        <v>2</v>
      </c>
      <c r="F724" s="43">
        <v>11</v>
      </c>
      <c r="G724" s="43" t="b">
        <v>0</v>
      </c>
      <c r="H724" s="43">
        <v>3</v>
      </c>
      <c r="I724" s="43">
        <v>2</v>
      </c>
      <c r="J724" s="43">
        <v>0.24</v>
      </c>
      <c r="K724" s="43">
        <v>0.2273</v>
      </c>
      <c r="L724" s="43">
        <v>0.93</v>
      </c>
      <c r="M724" s="43">
        <v>0.19400000000000001</v>
      </c>
      <c r="N724" s="43">
        <v>5</v>
      </c>
      <c r="O724" s="43">
        <v>47</v>
      </c>
      <c r="P724" s="44">
        <v>52</v>
      </c>
    </row>
    <row r="725" spans="1:16">
      <c r="A725" s="45">
        <v>724</v>
      </c>
      <c r="B725" s="46">
        <v>40576</v>
      </c>
      <c r="C725" s="47">
        <v>1</v>
      </c>
      <c r="D725" s="47">
        <v>0</v>
      </c>
      <c r="E725" s="47">
        <v>2</v>
      </c>
      <c r="F725" s="47">
        <v>12</v>
      </c>
      <c r="G725" s="47" t="b">
        <v>0</v>
      </c>
      <c r="H725" s="47">
        <v>3</v>
      </c>
      <c r="I725" s="47">
        <v>2</v>
      </c>
      <c r="J725" s="47">
        <v>0.24</v>
      </c>
      <c r="K725" s="47">
        <v>0.2273</v>
      </c>
      <c r="L725" s="47">
        <v>0.93</v>
      </c>
      <c r="M725" s="47">
        <v>0.22389999999999999</v>
      </c>
      <c r="N725" s="47">
        <v>3</v>
      </c>
      <c r="O725" s="47">
        <v>61</v>
      </c>
      <c r="P725" s="48">
        <v>64</v>
      </c>
    </row>
    <row r="726" spans="1:16">
      <c r="A726" s="41">
        <v>725</v>
      </c>
      <c r="B726" s="42">
        <v>40576</v>
      </c>
      <c r="C726" s="43">
        <v>1</v>
      </c>
      <c r="D726" s="43">
        <v>0</v>
      </c>
      <c r="E726" s="43">
        <v>2</v>
      </c>
      <c r="F726" s="43">
        <v>13</v>
      </c>
      <c r="G726" s="43" t="b">
        <v>0</v>
      </c>
      <c r="H726" s="43">
        <v>3</v>
      </c>
      <c r="I726" s="43">
        <v>1</v>
      </c>
      <c r="J726" s="43">
        <v>0.34</v>
      </c>
      <c r="K726" s="43">
        <v>0.33329999999999999</v>
      </c>
      <c r="L726" s="43">
        <v>0.93</v>
      </c>
      <c r="M726" s="43">
        <v>0.16420000000000001</v>
      </c>
      <c r="N726" s="43">
        <v>1</v>
      </c>
      <c r="O726" s="43">
        <v>74</v>
      </c>
      <c r="P726" s="44">
        <v>75</v>
      </c>
    </row>
    <row r="727" spans="1:16">
      <c r="A727" s="45">
        <v>726</v>
      </c>
      <c r="B727" s="46">
        <v>40576</v>
      </c>
      <c r="C727" s="47">
        <v>1</v>
      </c>
      <c r="D727" s="47">
        <v>0</v>
      </c>
      <c r="E727" s="47">
        <v>2</v>
      </c>
      <c r="F727" s="47">
        <v>14</v>
      </c>
      <c r="G727" s="47" t="b">
        <v>0</v>
      </c>
      <c r="H727" s="47">
        <v>3</v>
      </c>
      <c r="I727" s="47">
        <v>1</v>
      </c>
      <c r="J727" s="47">
        <v>0.38</v>
      </c>
      <c r="K727" s="47">
        <v>0.39389999999999997</v>
      </c>
      <c r="L727" s="47">
        <v>0.82</v>
      </c>
      <c r="M727" s="47">
        <v>0.3881</v>
      </c>
      <c r="N727" s="47">
        <v>2</v>
      </c>
      <c r="O727" s="47">
        <v>61</v>
      </c>
      <c r="P727" s="48">
        <v>63</v>
      </c>
    </row>
    <row r="728" spans="1:16">
      <c r="A728" s="41">
        <v>727</v>
      </c>
      <c r="B728" s="42">
        <v>40576</v>
      </c>
      <c r="C728" s="43">
        <v>1</v>
      </c>
      <c r="D728" s="43">
        <v>0</v>
      </c>
      <c r="E728" s="43">
        <v>2</v>
      </c>
      <c r="F728" s="43">
        <v>15</v>
      </c>
      <c r="G728" s="43" t="b">
        <v>0</v>
      </c>
      <c r="H728" s="43">
        <v>3</v>
      </c>
      <c r="I728" s="43">
        <v>1</v>
      </c>
      <c r="J728" s="43">
        <v>0.38</v>
      </c>
      <c r="K728" s="43">
        <v>0.39389999999999997</v>
      </c>
      <c r="L728" s="43">
        <v>0.76</v>
      </c>
      <c r="M728" s="43">
        <v>0.32840000000000003</v>
      </c>
      <c r="N728" s="43">
        <v>10</v>
      </c>
      <c r="O728" s="43">
        <v>66</v>
      </c>
      <c r="P728" s="44">
        <v>76</v>
      </c>
    </row>
    <row r="729" spans="1:16">
      <c r="A729" s="45">
        <v>728</v>
      </c>
      <c r="B729" s="46">
        <v>40576</v>
      </c>
      <c r="C729" s="47">
        <v>1</v>
      </c>
      <c r="D729" s="47">
        <v>0</v>
      </c>
      <c r="E729" s="47">
        <v>2</v>
      </c>
      <c r="F729" s="47">
        <v>16</v>
      </c>
      <c r="G729" s="47" t="b">
        <v>0</v>
      </c>
      <c r="H729" s="47">
        <v>3</v>
      </c>
      <c r="I729" s="47">
        <v>1</v>
      </c>
      <c r="J729" s="47">
        <v>0.36</v>
      </c>
      <c r="K729" s="47">
        <v>0.33329999999999999</v>
      </c>
      <c r="L729" s="47">
        <v>0.71</v>
      </c>
      <c r="M729" s="47">
        <v>0.29849999999999999</v>
      </c>
      <c r="N729" s="47">
        <v>8</v>
      </c>
      <c r="O729" s="47">
        <v>95</v>
      </c>
      <c r="P729" s="48">
        <v>103</v>
      </c>
    </row>
    <row r="730" spans="1:16">
      <c r="A730" s="41">
        <v>729</v>
      </c>
      <c r="B730" s="42">
        <v>40576</v>
      </c>
      <c r="C730" s="43">
        <v>1</v>
      </c>
      <c r="D730" s="43">
        <v>0</v>
      </c>
      <c r="E730" s="43">
        <v>2</v>
      </c>
      <c r="F730" s="43">
        <v>17</v>
      </c>
      <c r="G730" s="43" t="b">
        <v>0</v>
      </c>
      <c r="H730" s="43">
        <v>3</v>
      </c>
      <c r="I730" s="43">
        <v>1</v>
      </c>
      <c r="J730" s="43">
        <v>0.36</v>
      </c>
      <c r="K730" s="43">
        <v>0.31819999999999998</v>
      </c>
      <c r="L730" s="43">
        <v>0.53</v>
      </c>
      <c r="M730" s="43">
        <v>0.52239999999999998</v>
      </c>
      <c r="N730" s="43">
        <v>7</v>
      </c>
      <c r="O730" s="43">
        <v>183</v>
      </c>
      <c r="P730" s="44">
        <v>190</v>
      </c>
    </row>
    <row r="731" spans="1:16">
      <c r="A731" s="45">
        <v>730</v>
      </c>
      <c r="B731" s="46">
        <v>40576</v>
      </c>
      <c r="C731" s="47">
        <v>1</v>
      </c>
      <c r="D731" s="47">
        <v>0</v>
      </c>
      <c r="E731" s="47">
        <v>2</v>
      </c>
      <c r="F731" s="47">
        <v>18</v>
      </c>
      <c r="G731" s="47" t="b">
        <v>0</v>
      </c>
      <c r="H731" s="47">
        <v>3</v>
      </c>
      <c r="I731" s="47">
        <v>1</v>
      </c>
      <c r="J731" s="47">
        <v>0.34</v>
      </c>
      <c r="K731" s="47">
        <v>0.28789999999999999</v>
      </c>
      <c r="L731" s="47">
        <v>0.42</v>
      </c>
      <c r="M731" s="47">
        <v>0.55220000000000002</v>
      </c>
      <c r="N731" s="47">
        <v>7</v>
      </c>
      <c r="O731" s="47">
        <v>175</v>
      </c>
      <c r="P731" s="48">
        <v>182</v>
      </c>
    </row>
    <row r="732" spans="1:16">
      <c r="A732" s="41">
        <v>731</v>
      </c>
      <c r="B732" s="42">
        <v>40576</v>
      </c>
      <c r="C732" s="43">
        <v>1</v>
      </c>
      <c r="D732" s="43">
        <v>0</v>
      </c>
      <c r="E732" s="43">
        <v>2</v>
      </c>
      <c r="F732" s="43">
        <v>19</v>
      </c>
      <c r="G732" s="43" t="b">
        <v>0</v>
      </c>
      <c r="H732" s="43">
        <v>3</v>
      </c>
      <c r="I732" s="43">
        <v>1</v>
      </c>
      <c r="J732" s="43">
        <v>0.28000000000000003</v>
      </c>
      <c r="K732" s="43">
        <v>0.2424</v>
      </c>
      <c r="L732" s="43">
        <v>0.45</v>
      </c>
      <c r="M732" s="43">
        <v>0.49249999999999999</v>
      </c>
      <c r="N732" s="43">
        <v>3</v>
      </c>
      <c r="O732" s="43">
        <v>88</v>
      </c>
      <c r="P732" s="44">
        <v>91</v>
      </c>
    </row>
    <row r="733" spans="1:16">
      <c r="A733" s="45">
        <v>732</v>
      </c>
      <c r="B733" s="46">
        <v>40576</v>
      </c>
      <c r="C733" s="47">
        <v>1</v>
      </c>
      <c r="D733" s="47">
        <v>0</v>
      </c>
      <c r="E733" s="47">
        <v>2</v>
      </c>
      <c r="F733" s="47">
        <v>20</v>
      </c>
      <c r="G733" s="47" t="b">
        <v>0</v>
      </c>
      <c r="H733" s="47">
        <v>3</v>
      </c>
      <c r="I733" s="47">
        <v>1</v>
      </c>
      <c r="J733" s="47">
        <v>0.24</v>
      </c>
      <c r="K733" s="47">
        <v>0.19700000000000001</v>
      </c>
      <c r="L733" s="47">
        <v>0.48</v>
      </c>
      <c r="M733" s="47">
        <v>0.55220000000000002</v>
      </c>
      <c r="N733" s="47">
        <v>4</v>
      </c>
      <c r="O733" s="47">
        <v>71</v>
      </c>
      <c r="P733" s="48">
        <v>75</v>
      </c>
    </row>
    <row r="734" spans="1:16">
      <c r="A734" s="41">
        <v>733</v>
      </c>
      <c r="B734" s="42">
        <v>40576</v>
      </c>
      <c r="C734" s="43">
        <v>1</v>
      </c>
      <c r="D734" s="43">
        <v>0</v>
      </c>
      <c r="E734" s="43">
        <v>2</v>
      </c>
      <c r="F734" s="43">
        <v>21</v>
      </c>
      <c r="G734" s="43" t="b">
        <v>0</v>
      </c>
      <c r="H734" s="43">
        <v>3</v>
      </c>
      <c r="I734" s="43">
        <v>1</v>
      </c>
      <c r="J734" s="43">
        <v>0.22</v>
      </c>
      <c r="K734" s="43">
        <v>0.19700000000000001</v>
      </c>
      <c r="L734" s="43">
        <v>0.47</v>
      </c>
      <c r="M734" s="43">
        <v>0.32840000000000003</v>
      </c>
      <c r="N734" s="43">
        <v>1</v>
      </c>
      <c r="O734" s="43">
        <v>62</v>
      </c>
      <c r="P734" s="44">
        <v>63</v>
      </c>
    </row>
    <row r="735" spans="1:16">
      <c r="A735" s="45">
        <v>734</v>
      </c>
      <c r="B735" s="46">
        <v>40576</v>
      </c>
      <c r="C735" s="47">
        <v>1</v>
      </c>
      <c r="D735" s="47">
        <v>0</v>
      </c>
      <c r="E735" s="47">
        <v>2</v>
      </c>
      <c r="F735" s="47">
        <v>22</v>
      </c>
      <c r="G735" s="47" t="b">
        <v>0</v>
      </c>
      <c r="H735" s="47">
        <v>3</v>
      </c>
      <c r="I735" s="47">
        <v>1</v>
      </c>
      <c r="J735" s="47">
        <v>0.22</v>
      </c>
      <c r="K735" s="47">
        <v>0.21210000000000001</v>
      </c>
      <c r="L735" s="47">
        <v>0.44</v>
      </c>
      <c r="M735" s="47">
        <v>0.25369999999999998</v>
      </c>
      <c r="N735" s="47">
        <v>5</v>
      </c>
      <c r="O735" s="47">
        <v>35</v>
      </c>
      <c r="P735" s="48">
        <v>40</v>
      </c>
    </row>
    <row r="736" spans="1:16">
      <c r="A736" s="41">
        <v>735</v>
      </c>
      <c r="B736" s="42">
        <v>40576</v>
      </c>
      <c r="C736" s="43">
        <v>1</v>
      </c>
      <c r="D736" s="43">
        <v>0</v>
      </c>
      <c r="E736" s="43">
        <v>2</v>
      </c>
      <c r="F736" s="43">
        <v>23</v>
      </c>
      <c r="G736" s="43" t="b">
        <v>0</v>
      </c>
      <c r="H736" s="43">
        <v>3</v>
      </c>
      <c r="I736" s="43">
        <v>1</v>
      </c>
      <c r="J736" s="43">
        <v>0.2</v>
      </c>
      <c r="K736" s="43">
        <v>0.16669999999999999</v>
      </c>
      <c r="L736" s="43">
        <v>0.44</v>
      </c>
      <c r="M736" s="43">
        <v>0.44779999999999998</v>
      </c>
      <c r="N736" s="43">
        <v>3</v>
      </c>
      <c r="O736" s="43">
        <v>29</v>
      </c>
      <c r="P736" s="44">
        <v>32</v>
      </c>
    </row>
    <row r="737" spans="1:16">
      <c r="A737" s="45">
        <v>736</v>
      </c>
      <c r="B737" s="46">
        <v>40577</v>
      </c>
      <c r="C737" s="47">
        <v>1</v>
      </c>
      <c r="D737" s="47">
        <v>0</v>
      </c>
      <c r="E737" s="47">
        <v>2</v>
      </c>
      <c r="F737" s="47">
        <v>0</v>
      </c>
      <c r="G737" s="47" t="b">
        <v>0</v>
      </c>
      <c r="H737" s="47">
        <v>4</v>
      </c>
      <c r="I737" s="47">
        <v>1</v>
      </c>
      <c r="J737" s="47">
        <v>0.2</v>
      </c>
      <c r="K737" s="47">
        <v>0.16669999999999999</v>
      </c>
      <c r="L737" s="47">
        <v>0.4</v>
      </c>
      <c r="M737" s="47">
        <v>0.44779999999999998</v>
      </c>
      <c r="N737" s="47">
        <v>1</v>
      </c>
      <c r="O737" s="47">
        <v>11</v>
      </c>
      <c r="P737" s="48">
        <v>12</v>
      </c>
    </row>
    <row r="738" spans="1:16">
      <c r="A738" s="41">
        <v>737</v>
      </c>
      <c r="B738" s="42">
        <v>40577</v>
      </c>
      <c r="C738" s="43">
        <v>1</v>
      </c>
      <c r="D738" s="43">
        <v>0</v>
      </c>
      <c r="E738" s="43">
        <v>2</v>
      </c>
      <c r="F738" s="43">
        <v>1</v>
      </c>
      <c r="G738" s="43" t="b">
        <v>0</v>
      </c>
      <c r="H738" s="43">
        <v>4</v>
      </c>
      <c r="I738" s="43">
        <v>1</v>
      </c>
      <c r="J738" s="43">
        <v>0.2</v>
      </c>
      <c r="K738" s="43">
        <v>0.1515</v>
      </c>
      <c r="L738" s="43">
        <v>0.44</v>
      </c>
      <c r="M738" s="43">
        <v>0.52239999999999998</v>
      </c>
      <c r="N738" s="43">
        <v>0</v>
      </c>
      <c r="O738" s="43">
        <v>5</v>
      </c>
      <c r="P738" s="44">
        <v>5</v>
      </c>
    </row>
    <row r="739" spans="1:16">
      <c r="A739" s="45">
        <v>738</v>
      </c>
      <c r="B739" s="46">
        <v>40577</v>
      </c>
      <c r="C739" s="47">
        <v>1</v>
      </c>
      <c r="D739" s="47">
        <v>0</v>
      </c>
      <c r="E739" s="47">
        <v>2</v>
      </c>
      <c r="F739" s="47">
        <v>2</v>
      </c>
      <c r="G739" s="47" t="b">
        <v>0</v>
      </c>
      <c r="H739" s="47">
        <v>4</v>
      </c>
      <c r="I739" s="47">
        <v>1</v>
      </c>
      <c r="J739" s="47">
        <v>0.18</v>
      </c>
      <c r="K739" s="47">
        <v>0.16669999999999999</v>
      </c>
      <c r="L739" s="47">
        <v>0.43</v>
      </c>
      <c r="M739" s="47">
        <v>0.25369999999999998</v>
      </c>
      <c r="N739" s="47">
        <v>0</v>
      </c>
      <c r="O739" s="47">
        <v>2</v>
      </c>
      <c r="P739" s="48">
        <v>2</v>
      </c>
    </row>
    <row r="740" spans="1:16">
      <c r="A740" s="41">
        <v>739</v>
      </c>
      <c r="B740" s="42">
        <v>40577</v>
      </c>
      <c r="C740" s="43">
        <v>1</v>
      </c>
      <c r="D740" s="43">
        <v>0</v>
      </c>
      <c r="E740" s="43">
        <v>2</v>
      </c>
      <c r="F740" s="43">
        <v>3</v>
      </c>
      <c r="G740" s="43" t="b">
        <v>0</v>
      </c>
      <c r="H740" s="43">
        <v>4</v>
      </c>
      <c r="I740" s="43">
        <v>1</v>
      </c>
      <c r="J740" s="43">
        <v>0.18</v>
      </c>
      <c r="K740" s="43">
        <v>0.16669999999999999</v>
      </c>
      <c r="L740" s="43">
        <v>0.43</v>
      </c>
      <c r="M740" s="43">
        <v>0.25369999999999998</v>
      </c>
      <c r="N740" s="43">
        <v>0</v>
      </c>
      <c r="O740" s="43">
        <v>1</v>
      </c>
      <c r="P740" s="44">
        <v>1</v>
      </c>
    </row>
    <row r="741" spans="1:16">
      <c r="A741" s="45">
        <v>740</v>
      </c>
      <c r="B741" s="46">
        <v>40577</v>
      </c>
      <c r="C741" s="47">
        <v>1</v>
      </c>
      <c r="D741" s="47">
        <v>0</v>
      </c>
      <c r="E741" s="47">
        <v>2</v>
      </c>
      <c r="F741" s="47">
        <v>5</v>
      </c>
      <c r="G741" s="47" t="b">
        <v>0</v>
      </c>
      <c r="H741" s="47">
        <v>4</v>
      </c>
      <c r="I741" s="47">
        <v>1</v>
      </c>
      <c r="J741" s="47">
        <v>0.16</v>
      </c>
      <c r="K741" s="47">
        <v>0.13639999999999999</v>
      </c>
      <c r="L741" s="47">
        <v>0.5</v>
      </c>
      <c r="M741" s="47">
        <v>0.29849999999999999</v>
      </c>
      <c r="N741" s="47">
        <v>0</v>
      </c>
      <c r="O741" s="47">
        <v>2</v>
      </c>
      <c r="P741" s="48">
        <v>2</v>
      </c>
    </row>
    <row r="742" spans="1:16">
      <c r="A742" s="41">
        <v>741</v>
      </c>
      <c r="B742" s="42">
        <v>40577</v>
      </c>
      <c r="C742" s="43">
        <v>1</v>
      </c>
      <c r="D742" s="43">
        <v>0</v>
      </c>
      <c r="E742" s="43">
        <v>2</v>
      </c>
      <c r="F742" s="43">
        <v>6</v>
      </c>
      <c r="G742" s="43" t="b">
        <v>0</v>
      </c>
      <c r="H742" s="43">
        <v>4</v>
      </c>
      <c r="I742" s="43">
        <v>1</v>
      </c>
      <c r="J742" s="43">
        <v>0.16</v>
      </c>
      <c r="K742" s="43">
        <v>0.13639999999999999</v>
      </c>
      <c r="L742" s="43">
        <v>0.43</v>
      </c>
      <c r="M742" s="43">
        <v>0.35820000000000002</v>
      </c>
      <c r="N742" s="43">
        <v>0</v>
      </c>
      <c r="O742" s="43">
        <v>39</v>
      </c>
      <c r="P742" s="44">
        <v>39</v>
      </c>
    </row>
    <row r="743" spans="1:16">
      <c r="A743" s="45">
        <v>742</v>
      </c>
      <c r="B743" s="46">
        <v>40577</v>
      </c>
      <c r="C743" s="47">
        <v>1</v>
      </c>
      <c r="D743" s="47">
        <v>0</v>
      </c>
      <c r="E743" s="47">
        <v>2</v>
      </c>
      <c r="F743" s="47">
        <v>7</v>
      </c>
      <c r="G743" s="47" t="b">
        <v>0</v>
      </c>
      <c r="H743" s="47">
        <v>4</v>
      </c>
      <c r="I743" s="47">
        <v>1</v>
      </c>
      <c r="J743" s="47">
        <v>0.14000000000000001</v>
      </c>
      <c r="K743" s="47">
        <v>0.1212</v>
      </c>
      <c r="L743" s="47">
        <v>0.5</v>
      </c>
      <c r="M743" s="47">
        <v>0.32840000000000003</v>
      </c>
      <c r="N743" s="47">
        <v>1</v>
      </c>
      <c r="O743" s="47">
        <v>86</v>
      </c>
      <c r="P743" s="48">
        <v>87</v>
      </c>
    </row>
    <row r="744" spans="1:16">
      <c r="A744" s="41">
        <v>743</v>
      </c>
      <c r="B744" s="42">
        <v>40577</v>
      </c>
      <c r="C744" s="43">
        <v>1</v>
      </c>
      <c r="D744" s="43">
        <v>0</v>
      </c>
      <c r="E744" s="43">
        <v>2</v>
      </c>
      <c r="F744" s="43">
        <v>8</v>
      </c>
      <c r="G744" s="43" t="b">
        <v>0</v>
      </c>
      <c r="H744" s="43">
        <v>4</v>
      </c>
      <c r="I744" s="43">
        <v>1</v>
      </c>
      <c r="J744" s="43">
        <v>0.14000000000000001</v>
      </c>
      <c r="K744" s="43">
        <v>0.1212</v>
      </c>
      <c r="L744" s="43">
        <v>0.5</v>
      </c>
      <c r="M744" s="43">
        <v>0.35820000000000002</v>
      </c>
      <c r="N744" s="43">
        <v>4</v>
      </c>
      <c r="O744" s="43">
        <v>184</v>
      </c>
      <c r="P744" s="44">
        <v>188</v>
      </c>
    </row>
    <row r="745" spans="1:16">
      <c r="A745" s="45">
        <v>744</v>
      </c>
      <c r="B745" s="46">
        <v>40577</v>
      </c>
      <c r="C745" s="47">
        <v>1</v>
      </c>
      <c r="D745" s="47">
        <v>0</v>
      </c>
      <c r="E745" s="47">
        <v>2</v>
      </c>
      <c r="F745" s="47">
        <v>9</v>
      </c>
      <c r="G745" s="47" t="b">
        <v>0</v>
      </c>
      <c r="H745" s="47">
        <v>4</v>
      </c>
      <c r="I745" s="47">
        <v>1</v>
      </c>
      <c r="J745" s="47">
        <v>0.16</v>
      </c>
      <c r="K745" s="47">
        <v>0.13639999999999999</v>
      </c>
      <c r="L745" s="47">
        <v>0.47</v>
      </c>
      <c r="M745" s="47">
        <v>0.29849999999999999</v>
      </c>
      <c r="N745" s="47">
        <v>6</v>
      </c>
      <c r="O745" s="47">
        <v>127</v>
      </c>
      <c r="P745" s="48">
        <v>133</v>
      </c>
    </row>
    <row r="746" spans="1:16">
      <c r="A746" s="41">
        <v>745</v>
      </c>
      <c r="B746" s="42">
        <v>40577</v>
      </c>
      <c r="C746" s="43">
        <v>1</v>
      </c>
      <c r="D746" s="43">
        <v>0</v>
      </c>
      <c r="E746" s="43">
        <v>2</v>
      </c>
      <c r="F746" s="43">
        <v>10</v>
      </c>
      <c r="G746" s="43" t="b">
        <v>0</v>
      </c>
      <c r="H746" s="43">
        <v>4</v>
      </c>
      <c r="I746" s="43">
        <v>1</v>
      </c>
      <c r="J746" s="43">
        <v>0.18</v>
      </c>
      <c r="K746" s="43">
        <v>0.1515</v>
      </c>
      <c r="L746" s="43">
        <v>0.43</v>
      </c>
      <c r="M746" s="43">
        <v>0.32840000000000003</v>
      </c>
      <c r="N746" s="43">
        <v>2</v>
      </c>
      <c r="O746" s="43">
        <v>50</v>
      </c>
      <c r="P746" s="44">
        <v>52</v>
      </c>
    </row>
    <row r="747" spans="1:16">
      <c r="A747" s="45">
        <v>746</v>
      </c>
      <c r="B747" s="46">
        <v>40577</v>
      </c>
      <c r="C747" s="47">
        <v>1</v>
      </c>
      <c r="D747" s="47">
        <v>0</v>
      </c>
      <c r="E747" s="47">
        <v>2</v>
      </c>
      <c r="F747" s="47">
        <v>11</v>
      </c>
      <c r="G747" s="47" t="b">
        <v>0</v>
      </c>
      <c r="H747" s="47">
        <v>4</v>
      </c>
      <c r="I747" s="47">
        <v>1</v>
      </c>
      <c r="J747" s="47">
        <v>0.18</v>
      </c>
      <c r="K747" s="47">
        <v>0.13639999999999999</v>
      </c>
      <c r="L747" s="47">
        <v>0.43</v>
      </c>
      <c r="M747" s="47">
        <v>0.44779999999999998</v>
      </c>
      <c r="N747" s="47">
        <v>9</v>
      </c>
      <c r="O747" s="47">
        <v>55</v>
      </c>
      <c r="P747" s="48">
        <v>64</v>
      </c>
    </row>
    <row r="748" spans="1:16">
      <c r="A748" s="41">
        <v>747</v>
      </c>
      <c r="B748" s="42">
        <v>40577</v>
      </c>
      <c r="C748" s="43">
        <v>1</v>
      </c>
      <c r="D748" s="43">
        <v>0</v>
      </c>
      <c r="E748" s="43">
        <v>2</v>
      </c>
      <c r="F748" s="43">
        <v>12</v>
      </c>
      <c r="G748" s="43" t="b">
        <v>0</v>
      </c>
      <c r="H748" s="43">
        <v>4</v>
      </c>
      <c r="I748" s="43">
        <v>1</v>
      </c>
      <c r="J748" s="43">
        <v>0.2</v>
      </c>
      <c r="K748" s="43">
        <v>0.18179999999999999</v>
      </c>
      <c r="L748" s="43">
        <v>0.4</v>
      </c>
      <c r="M748" s="43">
        <v>0.35820000000000002</v>
      </c>
      <c r="N748" s="43">
        <v>2</v>
      </c>
      <c r="O748" s="43">
        <v>67</v>
      </c>
      <c r="P748" s="44">
        <v>69</v>
      </c>
    </row>
    <row r="749" spans="1:16">
      <c r="A749" s="45">
        <v>748</v>
      </c>
      <c r="B749" s="46">
        <v>40577</v>
      </c>
      <c r="C749" s="47">
        <v>1</v>
      </c>
      <c r="D749" s="47">
        <v>0</v>
      </c>
      <c r="E749" s="47">
        <v>2</v>
      </c>
      <c r="F749" s="47">
        <v>13</v>
      </c>
      <c r="G749" s="47" t="b">
        <v>0</v>
      </c>
      <c r="H749" s="47">
        <v>4</v>
      </c>
      <c r="I749" s="47">
        <v>1</v>
      </c>
      <c r="J749" s="47">
        <v>0.2</v>
      </c>
      <c r="K749" s="47">
        <v>0.16669999999999999</v>
      </c>
      <c r="L749" s="47">
        <v>0.4</v>
      </c>
      <c r="M749" s="47">
        <v>0.41789999999999999</v>
      </c>
      <c r="N749" s="47">
        <v>4</v>
      </c>
      <c r="O749" s="47">
        <v>47</v>
      </c>
      <c r="P749" s="48">
        <v>51</v>
      </c>
    </row>
    <row r="750" spans="1:16">
      <c r="A750" s="41">
        <v>749</v>
      </c>
      <c r="B750" s="42">
        <v>40577</v>
      </c>
      <c r="C750" s="43">
        <v>1</v>
      </c>
      <c r="D750" s="43">
        <v>0</v>
      </c>
      <c r="E750" s="43">
        <v>2</v>
      </c>
      <c r="F750" s="43">
        <v>14</v>
      </c>
      <c r="G750" s="43" t="b">
        <v>0</v>
      </c>
      <c r="H750" s="43">
        <v>4</v>
      </c>
      <c r="I750" s="43">
        <v>1</v>
      </c>
      <c r="J750" s="43">
        <v>0.22</v>
      </c>
      <c r="K750" s="43">
        <v>0.19700000000000001</v>
      </c>
      <c r="L750" s="43">
        <v>0.37</v>
      </c>
      <c r="M750" s="43">
        <v>0.3881</v>
      </c>
      <c r="N750" s="43">
        <v>4</v>
      </c>
      <c r="O750" s="43">
        <v>43</v>
      </c>
      <c r="P750" s="44">
        <v>47</v>
      </c>
    </row>
    <row r="751" spans="1:16">
      <c r="A751" s="45">
        <v>750</v>
      </c>
      <c r="B751" s="46">
        <v>40577</v>
      </c>
      <c r="C751" s="47">
        <v>1</v>
      </c>
      <c r="D751" s="47">
        <v>0</v>
      </c>
      <c r="E751" s="47">
        <v>2</v>
      </c>
      <c r="F751" s="47">
        <v>15</v>
      </c>
      <c r="G751" s="47" t="b">
        <v>0</v>
      </c>
      <c r="H751" s="47">
        <v>4</v>
      </c>
      <c r="I751" s="47">
        <v>1</v>
      </c>
      <c r="J751" s="47">
        <v>0.22</v>
      </c>
      <c r="K751" s="47">
        <v>0.19700000000000001</v>
      </c>
      <c r="L751" s="47">
        <v>0.37</v>
      </c>
      <c r="M751" s="47">
        <v>0.32840000000000003</v>
      </c>
      <c r="N751" s="47">
        <v>4</v>
      </c>
      <c r="O751" s="47">
        <v>56</v>
      </c>
      <c r="P751" s="48">
        <v>60</v>
      </c>
    </row>
    <row r="752" spans="1:16">
      <c r="A752" s="41">
        <v>751</v>
      </c>
      <c r="B752" s="42">
        <v>40577</v>
      </c>
      <c r="C752" s="43">
        <v>1</v>
      </c>
      <c r="D752" s="43">
        <v>0</v>
      </c>
      <c r="E752" s="43">
        <v>2</v>
      </c>
      <c r="F752" s="43">
        <v>16</v>
      </c>
      <c r="G752" s="43" t="b">
        <v>0</v>
      </c>
      <c r="H752" s="43">
        <v>4</v>
      </c>
      <c r="I752" s="43">
        <v>1</v>
      </c>
      <c r="J752" s="43">
        <v>0.22</v>
      </c>
      <c r="K752" s="43">
        <v>0.21210000000000001</v>
      </c>
      <c r="L752" s="43">
        <v>0.37</v>
      </c>
      <c r="M752" s="43">
        <v>0.25369999999999998</v>
      </c>
      <c r="N752" s="43">
        <v>5</v>
      </c>
      <c r="O752" s="43">
        <v>73</v>
      </c>
      <c r="P752" s="44">
        <v>78</v>
      </c>
    </row>
    <row r="753" spans="1:16">
      <c r="A753" s="45">
        <v>752</v>
      </c>
      <c r="B753" s="46">
        <v>40577</v>
      </c>
      <c r="C753" s="47">
        <v>1</v>
      </c>
      <c r="D753" s="47">
        <v>0</v>
      </c>
      <c r="E753" s="47">
        <v>2</v>
      </c>
      <c r="F753" s="47">
        <v>17</v>
      </c>
      <c r="G753" s="47" t="b">
        <v>0</v>
      </c>
      <c r="H753" s="47">
        <v>4</v>
      </c>
      <c r="I753" s="47">
        <v>1</v>
      </c>
      <c r="J753" s="47">
        <v>0.2</v>
      </c>
      <c r="K753" s="47">
        <v>0.19700000000000001</v>
      </c>
      <c r="L753" s="47">
        <v>0.4</v>
      </c>
      <c r="M753" s="47">
        <v>0.19400000000000001</v>
      </c>
      <c r="N753" s="47">
        <v>5</v>
      </c>
      <c r="O753" s="47">
        <v>170</v>
      </c>
      <c r="P753" s="48">
        <v>175</v>
      </c>
    </row>
    <row r="754" spans="1:16">
      <c r="A754" s="41">
        <v>753</v>
      </c>
      <c r="B754" s="42">
        <v>40577</v>
      </c>
      <c r="C754" s="43">
        <v>1</v>
      </c>
      <c r="D754" s="43">
        <v>0</v>
      </c>
      <c r="E754" s="43">
        <v>2</v>
      </c>
      <c r="F754" s="43">
        <v>18</v>
      </c>
      <c r="G754" s="43" t="b">
        <v>0</v>
      </c>
      <c r="H754" s="43">
        <v>4</v>
      </c>
      <c r="I754" s="43">
        <v>1</v>
      </c>
      <c r="J754" s="43">
        <v>0.2</v>
      </c>
      <c r="K754" s="43">
        <v>0.21210000000000001</v>
      </c>
      <c r="L754" s="43">
        <v>0.4</v>
      </c>
      <c r="M754" s="43">
        <v>0.16420000000000001</v>
      </c>
      <c r="N754" s="43">
        <v>2</v>
      </c>
      <c r="O754" s="43">
        <v>145</v>
      </c>
      <c r="P754" s="44">
        <v>147</v>
      </c>
    </row>
    <row r="755" spans="1:16">
      <c r="A755" s="45">
        <v>754</v>
      </c>
      <c r="B755" s="46">
        <v>40577</v>
      </c>
      <c r="C755" s="47">
        <v>1</v>
      </c>
      <c r="D755" s="47">
        <v>0</v>
      </c>
      <c r="E755" s="47">
        <v>2</v>
      </c>
      <c r="F755" s="47">
        <v>19</v>
      </c>
      <c r="G755" s="47" t="b">
        <v>0</v>
      </c>
      <c r="H755" s="47">
        <v>4</v>
      </c>
      <c r="I755" s="47">
        <v>1</v>
      </c>
      <c r="J755" s="47">
        <v>0.2</v>
      </c>
      <c r="K755" s="47">
        <v>0.2576</v>
      </c>
      <c r="L755" s="47">
        <v>0.4</v>
      </c>
      <c r="M755" s="47">
        <v>0</v>
      </c>
      <c r="N755" s="47">
        <v>4</v>
      </c>
      <c r="O755" s="47">
        <v>92</v>
      </c>
      <c r="P755" s="48">
        <v>96</v>
      </c>
    </row>
    <row r="756" spans="1:16">
      <c r="A756" s="41">
        <v>755</v>
      </c>
      <c r="B756" s="42">
        <v>40577</v>
      </c>
      <c r="C756" s="43">
        <v>1</v>
      </c>
      <c r="D756" s="43">
        <v>0</v>
      </c>
      <c r="E756" s="43">
        <v>2</v>
      </c>
      <c r="F756" s="43">
        <v>20</v>
      </c>
      <c r="G756" s="43" t="b">
        <v>0</v>
      </c>
      <c r="H756" s="43">
        <v>4</v>
      </c>
      <c r="I756" s="43">
        <v>1</v>
      </c>
      <c r="J756" s="43">
        <v>0.2</v>
      </c>
      <c r="K756" s="43">
        <v>0.2273</v>
      </c>
      <c r="L756" s="43">
        <v>0.47</v>
      </c>
      <c r="M756" s="43">
        <v>8.9599999999999999E-2</v>
      </c>
      <c r="N756" s="43">
        <v>1</v>
      </c>
      <c r="O756" s="43">
        <v>108</v>
      </c>
      <c r="P756" s="44">
        <v>109</v>
      </c>
    </row>
    <row r="757" spans="1:16">
      <c r="A757" s="45">
        <v>756</v>
      </c>
      <c r="B757" s="46">
        <v>40577</v>
      </c>
      <c r="C757" s="47">
        <v>1</v>
      </c>
      <c r="D757" s="47">
        <v>0</v>
      </c>
      <c r="E757" s="47">
        <v>2</v>
      </c>
      <c r="F757" s="47">
        <v>21</v>
      </c>
      <c r="G757" s="47" t="b">
        <v>0</v>
      </c>
      <c r="H757" s="47">
        <v>4</v>
      </c>
      <c r="I757" s="47">
        <v>1</v>
      </c>
      <c r="J757" s="47">
        <v>0.18</v>
      </c>
      <c r="K757" s="47">
        <v>0.21210000000000001</v>
      </c>
      <c r="L757" s="47">
        <v>0.55000000000000004</v>
      </c>
      <c r="M757" s="47">
        <v>0.1045</v>
      </c>
      <c r="N757" s="47">
        <v>1</v>
      </c>
      <c r="O757" s="47">
        <v>53</v>
      </c>
      <c r="P757" s="48">
        <v>54</v>
      </c>
    </row>
    <row r="758" spans="1:16">
      <c r="A758" s="41">
        <v>757</v>
      </c>
      <c r="B758" s="42">
        <v>40577</v>
      </c>
      <c r="C758" s="43">
        <v>1</v>
      </c>
      <c r="D758" s="43">
        <v>0</v>
      </c>
      <c r="E758" s="43">
        <v>2</v>
      </c>
      <c r="F758" s="43">
        <v>22</v>
      </c>
      <c r="G758" s="43" t="b">
        <v>0</v>
      </c>
      <c r="H758" s="43">
        <v>4</v>
      </c>
      <c r="I758" s="43">
        <v>1</v>
      </c>
      <c r="J758" s="43">
        <v>0.18</v>
      </c>
      <c r="K758" s="43">
        <v>0.21210000000000001</v>
      </c>
      <c r="L758" s="43">
        <v>0.51</v>
      </c>
      <c r="M758" s="43">
        <v>8.9599999999999999E-2</v>
      </c>
      <c r="N758" s="43">
        <v>2</v>
      </c>
      <c r="O758" s="43">
        <v>39</v>
      </c>
      <c r="P758" s="44">
        <v>41</v>
      </c>
    </row>
    <row r="759" spans="1:16">
      <c r="A759" s="45">
        <v>758</v>
      </c>
      <c r="B759" s="46">
        <v>40577</v>
      </c>
      <c r="C759" s="47">
        <v>1</v>
      </c>
      <c r="D759" s="47">
        <v>0</v>
      </c>
      <c r="E759" s="47">
        <v>2</v>
      </c>
      <c r="F759" s="47">
        <v>23</v>
      </c>
      <c r="G759" s="47" t="b">
        <v>0</v>
      </c>
      <c r="H759" s="47">
        <v>4</v>
      </c>
      <c r="I759" s="47">
        <v>1</v>
      </c>
      <c r="J759" s="47">
        <v>0.2</v>
      </c>
      <c r="K759" s="47">
        <v>0.2273</v>
      </c>
      <c r="L759" s="47">
        <v>0.47</v>
      </c>
      <c r="M759" s="47">
        <v>0.1045</v>
      </c>
      <c r="N759" s="47">
        <v>4</v>
      </c>
      <c r="O759" s="47">
        <v>34</v>
      </c>
      <c r="P759" s="48">
        <v>38</v>
      </c>
    </row>
    <row r="760" spans="1:16">
      <c r="A760" s="41">
        <v>759</v>
      </c>
      <c r="B760" s="42">
        <v>40578</v>
      </c>
      <c r="C760" s="43">
        <v>1</v>
      </c>
      <c r="D760" s="43">
        <v>0</v>
      </c>
      <c r="E760" s="43">
        <v>2</v>
      </c>
      <c r="F760" s="43">
        <v>0</v>
      </c>
      <c r="G760" s="43" t="b">
        <v>0</v>
      </c>
      <c r="H760" s="43">
        <v>5</v>
      </c>
      <c r="I760" s="43">
        <v>2</v>
      </c>
      <c r="J760" s="43">
        <v>0.2</v>
      </c>
      <c r="K760" s="43">
        <v>0.2576</v>
      </c>
      <c r="L760" s="43">
        <v>0.44</v>
      </c>
      <c r="M760" s="43">
        <v>0</v>
      </c>
      <c r="N760" s="43">
        <v>3</v>
      </c>
      <c r="O760" s="43">
        <v>10</v>
      </c>
      <c r="P760" s="44">
        <v>13</v>
      </c>
    </row>
    <row r="761" spans="1:16">
      <c r="A761" s="45">
        <v>760</v>
      </c>
      <c r="B761" s="46">
        <v>40578</v>
      </c>
      <c r="C761" s="47">
        <v>1</v>
      </c>
      <c r="D761" s="47">
        <v>0</v>
      </c>
      <c r="E761" s="47">
        <v>2</v>
      </c>
      <c r="F761" s="47">
        <v>1</v>
      </c>
      <c r="G761" s="47" t="b">
        <v>0</v>
      </c>
      <c r="H761" s="47">
        <v>5</v>
      </c>
      <c r="I761" s="47">
        <v>2</v>
      </c>
      <c r="J761" s="47">
        <v>0.16</v>
      </c>
      <c r="K761" s="47">
        <v>0.2273</v>
      </c>
      <c r="L761" s="47">
        <v>0.59</v>
      </c>
      <c r="M761" s="47">
        <v>0</v>
      </c>
      <c r="N761" s="47">
        <v>0</v>
      </c>
      <c r="O761" s="47">
        <v>7</v>
      </c>
      <c r="P761" s="48">
        <v>7</v>
      </c>
    </row>
    <row r="762" spans="1:16">
      <c r="A762" s="41">
        <v>761</v>
      </c>
      <c r="B762" s="42">
        <v>40578</v>
      </c>
      <c r="C762" s="43">
        <v>1</v>
      </c>
      <c r="D762" s="43">
        <v>0</v>
      </c>
      <c r="E762" s="43">
        <v>2</v>
      </c>
      <c r="F762" s="43">
        <v>2</v>
      </c>
      <c r="G762" s="43" t="b">
        <v>0</v>
      </c>
      <c r="H762" s="43">
        <v>5</v>
      </c>
      <c r="I762" s="43">
        <v>2</v>
      </c>
      <c r="J762" s="43">
        <v>0.14000000000000001</v>
      </c>
      <c r="K762" s="43">
        <v>0.16669999999999999</v>
      </c>
      <c r="L762" s="43">
        <v>0.63</v>
      </c>
      <c r="M762" s="43">
        <v>0.1045</v>
      </c>
      <c r="N762" s="43">
        <v>0</v>
      </c>
      <c r="O762" s="43">
        <v>1</v>
      </c>
      <c r="P762" s="44">
        <v>1</v>
      </c>
    </row>
    <row r="763" spans="1:16">
      <c r="A763" s="45">
        <v>762</v>
      </c>
      <c r="B763" s="46">
        <v>40578</v>
      </c>
      <c r="C763" s="47">
        <v>1</v>
      </c>
      <c r="D763" s="47">
        <v>0</v>
      </c>
      <c r="E763" s="47">
        <v>2</v>
      </c>
      <c r="F763" s="47">
        <v>3</v>
      </c>
      <c r="G763" s="47" t="b">
        <v>0</v>
      </c>
      <c r="H763" s="47">
        <v>5</v>
      </c>
      <c r="I763" s="47">
        <v>2</v>
      </c>
      <c r="J763" s="47">
        <v>0.14000000000000001</v>
      </c>
      <c r="K763" s="47">
        <v>0.16669999999999999</v>
      </c>
      <c r="L763" s="47">
        <v>0.63</v>
      </c>
      <c r="M763" s="47">
        <v>0.1045</v>
      </c>
      <c r="N763" s="47">
        <v>0</v>
      </c>
      <c r="O763" s="47">
        <v>1</v>
      </c>
      <c r="P763" s="48">
        <v>1</v>
      </c>
    </row>
    <row r="764" spans="1:16">
      <c r="A764" s="41">
        <v>763</v>
      </c>
      <c r="B764" s="42">
        <v>40578</v>
      </c>
      <c r="C764" s="43">
        <v>1</v>
      </c>
      <c r="D764" s="43">
        <v>0</v>
      </c>
      <c r="E764" s="43">
        <v>2</v>
      </c>
      <c r="F764" s="43">
        <v>5</v>
      </c>
      <c r="G764" s="43" t="b">
        <v>0</v>
      </c>
      <c r="H764" s="43">
        <v>5</v>
      </c>
      <c r="I764" s="43">
        <v>2</v>
      </c>
      <c r="J764" s="43">
        <v>0.14000000000000001</v>
      </c>
      <c r="K764" s="43">
        <v>0.1515</v>
      </c>
      <c r="L764" s="43">
        <v>0.63</v>
      </c>
      <c r="M764" s="43">
        <v>0.1343</v>
      </c>
      <c r="N764" s="43">
        <v>0</v>
      </c>
      <c r="O764" s="43">
        <v>7</v>
      </c>
      <c r="P764" s="44">
        <v>7</v>
      </c>
    </row>
    <row r="765" spans="1:16">
      <c r="A765" s="45">
        <v>764</v>
      </c>
      <c r="B765" s="46">
        <v>40578</v>
      </c>
      <c r="C765" s="47">
        <v>1</v>
      </c>
      <c r="D765" s="47">
        <v>0</v>
      </c>
      <c r="E765" s="47">
        <v>2</v>
      </c>
      <c r="F765" s="47">
        <v>6</v>
      </c>
      <c r="G765" s="47" t="b">
        <v>0</v>
      </c>
      <c r="H765" s="47">
        <v>5</v>
      </c>
      <c r="I765" s="47">
        <v>2</v>
      </c>
      <c r="J765" s="47">
        <v>0.16</v>
      </c>
      <c r="K765" s="47">
        <v>0.2273</v>
      </c>
      <c r="L765" s="47">
        <v>0.55000000000000004</v>
      </c>
      <c r="M765" s="47">
        <v>0</v>
      </c>
      <c r="N765" s="47">
        <v>2</v>
      </c>
      <c r="O765" s="47">
        <v>26</v>
      </c>
      <c r="P765" s="48">
        <v>28</v>
      </c>
    </row>
    <row r="766" spans="1:16">
      <c r="A766" s="41">
        <v>765</v>
      </c>
      <c r="B766" s="42">
        <v>40578</v>
      </c>
      <c r="C766" s="43">
        <v>1</v>
      </c>
      <c r="D766" s="43">
        <v>0</v>
      </c>
      <c r="E766" s="43">
        <v>2</v>
      </c>
      <c r="F766" s="43">
        <v>7</v>
      </c>
      <c r="G766" s="43" t="b">
        <v>0</v>
      </c>
      <c r="H766" s="43">
        <v>5</v>
      </c>
      <c r="I766" s="43">
        <v>1</v>
      </c>
      <c r="J766" s="43">
        <v>0.14000000000000001</v>
      </c>
      <c r="K766" s="43">
        <v>0.21210000000000001</v>
      </c>
      <c r="L766" s="43">
        <v>0.59</v>
      </c>
      <c r="M766" s="43">
        <v>0</v>
      </c>
      <c r="N766" s="43">
        <v>0</v>
      </c>
      <c r="O766" s="43">
        <v>87</v>
      </c>
      <c r="P766" s="44">
        <v>87</v>
      </c>
    </row>
    <row r="767" spans="1:16">
      <c r="A767" s="45">
        <v>766</v>
      </c>
      <c r="B767" s="46">
        <v>40578</v>
      </c>
      <c r="C767" s="47">
        <v>1</v>
      </c>
      <c r="D767" s="47">
        <v>0</v>
      </c>
      <c r="E767" s="47">
        <v>2</v>
      </c>
      <c r="F767" s="47">
        <v>8</v>
      </c>
      <c r="G767" s="47" t="b">
        <v>0</v>
      </c>
      <c r="H767" s="47">
        <v>5</v>
      </c>
      <c r="I767" s="47">
        <v>1</v>
      </c>
      <c r="J767" s="47">
        <v>0.14000000000000001</v>
      </c>
      <c r="K767" s="47">
        <v>0.1515</v>
      </c>
      <c r="L767" s="47">
        <v>0.74</v>
      </c>
      <c r="M767" s="47">
        <v>0.1343</v>
      </c>
      <c r="N767" s="47">
        <v>3</v>
      </c>
      <c r="O767" s="47">
        <v>217</v>
      </c>
      <c r="P767" s="48">
        <v>220</v>
      </c>
    </row>
    <row r="768" spans="1:16">
      <c r="A768" s="41">
        <v>767</v>
      </c>
      <c r="B768" s="42">
        <v>40578</v>
      </c>
      <c r="C768" s="43">
        <v>1</v>
      </c>
      <c r="D768" s="43">
        <v>0</v>
      </c>
      <c r="E768" s="43">
        <v>2</v>
      </c>
      <c r="F768" s="43">
        <v>9</v>
      </c>
      <c r="G768" s="43" t="b">
        <v>0</v>
      </c>
      <c r="H768" s="43">
        <v>5</v>
      </c>
      <c r="I768" s="43">
        <v>2</v>
      </c>
      <c r="J768" s="43">
        <v>0.16</v>
      </c>
      <c r="K768" s="43">
        <v>0.18179999999999999</v>
      </c>
      <c r="L768" s="43">
        <v>0.8</v>
      </c>
      <c r="M768" s="43">
        <v>0.1343</v>
      </c>
      <c r="N768" s="43">
        <v>3</v>
      </c>
      <c r="O768" s="43">
        <v>124</v>
      </c>
      <c r="P768" s="44">
        <v>127</v>
      </c>
    </row>
    <row r="769" spans="1:16">
      <c r="A769" s="45">
        <v>768</v>
      </c>
      <c r="B769" s="46">
        <v>40578</v>
      </c>
      <c r="C769" s="47">
        <v>1</v>
      </c>
      <c r="D769" s="47">
        <v>0</v>
      </c>
      <c r="E769" s="47">
        <v>2</v>
      </c>
      <c r="F769" s="47">
        <v>10</v>
      </c>
      <c r="G769" s="47" t="b">
        <v>0</v>
      </c>
      <c r="H769" s="47">
        <v>5</v>
      </c>
      <c r="I769" s="47">
        <v>2</v>
      </c>
      <c r="J769" s="47">
        <v>0.2</v>
      </c>
      <c r="K769" s="47">
        <v>0.21210000000000001</v>
      </c>
      <c r="L769" s="47">
        <v>0.51</v>
      </c>
      <c r="M769" s="47">
        <v>0.1343</v>
      </c>
      <c r="N769" s="47">
        <v>5</v>
      </c>
      <c r="O769" s="47">
        <v>46</v>
      </c>
      <c r="P769" s="48">
        <v>51</v>
      </c>
    </row>
    <row r="770" spans="1:16">
      <c r="A770" s="41">
        <v>769</v>
      </c>
      <c r="B770" s="42">
        <v>40578</v>
      </c>
      <c r="C770" s="43">
        <v>1</v>
      </c>
      <c r="D770" s="43">
        <v>0</v>
      </c>
      <c r="E770" s="43">
        <v>2</v>
      </c>
      <c r="F770" s="43">
        <v>11</v>
      </c>
      <c r="G770" s="43" t="b">
        <v>0</v>
      </c>
      <c r="H770" s="43">
        <v>5</v>
      </c>
      <c r="I770" s="43">
        <v>1</v>
      </c>
      <c r="J770" s="43">
        <v>0.22</v>
      </c>
      <c r="K770" s="43">
        <v>0.2273</v>
      </c>
      <c r="L770" s="43">
        <v>0.51</v>
      </c>
      <c r="M770" s="43">
        <v>0.16420000000000001</v>
      </c>
      <c r="N770" s="43">
        <v>3</v>
      </c>
      <c r="O770" s="43">
        <v>61</v>
      </c>
      <c r="P770" s="44">
        <v>64</v>
      </c>
    </row>
    <row r="771" spans="1:16">
      <c r="A771" s="45">
        <v>770</v>
      </c>
      <c r="B771" s="46">
        <v>40578</v>
      </c>
      <c r="C771" s="47">
        <v>1</v>
      </c>
      <c r="D771" s="47">
        <v>0</v>
      </c>
      <c r="E771" s="47">
        <v>2</v>
      </c>
      <c r="F771" s="47">
        <v>12</v>
      </c>
      <c r="G771" s="47" t="b">
        <v>0</v>
      </c>
      <c r="H771" s="47">
        <v>5</v>
      </c>
      <c r="I771" s="47">
        <v>2</v>
      </c>
      <c r="J771" s="47">
        <v>0.24</v>
      </c>
      <c r="K771" s="47">
        <v>0.2424</v>
      </c>
      <c r="L771" s="47">
        <v>0.48</v>
      </c>
      <c r="M771" s="47">
        <v>0.16420000000000001</v>
      </c>
      <c r="N771" s="47">
        <v>8</v>
      </c>
      <c r="O771" s="47">
        <v>78</v>
      </c>
      <c r="P771" s="48">
        <v>86</v>
      </c>
    </row>
    <row r="772" spans="1:16">
      <c r="A772" s="41">
        <v>771</v>
      </c>
      <c r="B772" s="42">
        <v>40578</v>
      </c>
      <c r="C772" s="43">
        <v>1</v>
      </c>
      <c r="D772" s="43">
        <v>0</v>
      </c>
      <c r="E772" s="43">
        <v>2</v>
      </c>
      <c r="F772" s="43">
        <v>13</v>
      </c>
      <c r="G772" s="43" t="b">
        <v>0</v>
      </c>
      <c r="H772" s="43">
        <v>5</v>
      </c>
      <c r="I772" s="43">
        <v>2</v>
      </c>
      <c r="J772" s="43">
        <v>0.26</v>
      </c>
      <c r="K772" s="43">
        <v>0.2576</v>
      </c>
      <c r="L772" s="43">
        <v>0.5</v>
      </c>
      <c r="M772" s="43">
        <v>0.22389999999999999</v>
      </c>
      <c r="N772" s="43">
        <v>9</v>
      </c>
      <c r="O772" s="43">
        <v>73</v>
      </c>
      <c r="P772" s="44">
        <v>82</v>
      </c>
    </row>
    <row r="773" spans="1:16">
      <c r="A773" s="45">
        <v>772</v>
      </c>
      <c r="B773" s="46">
        <v>40578</v>
      </c>
      <c r="C773" s="47">
        <v>1</v>
      </c>
      <c r="D773" s="47">
        <v>0</v>
      </c>
      <c r="E773" s="47">
        <v>2</v>
      </c>
      <c r="F773" s="47">
        <v>14</v>
      </c>
      <c r="G773" s="47" t="b">
        <v>0</v>
      </c>
      <c r="H773" s="47">
        <v>5</v>
      </c>
      <c r="I773" s="47">
        <v>2</v>
      </c>
      <c r="J773" s="47">
        <v>0.28000000000000003</v>
      </c>
      <c r="K773" s="47">
        <v>0.2727</v>
      </c>
      <c r="L773" s="47">
        <v>0.45</v>
      </c>
      <c r="M773" s="47">
        <v>0.16420000000000001</v>
      </c>
      <c r="N773" s="47">
        <v>15</v>
      </c>
      <c r="O773" s="47">
        <v>76</v>
      </c>
      <c r="P773" s="48">
        <v>91</v>
      </c>
    </row>
    <row r="774" spans="1:16">
      <c r="A774" s="41">
        <v>773</v>
      </c>
      <c r="B774" s="42">
        <v>40578</v>
      </c>
      <c r="C774" s="43">
        <v>1</v>
      </c>
      <c r="D774" s="43">
        <v>0</v>
      </c>
      <c r="E774" s="43">
        <v>2</v>
      </c>
      <c r="F774" s="43">
        <v>15</v>
      </c>
      <c r="G774" s="43" t="b">
        <v>0</v>
      </c>
      <c r="H774" s="43">
        <v>5</v>
      </c>
      <c r="I774" s="43">
        <v>2</v>
      </c>
      <c r="J774" s="43">
        <v>0.28000000000000003</v>
      </c>
      <c r="K774" s="43">
        <v>0.2727</v>
      </c>
      <c r="L774" s="43">
        <v>0.48</v>
      </c>
      <c r="M774" s="43">
        <v>0.25369999999999998</v>
      </c>
      <c r="N774" s="43">
        <v>9</v>
      </c>
      <c r="O774" s="43">
        <v>81</v>
      </c>
      <c r="P774" s="44">
        <v>90</v>
      </c>
    </row>
    <row r="775" spans="1:16">
      <c r="A775" s="45">
        <v>774</v>
      </c>
      <c r="B775" s="46">
        <v>40578</v>
      </c>
      <c r="C775" s="47">
        <v>1</v>
      </c>
      <c r="D775" s="47">
        <v>0</v>
      </c>
      <c r="E775" s="47">
        <v>2</v>
      </c>
      <c r="F775" s="47">
        <v>16</v>
      </c>
      <c r="G775" s="47" t="b">
        <v>0</v>
      </c>
      <c r="H775" s="47">
        <v>5</v>
      </c>
      <c r="I775" s="47">
        <v>2</v>
      </c>
      <c r="J775" s="47">
        <v>0.3</v>
      </c>
      <c r="K775" s="47">
        <v>0.28789999999999999</v>
      </c>
      <c r="L775" s="47">
        <v>0.42</v>
      </c>
      <c r="M775" s="47">
        <v>0.22389999999999999</v>
      </c>
      <c r="N775" s="47">
        <v>8</v>
      </c>
      <c r="O775" s="47">
        <v>91</v>
      </c>
      <c r="P775" s="48">
        <v>99</v>
      </c>
    </row>
    <row r="776" spans="1:16">
      <c r="A776" s="41">
        <v>775</v>
      </c>
      <c r="B776" s="42">
        <v>40578</v>
      </c>
      <c r="C776" s="43">
        <v>1</v>
      </c>
      <c r="D776" s="43">
        <v>0</v>
      </c>
      <c r="E776" s="43">
        <v>2</v>
      </c>
      <c r="F776" s="43">
        <v>17</v>
      </c>
      <c r="G776" s="43" t="b">
        <v>0</v>
      </c>
      <c r="H776" s="43">
        <v>5</v>
      </c>
      <c r="I776" s="43">
        <v>2</v>
      </c>
      <c r="J776" s="43">
        <v>0.26</v>
      </c>
      <c r="K776" s="43">
        <v>0.2727</v>
      </c>
      <c r="L776" s="43">
        <v>0.56000000000000005</v>
      </c>
      <c r="M776" s="43">
        <v>0.1343</v>
      </c>
      <c r="N776" s="43">
        <v>10</v>
      </c>
      <c r="O776" s="43">
        <v>195</v>
      </c>
      <c r="P776" s="44">
        <v>205</v>
      </c>
    </row>
    <row r="777" spans="1:16">
      <c r="A777" s="45">
        <v>776</v>
      </c>
      <c r="B777" s="46">
        <v>40578</v>
      </c>
      <c r="C777" s="47">
        <v>1</v>
      </c>
      <c r="D777" s="47">
        <v>0</v>
      </c>
      <c r="E777" s="47">
        <v>2</v>
      </c>
      <c r="F777" s="47">
        <v>18</v>
      </c>
      <c r="G777" s="47" t="b">
        <v>0</v>
      </c>
      <c r="H777" s="47">
        <v>5</v>
      </c>
      <c r="I777" s="47">
        <v>2</v>
      </c>
      <c r="J777" s="47">
        <v>0.24</v>
      </c>
      <c r="K777" s="47">
        <v>0.2576</v>
      </c>
      <c r="L777" s="47">
        <v>0.6</v>
      </c>
      <c r="M777" s="47">
        <v>0.1045</v>
      </c>
      <c r="N777" s="47">
        <v>3</v>
      </c>
      <c r="O777" s="47">
        <v>152</v>
      </c>
      <c r="P777" s="48">
        <v>155</v>
      </c>
    </row>
    <row r="778" spans="1:16">
      <c r="A778" s="41">
        <v>777</v>
      </c>
      <c r="B778" s="42">
        <v>40578</v>
      </c>
      <c r="C778" s="43">
        <v>1</v>
      </c>
      <c r="D778" s="43">
        <v>0</v>
      </c>
      <c r="E778" s="43">
        <v>2</v>
      </c>
      <c r="F778" s="43">
        <v>19</v>
      </c>
      <c r="G778" s="43" t="b">
        <v>0</v>
      </c>
      <c r="H778" s="43">
        <v>5</v>
      </c>
      <c r="I778" s="43">
        <v>2</v>
      </c>
      <c r="J778" s="43">
        <v>0.24</v>
      </c>
      <c r="K778" s="43">
        <v>0.2424</v>
      </c>
      <c r="L778" s="43">
        <v>0.65</v>
      </c>
      <c r="M778" s="43">
        <v>0.1343</v>
      </c>
      <c r="N778" s="43">
        <v>1</v>
      </c>
      <c r="O778" s="43">
        <v>102</v>
      </c>
      <c r="P778" s="44">
        <v>103</v>
      </c>
    </row>
    <row r="779" spans="1:16">
      <c r="A779" s="45">
        <v>778</v>
      </c>
      <c r="B779" s="46">
        <v>40578</v>
      </c>
      <c r="C779" s="47">
        <v>1</v>
      </c>
      <c r="D779" s="47">
        <v>0</v>
      </c>
      <c r="E779" s="47">
        <v>2</v>
      </c>
      <c r="F779" s="47">
        <v>20</v>
      </c>
      <c r="G779" s="47" t="b">
        <v>0</v>
      </c>
      <c r="H779" s="47">
        <v>5</v>
      </c>
      <c r="I779" s="47">
        <v>2</v>
      </c>
      <c r="J779" s="47">
        <v>0.24</v>
      </c>
      <c r="K779" s="47">
        <v>0.2424</v>
      </c>
      <c r="L779" s="47">
        <v>0.65</v>
      </c>
      <c r="M779" s="47">
        <v>0.16420000000000001</v>
      </c>
      <c r="N779" s="47">
        <v>2</v>
      </c>
      <c r="O779" s="47">
        <v>69</v>
      </c>
      <c r="P779" s="48">
        <v>71</v>
      </c>
    </row>
    <row r="780" spans="1:16">
      <c r="A780" s="41">
        <v>779</v>
      </c>
      <c r="B780" s="42">
        <v>40578</v>
      </c>
      <c r="C780" s="43">
        <v>1</v>
      </c>
      <c r="D780" s="43">
        <v>0</v>
      </c>
      <c r="E780" s="43">
        <v>2</v>
      </c>
      <c r="F780" s="43">
        <v>21</v>
      </c>
      <c r="G780" s="43" t="b">
        <v>0</v>
      </c>
      <c r="H780" s="43">
        <v>5</v>
      </c>
      <c r="I780" s="43">
        <v>2</v>
      </c>
      <c r="J780" s="43">
        <v>0.24</v>
      </c>
      <c r="K780" s="43">
        <v>0.2424</v>
      </c>
      <c r="L780" s="43">
        <v>0.7</v>
      </c>
      <c r="M780" s="43">
        <v>0.16420000000000001</v>
      </c>
      <c r="N780" s="43">
        <v>2</v>
      </c>
      <c r="O780" s="43">
        <v>41</v>
      </c>
      <c r="P780" s="44">
        <v>43</v>
      </c>
    </row>
    <row r="781" spans="1:16">
      <c r="A781" s="45">
        <v>780</v>
      </c>
      <c r="B781" s="46">
        <v>40578</v>
      </c>
      <c r="C781" s="47">
        <v>1</v>
      </c>
      <c r="D781" s="47">
        <v>0</v>
      </c>
      <c r="E781" s="47">
        <v>2</v>
      </c>
      <c r="F781" s="47">
        <v>22</v>
      </c>
      <c r="G781" s="47" t="b">
        <v>0</v>
      </c>
      <c r="H781" s="47">
        <v>5</v>
      </c>
      <c r="I781" s="47">
        <v>2</v>
      </c>
      <c r="J781" s="47">
        <v>0.24</v>
      </c>
      <c r="K781" s="47">
        <v>0.2424</v>
      </c>
      <c r="L781" s="47">
        <v>0.65</v>
      </c>
      <c r="M781" s="47">
        <v>0.16420000000000001</v>
      </c>
      <c r="N781" s="47">
        <v>1</v>
      </c>
      <c r="O781" s="47">
        <v>45</v>
      </c>
      <c r="P781" s="48">
        <v>46</v>
      </c>
    </row>
    <row r="782" spans="1:16">
      <c r="A782" s="41">
        <v>781</v>
      </c>
      <c r="B782" s="42">
        <v>40578</v>
      </c>
      <c r="C782" s="43">
        <v>1</v>
      </c>
      <c r="D782" s="43">
        <v>0</v>
      </c>
      <c r="E782" s="43">
        <v>2</v>
      </c>
      <c r="F782" s="43">
        <v>23</v>
      </c>
      <c r="G782" s="43" t="b">
        <v>0</v>
      </c>
      <c r="H782" s="43">
        <v>5</v>
      </c>
      <c r="I782" s="43">
        <v>2</v>
      </c>
      <c r="J782" s="43">
        <v>0.24</v>
      </c>
      <c r="K782" s="43">
        <v>0.2424</v>
      </c>
      <c r="L782" s="43">
        <v>0.7</v>
      </c>
      <c r="M782" s="43">
        <v>0.1343</v>
      </c>
      <c r="N782" s="43">
        <v>1</v>
      </c>
      <c r="O782" s="43">
        <v>30</v>
      </c>
      <c r="P782" s="44">
        <v>31</v>
      </c>
    </row>
    <row r="783" spans="1:16">
      <c r="A783" s="45">
        <v>782</v>
      </c>
      <c r="B783" s="46">
        <v>40579</v>
      </c>
      <c r="C783" s="47">
        <v>1</v>
      </c>
      <c r="D783" s="47">
        <v>0</v>
      </c>
      <c r="E783" s="47">
        <v>2</v>
      </c>
      <c r="F783" s="47">
        <v>0</v>
      </c>
      <c r="G783" s="47" t="b">
        <v>0</v>
      </c>
      <c r="H783" s="47">
        <v>6</v>
      </c>
      <c r="I783" s="47">
        <v>2</v>
      </c>
      <c r="J783" s="47">
        <v>0.24</v>
      </c>
      <c r="K783" s="47">
        <v>0.2424</v>
      </c>
      <c r="L783" s="47">
        <v>0.7</v>
      </c>
      <c r="M783" s="47">
        <v>0.16420000000000001</v>
      </c>
      <c r="N783" s="47">
        <v>3</v>
      </c>
      <c r="O783" s="47">
        <v>36</v>
      </c>
      <c r="P783" s="48">
        <v>39</v>
      </c>
    </row>
    <row r="784" spans="1:16">
      <c r="A784" s="41">
        <v>783</v>
      </c>
      <c r="B784" s="42">
        <v>40579</v>
      </c>
      <c r="C784" s="43">
        <v>1</v>
      </c>
      <c r="D784" s="43">
        <v>0</v>
      </c>
      <c r="E784" s="43">
        <v>2</v>
      </c>
      <c r="F784" s="43">
        <v>1</v>
      </c>
      <c r="G784" s="43" t="b">
        <v>0</v>
      </c>
      <c r="H784" s="43">
        <v>6</v>
      </c>
      <c r="I784" s="43">
        <v>2</v>
      </c>
      <c r="J784" s="43">
        <v>0.24</v>
      </c>
      <c r="K784" s="43">
        <v>0.2424</v>
      </c>
      <c r="L784" s="43">
        <v>0.65</v>
      </c>
      <c r="M784" s="43">
        <v>0.16420000000000001</v>
      </c>
      <c r="N784" s="43">
        <v>1</v>
      </c>
      <c r="O784" s="43">
        <v>17</v>
      </c>
      <c r="P784" s="44">
        <v>18</v>
      </c>
    </row>
    <row r="785" spans="1:16">
      <c r="A785" s="45">
        <v>784</v>
      </c>
      <c r="B785" s="46">
        <v>40579</v>
      </c>
      <c r="C785" s="47">
        <v>1</v>
      </c>
      <c r="D785" s="47">
        <v>0</v>
      </c>
      <c r="E785" s="47">
        <v>2</v>
      </c>
      <c r="F785" s="47">
        <v>2</v>
      </c>
      <c r="G785" s="47" t="b">
        <v>0</v>
      </c>
      <c r="H785" s="47">
        <v>6</v>
      </c>
      <c r="I785" s="47">
        <v>2</v>
      </c>
      <c r="J785" s="47">
        <v>0.24</v>
      </c>
      <c r="K785" s="47">
        <v>0.2424</v>
      </c>
      <c r="L785" s="47">
        <v>0.75</v>
      </c>
      <c r="M785" s="47">
        <v>0.16420000000000001</v>
      </c>
      <c r="N785" s="47">
        <v>5</v>
      </c>
      <c r="O785" s="47">
        <v>12</v>
      </c>
      <c r="P785" s="48">
        <v>17</v>
      </c>
    </row>
    <row r="786" spans="1:16">
      <c r="A786" s="41">
        <v>785</v>
      </c>
      <c r="B786" s="42">
        <v>40579</v>
      </c>
      <c r="C786" s="43">
        <v>1</v>
      </c>
      <c r="D786" s="43">
        <v>0</v>
      </c>
      <c r="E786" s="43">
        <v>2</v>
      </c>
      <c r="F786" s="43">
        <v>3</v>
      </c>
      <c r="G786" s="43" t="b">
        <v>0</v>
      </c>
      <c r="H786" s="43">
        <v>6</v>
      </c>
      <c r="I786" s="43">
        <v>2</v>
      </c>
      <c r="J786" s="43">
        <v>0.24</v>
      </c>
      <c r="K786" s="43">
        <v>0.2424</v>
      </c>
      <c r="L786" s="43">
        <v>0.75</v>
      </c>
      <c r="M786" s="43">
        <v>0.16420000000000001</v>
      </c>
      <c r="N786" s="43">
        <v>1</v>
      </c>
      <c r="O786" s="43">
        <v>10</v>
      </c>
      <c r="P786" s="44">
        <v>11</v>
      </c>
    </row>
    <row r="787" spans="1:16">
      <c r="A787" s="45">
        <v>786</v>
      </c>
      <c r="B787" s="46">
        <v>40579</v>
      </c>
      <c r="C787" s="47">
        <v>1</v>
      </c>
      <c r="D787" s="47">
        <v>0</v>
      </c>
      <c r="E787" s="47">
        <v>2</v>
      </c>
      <c r="F787" s="47">
        <v>4</v>
      </c>
      <c r="G787" s="47" t="b">
        <v>0</v>
      </c>
      <c r="H787" s="47">
        <v>6</v>
      </c>
      <c r="I787" s="47">
        <v>3</v>
      </c>
      <c r="J787" s="47">
        <v>0.22</v>
      </c>
      <c r="K787" s="47">
        <v>0.2273</v>
      </c>
      <c r="L787" s="47">
        <v>0.93</v>
      </c>
      <c r="M787" s="47">
        <v>0.1343</v>
      </c>
      <c r="N787" s="47">
        <v>0</v>
      </c>
      <c r="O787" s="47">
        <v>8</v>
      </c>
      <c r="P787" s="48">
        <v>8</v>
      </c>
    </row>
    <row r="788" spans="1:16">
      <c r="A788" s="41">
        <v>787</v>
      </c>
      <c r="B788" s="42">
        <v>40579</v>
      </c>
      <c r="C788" s="43">
        <v>1</v>
      </c>
      <c r="D788" s="43">
        <v>0</v>
      </c>
      <c r="E788" s="43">
        <v>2</v>
      </c>
      <c r="F788" s="43">
        <v>5</v>
      </c>
      <c r="G788" s="43" t="b">
        <v>0</v>
      </c>
      <c r="H788" s="43">
        <v>6</v>
      </c>
      <c r="I788" s="43">
        <v>3</v>
      </c>
      <c r="J788" s="43">
        <v>0.2</v>
      </c>
      <c r="K788" s="43">
        <v>0.2273</v>
      </c>
      <c r="L788" s="43">
        <v>1</v>
      </c>
      <c r="M788" s="43">
        <v>8.9599999999999999E-2</v>
      </c>
      <c r="N788" s="43">
        <v>0</v>
      </c>
      <c r="O788" s="43">
        <v>9</v>
      </c>
      <c r="P788" s="44">
        <v>9</v>
      </c>
    </row>
    <row r="789" spans="1:16">
      <c r="A789" s="45">
        <v>788</v>
      </c>
      <c r="B789" s="46">
        <v>40579</v>
      </c>
      <c r="C789" s="47">
        <v>1</v>
      </c>
      <c r="D789" s="47">
        <v>0</v>
      </c>
      <c r="E789" s="47">
        <v>2</v>
      </c>
      <c r="F789" s="47">
        <v>6</v>
      </c>
      <c r="G789" s="47" t="b">
        <v>0</v>
      </c>
      <c r="H789" s="47">
        <v>6</v>
      </c>
      <c r="I789" s="47">
        <v>3</v>
      </c>
      <c r="J789" s="47">
        <v>0.2</v>
      </c>
      <c r="K789" s="47">
        <v>0.2576</v>
      </c>
      <c r="L789" s="47">
        <v>1</v>
      </c>
      <c r="M789" s="47">
        <v>0</v>
      </c>
      <c r="N789" s="47">
        <v>0</v>
      </c>
      <c r="O789" s="47">
        <v>4</v>
      </c>
      <c r="P789" s="48">
        <v>4</v>
      </c>
    </row>
    <row r="790" spans="1:16">
      <c r="A790" s="41">
        <v>789</v>
      </c>
      <c r="B790" s="42">
        <v>40579</v>
      </c>
      <c r="C790" s="43">
        <v>1</v>
      </c>
      <c r="D790" s="43">
        <v>0</v>
      </c>
      <c r="E790" s="43">
        <v>2</v>
      </c>
      <c r="F790" s="43">
        <v>7</v>
      </c>
      <c r="G790" s="43" t="b">
        <v>0</v>
      </c>
      <c r="H790" s="43">
        <v>6</v>
      </c>
      <c r="I790" s="43">
        <v>3</v>
      </c>
      <c r="J790" s="43">
        <v>0.22</v>
      </c>
      <c r="K790" s="43">
        <v>0.2576</v>
      </c>
      <c r="L790" s="43">
        <v>0.93</v>
      </c>
      <c r="M790" s="43">
        <v>8.9599999999999999E-2</v>
      </c>
      <c r="N790" s="43">
        <v>0</v>
      </c>
      <c r="O790" s="43">
        <v>4</v>
      </c>
      <c r="P790" s="44">
        <v>4</v>
      </c>
    </row>
    <row r="791" spans="1:16">
      <c r="A791" s="45">
        <v>790</v>
      </c>
      <c r="B791" s="46">
        <v>40579</v>
      </c>
      <c r="C791" s="47">
        <v>1</v>
      </c>
      <c r="D791" s="47">
        <v>0</v>
      </c>
      <c r="E791" s="47">
        <v>2</v>
      </c>
      <c r="F791" s="47">
        <v>8</v>
      </c>
      <c r="G791" s="47" t="b">
        <v>0</v>
      </c>
      <c r="H791" s="47">
        <v>6</v>
      </c>
      <c r="I791" s="47">
        <v>3</v>
      </c>
      <c r="J791" s="47">
        <v>0.2</v>
      </c>
      <c r="K791" s="47">
        <v>0.2273</v>
      </c>
      <c r="L791" s="47">
        <v>1</v>
      </c>
      <c r="M791" s="47">
        <v>8.9599999999999999E-2</v>
      </c>
      <c r="N791" s="47">
        <v>0</v>
      </c>
      <c r="O791" s="47">
        <v>10</v>
      </c>
      <c r="P791" s="48">
        <v>10</v>
      </c>
    </row>
    <row r="792" spans="1:16">
      <c r="A792" s="41">
        <v>791</v>
      </c>
      <c r="B792" s="42">
        <v>40579</v>
      </c>
      <c r="C792" s="43">
        <v>1</v>
      </c>
      <c r="D792" s="43">
        <v>0</v>
      </c>
      <c r="E792" s="43">
        <v>2</v>
      </c>
      <c r="F792" s="43">
        <v>9</v>
      </c>
      <c r="G792" s="43" t="b">
        <v>0</v>
      </c>
      <c r="H792" s="43">
        <v>6</v>
      </c>
      <c r="I792" s="43">
        <v>3</v>
      </c>
      <c r="J792" s="43">
        <v>0.2</v>
      </c>
      <c r="K792" s="43">
        <v>0.2273</v>
      </c>
      <c r="L792" s="43">
        <v>1</v>
      </c>
      <c r="M792" s="43">
        <v>8.9599999999999999E-2</v>
      </c>
      <c r="N792" s="43">
        <v>3</v>
      </c>
      <c r="O792" s="43">
        <v>17</v>
      </c>
      <c r="P792" s="44">
        <v>20</v>
      </c>
    </row>
    <row r="793" spans="1:16">
      <c r="A793" s="45">
        <v>792</v>
      </c>
      <c r="B793" s="46">
        <v>40579</v>
      </c>
      <c r="C793" s="47">
        <v>1</v>
      </c>
      <c r="D793" s="47">
        <v>0</v>
      </c>
      <c r="E793" s="47">
        <v>2</v>
      </c>
      <c r="F793" s="47">
        <v>10</v>
      </c>
      <c r="G793" s="47" t="b">
        <v>0</v>
      </c>
      <c r="H793" s="47">
        <v>6</v>
      </c>
      <c r="I793" s="47">
        <v>3</v>
      </c>
      <c r="J793" s="47">
        <v>0.2</v>
      </c>
      <c r="K793" s="47">
        <v>0.21210000000000001</v>
      </c>
      <c r="L793" s="47">
        <v>1</v>
      </c>
      <c r="M793" s="47">
        <v>0.1343</v>
      </c>
      <c r="N793" s="47">
        <v>3</v>
      </c>
      <c r="O793" s="47">
        <v>31</v>
      </c>
      <c r="P793" s="48">
        <v>34</v>
      </c>
    </row>
    <row r="794" spans="1:16">
      <c r="A794" s="41">
        <v>793</v>
      </c>
      <c r="B794" s="42">
        <v>40579</v>
      </c>
      <c r="C794" s="43">
        <v>1</v>
      </c>
      <c r="D794" s="43">
        <v>0</v>
      </c>
      <c r="E794" s="43">
        <v>2</v>
      </c>
      <c r="F794" s="43">
        <v>11</v>
      </c>
      <c r="G794" s="43" t="b">
        <v>0</v>
      </c>
      <c r="H794" s="43">
        <v>6</v>
      </c>
      <c r="I794" s="43">
        <v>3</v>
      </c>
      <c r="J794" s="43">
        <v>0.22</v>
      </c>
      <c r="K794" s="43">
        <v>0.2273</v>
      </c>
      <c r="L794" s="43">
        <v>1</v>
      </c>
      <c r="M794" s="43">
        <v>0.1343</v>
      </c>
      <c r="N794" s="43">
        <v>1</v>
      </c>
      <c r="O794" s="43">
        <v>46</v>
      </c>
      <c r="P794" s="44">
        <v>47</v>
      </c>
    </row>
    <row r="795" spans="1:16">
      <c r="A795" s="45">
        <v>794</v>
      </c>
      <c r="B795" s="46">
        <v>40579</v>
      </c>
      <c r="C795" s="47">
        <v>1</v>
      </c>
      <c r="D795" s="47">
        <v>0</v>
      </c>
      <c r="E795" s="47">
        <v>2</v>
      </c>
      <c r="F795" s="47">
        <v>12</v>
      </c>
      <c r="G795" s="47" t="b">
        <v>0</v>
      </c>
      <c r="H795" s="47">
        <v>6</v>
      </c>
      <c r="I795" s="47">
        <v>3</v>
      </c>
      <c r="J795" s="47">
        <v>0.22</v>
      </c>
      <c r="K795" s="47">
        <v>0.2273</v>
      </c>
      <c r="L795" s="47">
        <v>1</v>
      </c>
      <c r="M795" s="47">
        <v>0.16420000000000001</v>
      </c>
      <c r="N795" s="47">
        <v>10</v>
      </c>
      <c r="O795" s="47">
        <v>42</v>
      </c>
      <c r="P795" s="48">
        <v>52</v>
      </c>
    </row>
    <row r="796" spans="1:16">
      <c r="A796" s="41">
        <v>795</v>
      </c>
      <c r="B796" s="42">
        <v>40579</v>
      </c>
      <c r="C796" s="43">
        <v>1</v>
      </c>
      <c r="D796" s="43">
        <v>0</v>
      </c>
      <c r="E796" s="43">
        <v>2</v>
      </c>
      <c r="F796" s="43">
        <v>13</v>
      </c>
      <c r="G796" s="43" t="b">
        <v>0</v>
      </c>
      <c r="H796" s="43">
        <v>6</v>
      </c>
      <c r="I796" s="43">
        <v>3</v>
      </c>
      <c r="J796" s="43">
        <v>0.22</v>
      </c>
      <c r="K796" s="43">
        <v>0.2273</v>
      </c>
      <c r="L796" s="43">
        <v>1</v>
      </c>
      <c r="M796" s="43">
        <v>0.16420000000000001</v>
      </c>
      <c r="N796" s="43">
        <v>10</v>
      </c>
      <c r="O796" s="43">
        <v>62</v>
      </c>
      <c r="P796" s="44">
        <v>72</v>
      </c>
    </row>
    <row r="797" spans="1:16">
      <c r="A797" s="45">
        <v>796</v>
      </c>
      <c r="B797" s="46">
        <v>40579</v>
      </c>
      <c r="C797" s="47">
        <v>1</v>
      </c>
      <c r="D797" s="47">
        <v>0</v>
      </c>
      <c r="E797" s="47">
        <v>2</v>
      </c>
      <c r="F797" s="47">
        <v>14</v>
      </c>
      <c r="G797" s="47" t="b">
        <v>0</v>
      </c>
      <c r="H797" s="47">
        <v>6</v>
      </c>
      <c r="I797" s="47">
        <v>3</v>
      </c>
      <c r="J797" s="47">
        <v>0.22</v>
      </c>
      <c r="K797" s="47">
        <v>0.2727</v>
      </c>
      <c r="L797" s="47">
        <v>1</v>
      </c>
      <c r="M797" s="47">
        <v>0</v>
      </c>
      <c r="N797" s="47">
        <v>5</v>
      </c>
      <c r="O797" s="47">
        <v>50</v>
      </c>
      <c r="P797" s="48">
        <v>55</v>
      </c>
    </row>
    <row r="798" spans="1:16">
      <c r="A798" s="41">
        <v>797</v>
      </c>
      <c r="B798" s="42">
        <v>40579</v>
      </c>
      <c r="C798" s="43">
        <v>1</v>
      </c>
      <c r="D798" s="43">
        <v>0</v>
      </c>
      <c r="E798" s="43">
        <v>2</v>
      </c>
      <c r="F798" s="43">
        <v>15</v>
      </c>
      <c r="G798" s="43" t="b">
        <v>0</v>
      </c>
      <c r="H798" s="43">
        <v>6</v>
      </c>
      <c r="I798" s="43">
        <v>3</v>
      </c>
      <c r="J798" s="43">
        <v>0.22</v>
      </c>
      <c r="K798" s="43">
        <v>0.2727</v>
      </c>
      <c r="L798" s="43">
        <v>1</v>
      </c>
      <c r="M798" s="43">
        <v>0</v>
      </c>
      <c r="N798" s="43">
        <v>11</v>
      </c>
      <c r="O798" s="43">
        <v>49</v>
      </c>
      <c r="P798" s="44">
        <v>60</v>
      </c>
    </row>
    <row r="799" spans="1:16">
      <c r="A799" s="45">
        <v>798</v>
      </c>
      <c r="B799" s="46">
        <v>40579</v>
      </c>
      <c r="C799" s="47">
        <v>1</v>
      </c>
      <c r="D799" s="47">
        <v>0</v>
      </c>
      <c r="E799" s="47">
        <v>2</v>
      </c>
      <c r="F799" s="47">
        <v>16</v>
      </c>
      <c r="G799" s="47" t="b">
        <v>0</v>
      </c>
      <c r="H799" s="47">
        <v>6</v>
      </c>
      <c r="I799" s="47">
        <v>3</v>
      </c>
      <c r="J799" s="47">
        <v>0.22</v>
      </c>
      <c r="K799" s="47">
        <v>0.2273</v>
      </c>
      <c r="L799" s="47">
        <v>1</v>
      </c>
      <c r="M799" s="47">
        <v>0.1343</v>
      </c>
      <c r="N799" s="47">
        <v>8</v>
      </c>
      <c r="O799" s="47">
        <v>63</v>
      </c>
      <c r="P799" s="48">
        <v>71</v>
      </c>
    </row>
    <row r="800" spans="1:16">
      <c r="A800" s="41">
        <v>799</v>
      </c>
      <c r="B800" s="42">
        <v>40579</v>
      </c>
      <c r="C800" s="43">
        <v>1</v>
      </c>
      <c r="D800" s="43">
        <v>0</v>
      </c>
      <c r="E800" s="43">
        <v>2</v>
      </c>
      <c r="F800" s="43">
        <v>17</v>
      </c>
      <c r="G800" s="43" t="b">
        <v>0</v>
      </c>
      <c r="H800" s="43">
        <v>6</v>
      </c>
      <c r="I800" s="43">
        <v>2</v>
      </c>
      <c r="J800" s="43">
        <v>0.24</v>
      </c>
      <c r="K800" s="43">
        <v>0.21210000000000001</v>
      </c>
      <c r="L800" s="43">
        <v>1</v>
      </c>
      <c r="M800" s="43">
        <v>0.28360000000000002</v>
      </c>
      <c r="N800" s="43">
        <v>14</v>
      </c>
      <c r="O800" s="43">
        <v>64</v>
      </c>
      <c r="P800" s="44">
        <v>78</v>
      </c>
    </row>
    <row r="801" spans="1:16">
      <c r="A801" s="45">
        <v>800</v>
      </c>
      <c r="B801" s="46">
        <v>40579</v>
      </c>
      <c r="C801" s="47">
        <v>1</v>
      </c>
      <c r="D801" s="47">
        <v>0</v>
      </c>
      <c r="E801" s="47">
        <v>2</v>
      </c>
      <c r="F801" s="47">
        <v>18</v>
      </c>
      <c r="G801" s="47" t="b">
        <v>0</v>
      </c>
      <c r="H801" s="47">
        <v>6</v>
      </c>
      <c r="I801" s="47">
        <v>2</v>
      </c>
      <c r="J801" s="47">
        <v>0.28000000000000003</v>
      </c>
      <c r="K801" s="47">
        <v>0.2424</v>
      </c>
      <c r="L801" s="47">
        <v>0.93</v>
      </c>
      <c r="M801" s="47">
        <v>0.44779999999999998</v>
      </c>
      <c r="N801" s="47">
        <v>2</v>
      </c>
      <c r="O801" s="47">
        <v>81</v>
      </c>
      <c r="P801" s="48">
        <v>83</v>
      </c>
    </row>
    <row r="802" spans="1:16">
      <c r="A802" s="41">
        <v>801</v>
      </c>
      <c r="B802" s="42">
        <v>40579</v>
      </c>
      <c r="C802" s="43">
        <v>1</v>
      </c>
      <c r="D802" s="43">
        <v>0</v>
      </c>
      <c r="E802" s="43">
        <v>2</v>
      </c>
      <c r="F802" s="43">
        <v>19</v>
      </c>
      <c r="G802" s="43" t="b">
        <v>0</v>
      </c>
      <c r="H802" s="43">
        <v>6</v>
      </c>
      <c r="I802" s="43">
        <v>2</v>
      </c>
      <c r="J802" s="43">
        <v>0.28000000000000003</v>
      </c>
      <c r="K802" s="43">
        <v>0.2424</v>
      </c>
      <c r="L802" s="43">
        <v>0.93</v>
      </c>
      <c r="M802" s="43">
        <v>0.44779999999999998</v>
      </c>
      <c r="N802" s="43">
        <v>6</v>
      </c>
      <c r="O802" s="43">
        <v>78</v>
      </c>
      <c r="P802" s="44">
        <v>84</v>
      </c>
    </row>
    <row r="803" spans="1:16">
      <c r="A803" s="45">
        <v>802</v>
      </c>
      <c r="B803" s="46">
        <v>40579</v>
      </c>
      <c r="C803" s="47">
        <v>1</v>
      </c>
      <c r="D803" s="47">
        <v>0</v>
      </c>
      <c r="E803" s="47">
        <v>2</v>
      </c>
      <c r="F803" s="47">
        <v>20</v>
      </c>
      <c r="G803" s="47" t="b">
        <v>0</v>
      </c>
      <c r="H803" s="47">
        <v>6</v>
      </c>
      <c r="I803" s="47">
        <v>1</v>
      </c>
      <c r="J803" s="47">
        <v>0.3</v>
      </c>
      <c r="K803" s="47">
        <v>0.28789999999999999</v>
      </c>
      <c r="L803" s="47">
        <v>0.87</v>
      </c>
      <c r="M803" s="47">
        <v>0.25369999999999998</v>
      </c>
      <c r="N803" s="47">
        <v>5</v>
      </c>
      <c r="O803" s="47">
        <v>64</v>
      </c>
      <c r="P803" s="48">
        <v>69</v>
      </c>
    </row>
    <row r="804" spans="1:16">
      <c r="A804" s="41">
        <v>803</v>
      </c>
      <c r="B804" s="42">
        <v>40579</v>
      </c>
      <c r="C804" s="43">
        <v>1</v>
      </c>
      <c r="D804" s="43">
        <v>0</v>
      </c>
      <c r="E804" s="43">
        <v>2</v>
      </c>
      <c r="F804" s="43">
        <v>21</v>
      </c>
      <c r="G804" s="43" t="b">
        <v>0</v>
      </c>
      <c r="H804" s="43">
        <v>6</v>
      </c>
      <c r="I804" s="43">
        <v>1</v>
      </c>
      <c r="J804" s="43">
        <v>0.26</v>
      </c>
      <c r="K804" s="43">
        <v>0.2576</v>
      </c>
      <c r="L804" s="43">
        <v>1</v>
      </c>
      <c r="M804" s="43">
        <v>0.19400000000000001</v>
      </c>
      <c r="N804" s="43">
        <v>3</v>
      </c>
      <c r="O804" s="43">
        <v>53</v>
      </c>
      <c r="P804" s="44">
        <v>56</v>
      </c>
    </row>
    <row r="805" spans="1:16">
      <c r="A805" s="45">
        <v>804</v>
      </c>
      <c r="B805" s="46">
        <v>40579</v>
      </c>
      <c r="C805" s="47">
        <v>1</v>
      </c>
      <c r="D805" s="47">
        <v>0</v>
      </c>
      <c r="E805" s="47">
        <v>2</v>
      </c>
      <c r="F805" s="47">
        <v>22</v>
      </c>
      <c r="G805" s="47" t="b">
        <v>0</v>
      </c>
      <c r="H805" s="47">
        <v>6</v>
      </c>
      <c r="I805" s="47">
        <v>1</v>
      </c>
      <c r="J805" s="47">
        <v>0.26</v>
      </c>
      <c r="K805" s="47">
        <v>0.2727</v>
      </c>
      <c r="L805" s="47">
        <v>0.93</v>
      </c>
      <c r="M805" s="47">
        <v>0.1343</v>
      </c>
      <c r="N805" s="47">
        <v>2</v>
      </c>
      <c r="O805" s="47">
        <v>43</v>
      </c>
      <c r="P805" s="48">
        <v>45</v>
      </c>
    </row>
    <row r="806" spans="1:16">
      <c r="A806" s="41">
        <v>805</v>
      </c>
      <c r="B806" s="42">
        <v>40579</v>
      </c>
      <c r="C806" s="43">
        <v>1</v>
      </c>
      <c r="D806" s="43">
        <v>0</v>
      </c>
      <c r="E806" s="43">
        <v>2</v>
      </c>
      <c r="F806" s="43">
        <v>23</v>
      </c>
      <c r="G806" s="43" t="b">
        <v>0</v>
      </c>
      <c r="H806" s="43">
        <v>6</v>
      </c>
      <c r="I806" s="43">
        <v>1</v>
      </c>
      <c r="J806" s="43">
        <v>0.26</v>
      </c>
      <c r="K806" s="43">
        <v>0.2576</v>
      </c>
      <c r="L806" s="43">
        <v>0.93</v>
      </c>
      <c r="M806" s="43">
        <v>0.22389999999999999</v>
      </c>
      <c r="N806" s="43">
        <v>7</v>
      </c>
      <c r="O806" s="43">
        <v>52</v>
      </c>
      <c r="P806" s="44">
        <v>59</v>
      </c>
    </row>
    <row r="807" spans="1:16">
      <c r="A807" s="45">
        <v>806</v>
      </c>
      <c r="B807" s="46">
        <v>40580</v>
      </c>
      <c r="C807" s="47">
        <v>1</v>
      </c>
      <c r="D807" s="47">
        <v>0</v>
      </c>
      <c r="E807" s="47">
        <v>2</v>
      </c>
      <c r="F807" s="47">
        <v>0</v>
      </c>
      <c r="G807" s="47" t="b">
        <v>0</v>
      </c>
      <c r="H807" s="47">
        <v>0</v>
      </c>
      <c r="I807" s="47">
        <v>1</v>
      </c>
      <c r="J807" s="47">
        <v>0.26</v>
      </c>
      <c r="K807" s="47">
        <v>0.2576</v>
      </c>
      <c r="L807" s="47">
        <v>0.7</v>
      </c>
      <c r="M807" s="47">
        <v>0.19400000000000001</v>
      </c>
      <c r="N807" s="47">
        <v>2</v>
      </c>
      <c r="O807" s="47">
        <v>37</v>
      </c>
      <c r="P807" s="48">
        <v>39</v>
      </c>
    </row>
    <row r="808" spans="1:16">
      <c r="A808" s="41">
        <v>807</v>
      </c>
      <c r="B808" s="42">
        <v>40580</v>
      </c>
      <c r="C808" s="43">
        <v>1</v>
      </c>
      <c r="D808" s="43">
        <v>0</v>
      </c>
      <c r="E808" s="43">
        <v>2</v>
      </c>
      <c r="F808" s="43">
        <v>1</v>
      </c>
      <c r="G808" s="43" t="b">
        <v>0</v>
      </c>
      <c r="H808" s="43">
        <v>0</v>
      </c>
      <c r="I808" s="43">
        <v>1</v>
      </c>
      <c r="J808" s="43">
        <v>0.26</v>
      </c>
      <c r="K808" s="43">
        <v>0.2273</v>
      </c>
      <c r="L808" s="43">
        <v>0.65</v>
      </c>
      <c r="M808" s="43">
        <v>0.41789999999999999</v>
      </c>
      <c r="N808" s="43">
        <v>4</v>
      </c>
      <c r="O808" s="43">
        <v>40</v>
      </c>
      <c r="P808" s="44">
        <v>44</v>
      </c>
    </row>
    <row r="809" spans="1:16">
      <c r="A809" s="45">
        <v>808</v>
      </c>
      <c r="B809" s="46">
        <v>40580</v>
      </c>
      <c r="C809" s="47">
        <v>1</v>
      </c>
      <c r="D809" s="47">
        <v>0</v>
      </c>
      <c r="E809" s="47">
        <v>2</v>
      </c>
      <c r="F809" s="47">
        <v>2</v>
      </c>
      <c r="G809" s="47" t="b">
        <v>0</v>
      </c>
      <c r="H809" s="47">
        <v>0</v>
      </c>
      <c r="I809" s="47">
        <v>1</v>
      </c>
      <c r="J809" s="47">
        <v>0.26</v>
      </c>
      <c r="K809" s="47">
        <v>0.2273</v>
      </c>
      <c r="L809" s="47">
        <v>0.6</v>
      </c>
      <c r="M809" s="47">
        <v>0.32840000000000003</v>
      </c>
      <c r="N809" s="47">
        <v>0</v>
      </c>
      <c r="O809" s="47">
        <v>20</v>
      </c>
      <c r="P809" s="48">
        <v>20</v>
      </c>
    </row>
    <row r="810" spans="1:16">
      <c r="A810" s="41">
        <v>809</v>
      </c>
      <c r="B810" s="42">
        <v>40580</v>
      </c>
      <c r="C810" s="43">
        <v>1</v>
      </c>
      <c r="D810" s="43">
        <v>0</v>
      </c>
      <c r="E810" s="43">
        <v>2</v>
      </c>
      <c r="F810" s="43">
        <v>3</v>
      </c>
      <c r="G810" s="43" t="b">
        <v>0</v>
      </c>
      <c r="H810" s="43">
        <v>0</v>
      </c>
      <c r="I810" s="43">
        <v>1</v>
      </c>
      <c r="J810" s="43">
        <v>0.26</v>
      </c>
      <c r="K810" s="43">
        <v>0.28789999999999999</v>
      </c>
      <c r="L810" s="43">
        <v>0.6</v>
      </c>
      <c r="M810" s="43">
        <v>8.9599999999999999E-2</v>
      </c>
      <c r="N810" s="43">
        <v>3</v>
      </c>
      <c r="O810" s="43">
        <v>10</v>
      </c>
      <c r="P810" s="44">
        <v>13</v>
      </c>
    </row>
    <row r="811" spans="1:16">
      <c r="A811" s="45">
        <v>810</v>
      </c>
      <c r="B811" s="46">
        <v>40580</v>
      </c>
      <c r="C811" s="47">
        <v>1</v>
      </c>
      <c r="D811" s="47">
        <v>0</v>
      </c>
      <c r="E811" s="47">
        <v>2</v>
      </c>
      <c r="F811" s="47">
        <v>4</v>
      </c>
      <c r="G811" s="47" t="b">
        <v>0</v>
      </c>
      <c r="H811" s="47">
        <v>0</v>
      </c>
      <c r="I811" s="47">
        <v>1</v>
      </c>
      <c r="J811" s="47">
        <v>0.26</v>
      </c>
      <c r="K811" s="47">
        <v>0.2273</v>
      </c>
      <c r="L811" s="47">
        <v>0.6</v>
      </c>
      <c r="M811" s="47">
        <v>0.35820000000000002</v>
      </c>
      <c r="N811" s="47">
        <v>0</v>
      </c>
      <c r="O811" s="47">
        <v>2</v>
      </c>
      <c r="P811" s="48">
        <v>2</v>
      </c>
    </row>
    <row r="812" spans="1:16">
      <c r="A812" s="41">
        <v>811</v>
      </c>
      <c r="B812" s="42">
        <v>40580</v>
      </c>
      <c r="C812" s="43">
        <v>1</v>
      </c>
      <c r="D812" s="43">
        <v>0</v>
      </c>
      <c r="E812" s="43">
        <v>2</v>
      </c>
      <c r="F812" s="43">
        <v>5</v>
      </c>
      <c r="G812" s="43" t="b">
        <v>0</v>
      </c>
      <c r="H812" s="43">
        <v>0</v>
      </c>
      <c r="I812" s="43">
        <v>1</v>
      </c>
      <c r="J812" s="43">
        <v>0.26</v>
      </c>
      <c r="K812" s="43">
        <v>0.2576</v>
      </c>
      <c r="L812" s="43">
        <v>0.6</v>
      </c>
      <c r="M812" s="43">
        <v>0.22389999999999999</v>
      </c>
      <c r="N812" s="43">
        <v>0</v>
      </c>
      <c r="O812" s="43">
        <v>1</v>
      </c>
      <c r="P812" s="44">
        <v>1</v>
      </c>
    </row>
    <row r="813" spans="1:16">
      <c r="A813" s="45">
        <v>812</v>
      </c>
      <c r="B813" s="46">
        <v>40580</v>
      </c>
      <c r="C813" s="47">
        <v>1</v>
      </c>
      <c r="D813" s="47">
        <v>0</v>
      </c>
      <c r="E813" s="47">
        <v>2</v>
      </c>
      <c r="F813" s="47">
        <v>6</v>
      </c>
      <c r="G813" s="47" t="b">
        <v>0</v>
      </c>
      <c r="H813" s="47">
        <v>0</v>
      </c>
      <c r="I813" s="47">
        <v>1</v>
      </c>
      <c r="J813" s="47">
        <v>0.26</v>
      </c>
      <c r="K813" s="47">
        <v>0.2576</v>
      </c>
      <c r="L813" s="47">
        <v>0.6</v>
      </c>
      <c r="M813" s="47">
        <v>0.22389999999999999</v>
      </c>
      <c r="N813" s="47">
        <v>0</v>
      </c>
      <c r="O813" s="47">
        <v>1</v>
      </c>
      <c r="P813" s="48">
        <v>1</v>
      </c>
    </row>
    <row r="814" spans="1:16">
      <c r="A814" s="41">
        <v>813</v>
      </c>
      <c r="B814" s="42">
        <v>40580</v>
      </c>
      <c r="C814" s="43">
        <v>1</v>
      </c>
      <c r="D814" s="43">
        <v>0</v>
      </c>
      <c r="E814" s="43">
        <v>2</v>
      </c>
      <c r="F814" s="43">
        <v>7</v>
      </c>
      <c r="G814" s="43" t="b">
        <v>0</v>
      </c>
      <c r="H814" s="43">
        <v>0</v>
      </c>
      <c r="I814" s="43">
        <v>1</v>
      </c>
      <c r="J814" s="43">
        <v>0.24</v>
      </c>
      <c r="K814" s="43">
        <v>0.2424</v>
      </c>
      <c r="L814" s="43">
        <v>0.65</v>
      </c>
      <c r="M814" s="43">
        <v>0.16420000000000001</v>
      </c>
      <c r="N814" s="43">
        <v>0</v>
      </c>
      <c r="O814" s="43">
        <v>8</v>
      </c>
      <c r="P814" s="44">
        <v>8</v>
      </c>
    </row>
    <row r="815" spans="1:16">
      <c r="A815" s="45">
        <v>814</v>
      </c>
      <c r="B815" s="46">
        <v>40580</v>
      </c>
      <c r="C815" s="47">
        <v>1</v>
      </c>
      <c r="D815" s="47">
        <v>0</v>
      </c>
      <c r="E815" s="47">
        <v>2</v>
      </c>
      <c r="F815" s="47">
        <v>8</v>
      </c>
      <c r="G815" s="47" t="b">
        <v>0</v>
      </c>
      <c r="H815" s="47">
        <v>0</v>
      </c>
      <c r="I815" s="47">
        <v>1</v>
      </c>
      <c r="J815" s="47">
        <v>0.24</v>
      </c>
      <c r="K815" s="47">
        <v>0.2576</v>
      </c>
      <c r="L815" s="47">
        <v>0.65</v>
      </c>
      <c r="M815" s="47">
        <v>0.1045</v>
      </c>
      <c r="N815" s="47">
        <v>2</v>
      </c>
      <c r="O815" s="47">
        <v>21</v>
      </c>
      <c r="P815" s="48">
        <v>23</v>
      </c>
    </row>
    <row r="816" spans="1:16">
      <c r="A816" s="41">
        <v>815</v>
      </c>
      <c r="B816" s="42">
        <v>40580</v>
      </c>
      <c r="C816" s="43">
        <v>1</v>
      </c>
      <c r="D816" s="43">
        <v>0</v>
      </c>
      <c r="E816" s="43">
        <v>2</v>
      </c>
      <c r="F816" s="43">
        <v>9</v>
      </c>
      <c r="G816" s="43" t="b">
        <v>0</v>
      </c>
      <c r="H816" s="43">
        <v>0</v>
      </c>
      <c r="I816" s="43">
        <v>1</v>
      </c>
      <c r="J816" s="43">
        <v>0.28000000000000003</v>
      </c>
      <c r="K816" s="43">
        <v>0.28789999999999999</v>
      </c>
      <c r="L816" s="43">
        <v>0.56000000000000005</v>
      </c>
      <c r="M816" s="43">
        <v>0.1045</v>
      </c>
      <c r="N816" s="43">
        <v>7</v>
      </c>
      <c r="O816" s="43">
        <v>38</v>
      </c>
      <c r="P816" s="44">
        <v>45</v>
      </c>
    </row>
    <row r="817" spans="1:16">
      <c r="A817" s="45">
        <v>816</v>
      </c>
      <c r="B817" s="46">
        <v>40580</v>
      </c>
      <c r="C817" s="47">
        <v>1</v>
      </c>
      <c r="D817" s="47">
        <v>0</v>
      </c>
      <c r="E817" s="47">
        <v>2</v>
      </c>
      <c r="F817" s="47">
        <v>10</v>
      </c>
      <c r="G817" s="47" t="b">
        <v>0</v>
      </c>
      <c r="H817" s="47">
        <v>0</v>
      </c>
      <c r="I817" s="47">
        <v>1</v>
      </c>
      <c r="J817" s="47">
        <v>0.3</v>
      </c>
      <c r="K817" s="47">
        <v>0.28789999999999999</v>
      </c>
      <c r="L817" s="47">
        <v>0.52</v>
      </c>
      <c r="M817" s="47">
        <v>0.25369999999999998</v>
      </c>
      <c r="N817" s="47">
        <v>15</v>
      </c>
      <c r="O817" s="47">
        <v>74</v>
      </c>
      <c r="P817" s="48">
        <v>89</v>
      </c>
    </row>
    <row r="818" spans="1:16">
      <c r="A818" s="41">
        <v>817</v>
      </c>
      <c r="B818" s="42">
        <v>40580</v>
      </c>
      <c r="C818" s="43">
        <v>1</v>
      </c>
      <c r="D818" s="43">
        <v>0</v>
      </c>
      <c r="E818" s="43">
        <v>2</v>
      </c>
      <c r="F818" s="43">
        <v>11</v>
      </c>
      <c r="G818" s="43" t="b">
        <v>0</v>
      </c>
      <c r="H818" s="43">
        <v>0</v>
      </c>
      <c r="I818" s="43">
        <v>1</v>
      </c>
      <c r="J818" s="43">
        <v>0.32</v>
      </c>
      <c r="K818" s="43">
        <v>0.30299999999999999</v>
      </c>
      <c r="L818" s="43">
        <v>0.49</v>
      </c>
      <c r="M818" s="43">
        <v>0.25369999999999998</v>
      </c>
      <c r="N818" s="43">
        <v>28</v>
      </c>
      <c r="O818" s="43">
        <v>89</v>
      </c>
      <c r="P818" s="44">
        <v>117</v>
      </c>
    </row>
    <row r="819" spans="1:16">
      <c r="A819" s="45">
        <v>818</v>
      </c>
      <c r="B819" s="46">
        <v>40580</v>
      </c>
      <c r="C819" s="47">
        <v>1</v>
      </c>
      <c r="D819" s="47">
        <v>0</v>
      </c>
      <c r="E819" s="47">
        <v>2</v>
      </c>
      <c r="F819" s="47">
        <v>12</v>
      </c>
      <c r="G819" s="47" t="b">
        <v>0</v>
      </c>
      <c r="H819" s="47">
        <v>0</v>
      </c>
      <c r="I819" s="47">
        <v>1</v>
      </c>
      <c r="J819" s="47">
        <v>0.34</v>
      </c>
      <c r="K819" s="47">
        <v>0.33329999999999999</v>
      </c>
      <c r="L819" s="47">
        <v>0.46</v>
      </c>
      <c r="M819" s="47">
        <v>0</v>
      </c>
      <c r="N819" s="47">
        <v>48</v>
      </c>
      <c r="O819" s="47">
        <v>126</v>
      </c>
      <c r="P819" s="48">
        <v>174</v>
      </c>
    </row>
    <row r="820" spans="1:16">
      <c r="A820" s="41">
        <v>819</v>
      </c>
      <c r="B820" s="42">
        <v>40580</v>
      </c>
      <c r="C820" s="43">
        <v>1</v>
      </c>
      <c r="D820" s="43">
        <v>0</v>
      </c>
      <c r="E820" s="43">
        <v>2</v>
      </c>
      <c r="F820" s="43">
        <v>13</v>
      </c>
      <c r="G820" s="43" t="b">
        <v>0</v>
      </c>
      <c r="H820" s="43">
        <v>0</v>
      </c>
      <c r="I820" s="43">
        <v>1</v>
      </c>
      <c r="J820" s="43">
        <v>0.34</v>
      </c>
      <c r="K820" s="43">
        <v>0.36359999999999998</v>
      </c>
      <c r="L820" s="43">
        <v>0.46</v>
      </c>
      <c r="M820" s="43">
        <v>0</v>
      </c>
      <c r="N820" s="43">
        <v>47</v>
      </c>
      <c r="O820" s="43">
        <v>135</v>
      </c>
      <c r="P820" s="44">
        <v>182</v>
      </c>
    </row>
    <row r="821" spans="1:16">
      <c r="A821" s="45">
        <v>820</v>
      </c>
      <c r="B821" s="46">
        <v>40580</v>
      </c>
      <c r="C821" s="47">
        <v>1</v>
      </c>
      <c r="D821" s="47">
        <v>0</v>
      </c>
      <c r="E821" s="47">
        <v>2</v>
      </c>
      <c r="F821" s="47">
        <v>14</v>
      </c>
      <c r="G821" s="47" t="b">
        <v>0</v>
      </c>
      <c r="H821" s="47">
        <v>0</v>
      </c>
      <c r="I821" s="47">
        <v>1</v>
      </c>
      <c r="J821" s="47">
        <v>0.34</v>
      </c>
      <c r="K821" s="47">
        <v>0.34849999999999998</v>
      </c>
      <c r="L821" s="47">
        <v>0.46</v>
      </c>
      <c r="M821" s="47">
        <v>8.9599999999999999E-2</v>
      </c>
      <c r="N821" s="47">
        <v>47</v>
      </c>
      <c r="O821" s="47">
        <v>114</v>
      </c>
      <c r="P821" s="48">
        <v>161</v>
      </c>
    </row>
    <row r="822" spans="1:16">
      <c r="A822" s="41">
        <v>821</v>
      </c>
      <c r="B822" s="42">
        <v>40580</v>
      </c>
      <c r="C822" s="43">
        <v>1</v>
      </c>
      <c r="D822" s="43">
        <v>0</v>
      </c>
      <c r="E822" s="43">
        <v>2</v>
      </c>
      <c r="F822" s="43">
        <v>15</v>
      </c>
      <c r="G822" s="43" t="b">
        <v>0</v>
      </c>
      <c r="H822" s="43">
        <v>0</v>
      </c>
      <c r="I822" s="43">
        <v>1</v>
      </c>
      <c r="J822" s="43">
        <v>0.34</v>
      </c>
      <c r="K822" s="43">
        <v>0.34849999999999998</v>
      </c>
      <c r="L822" s="43">
        <v>0.46</v>
      </c>
      <c r="M822" s="43">
        <v>8.9599999999999999E-2</v>
      </c>
      <c r="N822" s="43">
        <v>52</v>
      </c>
      <c r="O822" s="43">
        <v>130</v>
      </c>
      <c r="P822" s="44">
        <v>182</v>
      </c>
    </row>
    <row r="823" spans="1:16">
      <c r="A823" s="45">
        <v>822</v>
      </c>
      <c r="B823" s="46">
        <v>40580</v>
      </c>
      <c r="C823" s="47">
        <v>1</v>
      </c>
      <c r="D823" s="47">
        <v>0</v>
      </c>
      <c r="E823" s="47">
        <v>2</v>
      </c>
      <c r="F823" s="47">
        <v>16</v>
      </c>
      <c r="G823" s="47" t="b">
        <v>0</v>
      </c>
      <c r="H823" s="47">
        <v>0</v>
      </c>
      <c r="I823" s="47">
        <v>1</v>
      </c>
      <c r="J823" s="47">
        <v>0.34</v>
      </c>
      <c r="K823" s="47">
        <v>0.34849999999999998</v>
      </c>
      <c r="L823" s="47">
        <v>0.49</v>
      </c>
      <c r="M823" s="47">
        <v>0.1045</v>
      </c>
      <c r="N823" s="47">
        <v>42</v>
      </c>
      <c r="O823" s="47">
        <v>115</v>
      </c>
      <c r="P823" s="48">
        <v>157</v>
      </c>
    </row>
    <row r="824" spans="1:16">
      <c r="A824" s="41">
        <v>823</v>
      </c>
      <c r="B824" s="42">
        <v>40580</v>
      </c>
      <c r="C824" s="43">
        <v>1</v>
      </c>
      <c r="D824" s="43">
        <v>0</v>
      </c>
      <c r="E824" s="43">
        <v>2</v>
      </c>
      <c r="F824" s="43">
        <v>17</v>
      </c>
      <c r="G824" s="43" t="b">
        <v>0</v>
      </c>
      <c r="H824" s="43">
        <v>0</v>
      </c>
      <c r="I824" s="43">
        <v>1</v>
      </c>
      <c r="J824" s="43">
        <v>0.34</v>
      </c>
      <c r="K824" s="43">
        <v>0.36359999999999998</v>
      </c>
      <c r="L824" s="43">
        <v>0.46</v>
      </c>
      <c r="M824" s="43">
        <v>0</v>
      </c>
      <c r="N824" s="43">
        <v>24</v>
      </c>
      <c r="O824" s="43">
        <v>97</v>
      </c>
      <c r="P824" s="44">
        <v>121</v>
      </c>
    </row>
    <row r="825" spans="1:16">
      <c r="A825" s="45">
        <v>824</v>
      </c>
      <c r="B825" s="46">
        <v>40580</v>
      </c>
      <c r="C825" s="47">
        <v>1</v>
      </c>
      <c r="D825" s="47">
        <v>0</v>
      </c>
      <c r="E825" s="47">
        <v>2</v>
      </c>
      <c r="F825" s="47">
        <v>18</v>
      </c>
      <c r="G825" s="47" t="b">
        <v>0</v>
      </c>
      <c r="H825" s="47">
        <v>0</v>
      </c>
      <c r="I825" s="47">
        <v>1</v>
      </c>
      <c r="J825" s="47">
        <v>0.3</v>
      </c>
      <c r="K825" s="47">
        <v>0.30299999999999999</v>
      </c>
      <c r="L825" s="47">
        <v>0.56000000000000005</v>
      </c>
      <c r="M825" s="47">
        <v>0.16420000000000001</v>
      </c>
      <c r="N825" s="47">
        <v>13</v>
      </c>
      <c r="O825" s="47">
        <v>65</v>
      </c>
      <c r="P825" s="48">
        <v>78</v>
      </c>
    </row>
    <row r="826" spans="1:16">
      <c r="A826" s="41">
        <v>825</v>
      </c>
      <c r="B826" s="42">
        <v>40580</v>
      </c>
      <c r="C826" s="43">
        <v>1</v>
      </c>
      <c r="D826" s="43">
        <v>0</v>
      </c>
      <c r="E826" s="43">
        <v>2</v>
      </c>
      <c r="F826" s="43">
        <v>19</v>
      </c>
      <c r="G826" s="43" t="b">
        <v>0</v>
      </c>
      <c r="H826" s="43">
        <v>0</v>
      </c>
      <c r="I826" s="43">
        <v>1</v>
      </c>
      <c r="J826" s="43">
        <v>0.28000000000000003</v>
      </c>
      <c r="K826" s="43">
        <v>0.28789999999999999</v>
      </c>
      <c r="L826" s="43">
        <v>0.61</v>
      </c>
      <c r="M826" s="43">
        <v>0.1343</v>
      </c>
      <c r="N826" s="43">
        <v>1</v>
      </c>
      <c r="O826" s="43">
        <v>20</v>
      </c>
      <c r="P826" s="44">
        <v>21</v>
      </c>
    </row>
    <row r="827" spans="1:16">
      <c r="A827" s="45">
        <v>826</v>
      </c>
      <c r="B827" s="46">
        <v>40580</v>
      </c>
      <c r="C827" s="47">
        <v>1</v>
      </c>
      <c r="D827" s="47">
        <v>0</v>
      </c>
      <c r="E827" s="47">
        <v>2</v>
      </c>
      <c r="F827" s="47">
        <v>20</v>
      </c>
      <c r="G827" s="47" t="b">
        <v>0</v>
      </c>
      <c r="H827" s="47">
        <v>0</v>
      </c>
      <c r="I827" s="47">
        <v>1</v>
      </c>
      <c r="J827" s="47">
        <v>0.28000000000000003</v>
      </c>
      <c r="K827" s="47">
        <v>0.28789999999999999</v>
      </c>
      <c r="L827" s="47">
        <v>0.61</v>
      </c>
      <c r="M827" s="47">
        <v>0.1045</v>
      </c>
      <c r="N827" s="47">
        <v>5</v>
      </c>
      <c r="O827" s="47">
        <v>21</v>
      </c>
      <c r="P827" s="48">
        <v>26</v>
      </c>
    </row>
    <row r="828" spans="1:16">
      <c r="A828" s="41">
        <v>827</v>
      </c>
      <c r="B828" s="42">
        <v>40580</v>
      </c>
      <c r="C828" s="43">
        <v>1</v>
      </c>
      <c r="D828" s="43">
        <v>0</v>
      </c>
      <c r="E828" s="43">
        <v>2</v>
      </c>
      <c r="F828" s="43">
        <v>21</v>
      </c>
      <c r="G828" s="43" t="b">
        <v>0</v>
      </c>
      <c r="H828" s="43">
        <v>0</v>
      </c>
      <c r="I828" s="43">
        <v>1</v>
      </c>
      <c r="J828" s="43">
        <v>0.26</v>
      </c>
      <c r="K828" s="43">
        <v>0.30299999999999999</v>
      </c>
      <c r="L828" s="43">
        <v>0.6</v>
      </c>
      <c r="M828" s="43">
        <v>0</v>
      </c>
      <c r="N828" s="43">
        <v>5</v>
      </c>
      <c r="O828" s="43">
        <v>22</v>
      </c>
      <c r="P828" s="44">
        <v>27</v>
      </c>
    </row>
    <row r="829" spans="1:16">
      <c r="A829" s="45">
        <v>828</v>
      </c>
      <c r="B829" s="46">
        <v>40580</v>
      </c>
      <c r="C829" s="47">
        <v>1</v>
      </c>
      <c r="D829" s="47">
        <v>0</v>
      </c>
      <c r="E829" s="47">
        <v>2</v>
      </c>
      <c r="F829" s="47">
        <v>22</v>
      </c>
      <c r="G829" s="47" t="b">
        <v>0</v>
      </c>
      <c r="H829" s="47">
        <v>0</v>
      </c>
      <c r="I829" s="47">
        <v>1</v>
      </c>
      <c r="J829" s="47">
        <v>0.26</v>
      </c>
      <c r="K829" s="47">
        <v>0.30299999999999999</v>
      </c>
      <c r="L829" s="47">
        <v>0.6</v>
      </c>
      <c r="M829" s="47">
        <v>0</v>
      </c>
      <c r="N829" s="47">
        <v>5</v>
      </c>
      <c r="O829" s="47">
        <v>57</v>
      </c>
      <c r="P829" s="48">
        <v>62</v>
      </c>
    </row>
    <row r="830" spans="1:16">
      <c r="A830" s="41">
        <v>829</v>
      </c>
      <c r="B830" s="42">
        <v>40580</v>
      </c>
      <c r="C830" s="43">
        <v>1</v>
      </c>
      <c r="D830" s="43">
        <v>0</v>
      </c>
      <c r="E830" s="43">
        <v>2</v>
      </c>
      <c r="F830" s="43">
        <v>23</v>
      </c>
      <c r="G830" s="43" t="b">
        <v>0</v>
      </c>
      <c r="H830" s="43">
        <v>0</v>
      </c>
      <c r="I830" s="43">
        <v>1</v>
      </c>
      <c r="J830" s="43">
        <v>0.24</v>
      </c>
      <c r="K830" s="43">
        <v>0.28789999999999999</v>
      </c>
      <c r="L830" s="43">
        <v>0.65</v>
      </c>
      <c r="M830" s="43">
        <v>0</v>
      </c>
      <c r="N830" s="43">
        <v>4</v>
      </c>
      <c r="O830" s="43">
        <v>26</v>
      </c>
      <c r="P830" s="44">
        <v>30</v>
      </c>
    </row>
    <row r="831" spans="1:16">
      <c r="A831" s="45">
        <v>830</v>
      </c>
      <c r="B831" s="46">
        <v>40581</v>
      </c>
      <c r="C831" s="47">
        <v>1</v>
      </c>
      <c r="D831" s="47">
        <v>0</v>
      </c>
      <c r="E831" s="47">
        <v>2</v>
      </c>
      <c r="F831" s="47">
        <v>0</v>
      </c>
      <c r="G831" s="47" t="b">
        <v>0</v>
      </c>
      <c r="H831" s="47">
        <v>1</v>
      </c>
      <c r="I831" s="47">
        <v>1</v>
      </c>
      <c r="J831" s="47">
        <v>0.24</v>
      </c>
      <c r="K831" s="47">
        <v>0.28789999999999999</v>
      </c>
      <c r="L831" s="47">
        <v>0.65</v>
      </c>
      <c r="M831" s="47">
        <v>0</v>
      </c>
      <c r="N831" s="47">
        <v>1</v>
      </c>
      <c r="O831" s="47">
        <v>14</v>
      </c>
      <c r="P831" s="48">
        <v>15</v>
      </c>
    </row>
    <row r="832" spans="1:16">
      <c r="A832" s="41">
        <v>831</v>
      </c>
      <c r="B832" s="42">
        <v>40581</v>
      </c>
      <c r="C832" s="43">
        <v>1</v>
      </c>
      <c r="D832" s="43">
        <v>0</v>
      </c>
      <c r="E832" s="43">
        <v>2</v>
      </c>
      <c r="F832" s="43">
        <v>1</v>
      </c>
      <c r="G832" s="43" t="b">
        <v>0</v>
      </c>
      <c r="H832" s="43">
        <v>1</v>
      </c>
      <c r="I832" s="43">
        <v>1</v>
      </c>
      <c r="J832" s="43">
        <v>0.22</v>
      </c>
      <c r="K832" s="43">
        <v>0.2727</v>
      </c>
      <c r="L832" s="43">
        <v>0.75</v>
      </c>
      <c r="M832" s="43">
        <v>0</v>
      </c>
      <c r="N832" s="43">
        <v>1</v>
      </c>
      <c r="O832" s="43">
        <v>4</v>
      </c>
      <c r="P832" s="44">
        <v>5</v>
      </c>
    </row>
    <row r="833" spans="1:16">
      <c r="A833" s="45">
        <v>832</v>
      </c>
      <c r="B833" s="46">
        <v>40581</v>
      </c>
      <c r="C833" s="47">
        <v>1</v>
      </c>
      <c r="D833" s="47">
        <v>0</v>
      </c>
      <c r="E833" s="47">
        <v>2</v>
      </c>
      <c r="F833" s="47">
        <v>2</v>
      </c>
      <c r="G833" s="47" t="b">
        <v>0</v>
      </c>
      <c r="H833" s="47">
        <v>1</v>
      </c>
      <c r="I833" s="47">
        <v>1</v>
      </c>
      <c r="J833" s="47">
        <v>0.2</v>
      </c>
      <c r="K833" s="47">
        <v>0.2576</v>
      </c>
      <c r="L833" s="47">
        <v>0.8</v>
      </c>
      <c r="M833" s="47">
        <v>0</v>
      </c>
      <c r="N833" s="47">
        <v>0</v>
      </c>
      <c r="O833" s="47">
        <v>3</v>
      </c>
      <c r="P833" s="48">
        <v>3</v>
      </c>
    </row>
    <row r="834" spans="1:16">
      <c r="A834" s="41">
        <v>833</v>
      </c>
      <c r="B834" s="42">
        <v>40581</v>
      </c>
      <c r="C834" s="43">
        <v>1</v>
      </c>
      <c r="D834" s="43">
        <v>0</v>
      </c>
      <c r="E834" s="43">
        <v>2</v>
      </c>
      <c r="F834" s="43">
        <v>3</v>
      </c>
      <c r="G834" s="43" t="b">
        <v>0</v>
      </c>
      <c r="H834" s="43">
        <v>1</v>
      </c>
      <c r="I834" s="43">
        <v>1</v>
      </c>
      <c r="J834" s="43">
        <v>0.2</v>
      </c>
      <c r="K834" s="43">
        <v>0.2576</v>
      </c>
      <c r="L834" s="43">
        <v>0.86</v>
      </c>
      <c r="M834" s="43">
        <v>0</v>
      </c>
      <c r="N834" s="43">
        <v>0</v>
      </c>
      <c r="O834" s="43">
        <v>1</v>
      </c>
      <c r="P834" s="44">
        <v>1</v>
      </c>
    </row>
    <row r="835" spans="1:16">
      <c r="A835" s="45">
        <v>834</v>
      </c>
      <c r="B835" s="46">
        <v>40581</v>
      </c>
      <c r="C835" s="47">
        <v>1</v>
      </c>
      <c r="D835" s="47">
        <v>0</v>
      </c>
      <c r="E835" s="47">
        <v>2</v>
      </c>
      <c r="F835" s="47">
        <v>4</v>
      </c>
      <c r="G835" s="47" t="b">
        <v>0</v>
      </c>
      <c r="H835" s="47">
        <v>1</v>
      </c>
      <c r="I835" s="47">
        <v>1</v>
      </c>
      <c r="J835" s="47">
        <v>0.2</v>
      </c>
      <c r="K835" s="47">
        <v>0.2576</v>
      </c>
      <c r="L835" s="47">
        <v>0.86</v>
      </c>
      <c r="M835" s="47">
        <v>0</v>
      </c>
      <c r="N835" s="47">
        <v>1</v>
      </c>
      <c r="O835" s="47">
        <v>1</v>
      </c>
      <c r="P835" s="48">
        <v>2</v>
      </c>
    </row>
    <row r="836" spans="1:16">
      <c r="A836" s="41">
        <v>835</v>
      </c>
      <c r="B836" s="42">
        <v>40581</v>
      </c>
      <c r="C836" s="43">
        <v>1</v>
      </c>
      <c r="D836" s="43">
        <v>0</v>
      </c>
      <c r="E836" s="43">
        <v>2</v>
      </c>
      <c r="F836" s="43">
        <v>5</v>
      </c>
      <c r="G836" s="43" t="b">
        <v>0</v>
      </c>
      <c r="H836" s="43">
        <v>1</v>
      </c>
      <c r="I836" s="43">
        <v>1</v>
      </c>
      <c r="J836" s="43">
        <v>0.2</v>
      </c>
      <c r="K836" s="43">
        <v>0.2576</v>
      </c>
      <c r="L836" s="43">
        <v>0.86</v>
      </c>
      <c r="M836" s="43">
        <v>0</v>
      </c>
      <c r="N836" s="43">
        <v>1</v>
      </c>
      <c r="O836" s="43">
        <v>9</v>
      </c>
      <c r="P836" s="44">
        <v>10</v>
      </c>
    </row>
    <row r="837" spans="1:16">
      <c r="A837" s="45">
        <v>836</v>
      </c>
      <c r="B837" s="46">
        <v>40581</v>
      </c>
      <c r="C837" s="47">
        <v>1</v>
      </c>
      <c r="D837" s="47">
        <v>0</v>
      </c>
      <c r="E837" s="47">
        <v>2</v>
      </c>
      <c r="F837" s="47">
        <v>6</v>
      </c>
      <c r="G837" s="47" t="b">
        <v>0</v>
      </c>
      <c r="H837" s="47">
        <v>1</v>
      </c>
      <c r="I837" s="47">
        <v>1</v>
      </c>
      <c r="J837" s="47">
        <v>0.18</v>
      </c>
      <c r="K837" s="47">
        <v>0.2424</v>
      </c>
      <c r="L837" s="47">
        <v>0.93</v>
      </c>
      <c r="M837" s="47">
        <v>0</v>
      </c>
      <c r="N837" s="47">
        <v>1</v>
      </c>
      <c r="O837" s="47">
        <v>29</v>
      </c>
      <c r="P837" s="48">
        <v>30</v>
      </c>
    </row>
    <row r="838" spans="1:16">
      <c r="A838" s="41">
        <v>837</v>
      </c>
      <c r="B838" s="42">
        <v>40581</v>
      </c>
      <c r="C838" s="43">
        <v>1</v>
      </c>
      <c r="D838" s="43">
        <v>0</v>
      </c>
      <c r="E838" s="43">
        <v>2</v>
      </c>
      <c r="F838" s="43">
        <v>7</v>
      </c>
      <c r="G838" s="43" t="b">
        <v>0</v>
      </c>
      <c r="H838" s="43">
        <v>1</v>
      </c>
      <c r="I838" s="43">
        <v>1</v>
      </c>
      <c r="J838" s="43">
        <v>0.18</v>
      </c>
      <c r="K838" s="43">
        <v>0.2424</v>
      </c>
      <c r="L838" s="43">
        <v>0.86</v>
      </c>
      <c r="M838" s="43">
        <v>0</v>
      </c>
      <c r="N838" s="43">
        <v>6</v>
      </c>
      <c r="O838" s="43">
        <v>89</v>
      </c>
      <c r="P838" s="44">
        <v>95</v>
      </c>
    </row>
    <row r="839" spans="1:16">
      <c r="A839" s="45">
        <v>838</v>
      </c>
      <c r="B839" s="46">
        <v>40581</v>
      </c>
      <c r="C839" s="47">
        <v>1</v>
      </c>
      <c r="D839" s="47">
        <v>0</v>
      </c>
      <c r="E839" s="47">
        <v>2</v>
      </c>
      <c r="F839" s="47">
        <v>8</v>
      </c>
      <c r="G839" s="47" t="b">
        <v>0</v>
      </c>
      <c r="H839" s="47">
        <v>1</v>
      </c>
      <c r="I839" s="47">
        <v>2</v>
      </c>
      <c r="J839" s="47">
        <v>0.16</v>
      </c>
      <c r="K839" s="47">
        <v>0.2273</v>
      </c>
      <c r="L839" s="47">
        <v>1</v>
      </c>
      <c r="M839" s="47">
        <v>0</v>
      </c>
      <c r="N839" s="47">
        <v>7</v>
      </c>
      <c r="O839" s="47">
        <v>223</v>
      </c>
      <c r="P839" s="48">
        <v>230</v>
      </c>
    </row>
    <row r="840" spans="1:16">
      <c r="A840" s="41">
        <v>839</v>
      </c>
      <c r="B840" s="42">
        <v>40581</v>
      </c>
      <c r="C840" s="43">
        <v>1</v>
      </c>
      <c r="D840" s="43">
        <v>0</v>
      </c>
      <c r="E840" s="43">
        <v>2</v>
      </c>
      <c r="F840" s="43">
        <v>9</v>
      </c>
      <c r="G840" s="43" t="b">
        <v>0</v>
      </c>
      <c r="H840" s="43">
        <v>1</v>
      </c>
      <c r="I840" s="43">
        <v>1</v>
      </c>
      <c r="J840" s="43">
        <v>0.22</v>
      </c>
      <c r="K840" s="43">
        <v>0.2727</v>
      </c>
      <c r="L840" s="43">
        <v>0.8</v>
      </c>
      <c r="M840" s="43">
        <v>0</v>
      </c>
      <c r="N840" s="43">
        <v>3</v>
      </c>
      <c r="O840" s="43">
        <v>115</v>
      </c>
      <c r="P840" s="44">
        <v>118</v>
      </c>
    </row>
    <row r="841" spans="1:16">
      <c r="A841" s="45">
        <v>840</v>
      </c>
      <c r="B841" s="46">
        <v>40581</v>
      </c>
      <c r="C841" s="47">
        <v>1</v>
      </c>
      <c r="D841" s="47">
        <v>0</v>
      </c>
      <c r="E841" s="47">
        <v>2</v>
      </c>
      <c r="F841" s="47">
        <v>10</v>
      </c>
      <c r="G841" s="47" t="b">
        <v>0</v>
      </c>
      <c r="H841" s="47">
        <v>1</v>
      </c>
      <c r="I841" s="47">
        <v>1</v>
      </c>
      <c r="J841" s="47">
        <v>0.24</v>
      </c>
      <c r="K841" s="47">
        <v>0.2576</v>
      </c>
      <c r="L841" s="47">
        <v>0.75</v>
      </c>
      <c r="M841" s="47">
        <v>0.1045</v>
      </c>
      <c r="N841" s="47">
        <v>6</v>
      </c>
      <c r="O841" s="47">
        <v>49</v>
      </c>
      <c r="P841" s="48">
        <v>55</v>
      </c>
    </row>
    <row r="842" spans="1:16">
      <c r="A842" s="41">
        <v>841</v>
      </c>
      <c r="B842" s="42">
        <v>40581</v>
      </c>
      <c r="C842" s="43">
        <v>1</v>
      </c>
      <c r="D842" s="43">
        <v>0</v>
      </c>
      <c r="E842" s="43">
        <v>2</v>
      </c>
      <c r="F842" s="43">
        <v>11</v>
      </c>
      <c r="G842" s="43" t="b">
        <v>0</v>
      </c>
      <c r="H842" s="43">
        <v>1</v>
      </c>
      <c r="I842" s="43">
        <v>1</v>
      </c>
      <c r="J842" s="43">
        <v>0.3</v>
      </c>
      <c r="K842" s="43">
        <v>0.31819999999999998</v>
      </c>
      <c r="L842" s="43">
        <v>0.65</v>
      </c>
      <c r="M842" s="43">
        <v>8.9599999999999999E-2</v>
      </c>
      <c r="N842" s="43">
        <v>11</v>
      </c>
      <c r="O842" s="43">
        <v>36</v>
      </c>
      <c r="P842" s="44">
        <v>47</v>
      </c>
    </row>
    <row r="843" spans="1:16">
      <c r="A843" s="45">
        <v>842</v>
      </c>
      <c r="B843" s="46">
        <v>40581</v>
      </c>
      <c r="C843" s="47">
        <v>1</v>
      </c>
      <c r="D843" s="47">
        <v>0</v>
      </c>
      <c r="E843" s="47">
        <v>2</v>
      </c>
      <c r="F843" s="47">
        <v>12</v>
      </c>
      <c r="G843" s="47" t="b">
        <v>0</v>
      </c>
      <c r="H843" s="47">
        <v>1</v>
      </c>
      <c r="I843" s="47">
        <v>2</v>
      </c>
      <c r="J843" s="47">
        <v>0.32</v>
      </c>
      <c r="K843" s="47">
        <v>0.34849999999999998</v>
      </c>
      <c r="L843" s="47">
        <v>0.62</v>
      </c>
      <c r="M843" s="47">
        <v>0</v>
      </c>
      <c r="N843" s="47">
        <v>7</v>
      </c>
      <c r="O843" s="47">
        <v>59</v>
      </c>
      <c r="P843" s="48">
        <v>66</v>
      </c>
    </row>
    <row r="844" spans="1:16">
      <c r="A844" s="41">
        <v>843</v>
      </c>
      <c r="B844" s="42">
        <v>40581</v>
      </c>
      <c r="C844" s="43">
        <v>1</v>
      </c>
      <c r="D844" s="43">
        <v>0</v>
      </c>
      <c r="E844" s="43">
        <v>2</v>
      </c>
      <c r="F844" s="43">
        <v>13</v>
      </c>
      <c r="G844" s="43" t="b">
        <v>0</v>
      </c>
      <c r="H844" s="43">
        <v>1</v>
      </c>
      <c r="I844" s="43">
        <v>2</v>
      </c>
      <c r="J844" s="43">
        <v>0.36</v>
      </c>
      <c r="K844" s="43">
        <v>0.36359999999999998</v>
      </c>
      <c r="L844" s="43">
        <v>0.56999999999999995</v>
      </c>
      <c r="M844" s="43">
        <v>8.9599999999999999E-2</v>
      </c>
      <c r="N844" s="43">
        <v>10</v>
      </c>
      <c r="O844" s="43">
        <v>54</v>
      </c>
      <c r="P844" s="44">
        <v>64</v>
      </c>
    </row>
    <row r="845" spans="1:16">
      <c r="A845" s="45">
        <v>844</v>
      </c>
      <c r="B845" s="46">
        <v>40581</v>
      </c>
      <c r="C845" s="47">
        <v>1</v>
      </c>
      <c r="D845" s="47">
        <v>0</v>
      </c>
      <c r="E845" s="47">
        <v>2</v>
      </c>
      <c r="F845" s="47">
        <v>14</v>
      </c>
      <c r="G845" s="47" t="b">
        <v>0</v>
      </c>
      <c r="H845" s="47">
        <v>1</v>
      </c>
      <c r="I845" s="47">
        <v>2</v>
      </c>
      <c r="J845" s="47">
        <v>0.36</v>
      </c>
      <c r="K845" s="47">
        <v>0.36359999999999998</v>
      </c>
      <c r="L845" s="47">
        <v>0.56999999999999995</v>
      </c>
      <c r="M845" s="47">
        <v>8.9599999999999999E-2</v>
      </c>
      <c r="N845" s="47">
        <v>8</v>
      </c>
      <c r="O845" s="47">
        <v>52</v>
      </c>
      <c r="P845" s="48">
        <v>60</v>
      </c>
    </row>
    <row r="846" spans="1:16">
      <c r="A846" s="41">
        <v>845</v>
      </c>
      <c r="B846" s="42">
        <v>40581</v>
      </c>
      <c r="C846" s="43">
        <v>1</v>
      </c>
      <c r="D846" s="43">
        <v>0</v>
      </c>
      <c r="E846" s="43">
        <v>2</v>
      </c>
      <c r="F846" s="43">
        <v>15</v>
      </c>
      <c r="G846" s="43" t="b">
        <v>0</v>
      </c>
      <c r="H846" s="43">
        <v>1</v>
      </c>
      <c r="I846" s="43">
        <v>2</v>
      </c>
      <c r="J846" s="43">
        <v>0.38</v>
      </c>
      <c r="K846" s="43">
        <v>0.39389999999999997</v>
      </c>
      <c r="L846" s="43">
        <v>0.54</v>
      </c>
      <c r="M846" s="43">
        <v>8.9599999999999999E-2</v>
      </c>
      <c r="N846" s="43">
        <v>4</v>
      </c>
      <c r="O846" s="43">
        <v>46</v>
      </c>
      <c r="P846" s="44">
        <v>50</v>
      </c>
    </row>
    <row r="847" spans="1:16">
      <c r="A847" s="45">
        <v>846</v>
      </c>
      <c r="B847" s="46">
        <v>40581</v>
      </c>
      <c r="C847" s="47">
        <v>1</v>
      </c>
      <c r="D847" s="47">
        <v>0</v>
      </c>
      <c r="E847" s="47">
        <v>2</v>
      </c>
      <c r="F847" s="47">
        <v>16</v>
      </c>
      <c r="G847" s="47" t="b">
        <v>0</v>
      </c>
      <c r="H847" s="47">
        <v>1</v>
      </c>
      <c r="I847" s="47">
        <v>2</v>
      </c>
      <c r="J847" s="47">
        <v>0.36</v>
      </c>
      <c r="K847" s="47">
        <v>0.34849999999999998</v>
      </c>
      <c r="L847" s="47">
        <v>0.56999999999999995</v>
      </c>
      <c r="M847" s="47">
        <v>0.1343</v>
      </c>
      <c r="N847" s="47">
        <v>16</v>
      </c>
      <c r="O847" s="47">
        <v>98</v>
      </c>
      <c r="P847" s="48">
        <v>114</v>
      </c>
    </row>
    <row r="848" spans="1:16">
      <c r="A848" s="41">
        <v>847</v>
      </c>
      <c r="B848" s="42">
        <v>40581</v>
      </c>
      <c r="C848" s="43">
        <v>1</v>
      </c>
      <c r="D848" s="43">
        <v>0</v>
      </c>
      <c r="E848" s="43">
        <v>2</v>
      </c>
      <c r="F848" s="43">
        <v>17</v>
      </c>
      <c r="G848" s="43" t="b">
        <v>0</v>
      </c>
      <c r="H848" s="43">
        <v>1</v>
      </c>
      <c r="I848" s="43">
        <v>2</v>
      </c>
      <c r="J848" s="43">
        <v>0.32</v>
      </c>
      <c r="K848" s="43">
        <v>0.31819999999999998</v>
      </c>
      <c r="L848" s="43">
        <v>0.7</v>
      </c>
      <c r="M848" s="43">
        <v>0.16420000000000001</v>
      </c>
      <c r="N848" s="43">
        <v>9</v>
      </c>
      <c r="O848" s="43">
        <v>207</v>
      </c>
      <c r="P848" s="44">
        <v>216</v>
      </c>
    </row>
    <row r="849" spans="1:16">
      <c r="A849" s="45">
        <v>848</v>
      </c>
      <c r="B849" s="46">
        <v>40581</v>
      </c>
      <c r="C849" s="47">
        <v>1</v>
      </c>
      <c r="D849" s="47">
        <v>0</v>
      </c>
      <c r="E849" s="47">
        <v>2</v>
      </c>
      <c r="F849" s="47">
        <v>18</v>
      </c>
      <c r="G849" s="47" t="b">
        <v>0</v>
      </c>
      <c r="H849" s="47">
        <v>1</v>
      </c>
      <c r="I849" s="47">
        <v>2</v>
      </c>
      <c r="J849" s="47">
        <v>0.34</v>
      </c>
      <c r="K849" s="47">
        <v>0.33329999999999999</v>
      </c>
      <c r="L849" s="47">
        <v>0.66</v>
      </c>
      <c r="M849" s="47">
        <v>0.1343</v>
      </c>
      <c r="N849" s="47">
        <v>5</v>
      </c>
      <c r="O849" s="47">
        <v>170</v>
      </c>
      <c r="P849" s="48">
        <v>175</v>
      </c>
    </row>
    <row r="850" spans="1:16">
      <c r="A850" s="41">
        <v>849</v>
      </c>
      <c r="B850" s="42">
        <v>40581</v>
      </c>
      <c r="C850" s="43">
        <v>1</v>
      </c>
      <c r="D850" s="43">
        <v>0</v>
      </c>
      <c r="E850" s="43">
        <v>2</v>
      </c>
      <c r="F850" s="43">
        <v>19</v>
      </c>
      <c r="G850" s="43" t="b">
        <v>0</v>
      </c>
      <c r="H850" s="43">
        <v>1</v>
      </c>
      <c r="I850" s="43">
        <v>2</v>
      </c>
      <c r="J850" s="43">
        <v>0.32</v>
      </c>
      <c r="K850" s="43">
        <v>0.34849999999999998</v>
      </c>
      <c r="L850" s="43">
        <v>0.7</v>
      </c>
      <c r="M850" s="43">
        <v>0</v>
      </c>
      <c r="N850" s="43">
        <v>5</v>
      </c>
      <c r="O850" s="43">
        <v>123</v>
      </c>
      <c r="P850" s="44">
        <v>128</v>
      </c>
    </row>
    <row r="851" spans="1:16">
      <c r="A851" s="45">
        <v>850</v>
      </c>
      <c r="B851" s="46">
        <v>40581</v>
      </c>
      <c r="C851" s="47">
        <v>1</v>
      </c>
      <c r="D851" s="47">
        <v>0</v>
      </c>
      <c r="E851" s="47">
        <v>2</v>
      </c>
      <c r="F851" s="47">
        <v>20</v>
      </c>
      <c r="G851" s="47" t="b">
        <v>0</v>
      </c>
      <c r="H851" s="47">
        <v>1</v>
      </c>
      <c r="I851" s="47">
        <v>2</v>
      </c>
      <c r="J851" s="47">
        <v>0.32</v>
      </c>
      <c r="K851" s="47">
        <v>0.33329999999999999</v>
      </c>
      <c r="L851" s="47">
        <v>0.7</v>
      </c>
      <c r="M851" s="47">
        <v>0.1045</v>
      </c>
      <c r="N851" s="47">
        <v>6</v>
      </c>
      <c r="O851" s="47">
        <v>82</v>
      </c>
      <c r="P851" s="48">
        <v>88</v>
      </c>
    </row>
    <row r="852" spans="1:16">
      <c r="A852" s="41">
        <v>851</v>
      </c>
      <c r="B852" s="42">
        <v>40581</v>
      </c>
      <c r="C852" s="43">
        <v>1</v>
      </c>
      <c r="D852" s="43">
        <v>0</v>
      </c>
      <c r="E852" s="43">
        <v>2</v>
      </c>
      <c r="F852" s="43">
        <v>21</v>
      </c>
      <c r="G852" s="43" t="b">
        <v>0</v>
      </c>
      <c r="H852" s="43">
        <v>1</v>
      </c>
      <c r="I852" s="43">
        <v>1</v>
      </c>
      <c r="J852" s="43">
        <v>0.32</v>
      </c>
      <c r="K852" s="43">
        <v>0.34849999999999998</v>
      </c>
      <c r="L852" s="43">
        <v>0.7</v>
      </c>
      <c r="M852" s="43">
        <v>0</v>
      </c>
      <c r="N852" s="43">
        <v>3</v>
      </c>
      <c r="O852" s="43">
        <v>75</v>
      </c>
      <c r="P852" s="44">
        <v>78</v>
      </c>
    </row>
    <row r="853" spans="1:16">
      <c r="A853" s="45">
        <v>852</v>
      </c>
      <c r="B853" s="46">
        <v>40581</v>
      </c>
      <c r="C853" s="47">
        <v>1</v>
      </c>
      <c r="D853" s="47">
        <v>0</v>
      </c>
      <c r="E853" s="47">
        <v>2</v>
      </c>
      <c r="F853" s="47">
        <v>22</v>
      </c>
      <c r="G853" s="47" t="b">
        <v>0</v>
      </c>
      <c r="H853" s="47">
        <v>1</v>
      </c>
      <c r="I853" s="47">
        <v>1</v>
      </c>
      <c r="J853" s="47">
        <v>0.28000000000000003</v>
      </c>
      <c r="K853" s="47">
        <v>0.30299999999999999</v>
      </c>
      <c r="L853" s="47">
        <v>0.81</v>
      </c>
      <c r="M853" s="47">
        <v>8.9599999999999999E-2</v>
      </c>
      <c r="N853" s="47">
        <v>3</v>
      </c>
      <c r="O853" s="47">
        <v>34</v>
      </c>
      <c r="P853" s="48">
        <v>37</v>
      </c>
    </row>
    <row r="854" spans="1:16">
      <c r="A854" s="41">
        <v>853</v>
      </c>
      <c r="B854" s="42">
        <v>40581</v>
      </c>
      <c r="C854" s="43">
        <v>1</v>
      </c>
      <c r="D854" s="43">
        <v>0</v>
      </c>
      <c r="E854" s="43">
        <v>2</v>
      </c>
      <c r="F854" s="43">
        <v>23</v>
      </c>
      <c r="G854" s="43" t="b">
        <v>0</v>
      </c>
      <c r="H854" s="43">
        <v>1</v>
      </c>
      <c r="I854" s="43">
        <v>2</v>
      </c>
      <c r="J854" s="43">
        <v>0.3</v>
      </c>
      <c r="K854" s="43">
        <v>0.33329999999999999</v>
      </c>
      <c r="L854" s="43">
        <v>0.81</v>
      </c>
      <c r="M854" s="43">
        <v>0</v>
      </c>
      <c r="N854" s="43">
        <v>6</v>
      </c>
      <c r="O854" s="43">
        <v>19</v>
      </c>
      <c r="P854" s="44">
        <v>25</v>
      </c>
    </row>
    <row r="855" spans="1:16">
      <c r="A855" s="45">
        <v>854</v>
      </c>
      <c r="B855" s="46">
        <v>40582</v>
      </c>
      <c r="C855" s="47">
        <v>1</v>
      </c>
      <c r="D855" s="47">
        <v>0</v>
      </c>
      <c r="E855" s="47">
        <v>2</v>
      </c>
      <c r="F855" s="47">
        <v>0</v>
      </c>
      <c r="G855" s="47" t="b">
        <v>0</v>
      </c>
      <c r="H855" s="47">
        <v>2</v>
      </c>
      <c r="I855" s="47">
        <v>2</v>
      </c>
      <c r="J855" s="47">
        <v>0.28000000000000003</v>
      </c>
      <c r="K855" s="47">
        <v>0.31819999999999998</v>
      </c>
      <c r="L855" s="47">
        <v>0.87</v>
      </c>
      <c r="M855" s="47">
        <v>0</v>
      </c>
      <c r="N855" s="47">
        <v>4</v>
      </c>
      <c r="O855" s="47">
        <v>6</v>
      </c>
      <c r="P855" s="48">
        <v>10</v>
      </c>
    </row>
    <row r="856" spans="1:16">
      <c r="A856" s="41">
        <v>855</v>
      </c>
      <c r="B856" s="42">
        <v>40582</v>
      </c>
      <c r="C856" s="43">
        <v>1</v>
      </c>
      <c r="D856" s="43">
        <v>0</v>
      </c>
      <c r="E856" s="43">
        <v>2</v>
      </c>
      <c r="F856" s="43">
        <v>1</v>
      </c>
      <c r="G856" s="43" t="b">
        <v>0</v>
      </c>
      <c r="H856" s="43">
        <v>2</v>
      </c>
      <c r="I856" s="43">
        <v>2</v>
      </c>
      <c r="J856" s="43">
        <v>0.28000000000000003</v>
      </c>
      <c r="K856" s="43">
        <v>0.31819999999999998</v>
      </c>
      <c r="L856" s="43">
        <v>0.87</v>
      </c>
      <c r="M856" s="43">
        <v>0</v>
      </c>
      <c r="N856" s="43">
        <v>0</v>
      </c>
      <c r="O856" s="43">
        <v>4</v>
      </c>
      <c r="P856" s="44">
        <v>4</v>
      </c>
    </row>
    <row r="857" spans="1:16">
      <c r="A857" s="45">
        <v>856</v>
      </c>
      <c r="B857" s="46">
        <v>40582</v>
      </c>
      <c r="C857" s="47">
        <v>1</v>
      </c>
      <c r="D857" s="47">
        <v>0</v>
      </c>
      <c r="E857" s="47">
        <v>2</v>
      </c>
      <c r="F857" s="47">
        <v>2</v>
      </c>
      <c r="G857" s="47" t="b">
        <v>0</v>
      </c>
      <c r="H857" s="47">
        <v>2</v>
      </c>
      <c r="I857" s="47">
        <v>2</v>
      </c>
      <c r="J857" s="47">
        <v>0.26</v>
      </c>
      <c r="K857" s="47">
        <v>0.2727</v>
      </c>
      <c r="L857" s="47">
        <v>0.93</v>
      </c>
      <c r="M857" s="47">
        <v>0.1045</v>
      </c>
      <c r="N857" s="47">
        <v>1</v>
      </c>
      <c r="O857" s="47">
        <v>1</v>
      </c>
      <c r="P857" s="48">
        <v>2</v>
      </c>
    </row>
    <row r="858" spans="1:16">
      <c r="A858" s="41">
        <v>857</v>
      </c>
      <c r="B858" s="42">
        <v>40582</v>
      </c>
      <c r="C858" s="43">
        <v>1</v>
      </c>
      <c r="D858" s="43">
        <v>0</v>
      </c>
      <c r="E858" s="43">
        <v>2</v>
      </c>
      <c r="F858" s="43">
        <v>3</v>
      </c>
      <c r="G858" s="43" t="b">
        <v>0</v>
      </c>
      <c r="H858" s="43">
        <v>2</v>
      </c>
      <c r="I858" s="43">
        <v>3</v>
      </c>
      <c r="J858" s="43">
        <v>0.28000000000000003</v>
      </c>
      <c r="K858" s="43">
        <v>0.2727</v>
      </c>
      <c r="L858" s="43">
        <v>0.93</v>
      </c>
      <c r="M858" s="43">
        <v>0.16420000000000001</v>
      </c>
      <c r="N858" s="43">
        <v>0</v>
      </c>
      <c r="O858" s="43">
        <v>1</v>
      </c>
      <c r="P858" s="44">
        <v>1</v>
      </c>
    </row>
    <row r="859" spans="1:16">
      <c r="A859" s="45">
        <v>858</v>
      </c>
      <c r="B859" s="46">
        <v>40582</v>
      </c>
      <c r="C859" s="47">
        <v>1</v>
      </c>
      <c r="D859" s="47">
        <v>0</v>
      </c>
      <c r="E859" s="47">
        <v>2</v>
      </c>
      <c r="F859" s="47">
        <v>4</v>
      </c>
      <c r="G859" s="47" t="b">
        <v>0</v>
      </c>
      <c r="H859" s="47">
        <v>2</v>
      </c>
      <c r="I859" s="47">
        <v>1</v>
      </c>
      <c r="J859" s="47">
        <v>0.26</v>
      </c>
      <c r="K859" s="47">
        <v>0.2576</v>
      </c>
      <c r="L859" s="47">
        <v>0.93</v>
      </c>
      <c r="M859" s="47">
        <v>0.16420000000000001</v>
      </c>
      <c r="N859" s="47">
        <v>0</v>
      </c>
      <c r="O859" s="47">
        <v>3</v>
      </c>
      <c r="P859" s="48">
        <v>3</v>
      </c>
    </row>
    <row r="860" spans="1:16">
      <c r="A860" s="41">
        <v>859</v>
      </c>
      <c r="B860" s="42">
        <v>40582</v>
      </c>
      <c r="C860" s="43">
        <v>1</v>
      </c>
      <c r="D860" s="43">
        <v>0</v>
      </c>
      <c r="E860" s="43">
        <v>2</v>
      </c>
      <c r="F860" s="43">
        <v>5</v>
      </c>
      <c r="G860" s="43" t="b">
        <v>0</v>
      </c>
      <c r="H860" s="43">
        <v>2</v>
      </c>
      <c r="I860" s="43">
        <v>1</v>
      </c>
      <c r="J860" s="43">
        <v>0.26</v>
      </c>
      <c r="K860" s="43">
        <v>0.2273</v>
      </c>
      <c r="L860" s="43">
        <v>0.81</v>
      </c>
      <c r="M860" s="43">
        <v>0.32840000000000003</v>
      </c>
      <c r="N860" s="43">
        <v>0</v>
      </c>
      <c r="O860" s="43">
        <v>2</v>
      </c>
      <c r="P860" s="44">
        <v>2</v>
      </c>
    </row>
    <row r="861" spans="1:16">
      <c r="A861" s="45">
        <v>860</v>
      </c>
      <c r="B861" s="46">
        <v>40582</v>
      </c>
      <c r="C861" s="47">
        <v>1</v>
      </c>
      <c r="D861" s="47">
        <v>0</v>
      </c>
      <c r="E861" s="47">
        <v>2</v>
      </c>
      <c r="F861" s="47">
        <v>6</v>
      </c>
      <c r="G861" s="47" t="b">
        <v>0</v>
      </c>
      <c r="H861" s="47">
        <v>2</v>
      </c>
      <c r="I861" s="47">
        <v>1</v>
      </c>
      <c r="J861" s="47">
        <v>0.26</v>
      </c>
      <c r="K861" s="47">
        <v>0.2273</v>
      </c>
      <c r="L861" s="47">
        <v>0.7</v>
      </c>
      <c r="M861" s="47">
        <v>0.32840000000000003</v>
      </c>
      <c r="N861" s="47">
        <v>0</v>
      </c>
      <c r="O861" s="47">
        <v>39</v>
      </c>
      <c r="P861" s="48">
        <v>39</v>
      </c>
    </row>
    <row r="862" spans="1:16">
      <c r="A862" s="41">
        <v>861</v>
      </c>
      <c r="B862" s="42">
        <v>40582</v>
      </c>
      <c r="C862" s="43">
        <v>1</v>
      </c>
      <c r="D862" s="43">
        <v>0</v>
      </c>
      <c r="E862" s="43">
        <v>2</v>
      </c>
      <c r="F862" s="43">
        <v>7</v>
      </c>
      <c r="G862" s="43" t="b">
        <v>0</v>
      </c>
      <c r="H862" s="43">
        <v>2</v>
      </c>
      <c r="I862" s="43">
        <v>1</v>
      </c>
      <c r="J862" s="43">
        <v>0.24</v>
      </c>
      <c r="K862" s="43">
        <v>0.19700000000000001</v>
      </c>
      <c r="L862" s="43">
        <v>0.65</v>
      </c>
      <c r="M862" s="43">
        <v>0.41789999999999999</v>
      </c>
      <c r="N862" s="43">
        <v>3</v>
      </c>
      <c r="O862" s="43">
        <v>97</v>
      </c>
      <c r="P862" s="44">
        <v>100</v>
      </c>
    </row>
    <row r="863" spans="1:16">
      <c r="A863" s="45">
        <v>862</v>
      </c>
      <c r="B863" s="46">
        <v>40582</v>
      </c>
      <c r="C863" s="47">
        <v>1</v>
      </c>
      <c r="D863" s="47">
        <v>0</v>
      </c>
      <c r="E863" s="47">
        <v>2</v>
      </c>
      <c r="F863" s="47">
        <v>8</v>
      </c>
      <c r="G863" s="47" t="b">
        <v>0</v>
      </c>
      <c r="H863" s="47">
        <v>2</v>
      </c>
      <c r="I863" s="47">
        <v>1</v>
      </c>
      <c r="J863" s="47">
        <v>0.24</v>
      </c>
      <c r="K863" s="47">
        <v>0.19700000000000001</v>
      </c>
      <c r="L863" s="47">
        <v>0.56000000000000005</v>
      </c>
      <c r="M863" s="47">
        <v>0.49249999999999999</v>
      </c>
      <c r="N863" s="47">
        <v>7</v>
      </c>
      <c r="O863" s="47">
        <v>236</v>
      </c>
      <c r="P863" s="48">
        <v>243</v>
      </c>
    </row>
    <row r="864" spans="1:16">
      <c r="A864" s="41">
        <v>863</v>
      </c>
      <c r="B864" s="42">
        <v>40582</v>
      </c>
      <c r="C864" s="43">
        <v>1</v>
      </c>
      <c r="D864" s="43">
        <v>0</v>
      </c>
      <c r="E864" s="43">
        <v>2</v>
      </c>
      <c r="F864" s="43">
        <v>9</v>
      </c>
      <c r="G864" s="43" t="b">
        <v>0</v>
      </c>
      <c r="H864" s="43">
        <v>2</v>
      </c>
      <c r="I864" s="43">
        <v>1</v>
      </c>
      <c r="J864" s="43">
        <v>0.24</v>
      </c>
      <c r="K864" s="43">
        <v>0.19700000000000001</v>
      </c>
      <c r="L864" s="43">
        <v>0.52</v>
      </c>
      <c r="M864" s="43">
        <v>0.49249999999999999</v>
      </c>
      <c r="N864" s="43">
        <v>7</v>
      </c>
      <c r="O864" s="43">
        <v>128</v>
      </c>
      <c r="P864" s="44">
        <v>135</v>
      </c>
    </row>
    <row r="865" spans="1:16">
      <c r="A865" s="45">
        <v>864</v>
      </c>
      <c r="B865" s="46">
        <v>40582</v>
      </c>
      <c r="C865" s="47">
        <v>1</v>
      </c>
      <c r="D865" s="47">
        <v>0</v>
      </c>
      <c r="E865" s="47">
        <v>2</v>
      </c>
      <c r="F865" s="47">
        <v>10</v>
      </c>
      <c r="G865" s="47" t="b">
        <v>0</v>
      </c>
      <c r="H865" s="47">
        <v>2</v>
      </c>
      <c r="I865" s="47">
        <v>1</v>
      </c>
      <c r="J865" s="47">
        <v>0.22</v>
      </c>
      <c r="K865" s="47">
        <v>0.18179999999999999</v>
      </c>
      <c r="L865" s="47">
        <v>0.47</v>
      </c>
      <c r="M865" s="47">
        <v>0.55220000000000002</v>
      </c>
      <c r="N865" s="47">
        <v>4</v>
      </c>
      <c r="O865" s="47">
        <v>44</v>
      </c>
      <c r="P865" s="48">
        <v>48</v>
      </c>
    </row>
    <row r="866" spans="1:16">
      <c r="A866" s="41">
        <v>865</v>
      </c>
      <c r="B866" s="42">
        <v>40582</v>
      </c>
      <c r="C866" s="43">
        <v>1</v>
      </c>
      <c r="D866" s="43">
        <v>0</v>
      </c>
      <c r="E866" s="43">
        <v>2</v>
      </c>
      <c r="F866" s="43">
        <v>11</v>
      </c>
      <c r="G866" s="43" t="b">
        <v>0</v>
      </c>
      <c r="H866" s="43">
        <v>2</v>
      </c>
      <c r="I866" s="43">
        <v>1</v>
      </c>
      <c r="J866" s="43">
        <v>0.22</v>
      </c>
      <c r="K866" s="43">
        <v>0.18179999999999999</v>
      </c>
      <c r="L866" s="43">
        <v>0.47</v>
      </c>
      <c r="M866" s="43">
        <v>0.4627</v>
      </c>
      <c r="N866" s="43">
        <v>1</v>
      </c>
      <c r="O866" s="43">
        <v>49</v>
      </c>
      <c r="P866" s="44">
        <v>50</v>
      </c>
    </row>
    <row r="867" spans="1:16">
      <c r="A867" s="45">
        <v>866</v>
      </c>
      <c r="B867" s="46">
        <v>40582</v>
      </c>
      <c r="C867" s="47">
        <v>1</v>
      </c>
      <c r="D867" s="47">
        <v>0</v>
      </c>
      <c r="E867" s="47">
        <v>2</v>
      </c>
      <c r="F867" s="47">
        <v>12</v>
      </c>
      <c r="G867" s="47" t="b">
        <v>0</v>
      </c>
      <c r="H867" s="47">
        <v>2</v>
      </c>
      <c r="I867" s="47">
        <v>1</v>
      </c>
      <c r="J867" s="47">
        <v>0.24</v>
      </c>
      <c r="K867" s="47">
        <v>0.19700000000000001</v>
      </c>
      <c r="L867" s="47">
        <v>0.38</v>
      </c>
      <c r="M867" s="47">
        <v>0.49249999999999999</v>
      </c>
      <c r="N867" s="47">
        <v>2</v>
      </c>
      <c r="O867" s="47">
        <v>63</v>
      </c>
      <c r="P867" s="48">
        <v>65</v>
      </c>
    </row>
    <row r="868" spans="1:16">
      <c r="A868" s="41">
        <v>867</v>
      </c>
      <c r="B868" s="42">
        <v>40582</v>
      </c>
      <c r="C868" s="43">
        <v>1</v>
      </c>
      <c r="D868" s="43">
        <v>0</v>
      </c>
      <c r="E868" s="43">
        <v>2</v>
      </c>
      <c r="F868" s="43">
        <v>13</v>
      </c>
      <c r="G868" s="43" t="b">
        <v>0</v>
      </c>
      <c r="H868" s="43">
        <v>2</v>
      </c>
      <c r="I868" s="43">
        <v>2</v>
      </c>
      <c r="J868" s="43">
        <v>0.24</v>
      </c>
      <c r="K868" s="43">
        <v>0.19700000000000001</v>
      </c>
      <c r="L868" s="43">
        <v>0.32</v>
      </c>
      <c r="M868" s="43">
        <v>0.44779999999999998</v>
      </c>
      <c r="N868" s="43">
        <v>2</v>
      </c>
      <c r="O868" s="43">
        <v>48</v>
      </c>
      <c r="P868" s="44">
        <v>50</v>
      </c>
    </row>
    <row r="869" spans="1:16">
      <c r="A869" s="45">
        <v>868</v>
      </c>
      <c r="B869" s="46">
        <v>40582</v>
      </c>
      <c r="C869" s="47">
        <v>1</v>
      </c>
      <c r="D869" s="47">
        <v>0</v>
      </c>
      <c r="E869" s="47">
        <v>2</v>
      </c>
      <c r="F869" s="47">
        <v>14</v>
      </c>
      <c r="G869" s="47" t="b">
        <v>0</v>
      </c>
      <c r="H869" s="47">
        <v>2</v>
      </c>
      <c r="I869" s="47">
        <v>1</v>
      </c>
      <c r="J869" s="47">
        <v>0.22</v>
      </c>
      <c r="K869" s="47">
        <v>0.19700000000000001</v>
      </c>
      <c r="L869" s="47">
        <v>0.37</v>
      </c>
      <c r="M869" s="47">
        <v>0.41789999999999999</v>
      </c>
      <c r="N869" s="47">
        <v>3</v>
      </c>
      <c r="O869" s="47">
        <v>61</v>
      </c>
      <c r="P869" s="48">
        <v>64</v>
      </c>
    </row>
    <row r="870" spans="1:16">
      <c r="A870" s="41">
        <v>869</v>
      </c>
      <c r="B870" s="42">
        <v>40582</v>
      </c>
      <c r="C870" s="43">
        <v>1</v>
      </c>
      <c r="D870" s="43">
        <v>0</v>
      </c>
      <c r="E870" s="43">
        <v>2</v>
      </c>
      <c r="F870" s="43">
        <v>15</v>
      </c>
      <c r="G870" s="43" t="b">
        <v>0</v>
      </c>
      <c r="H870" s="43">
        <v>2</v>
      </c>
      <c r="I870" s="43">
        <v>1</v>
      </c>
      <c r="J870" s="43">
        <v>0.22</v>
      </c>
      <c r="K870" s="43">
        <v>0.19700000000000001</v>
      </c>
      <c r="L870" s="43">
        <v>0.35</v>
      </c>
      <c r="M870" s="43">
        <v>0.3881</v>
      </c>
      <c r="N870" s="43">
        <v>6</v>
      </c>
      <c r="O870" s="43">
        <v>45</v>
      </c>
      <c r="P870" s="44">
        <v>51</v>
      </c>
    </row>
    <row r="871" spans="1:16">
      <c r="A871" s="45">
        <v>870</v>
      </c>
      <c r="B871" s="46">
        <v>40582</v>
      </c>
      <c r="C871" s="47">
        <v>1</v>
      </c>
      <c r="D871" s="47">
        <v>0</v>
      </c>
      <c r="E871" s="47">
        <v>2</v>
      </c>
      <c r="F871" s="47">
        <v>16</v>
      </c>
      <c r="G871" s="47" t="b">
        <v>0</v>
      </c>
      <c r="H871" s="47">
        <v>2</v>
      </c>
      <c r="I871" s="47">
        <v>1</v>
      </c>
      <c r="J871" s="47">
        <v>0.22</v>
      </c>
      <c r="K871" s="47">
        <v>0.18179999999999999</v>
      </c>
      <c r="L871" s="47">
        <v>0.35</v>
      </c>
      <c r="M871" s="47">
        <v>0.52239999999999998</v>
      </c>
      <c r="N871" s="47">
        <v>4</v>
      </c>
      <c r="O871" s="47">
        <v>79</v>
      </c>
      <c r="P871" s="48">
        <v>83</v>
      </c>
    </row>
    <row r="872" spans="1:16">
      <c r="A872" s="41">
        <v>871</v>
      </c>
      <c r="B872" s="42">
        <v>40582</v>
      </c>
      <c r="C872" s="43">
        <v>1</v>
      </c>
      <c r="D872" s="43">
        <v>0</v>
      </c>
      <c r="E872" s="43">
        <v>2</v>
      </c>
      <c r="F872" s="43">
        <v>17</v>
      </c>
      <c r="G872" s="43" t="b">
        <v>0</v>
      </c>
      <c r="H872" s="43">
        <v>2</v>
      </c>
      <c r="I872" s="43">
        <v>1</v>
      </c>
      <c r="J872" s="43">
        <v>0.22</v>
      </c>
      <c r="K872" s="43">
        <v>0.18179999999999999</v>
      </c>
      <c r="L872" s="43">
        <v>0.32</v>
      </c>
      <c r="M872" s="43">
        <v>0.58209999999999995</v>
      </c>
      <c r="N872" s="43">
        <v>4</v>
      </c>
      <c r="O872" s="43">
        <v>172</v>
      </c>
      <c r="P872" s="44">
        <v>176</v>
      </c>
    </row>
    <row r="873" spans="1:16">
      <c r="A873" s="45">
        <v>872</v>
      </c>
      <c r="B873" s="46">
        <v>40582</v>
      </c>
      <c r="C873" s="47">
        <v>1</v>
      </c>
      <c r="D873" s="47">
        <v>0</v>
      </c>
      <c r="E873" s="47">
        <v>2</v>
      </c>
      <c r="F873" s="47">
        <v>18</v>
      </c>
      <c r="G873" s="47" t="b">
        <v>0</v>
      </c>
      <c r="H873" s="47">
        <v>2</v>
      </c>
      <c r="I873" s="47">
        <v>1</v>
      </c>
      <c r="J873" s="47">
        <v>0.2</v>
      </c>
      <c r="K873" s="47">
        <v>0.18179999999999999</v>
      </c>
      <c r="L873" s="47">
        <v>0.32</v>
      </c>
      <c r="M873" s="47">
        <v>0.3881</v>
      </c>
      <c r="N873" s="47">
        <v>1</v>
      </c>
      <c r="O873" s="47">
        <v>151</v>
      </c>
      <c r="P873" s="48">
        <v>152</v>
      </c>
    </row>
    <row r="874" spans="1:16">
      <c r="A874" s="41">
        <v>873</v>
      </c>
      <c r="B874" s="42">
        <v>40582</v>
      </c>
      <c r="C874" s="43">
        <v>1</v>
      </c>
      <c r="D874" s="43">
        <v>0</v>
      </c>
      <c r="E874" s="43">
        <v>2</v>
      </c>
      <c r="F874" s="43">
        <v>19</v>
      </c>
      <c r="G874" s="43" t="b">
        <v>0</v>
      </c>
      <c r="H874" s="43">
        <v>2</v>
      </c>
      <c r="I874" s="43">
        <v>1</v>
      </c>
      <c r="J874" s="43">
        <v>0.16</v>
      </c>
      <c r="K874" s="43">
        <v>0.1212</v>
      </c>
      <c r="L874" s="43">
        <v>0.4</v>
      </c>
      <c r="M874" s="43">
        <v>0.4627</v>
      </c>
      <c r="N874" s="43">
        <v>1</v>
      </c>
      <c r="O874" s="43">
        <v>100</v>
      </c>
      <c r="P874" s="44">
        <v>101</v>
      </c>
    </row>
    <row r="875" spans="1:16">
      <c r="A875" s="45">
        <v>874</v>
      </c>
      <c r="B875" s="46">
        <v>40582</v>
      </c>
      <c r="C875" s="47">
        <v>1</v>
      </c>
      <c r="D875" s="47">
        <v>0</v>
      </c>
      <c r="E875" s="47">
        <v>2</v>
      </c>
      <c r="F875" s="47">
        <v>20</v>
      </c>
      <c r="G875" s="47" t="b">
        <v>0</v>
      </c>
      <c r="H875" s="47">
        <v>2</v>
      </c>
      <c r="I875" s="47">
        <v>1</v>
      </c>
      <c r="J875" s="47">
        <v>0.16</v>
      </c>
      <c r="K875" s="47">
        <v>0.13639999999999999</v>
      </c>
      <c r="L875" s="47">
        <v>0.4</v>
      </c>
      <c r="M875" s="47">
        <v>0.32840000000000003</v>
      </c>
      <c r="N875" s="47">
        <v>3</v>
      </c>
      <c r="O875" s="47">
        <v>53</v>
      </c>
      <c r="P875" s="48">
        <v>56</v>
      </c>
    </row>
    <row r="876" spans="1:16">
      <c r="A876" s="41">
        <v>875</v>
      </c>
      <c r="B876" s="42">
        <v>40582</v>
      </c>
      <c r="C876" s="43">
        <v>1</v>
      </c>
      <c r="D876" s="43">
        <v>0</v>
      </c>
      <c r="E876" s="43">
        <v>2</v>
      </c>
      <c r="F876" s="43">
        <v>21</v>
      </c>
      <c r="G876" s="43" t="b">
        <v>0</v>
      </c>
      <c r="H876" s="43">
        <v>2</v>
      </c>
      <c r="I876" s="43">
        <v>1</v>
      </c>
      <c r="J876" s="43">
        <v>0.14000000000000001</v>
      </c>
      <c r="K876" s="43">
        <v>0.1061</v>
      </c>
      <c r="L876" s="43">
        <v>0.33</v>
      </c>
      <c r="M876" s="43">
        <v>0.4627</v>
      </c>
      <c r="N876" s="43">
        <v>8</v>
      </c>
      <c r="O876" s="43">
        <v>46</v>
      </c>
      <c r="P876" s="44">
        <v>54</v>
      </c>
    </row>
    <row r="877" spans="1:16">
      <c r="A877" s="45">
        <v>876</v>
      </c>
      <c r="B877" s="46">
        <v>40582</v>
      </c>
      <c r="C877" s="47">
        <v>1</v>
      </c>
      <c r="D877" s="47">
        <v>0</v>
      </c>
      <c r="E877" s="47">
        <v>2</v>
      </c>
      <c r="F877" s="47">
        <v>22</v>
      </c>
      <c r="G877" s="47" t="b">
        <v>0</v>
      </c>
      <c r="H877" s="47">
        <v>2</v>
      </c>
      <c r="I877" s="47">
        <v>1</v>
      </c>
      <c r="J877" s="47">
        <v>0.12</v>
      </c>
      <c r="K877" s="47">
        <v>0.1061</v>
      </c>
      <c r="L877" s="47">
        <v>0.33</v>
      </c>
      <c r="M877" s="47">
        <v>0.35820000000000002</v>
      </c>
      <c r="N877" s="47">
        <v>0</v>
      </c>
      <c r="O877" s="47">
        <v>29</v>
      </c>
      <c r="P877" s="48">
        <v>29</v>
      </c>
    </row>
    <row r="878" spans="1:16">
      <c r="A878" s="41">
        <v>877</v>
      </c>
      <c r="B878" s="42">
        <v>40582</v>
      </c>
      <c r="C878" s="43">
        <v>1</v>
      </c>
      <c r="D878" s="43">
        <v>0</v>
      </c>
      <c r="E878" s="43">
        <v>2</v>
      </c>
      <c r="F878" s="43">
        <v>23</v>
      </c>
      <c r="G878" s="43" t="b">
        <v>0</v>
      </c>
      <c r="H878" s="43">
        <v>2</v>
      </c>
      <c r="I878" s="43">
        <v>1</v>
      </c>
      <c r="J878" s="43">
        <v>0.12</v>
      </c>
      <c r="K878" s="43">
        <v>0.1061</v>
      </c>
      <c r="L878" s="43">
        <v>0.33</v>
      </c>
      <c r="M878" s="43">
        <v>0.32840000000000003</v>
      </c>
      <c r="N878" s="43">
        <v>3</v>
      </c>
      <c r="O878" s="43">
        <v>9</v>
      </c>
      <c r="P878" s="44">
        <v>12</v>
      </c>
    </row>
    <row r="879" spans="1:16">
      <c r="A879" s="45">
        <v>878</v>
      </c>
      <c r="B879" s="46">
        <v>40583</v>
      </c>
      <c r="C879" s="47">
        <v>1</v>
      </c>
      <c r="D879" s="47">
        <v>0</v>
      </c>
      <c r="E879" s="47">
        <v>2</v>
      </c>
      <c r="F879" s="47">
        <v>0</v>
      </c>
      <c r="G879" s="47" t="b">
        <v>0</v>
      </c>
      <c r="H879" s="47">
        <v>3</v>
      </c>
      <c r="I879" s="47">
        <v>1</v>
      </c>
      <c r="J879" s="47">
        <v>0.1</v>
      </c>
      <c r="K879" s="47">
        <v>7.5800000000000006E-2</v>
      </c>
      <c r="L879" s="47">
        <v>0.36</v>
      </c>
      <c r="M879" s="47">
        <v>0.35820000000000002</v>
      </c>
      <c r="N879" s="47">
        <v>0</v>
      </c>
      <c r="O879" s="47">
        <v>17</v>
      </c>
      <c r="P879" s="48">
        <v>17</v>
      </c>
    </row>
    <row r="880" spans="1:16">
      <c r="A880" s="41">
        <v>879</v>
      </c>
      <c r="B880" s="42">
        <v>40583</v>
      </c>
      <c r="C880" s="43">
        <v>1</v>
      </c>
      <c r="D880" s="43">
        <v>0</v>
      </c>
      <c r="E880" s="43">
        <v>2</v>
      </c>
      <c r="F880" s="43">
        <v>1</v>
      </c>
      <c r="G880" s="43" t="b">
        <v>0</v>
      </c>
      <c r="H880" s="43">
        <v>3</v>
      </c>
      <c r="I880" s="43">
        <v>1</v>
      </c>
      <c r="J880" s="43">
        <v>0.1</v>
      </c>
      <c r="K880" s="43">
        <v>0.1061</v>
      </c>
      <c r="L880" s="43">
        <v>0.36</v>
      </c>
      <c r="M880" s="43">
        <v>0.22389999999999999</v>
      </c>
      <c r="N880" s="43">
        <v>0</v>
      </c>
      <c r="O880" s="43">
        <v>7</v>
      </c>
      <c r="P880" s="44">
        <v>7</v>
      </c>
    </row>
    <row r="881" spans="1:16">
      <c r="A881" s="45">
        <v>880</v>
      </c>
      <c r="B881" s="46">
        <v>40583</v>
      </c>
      <c r="C881" s="47">
        <v>1</v>
      </c>
      <c r="D881" s="47">
        <v>0</v>
      </c>
      <c r="E881" s="47">
        <v>2</v>
      </c>
      <c r="F881" s="47">
        <v>2</v>
      </c>
      <c r="G881" s="47" t="b">
        <v>0</v>
      </c>
      <c r="H881" s="47">
        <v>3</v>
      </c>
      <c r="I881" s="47">
        <v>1</v>
      </c>
      <c r="J881" s="47">
        <v>0.08</v>
      </c>
      <c r="K881" s="47">
        <v>7.5800000000000006E-2</v>
      </c>
      <c r="L881" s="47">
        <v>0.38</v>
      </c>
      <c r="M881" s="47">
        <v>0.28360000000000002</v>
      </c>
      <c r="N881" s="47">
        <v>1</v>
      </c>
      <c r="O881" s="47">
        <v>2</v>
      </c>
      <c r="P881" s="48">
        <v>3</v>
      </c>
    </row>
    <row r="882" spans="1:16">
      <c r="A882" s="41">
        <v>881</v>
      </c>
      <c r="B882" s="42">
        <v>40583</v>
      </c>
      <c r="C882" s="43">
        <v>1</v>
      </c>
      <c r="D882" s="43">
        <v>0</v>
      </c>
      <c r="E882" s="43">
        <v>2</v>
      </c>
      <c r="F882" s="43">
        <v>3</v>
      </c>
      <c r="G882" s="43" t="b">
        <v>0</v>
      </c>
      <c r="H882" s="43">
        <v>3</v>
      </c>
      <c r="I882" s="43">
        <v>1</v>
      </c>
      <c r="J882" s="43">
        <v>0.06</v>
      </c>
      <c r="K882" s="43">
        <v>7.5800000000000006E-2</v>
      </c>
      <c r="L882" s="43">
        <v>0.45</v>
      </c>
      <c r="M882" s="43">
        <v>0.1343</v>
      </c>
      <c r="N882" s="43">
        <v>0</v>
      </c>
      <c r="O882" s="43">
        <v>2</v>
      </c>
      <c r="P882" s="44">
        <v>2</v>
      </c>
    </row>
    <row r="883" spans="1:16">
      <c r="A883" s="45">
        <v>882</v>
      </c>
      <c r="B883" s="46">
        <v>40583</v>
      </c>
      <c r="C883" s="47">
        <v>1</v>
      </c>
      <c r="D883" s="47">
        <v>0</v>
      </c>
      <c r="E883" s="47">
        <v>2</v>
      </c>
      <c r="F883" s="47">
        <v>5</v>
      </c>
      <c r="G883" s="47" t="b">
        <v>0</v>
      </c>
      <c r="H883" s="47">
        <v>3</v>
      </c>
      <c r="I883" s="47">
        <v>1</v>
      </c>
      <c r="J883" s="47">
        <v>0.06</v>
      </c>
      <c r="K883" s="47">
        <v>0.1061</v>
      </c>
      <c r="L883" s="47">
        <v>0.45</v>
      </c>
      <c r="M883" s="47">
        <v>0.1045</v>
      </c>
      <c r="N883" s="47">
        <v>0</v>
      </c>
      <c r="O883" s="47">
        <v>7</v>
      </c>
      <c r="P883" s="48">
        <v>7</v>
      </c>
    </row>
    <row r="884" spans="1:16">
      <c r="A884" s="41">
        <v>883</v>
      </c>
      <c r="B884" s="42">
        <v>40583</v>
      </c>
      <c r="C884" s="43">
        <v>1</v>
      </c>
      <c r="D884" s="43">
        <v>0</v>
      </c>
      <c r="E884" s="43">
        <v>2</v>
      </c>
      <c r="F884" s="43">
        <v>6</v>
      </c>
      <c r="G884" s="43" t="b">
        <v>0</v>
      </c>
      <c r="H884" s="43">
        <v>3</v>
      </c>
      <c r="I884" s="43">
        <v>1</v>
      </c>
      <c r="J884" s="43">
        <v>0.06</v>
      </c>
      <c r="K884" s="43">
        <v>0.1515</v>
      </c>
      <c r="L884" s="43">
        <v>0.45</v>
      </c>
      <c r="M884" s="43">
        <v>0</v>
      </c>
      <c r="N884" s="43">
        <v>0</v>
      </c>
      <c r="O884" s="43">
        <v>43</v>
      </c>
      <c r="P884" s="44">
        <v>43</v>
      </c>
    </row>
    <row r="885" spans="1:16">
      <c r="A885" s="45">
        <v>884</v>
      </c>
      <c r="B885" s="46">
        <v>40583</v>
      </c>
      <c r="C885" s="47">
        <v>1</v>
      </c>
      <c r="D885" s="47">
        <v>0</v>
      </c>
      <c r="E885" s="47">
        <v>2</v>
      </c>
      <c r="F885" s="47">
        <v>7</v>
      </c>
      <c r="G885" s="47" t="b">
        <v>0</v>
      </c>
      <c r="H885" s="47">
        <v>3</v>
      </c>
      <c r="I885" s="47">
        <v>1</v>
      </c>
      <c r="J885" s="47">
        <v>0.06</v>
      </c>
      <c r="K885" s="47">
        <v>0.1061</v>
      </c>
      <c r="L885" s="47">
        <v>0.49</v>
      </c>
      <c r="M885" s="47">
        <v>0.1045</v>
      </c>
      <c r="N885" s="47">
        <v>4</v>
      </c>
      <c r="O885" s="47">
        <v>95</v>
      </c>
      <c r="P885" s="48">
        <v>99</v>
      </c>
    </row>
    <row r="886" spans="1:16">
      <c r="A886" s="41">
        <v>885</v>
      </c>
      <c r="B886" s="42">
        <v>40583</v>
      </c>
      <c r="C886" s="43">
        <v>1</v>
      </c>
      <c r="D886" s="43">
        <v>0</v>
      </c>
      <c r="E886" s="43">
        <v>2</v>
      </c>
      <c r="F886" s="43">
        <v>8</v>
      </c>
      <c r="G886" s="43" t="b">
        <v>0</v>
      </c>
      <c r="H886" s="43">
        <v>3</v>
      </c>
      <c r="I886" s="43">
        <v>1</v>
      </c>
      <c r="J886" s="43">
        <v>0.1</v>
      </c>
      <c r="K886" s="43">
        <v>0.13639999999999999</v>
      </c>
      <c r="L886" s="43">
        <v>0.42</v>
      </c>
      <c r="M886" s="43">
        <v>0</v>
      </c>
      <c r="N886" s="43">
        <v>1</v>
      </c>
      <c r="O886" s="43">
        <v>198</v>
      </c>
      <c r="P886" s="44">
        <v>199</v>
      </c>
    </row>
    <row r="887" spans="1:16">
      <c r="A887" s="45">
        <v>886</v>
      </c>
      <c r="B887" s="46">
        <v>40583</v>
      </c>
      <c r="C887" s="47">
        <v>1</v>
      </c>
      <c r="D887" s="47">
        <v>0</v>
      </c>
      <c r="E887" s="47">
        <v>2</v>
      </c>
      <c r="F887" s="47">
        <v>9</v>
      </c>
      <c r="G887" s="47" t="b">
        <v>0</v>
      </c>
      <c r="H887" s="47">
        <v>3</v>
      </c>
      <c r="I887" s="47">
        <v>1</v>
      </c>
      <c r="J887" s="47">
        <v>0.12</v>
      </c>
      <c r="K887" s="47">
        <v>0.13639999999999999</v>
      </c>
      <c r="L887" s="47">
        <v>0.39</v>
      </c>
      <c r="M887" s="47">
        <v>0.16420000000000001</v>
      </c>
      <c r="N887" s="47">
        <v>4</v>
      </c>
      <c r="O887" s="47">
        <v>119</v>
      </c>
      <c r="P887" s="48">
        <v>123</v>
      </c>
    </row>
    <row r="888" spans="1:16">
      <c r="A888" s="41">
        <v>887</v>
      </c>
      <c r="B888" s="42">
        <v>40583</v>
      </c>
      <c r="C888" s="43">
        <v>1</v>
      </c>
      <c r="D888" s="43">
        <v>0</v>
      </c>
      <c r="E888" s="43">
        <v>2</v>
      </c>
      <c r="F888" s="43">
        <v>10</v>
      </c>
      <c r="G888" s="43" t="b">
        <v>0</v>
      </c>
      <c r="H888" s="43">
        <v>3</v>
      </c>
      <c r="I888" s="43">
        <v>1</v>
      </c>
      <c r="J888" s="43">
        <v>0.14000000000000001</v>
      </c>
      <c r="K888" s="43">
        <v>0.18179999999999999</v>
      </c>
      <c r="L888" s="43">
        <v>0.36</v>
      </c>
      <c r="M888" s="43">
        <v>0</v>
      </c>
      <c r="N888" s="43">
        <v>8</v>
      </c>
      <c r="O888" s="43">
        <v>51</v>
      </c>
      <c r="P888" s="44">
        <v>59</v>
      </c>
    </row>
    <row r="889" spans="1:16">
      <c r="A889" s="45">
        <v>888</v>
      </c>
      <c r="B889" s="46">
        <v>40583</v>
      </c>
      <c r="C889" s="47">
        <v>1</v>
      </c>
      <c r="D889" s="47">
        <v>0</v>
      </c>
      <c r="E889" s="47">
        <v>2</v>
      </c>
      <c r="F889" s="47">
        <v>11</v>
      </c>
      <c r="G889" s="47" t="b">
        <v>0</v>
      </c>
      <c r="H889" s="47">
        <v>3</v>
      </c>
      <c r="I889" s="47">
        <v>2</v>
      </c>
      <c r="J889" s="47">
        <v>0.14000000000000001</v>
      </c>
      <c r="K889" s="47">
        <v>0.1515</v>
      </c>
      <c r="L889" s="47">
        <v>0.43</v>
      </c>
      <c r="M889" s="47">
        <v>0.16420000000000001</v>
      </c>
      <c r="N889" s="47">
        <v>1</v>
      </c>
      <c r="O889" s="47">
        <v>40</v>
      </c>
      <c r="P889" s="48">
        <v>41</v>
      </c>
    </row>
    <row r="890" spans="1:16">
      <c r="A890" s="41">
        <v>889</v>
      </c>
      <c r="B890" s="42">
        <v>40583</v>
      </c>
      <c r="C890" s="43">
        <v>1</v>
      </c>
      <c r="D890" s="43">
        <v>0</v>
      </c>
      <c r="E890" s="43">
        <v>2</v>
      </c>
      <c r="F890" s="43">
        <v>12</v>
      </c>
      <c r="G890" s="43" t="b">
        <v>0</v>
      </c>
      <c r="H890" s="43">
        <v>3</v>
      </c>
      <c r="I890" s="43">
        <v>2</v>
      </c>
      <c r="J890" s="43">
        <v>0.18</v>
      </c>
      <c r="K890" s="43">
        <v>0.18179999999999999</v>
      </c>
      <c r="L890" s="43">
        <v>0.4</v>
      </c>
      <c r="M890" s="43">
        <v>0.22389999999999999</v>
      </c>
      <c r="N890" s="43">
        <v>4</v>
      </c>
      <c r="O890" s="43">
        <v>57</v>
      </c>
      <c r="P890" s="44">
        <v>61</v>
      </c>
    </row>
    <row r="891" spans="1:16">
      <c r="A891" s="45">
        <v>890</v>
      </c>
      <c r="B891" s="46">
        <v>40583</v>
      </c>
      <c r="C891" s="47">
        <v>1</v>
      </c>
      <c r="D891" s="47">
        <v>0</v>
      </c>
      <c r="E891" s="47">
        <v>2</v>
      </c>
      <c r="F891" s="47">
        <v>13</v>
      </c>
      <c r="G891" s="47" t="b">
        <v>0</v>
      </c>
      <c r="H891" s="47">
        <v>3</v>
      </c>
      <c r="I891" s="47">
        <v>1</v>
      </c>
      <c r="J891" s="47">
        <v>0.18</v>
      </c>
      <c r="K891" s="47">
        <v>0.16669999999999999</v>
      </c>
      <c r="L891" s="47">
        <v>0.4</v>
      </c>
      <c r="M891" s="47">
        <v>0.25369999999999998</v>
      </c>
      <c r="N891" s="47">
        <v>2</v>
      </c>
      <c r="O891" s="47">
        <v>67</v>
      </c>
      <c r="P891" s="48">
        <v>69</v>
      </c>
    </row>
    <row r="892" spans="1:16">
      <c r="A892" s="41">
        <v>891</v>
      </c>
      <c r="B892" s="42">
        <v>40583</v>
      </c>
      <c r="C892" s="43">
        <v>1</v>
      </c>
      <c r="D892" s="43">
        <v>0</v>
      </c>
      <c r="E892" s="43">
        <v>2</v>
      </c>
      <c r="F892" s="43">
        <v>14</v>
      </c>
      <c r="G892" s="43" t="b">
        <v>0</v>
      </c>
      <c r="H892" s="43">
        <v>3</v>
      </c>
      <c r="I892" s="43">
        <v>1</v>
      </c>
      <c r="J892" s="43">
        <v>0.2</v>
      </c>
      <c r="K892" s="43">
        <v>0.18179999999999999</v>
      </c>
      <c r="L892" s="43">
        <v>0.34</v>
      </c>
      <c r="M892" s="43">
        <v>0.29849999999999999</v>
      </c>
      <c r="N892" s="43">
        <v>2</v>
      </c>
      <c r="O892" s="43">
        <v>56</v>
      </c>
      <c r="P892" s="44">
        <v>58</v>
      </c>
    </row>
    <row r="893" spans="1:16">
      <c r="A893" s="45">
        <v>892</v>
      </c>
      <c r="B893" s="46">
        <v>40583</v>
      </c>
      <c r="C893" s="47">
        <v>1</v>
      </c>
      <c r="D893" s="47">
        <v>0</v>
      </c>
      <c r="E893" s="47">
        <v>2</v>
      </c>
      <c r="F893" s="47">
        <v>15</v>
      </c>
      <c r="G893" s="47" t="b">
        <v>0</v>
      </c>
      <c r="H893" s="47">
        <v>3</v>
      </c>
      <c r="I893" s="47">
        <v>2</v>
      </c>
      <c r="J893" s="47">
        <v>0.2</v>
      </c>
      <c r="K893" s="47">
        <v>0.18179999999999999</v>
      </c>
      <c r="L893" s="47">
        <v>0.34</v>
      </c>
      <c r="M893" s="47">
        <v>0.28360000000000002</v>
      </c>
      <c r="N893" s="47">
        <v>3</v>
      </c>
      <c r="O893" s="47">
        <v>61</v>
      </c>
      <c r="P893" s="48">
        <v>64</v>
      </c>
    </row>
    <row r="894" spans="1:16">
      <c r="A894" s="41">
        <v>893</v>
      </c>
      <c r="B894" s="42">
        <v>40583</v>
      </c>
      <c r="C894" s="43">
        <v>1</v>
      </c>
      <c r="D894" s="43">
        <v>0</v>
      </c>
      <c r="E894" s="43">
        <v>2</v>
      </c>
      <c r="F894" s="43">
        <v>16</v>
      </c>
      <c r="G894" s="43" t="b">
        <v>0</v>
      </c>
      <c r="H894" s="43">
        <v>3</v>
      </c>
      <c r="I894" s="43">
        <v>2</v>
      </c>
      <c r="J894" s="43">
        <v>0.2</v>
      </c>
      <c r="K894" s="43">
        <v>0.19700000000000001</v>
      </c>
      <c r="L894" s="43">
        <v>0.37</v>
      </c>
      <c r="M894" s="43">
        <v>0.25369999999999998</v>
      </c>
      <c r="N894" s="43">
        <v>7</v>
      </c>
      <c r="O894" s="43">
        <v>72</v>
      </c>
      <c r="P894" s="44">
        <v>79</v>
      </c>
    </row>
    <row r="895" spans="1:16">
      <c r="A895" s="45">
        <v>894</v>
      </c>
      <c r="B895" s="46">
        <v>40583</v>
      </c>
      <c r="C895" s="47">
        <v>1</v>
      </c>
      <c r="D895" s="47">
        <v>0</v>
      </c>
      <c r="E895" s="47">
        <v>2</v>
      </c>
      <c r="F895" s="47">
        <v>17</v>
      </c>
      <c r="G895" s="47" t="b">
        <v>0</v>
      </c>
      <c r="H895" s="47">
        <v>3</v>
      </c>
      <c r="I895" s="47">
        <v>2</v>
      </c>
      <c r="J895" s="47">
        <v>0.2</v>
      </c>
      <c r="K895" s="47">
        <v>0.19700000000000001</v>
      </c>
      <c r="L895" s="47">
        <v>0.34</v>
      </c>
      <c r="M895" s="47">
        <v>0.25369999999999998</v>
      </c>
      <c r="N895" s="47">
        <v>9</v>
      </c>
      <c r="O895" s="47">
        <v>157</v>
      </c>
      <c r="P895" s="48">
        <v>166</v>
      </c>
    </row>
    <row r="896" spans="1:16">
      <c r="A896" s="41">
        <v>895</v>
      </c>
      <c r="B896" s="42">
        <v>40583</v>
      </c>
      <c r="C896" s="43">
        <v>1</v>
      </c>
      <c r="D896" s="43">
        <v>0</v>
      </c>
      <c r="E896" s="43">
        <v>2</v>
      </c>
      <c r="F896" s="43">
        <v>18</v>
      </c>
      <c r="G896" s="43" t="b">
        <v>0</v>
      </c>
      <c r="H896" s="43">
        <v>3</v>
      </c>
      <c r="I896" s="43">
        <v>2</v>
      </c>
      <c r="J896" s="43">
        <v>0.18</v>
      </c>
      <c r="K896" s="43">
        <v>0.16669999999999999</v>
      </c>
      <c r="L896" s="43">
        <v>0.47</v>
      </c>
      <c r="M896" s="43">
        <v>0.29849999999999999</v>
      </c>
      <c r="N896" s="43">
        <v>2</v>
      </c>
      <c r="O896" s="43">
        <v>168</v>
      </c>
      <c r="P896" s="44">
        <v>170</v>
      </c>
    </row>
    <row r="897" spans="1:16">
      <c r="A897" s="45">
        <v>896</v>
      </c>
      <c r="B897" s="46">
        <v>40583</v>
      </c>
      <c r="C897" s="47">
        <v>1</v>
      </c>
      <c r="D897" s="47">
        <v>0</v>
      </c>
      <c r="E897" s="47">
        <v>2</v>
      </c>
      <c r="F897" s="47">
        <v>19</v>
      </c>
      <c r="G897" s="47" t="b">
        <v>0</v>
      </c>
      <c r="H897" s="47">
        <v>3</v>
      </c>
      <c r="I897" s="47">
        <v>3</v>
      </c>
      <c r="J897" s="47">
        <v>0.14000000000000001</v>
      </c>
      <c r="K897" s="47">
        <v>0.1212</v>
      </c>
      <c r="L897" s="47">
        <v>0.86</v>
      </c>
      <c r="M897" s="47">
        <v>0.25369999999999998</v>
      </c>
      <c r="N897" s="47">
        <v>1</v>
      </c>
      <c r="O897" s="47">
        <v>87</v>
      </c>
      <c r="P897" s="48">
        <v>88</v>
      </c>
    </row>
    <row r="898" spans="1:16">
      <c r="A898" s="41">
        <v>897</v>
      </c>
      <c r="B898" s="42">
        <v>40583</v>
      </c>
      <c r="C898" s="43">
        <v>1</v>
      </c>
      <c r="D898" s="43">
        <v>0</v>
      </c>
      <c r="E898" s="43">
        <v>2</v>
      </c>
      <c r="F898" s="43">
        <v>20</v>
      </c>
      <c r="G898" s="43" t="b">
        <v>0</v>
      </c>
      <c r="H898" s="43">
        <v>3</v>
      </c>
      <c r="I898" s="43">
        <v>3</v>
      </c>
      <c r="J898" s="43">
        <v>0.14000000000000001</v>
      </c>
      <c r="K898" s="43">
        <v>0.1515</v>
      </c>
      <c r="L898" s="43">
        <v>0.86</v>
      </c>
      <c r="M898" s="43">
        <v>0.16420000000000001</v>
      </c>
      <c r="N898" s="43">
        <v>0</v>
      </c>
      <c r="O898" s="43">
        <v>84</v>
      </c>
      <c r="P898" s="44">
        <v>84</v>
      </c>
    </row>
    <row r="899" spans="1:16">
      <c r="A899" s="45">
        <v>898</v>
      </c>
      <c r="B899" s="46">
        <v>40583</v>
      </c>
      <c r="C899" s="47">
        <v>1</v>
      </c>
      <c r="D899" s="47">
        <v>0</v>
      </c>
      <c r="E899" s="47">
        <v>2</v>
      </c>
      <c r="F899" s="47">
        <v>21</v>
      </c>
      <c r="G899" s="47" t="b">
        <v>0</v>
      </c>
      <c r="H899" s="47">
        <v>3</v>
      </c>
      <c r="I899" s="47">
        <v>2</v>
      </c>
      <c r="J899" s="47">
        <v>0.14000000000000001</v>
      </c>
      <c r="K899" s="47">
        <v>0.1515</v>
      </c>
      <c r="L899" s="47">
        <v>0.86</v>
      </c>
      <c r="M899" s="47">
        <v>0.16420000000000001</v>
      </c>
      <c r="N899" s="47">
        <v>0</v>
      </c>
      <c r="O899" s="47">
        <v>83</v>
      </c>
      <c r="P899" s="48">
        <v>83</v>
      </c>
    </row>
    <row r="900" spans="1:16">
      <c r="A900" s="41">
        <v>899</v>
      </c>
      <c r="B900" s="42">
        <v>40583</v>
      </c>
      <c r="C900" s="43">
        <v>1</v>
      </c>
      <c r="D900" s="43">
        <v>0</v>
      </c>
      <c r="E900" s="43">
        <v>2</v>
      </c>
      <c r="F900" s="43">
        <v>22</v>
      </c>
      <c r="G900" s="43" t="b">
        <v>0</v>
      </c>
      <c r="H900" s="43">
        <v>3</v>
      </c>
      <c r="I900" s="43">
        <v>3</v>
      </c>
      <c r="J900" s="43">
        <v>0.16</v>
      </c>
      <c r="K900" s="43">
        <v>0.16669999999999999</v>
      </c>
      <c r="L900" s="43">
        <v>0.8</v>
      </c>
      <c r="M900" s="43">
        <v>0.16420000000000001</v>
      </c>
      <c r="N900" s="43">
        <v>4</v>
      </c>
      <c r="O900" s="43">
        <v>42</v>
      </c>
      <c r="P900" s="44">
        <v>46</v>
      </c>
    </row>
    <row r="901" spans="1:16">
      <c r="A901" s="45">
        <v>900</v>
      </c>
      <c r="B901" s="46">
        <v>40583</v>
      </c>
      <c r="C901" s="47">
        <v>1</v>
      </c>
      <c r="D901" s="47">
        <v>0</v>
      </c>
      <c r="E901" s="47">
        <v>2</v>
      </c>
      <c r="F901" s="47">
        <v>23</v>
      </c>
      <c r="G901" s="47" t="b">
        <v>0</v>
      </c>
      <c r="H901" s="47">
        <v>3</v>
      </c>
      <c r="I901" s="47">
        <v>3</v>
      </c>
      <c r="J901" s="47">
        <v>0.16</v>
      </c>
      <c r="K901" s="47">
        <v>0.1515</v>
      </c>
      <c r="L901" s="47">
        <v>0.8</v>
      </c>
      <c r="M901" s="47">
        <v>0.19400000000000001</v>
      </c>
      <c r="N901" s="47">
        <v>0</v>
      </c>
      <c r="O901" s="47">
        <v>37</v>
      </c>
      <c r="P901" s="48">
        <v>37</v>
      </c>
    </row>
    <row r="902" spans="1:16">
      <c r="A902" s="41">
        <v>901</v>
      </c>
      <c r="B902" s="42">
        <v>40584</v>
      </c>
      <c r="C902" s="43">
        <v>1</v>
      </c>
      <c r="D902" s="43">
        <v>0</v>
      </c>
      <c r="E902" s="43">
        <v>2</v>
      </c>
      <c r="F902" s="43">
        <v>0</v>
      </c>
      <c r="G902" s="43" t="b">
        <v>0</v>
      </c>
      <c r="H902" s="43">
        <v>4</v>
      </c>
      <c r="I902" s="43">
        <v>3</v>
      </c>
      <c r="J902" s="43">
        <v>0.14000000000000001</v>
      </c>
      <c r="K902" s="43">
        <v>0.13639999999999999</v>
      </c>
      <c r="L902" s="43">
        <v>0.86</v>
      </c>
      <c r="M902" s="43">
        <v>0.19400000000000001</v>
      </c>
      <c r="N902" s="43">
        <v>0</v>
      </c>
      <c r="O902" s="43">
        <v>16</v>
      </c>
      <c r="P902" s="44">
        <v>16</v>
      </c>
    </row>
    <row r="903" spans="1:16">
      <c r="A903" s="45">
        <v>902</v>
      </c>
      <c r="B903" s="46">
        <v>40584</v>
      </c>
      <c r="C903" s="47">
        <v>1</v>
      </c>
      <c r="D903" s="47">
        <v>0</v>
      </c>
      <c r="E903" s="47">
        <v>2</v>
      </c>
      <c r="F903" s="47">
        <v>1</v>
      </c>
      <c r="G903" s="47" t="b">
        <v>0</v>
      </c>
      <c r="H903" s="47">
        <v>4</v>
      </c>
      <c r="I903" s="47">
        <v>3</v>
      </c>
      <c r="J903" s="47">
        <v>0.14000000000000001</v>
      </c>
      <c r="K903" s="47">
        <v>0.1515</v>
      </c>
      <c r="L903" s="47">
        <v>0.8</v>
      </c>
      <c r="M903" s="47">
        <v>0.1343</v>
      </c>
      <c r="N903" s="47">
        <v>0</v>
      </c>
      <c r="O903" s="47">
        <v>7</v>
      </c>
      <c r="P903" s="48">
        <v>7</v>
      </c>
    </row>
    <row r="904" spans="1:16">
      <c r="A904" s="41">
        <v>903</v>
      </c>
      <c r="B904" s="42">
        <v>40584</v>
      </c>
      <c r="C904" s="43">
        <v>1</v>
      </c>
      <c r="D904" s="43">
        <v>0</v>
      </c>
      <c r="E904" s="43">
        <v>2</v>
      </c>
      <c r="F904" s="43">
        <v>2</v>
      </c>
      <c r="G904" s="43" t="b">
        <v>0</v>
      </c>
      <c r="H904" s="43">
        <v>4</v>
      </c>
      <c r="I904" s="43">
        <v>3</v>
      </c>
      <c r="J904" s="43">
        <v>0.14000000000000001</v>
      </c>
      <c r="K904" s="43">
        <v>0.1515</v>
      </c>
      <c r="L904" s="43">
        <v>0.8</v>
      </c>
      <c r="M904" s="43">
        <v>0.1343</v>
      </c>
      <c r="N904" s="43">
        <v>0</v>
      </c>
      <c r="O904" s="43">
        <v>3</v>
      </c>
      <c r="P904" s="44">
        <v>3</v>
      </c>
    </row>
    <row r="905" spans="1:16">
      <c r="A905" s="45">
        <v>904</v>
      </c>
      <c r="B905" s="46">
        <v>40584</v>
      </c>
      <c r="C905" s="47">
        <v>1</v>
      </c>
      <c r="D905" s="47">
        <v>0</v>
      </c>
      <c r="E905" s="47">
        <v>2</v>
      </c>
      <c r="F905" s="47">
        <v>4</v>
      </c>
      <c r="G905" s="47" t="b">
        <v>0</v>
      </c>
      <c r="H905" s="47">
        <v>4</v>
      </c>
      <c r="I905" s="47">
        <v>2</v>
      </c>
      <c r="J905" s="47">
        <v>0.14000000000000001</v>
      </c>
      <c r="K905" s="47">
        <v>0.13639999999999999</v>
      </c>
      <c r="L905" s="47">
        <v>0.59</v>
      </c>
      <c r="M905" s="47">
        <v>0.22389999999999999</v>
      </c>
      <c r="N905" s="47">
        <v>0</v>
      </c>
      <c r="O905" s="47">
        <v>1</v>
      </c>
      <c r="P905" s="48">
        <v>1</v>
      </c>
    </row>
    <row r="906" spans="1:16">
      <c r="A906" s="41">
        <v>905</v>
      </c>
      <c r="B906" s="42">
        <v>40584</v>
      </c>
      <c r="C906" s="43">
        <v>1</v>
      </c>
      <c r="D906" s="43">
        <v>0</v>
      </c>
      <c r="E906" s="43">
        <v>2</v>
      </c>
      <c r="F906" s="43">
        <v>5</v>
      </c>
      <c r="G906" s="43" t="b">
        <v>0</v>
      </c>
      <c r="H906" s="43">
        <v>4</v>
      </c>
      <c r="I906" s="43">
        <v>2</v>
      </c>
      <c r="J906" s="43">
        <v>0.12</v>
      </c>
      <c r="K906" s="43">
        <v>0.1212</v>
      </c>
      <c r="L906" s="43">
        <v>0.5</v>
      </c>
      <c r="M906" s="43">
        <v>0.22389999999999999</v>
      </c>
      <c r="N906" s="43">
        <v>0</v>
      </c>
      <c r="O906" s="43">
        <v>6</v>
      </c>
      <c r="P906" s="44">
        <v>6</v>
      </c>
    </row>
    <row r="907" spans="1:16">
      <c r="A907" s="45">
        <v>906</v>
      </c>
      <c r="B907" s="46">
        <v>40584</v>
      </c>
      <c r="C907" s="47">
        <v>1</v>
      </c>
      <c r="D907" s="47">
        <v>0</v>
      </c>
      <c r="E907" s="47">
        <v>2</v>
      </c>
      <c r="F907" s="47">
        <v>6</v>
      </c>
      <c r="G907" s="47" t="b">
        <v>0</v>
      </c>
      <c r="H907" s="47">
        <v>4</v>
      </c>
      <c r="I907" s="47">
        <v>2</v>
      </c>
      <c r="J907" s="47">
        <v>0.12</v>
      </c>
      <c r="K907" s="47">
        <v>0.1212</v>
      </c>
      <c r="L907" s="47">
        <v>0.54</v>
      </c>
      <c r="M907" s="47">
        <v>0.28360000000000002</v>
      </c>
      <c r="N907" s="47">
        <v>0</v>
      </c>
      <c r="O907" s="47">
        <v>26</v>
      </c>
      <c r="P907" s="48">
        <v>26</v>
      </c>
    </row>
    <row r="908" spans="1:16">
      <c r="A908" s="41">
        <v>907</v>
      </c>
      <c r="B908" s="42">
        <v>40584</v>
      </c>
      <c r="C908" s="43">
        <v>1</v>
      </c>
      <c r="D908" s="43">
        <v>0</v>
      </c>
      <c r="E908" s="43">
        <v>2</v>
      </c>
      <c r="F908" s="43">
        <v>7</v>
      </c>
      <c r="G908" s="43" t="b">
        <v>0</v>
      </c>
      <c r="H908" s="43">
        <v>4</v>
      </c>
      <c r="I908" s="43">
        <v>1</v>
      </c>
      <c r="J908" s="43">
        <v>0.1</v>
      </c>
      <c r="K908" s="43">
        <v>7.5800000000000006E-2</v>
      </c>
      <c r="L908" s="43">
        <v>0.5</v>
      </c>
      <c r="M908" s="43">
        <v>0.41789999999999999</v>
      </c>
      <c r="N908" s="43">
        <v>0</v>
      </c>
      <c r="O908" s="43">
        <v>99</v>
      </c>
      <c r="P908" s="44">
        <v>99</v>
      </c>
    </row>
    <row r="909" spans="1:16">
      <c r="A909" s="45">
        <v>908</v>
      </c>
      <c r="B909" s="46">
        <v>40584</v>
      </c>
      <c r="C909" s="47">
        <v>1</v>
      </c>
      <c r="D909" s="47">
        <v>0</v>
      </c>
      <c r="E909" s="47">
        <v>2</v>
      </c>
      <c r="F909" s="47">
        <v>8</v>
      </c>
      <c r="G909" s="47" t="b">
        <v>0</v>
      </c>
      <c r="H909" s="47">
        <v>4</v>
      </c>
      <c r="I909" s="47">
        <v>1</v>
      </c>
      <c r="J909" s="47">
        <v>0.1</v>
      </c>
      <c r="K909" s="47">
        <v>7.5800000000000006E-2</v>
      </c>
      <c r="L909" s="47">
        <v>0.49</v>
      </c>
      <c r="M909" s="47">
        <v>0.32840000000000003</v>
      </c>
      <c r="N909" s="47">
        <v>5</v>
      </c>
      <c r="O909" s="47">
        <v>173</v>
      </c>
      <c r="P909" s="48">
        <v>178</v>
      </c>
    </row>
    <row r="910" spans="1:16">
      <c r="A910" s="41">
        <v>909</v>
      </c>
      <c r="B910" s="42">
        <v>40584</v>
      </c>
      <c r="C910" s="43">
        <v>1</v>
      </c>
      <c r="D910" s="43">
        <v>0</v>
      </c>
      <c r="E910" s="43">
        <v>2</v>
      </c>
      <c r="F910" s="43">
        <v>9</v>
      </c>
      <c r="G910" s="43" t="b">
        <v>0</v>
      </c>
      <c r="H910" s="43">
        <v>4</v>
      </c>
      <c r="I910" s="43">
        <v>1</v>
      </c>
      <c r="J910" s="43">
        <v>0.12</v>
      </c>
      <c r="K910" s="43">
        <v>0.1061</v>
      </c>
      <c r="L910" s="43">
        <v>0.42</v>
      </c>
      <c r="M910" s="43">
        <v>0.35820000000000002</v>
      </c>
      <c r="N910" s="43">
        <v>1</v>
      </c>
      <c r="O910" s="43">
        <v>121</v>
      </c>
      <c r="P910" s="44">
        <v>122</v>
      </c>
    </row>
    <row r="911" spans="1:16">
      <c r="A911" s="45">
        <v>910</v>
      </c>
      <c r="B911" s="46">
        <v>40584</v>
      </c>
      <c r="C911" s="47">
        <v>1</v>
      </c>
      <c r="D911" s="47">
        <v>0</v>
      </c>
      <c r="E911" s="47">
        <v>2</v>
      </c>
      <c r="F911" s="47">
        <v>10</v>
      </c>
      <c r="G911" s="47" t="b">
        <v>0</v>
      </c>
      <c r="H911" s="47">
        <v>4</v>
      </c>
      <c r="I911" s="47">
        <v>1</v>
      </c>
      <c r="J911" s="47">
        <v>0.12</v>
      </c>
      <c r="K911" s="47">
        <v>0.1061</v>
      </c>
      <c r="L911" s="47">
        <v>0.42</v>
      </c>
      <c r="M911" s="47">
        <v>0.29849999999999999</v>
      </c>
      <c r="N911" s="47">
        <v>1</v>
      </c>
      <c r="O911" s="47">
        <v>34</v>
      </c>
      <c r="P911" s="48">
        <v>35</v>
      </c>
    </row>
    <row r="912" spans="1:16">
      <c r="A912" s="41">
        <v>911</v>
      </c>
      <c r="B912" s="42">
        <v>40584</v>
      </c>
      <c r="C912" s="43">
        <v>1</v>
      </c>
      <c r="D912" s="43">
        <v>0</v>
      </c>
      <c r="E912" s="43">
        <v>2</v>
      </c>
      <c r="F912" s="43">
        <v>11</v>
      </c>
      <c r="G912" s="43" t="b">
        <v>0</v>
      </c>
      <c r="H912" s="43">
        <v>4</v>
      </c>
      <c r="I912" s="43">
        <v>1</v>
      </c>
      <c r="J912" s="43">
        <v>0.14000000000000001</v>
      </c>
      <c r="K912" s="43">
        <v>0.1212</v>
      </c>
      <c r="L912" s="43">
        <v>0.39</v>
      </c>
      <c r="M912" s="43">
        <v>0.35820000000000002</v>
      </c>
      <c r="N912" s="43">
        <v>1</v>
      </c>
      <c r="O912" s="43">
        <v>44</v>
      </c>
      <c r="P912" s="44">
        <v>45</v>
      </c>
    </row>
    <row r="913" spans="1:16">
      <c r="A913" s="45">
        <v>912</v>
      </c>
      <c r="B913" s="46">
        <v>40584</v>
      </c>
      <c r="C913" s="47">
        <v>1</v>
      </c>
      <c r="D913" s="47">
        <v>0</v>
      </c>
      <c r="E913" s="47">
        <v>2</v>
      </c>
      <c r="F913" s="47">
        <v>12</v>
      </c>
      <c r="G913" s="47" t="b">
        <v>0</v>
      </c>
      <c r="H913" s="47">
        <v>4</v>
      </c>
      <c r="I913" s="47">
        <v>1</v>
      </c>
      <c r="J913" s="47">
        <v>0.16</v>
      </c>
      <c r="K913" s="47">
        <v>0.13639999999999999</v>
      </c>
      <c r="L913" s="47">
        <v>0.34</v>
      </c>
      <c r="M913" s="47">
        <v>0.3881</v>
      </c>
      <c r="N913" s="47">
        <v>4</v>
      </c>
      <c r="O913" s="47">
        <v>65</v>
      </c>
      <c r="P913" s="48">
        <v>69</v>
      </c>
    </row>
    <row r="914" spans="1:16">
      <c r="A914" s="41">
        <v>913</v>
      </c>
      <c r="B914" s="42">
        <v>40584</v>
      </c>
      <c r="C914" s="43">
        <v>1</v>
      </c>
      <c r="D914" s="43">
        <v>0</v>
      </c>
      <c r="E914" s="43">
        <v>2</v>
      </c>
      <c r="F914" s="43">
        <v>13</v>
      </c>
      <c r="G914" s="43" t="b">
        <v>0</v>
      </c>
      <c r="H914" s="43">
        <v>4</v>
      </c>
      <c r="I914" s="43">
        <v>1</v>
      </c>
      <c r="J914" s="43">
        <v>0.18</v>
      </c>
      <c r="K914" s="43">
        <v>0.16669999999999999</v>
      </c>
      <c r="L914" s="43">
        <v>0.28999999999999998</v>
      </c>
      <c r="M914" s="43">
        <v>0.29849999999999999</v>
      </c>
      <c r="N914" s="43">
        <v>3</v>
      </c>
      <c r="O914" s="43">
        <v>59</v>
      </c>
      <c r="P914" s="44">
        <v>62</v>
      </c>
    </row>
    <row r="915" spans="1:16">
      <c r="A915" s="45">
        <v>914</v>
      </c>
      <c r="B915" s="46">
        <v>40584</v>
      </c>
      <c r="C915" s="47">
        <v>1</v>
      </c>
      <c r="D915" s="47">
        <v>0</v>
      </c>
      <c r="E915" s="47">
        <v>2</v>
      </c>
      <c r="F915" s="47">
        <v>14</v>
      </c>
      <c r="G915" s="47" t="b">
        <v>0</v>
      </c>
      <c r="H915" s="47">
        <v>4</v>
      </c>
      <c r="I915" s="47">
        <v>1</v>
      </c>
      <c r="J915" s="47">
        <v>0.2</v>
      </c>
      <c r="K915" s="47">
        <v>0.18179999999999999</v>
      </c>
      <c r="L915" s="47">
        <v>0.27</v>
      </c>
      <c r="M915" s="47">
        <v>0.28360000000000002</v>
      </c>
      <c r="N915" s="47">
        <v>6</v>
      </c>
      <c r="O915" s="47">
        <v>42</v>
      </c>
      <c r="P915" s="48">
        <v>48</v>
      </c>
    </row>
    <row r="916" spans="1:16">
      <c r="A916" s="41">
        <v>915</v>
      </c>
      <c r="B916" s="42">
        <v>40584</v>
      </c>
      <c r="C916" s="43">
        <v>1</v>
      </c>
      <c r="D916" s="43">
        <v>0</v>
      </c>
      <c r="E916" s="43">
        <v>2</v>
      </c>
      <c r="F916" s="43">
        <v>15</v>
      </c>
      <c r="G916" s="43" t="b">
        <v>0</v>
      </c>
      <c r="H916" s="43">
        <v>4</v>
      </c>
      <c r="I916" s="43">
        <v>1</v>
      </c>
      <c r="J916" s="43">
        <v>0.2</v>
      </c>
      <c r="K916" s="43">
        <v>0.19700000000000001</v>
      </c>
      <c r="L916" s="43">
        <v>0.25</v>
      </c>
      <c r="M916" s="43">
        <v>0.25369999999999998</v>
      </c>
      <c r="N916" s="43">
        <v>0</v>
      </c>
      <c r="O916" s="43">
        <v>50</v>
      </c>
      <c r="P916" s="44">
        <v>50</v>
      </c>
    </row>
    <row r="917" spans="1:16">
      <c r="A917" s="45">
        <v>916</v>
      </c>
      <c r="B917" s="46">
        <v>40584</v>
      </c>
      <c r="C917" s="47">
        <v>1</v>
      </c>
      <c r="D917" s="47">
        <v>0</v>
      </c>
      <c r="E917" s="47">
        <v>2</v>
      </c>
      <c r="F917" s="47">
        <v>16</v>
      </c>
      <c r="G917" s="47" t="b">
        <v>0</v>
      </c>
      <c r="H917" s="47">
        <v>4</v>
      </c>
      <c r="I917" s="47">
        <v>1</v>
      </c>
      <c r="J917" s="47">
        <v>0.2</v>
      </c>
      <c r="K917" s="47">
        <v>0.18179999999999999</v>
      </c>
      <c r="L917" s="47">
        <v>0.27</v>
      </c>
      <c r="M917" s="47">
        <v>0.29849999999999999</v>
      </c>
      <c r="N917" s="47">
        <v>4</v>
      </c>
      <c r="O917" s="47">
        <v>76</v>
      </c>
      <c r="P917" s="48">
        <v>80</v>
      </c>
    </row>
    <row r="918" spans="1:16">
      <c r="A918" s="41">
        <v>917</v>
      </c>
      <c r="B918" s="42">
        <v>40584</v>
      </c>
      <c r="C918" s="43">
        <v>1</v>
      </c>
      <c r="D918" s="43">
        <v>0</v>
      </c>
      <c r="E918" s="43">
        <v>2</v>
      </c>
      <c r="F918" s="43">
        <v>17</v>
      </c>
      <c r="G918" s="43" t="b">
        <v>0</v>
      </c>
      <c r="H918" s="43">
        <v>4</v>
      </c>
      <c r="I918" s="43">
        <v>1</v>
      </c>
      <c r="J918" s="43">
        <v>0.18</v>
      </c>
      <c r="K918" s="43">
        <v>0.18179999999999999</v>
      </c>
      <c r="L918" s="43">
        <v>0.26</v>
      </c>
      <c r="M918" s="43">
        <v>0.19400000000000001</v>
      </c>
      <c r="N918" s="43">
        <v>6</v>
      </c>
      <c r="O918" s="43">
        <v>159</v>
      </c>
      <c r="P918" s="44">
        <v>165</v>
      </c>
    </row>
    <row r="919" spans="1:16">
      <c r="A919" s="45">
        <v>918</v>
      </c>
      <c r="B919" s="46">
        <v>40584</v>
      </c>
      <c r="C919" s="47">
        <v>1</v>
      </c>
      <c r="D919" s="47">
        <v>0</v>
      </c>
      <c r="E919" s="47">
        <v>2</v>
      </c>
      <c r="F919" s="47">
        <v>18</v>
      </c>
      <c r="G919" s="47" t="b">
        <v>0</v>
      </c>
      <c r="H919" s="47">
        <v>4</v>
      </c>
      <c r="I919" s="47">
        <v>1</v>
      </c>
      <c r="J919" s="47">
        <v>0.16</v>
      </c>
      <c r="K919" s="47">
        <v>0.18179999999999999</v>
      </c>
      <c r="L919" s="47">
        <v>0.28000000000000003</v>
      </c>
      <c r="M919" s="47">
        <v>0.1343</v>
      </c>
      <c r="N919" s="47">
        <v>3</v>
      </c>
      <c r="O919" s="47">
        <v>157</v>
      </c>
      <c r="P919" s="48">
        <v>160</v>
      </c>
    </row>
    <row r="920" spans="1:16">
      <c r="A920" s="41">
        <v>919</v>
      </c>
      <c r="B920" s="42">
        <v>40584</v>
      </c>
      <c r="C920" s="43">
        <v>1</v>
      </c>
      <c r="D920" s="43">
        <v>0</v>
      </c>
      <c r="E920" s="43">
        <v>2</v>
      </c>
      <c r="F920" s="43">
        <v>19</v>
      </c>
      <c r="G920" s="43" t="b">
        <v>0</v>
      </c>
      <c r="H920" s="43">
        <v>4</v>
      </c>
      <c r="I920" s="43">
        <v>1</v>
      </c>
      <c r="J920" s="43">
        <v>0.14000000000000001</v>
      </c>
      <c r="K920" s="43">
        <v>0.16669999999999999</v>
      </c>
      <c r="L920" s="43">
        <v>0.28000000000000003</v>
      </c>
      <c r="M920" s="43">
        <v>0.1045</v>
      </c>
      <c r="N920" s="43">
        <v>2</v>
      </c>
      <c r="O920" s="43">
        <v>110</v>
      </c>
      <c r="P920" s="44">
        <v>112</v>
      </c>
    </row>
    <row r="921" spans="1:16">
      <c r="A921" s="45">
        <v>920</v>
      </c>
      <c r="B921" s="46">
        <v>40584</v>
      </c>
      <c r="C921" s="47">
        <v>1</v>
      </c>
      <c r="D921" s="47">
        <v>0</v>
      </c>
      <c r="E921" s="47">
        <v>2</v>
      </c>
      <c r="F921" s="47">
        <v>20</v>
      </c>
      <c r="G921" s="47" t="b">
        <v>0</v>
      </c>
      <c r="H921" s="47">
        <v>4</v>
      </c>
      <c r="I921" s="47">
        <v>1</v>
      </c>
      <c r="J921" s="47">
        <v>0.14000000000000001</v>
      </c>
      <c r="K921" s="47">
        <v>0.18179999999999999</v>
      </c>
      <c r="L921" s="47">
        <v>0.31</v>
      </c>
      <c r="M921" s="47">
        <v>8.9599999999999999E-2</v>
      </c>
      <c r="N921" s="47">
        <v>4</v>
      </c>
      <c r="O921" s="47">
        <v>93</v>
      </c>
      <c r="P921" s="48">
        <v>97</v>
      </c>
    </row>
    <row r="922" spans="1:16">
      <c r="A922" s="41">
        <v>921</v>
      </c>
      <c r="B922" s="42">
        <v>40584</v>
      </c>
      <c r="C922" s="43">
        <v>1</v>
      </c>
      <c r="D922" s="43">
        <v>0</v>
      </c>
      <c r="E922" s="43">
        <v>2</v>
      </c>
      <c r="F922" s="43">
        <v>21</v>
      </c>
      <c r="G922" s="43" t="b">
        <v>0</v>
      </c>
      <c r="H922" s="43">
        <v>4</v>
      </c>
      <c r="I922" s="43">
        <v>1</v>
      </c>
      <c r="J922" s="43">
        <v>0.14000000000000001</v>
      </c>
      <c r="K922" s="43">
        <v>0.21210000000000001</v>
      </c>
      <c r="L922" s="43">
        <v>0.39</v>
      </c>
      <c r="M922" s="43">
        <v>0</v>
      </c>
      <c r="N922" s="43">
        <v>2</v>
      </c>
      <c r="O922" s="43">
        <v>70</v>
      </c>
      <c r="P922" s="44">
        <v>72</v>
      </c>
    </row>
    <row r="923" spans="1:16">
      <c r="A923" s="45">
        <v>922</v>
      </c>
      <c r="B923" s="46">
        <v>40584</v>
      </c>
      <c r="C923" s="47">
        <v>1</v>
      </c>
      <c r="D923" s="47">
        <v>0</v>
      </c>
      <c r="E923" s="47">
        <v>2</v>
      </c>
      <c r="F923" s="47">
        <v>22</v>
      </c>
      <c r="G923" s="47" t="b">
        <v>0</v>
      </c>
      <c r="H923" s="47">
        <v>4</v>
      </c>
      <c r="I923" s="47">
        <v>1</v>
      </c>
      <c r="J923" s="47">
        <v>0.12</v>
      </c>
      <c r="K923" s="47">
        <v>0.19700000000000001</v>
      </c>
      <c r="L923" s="47">
        <v>0.39</v>
      </c>
      <c r="M923" s="47">
        <v>0</v>
      </c>
      <c r="N923" s="47">
        <v>4</v>
      </c>
      <c r="O923" s="47">
        <v>47</v>
      </c>
      <c r="P923" s="48">
        <v>51</v>
      </c>
    </row>
    <row r="924" spans="1:16">
      <c r="A924" s="41">
        <v>923</v>
      </c>
      <c r="B924" s="42">
        <v>40584</v>
      </c>
      <c r="C924" s="43">
        <v>1</v>
      </c>
      <c r="D924" s="43">
        <v>0</v>
      </c>
      <c r="E924" s="43">
        <v>2</v>
      </c>
      <c r="F924" s="43">
        <v>23</v>
      </c>
      <c r="G924" s="43" t="b">
        <v>0</v>
      </c>
      <c r="H924" s="43">
        <v>4</v>
      </c>
      <c r="I924" s="43">
        <v>1</v>
      </c>
      <c r="J924" s="43">
        <v>0.12</v>
      </c>
      <c r="K924" s="43">
        <v>0.1515</v>
      </c>
      <c r="L924" s="43">
        <v>0.42</v>
      </c>
      <c r="M924" s="43">
        <v>0.1045</v>
      </c>
      <c r="N924" s="43">
        <v>1</v>
      </c>
      <c r="O924" s="43">
        <v>33</v>
      </c>
      <c r="P924" s="44">
        <v>34</v>
      </c>
    </row>
    <row r="925" spans="1:16">
      <c r="A925" s="45">
        <v>924</v>
      </c>
      <c r="B925" s="46">
        <v>40585</v>
      </c>
      <c r="C925" s="47">
        <v>1</v>
      </c>
      <c r="D925" s="47">
        <v>0</v>
      </c>
      <c r="E925" s="47">
        <v>2</v>
      </c>
      <c r="F925" s="47">
        <v>0</v>
      </c>
      <c r="G925" s="47" t="b">
        <v>0</v>
      </c>
      <c r="H925" s="47">
        <v>5</v>
      </c>
      <c r="I925" s="47">
        <v>1</v>
      </c>
      <c r="J925" s="47">
        <v>0.1</v>
      </c>
      <c r="K925" s="47">
        <v>0.13639999999999999</v>
      </c>
      <c r="L925" s="47">
        <v>0.49</v>
      </c>
      <c r="M925" s="47">
        <v>0.1045</v>
      </c>
      <c r="N925" s="47">
        <v>2</v>
      </c>
      <c r="O925" s="47">
        <v>12</v>
      </c>
      <c r="P925" s="48">
        <v>14</v>
      </c>
    </row>
    <row r="926" spans="1:16">
      <c r="A926" s="41">
        <v>925</v>
      </c>
      <c r="B926" s="42">
        <v>40585</v>
      </c>
      <c r="C926" s="43">
        <v>1</v>
      </c>
      <c r="D926" s="43">
        <v>0</v>
      </c>
      <c r="E926" s="43">
        <v>2</v>
      </c>
      <c r="F926" s="43">
        <v>1</v>
      </c>
      <c r="G926" s="43" t="b">
        <v>0</v>
      </c>
      <c r="H926" s="43">
        <v>5</v>
      </c>
      <c r="I926" s="43">
        <v>1</v>
      </c>
      <c r="J926" s="43">
        <v>0.1</v>
      </c>
      <c r="K926" s="43">
        <v>0.13639999999999999</v>
      </c>
      <c r="L926" s="43">
        <v>0.54</v>
      </c>
      <c r="M926" s="43">
        <v>8.9599999999999999E-2</v>
      </c>
      <c r="N926" s="43">
        <v>1</v>
      </c>
      <c r="O926" s="43">
        <v>6</v>
      </c>
      <c r="P926" s="44">
        <v>7</v>
      </c>
    </row>
    <row r="927" spans="1:16">
      <c r="A927" s="45">
        <v>926</v>
      </c>
      <c r="B927" s="46">
        <v>40585</v>
      </c>
      <c r="C927" s="47">
        <v>1</v>
      </c>
      <c r="D927" s="47">
        <v>0</v>
      </c>
      <c r="E927" s="47">
        <v>2</v>
      </c>
      <c r="F927" s="47">
        <v>2</v>
      </c>
      <c r="G927" s="47" t="b">
        <v>0</v>
      </c>
      <c r="H927" s="47">
        <v>5</v>
      </c>
      <c r="I927" s="47">
        <v>1</v>
      </c>
      <c r="J927" s="47">
        <v>0.1</v>
      </c>
      <c r="K927" s="47">
        <v>0.13639999999999999</v>
      </c>
      <c r="L927" s="47">
        <v>0.54</v>
      </c>
      <c r="M927" s="47">
        <v>8.9599999999999999E-2</v>
      </c>
      <c r="N927" s="47">
        <v>0</v>
      </c>
      <c r="O927" s="47">
        <v>3</v>
      </c>
      <c r="P927" s="48">
        <v>3</v>
      </c>
    </row>
    <row r="928" spans="1:16">
      <c r="A928" s="41">
        <v>927</v>
      </c>
      <c r="B928" s="42">
        <v>40585</v>
      </c>
      <c r="C928" s="43">
        <v>1</v>
      </c>
      <c r="D928" s="43">
        <v>0</v>
      </c>
      <c r="E928" s="43">
        <v>2</v>
      </c>
      <c r="F928" s="43">
        <v>5</v>
      </c>
      <c r="G928" s="43" t="b">
        <v>0</v>
      </c>
      <c r="H928" s="43">
        <v>5</v>
      </c>
      <c r="I928" s="43">
        <v>1</v>
      </c>
      <c r="J928" s="43">
        <v>0.08</v>
      </c>
      <c r="K928" s="43">
        <v>0.1212</v>
      </c>
      <c r="L928" s="43">
        <v>0.63</v>
      </c>
      <c r="M928" s="43">
        <v>8.9599999999999999E-2</v>
      </c>
      <c r="N928" s="43">
        <v>0</v>
      </c>
      <c r="O928" s="43">
        <v>4</v>
      </c>
      <c r="P928" s="44">
        <v>4</v>
      </c>
    </row>
    <row r="929" spans="1:16">
      <c r="A929" s="45">
        <v>928</v>
      </c>
      <c r="B929" s="46">
        <v>40585</v>
      </c>
      <c r="C929" s="47">
        <v>1</v>
      </c>
      <c r="D929" s="47">
        <v>0</v>
      </c>
      <c r="E929" s="47">
        <v>2</v>
      </c>
      <c r="F929" s="47">
        <v>6</v>
      </c>
      <c r="G929" s="47" t="b">
        <v>0</v>
      </c>
      <c r="H929" s="47">
        <v>5</v>
      </c>
      <c r="I929" s="47">
        <v>1</v>
      </c>
      <c r="J929" s="47">
        <v>0.1</v>
      </c>
      <c r="K929" s="47">
        <v>0.18179999999999999</v>
      </c>
      <c r="L929" s="47">
        <v>0.68</v>
      </c>
      <c r="M929" s="47">
        <v>0</v>
      </c>
      <c r="N929" s="47">
        <v>1</v>
      </c>
      <c r="O929" s="47">
        <v>23</v>
      </c>
      <c r="P929" s="48">
        <v>24</v>
      </c>
    </row>
    <row r="930" spans="1:16">
      <c r="A930" s="41">
        <v>929</v>
      </c>
      <c r="B930" s="42">
        <v>40585</v>
      </c>
      <c r="C930" s="43">
        <v>1</v>
      </c>
      <c r="D930" s="43">
        <v>0</v>
      </c>
      <c r="E930" s="43">
        <v>2</v>
      </c>
      <c r="F930" s="43">
        <v>7</v>
      </c>
      <c r="G930" s="43" t="b">
        <v>0</v>
      </c>
      <c r="H930" s="43">
        <v>5</v>
      </c>
      <c r="I930" s="43">
        <v>1</v>
      </c>
      <c r="J930" s="43">
        <v>0.08</v>
      </c>
      <c r="K930" s="43">
        <v>0.16669999999999999</v>
      </c>
      <c r="L930" s="43">
        <v>0.73</v>
      </c>
      <c r="M930" s="43">
        <v>0</v>
      </c>
      <c r="N930" s="43">
        <v>1</v>
      </c>
      <c r="O930" s="43">
        <v>73</v>
      </c>
      <c r="P930" s="44">
        <v>74</v>
      </c>
    </row>
    <row r="931" spans="1:16">
      <c r="A931" s="45">
        <v>930</v>
      </c>
      <c r="B931" s="46">
        <v>40585</v>
      </c>
      <c r="C931" s="47">
        <v>1</v>
      </c>
      <c r="D931" s="47">
        <v>0</v>
      </c>
      <c r="E931" s="47">
        <v>2</v>
      </c>
      <c r="F931" s="47">
        <v>8</v>
      </c>
      <c r="G931" s="47" t="b">
        <v>0</v>
      </c>
      <c r="H931" s="47">
        <v>5</v>
      </c>
      <c r="I931" s="47">
        <v>1</v>
      </c>
      <c r="J931" s="47">
        <v>0.1</v>
      </c>
      <c r="K931" s="47">
        <v>0.1212</v>
      </c>
      <c r="L931" s="47">
        <v>0.74</v>
      </c>
      <c r="M931" s="47">
        <v>0.16420000000000001</v>
      </c>
      <c r="N931" s="47">
        <v>4</v>
      </c>
      <c r="O931" s="47">
        <v>212</v>
      </c>
      <c r="P931" s="48">
        <v>216</v>
      </c>
    </row>
    <row r="932" spans="1:16">
      <c r="A932" s="41">
        <v>931</v>
      </c>
      <c r="B932" s="42">
        <v>40585</v>
      </c>
      <c r="C932" s="43">
        <v>1</v>
      </c>
      <c r="D932" s="43">
        <v>0</v>
      </c>
      <c r="E932" s="43">
        <v>2</v>
      </c>
      <c r="F932" s="43">
        <v>9</v>
      </c>
      <c r="G932" s="43" t="b">
        <v>0</v>
      </c>
      <c r="H932" s="43">
        <v>5</v>
      </c>
      <c r="I932" s="43">
        <v>1</v>
      </c>
      <c r="J932" s="43">
        <v>0.12</v>
      </c>
      <c r="K932" s="43">
        <v>0.1212</v>
      </c>
      <c r="L932" s="43">
        <v>0.74</v>
      </c>
      <c r="M932" s="43">
        <v>0.22389999999999999</v>
      </c>
      <c r="N932" s="43">
        <v>8</v>
      </c>
      <c r="O932" s="43">
        <v>132</v>
      </c>
      <c r="P932" s="44">
        <v>140</v>
      </c>
    </row>
    <row r="933" spans="1:16">
      <c r="A933" s="45">
        <v>932</v>
      </c>
      <c r="B933" s="46">
        <v>40585</v>
      </c>
      <c r="C933" s="47">
        <v>1</v>
      </c>
      <c r="D933" s="47">
        <v>0</v>
      </c>
      <c r="E933" s="47">
        <v>2</v>
      </c>
      <c r="F933" s="47">
        <v>10</v>
      </c>
      <c r="G933" s="47" t="b">
        <v>0</v>
      </c>
      <c r="H933" s="47">
        <v>5</v>
      </c>
      <c r="I933" s="47">
        <v>1</v>
      </c>
      <c r="J933" s="47">
        <v>0.14000000000000001</v>
      </c>
      <c r="K933" s="47">
        <v>0.13639999999999999</v>
      </c>
      <c r="L933" s="47">
        <v>0.69</v>
      </c>
      <c r="M933" s="47">
        <v>0.19400000000000001</v>
      </c>
      <c r="N933" s="47">
        <v>5</v>
      </c>
      <c r="O933" s="47">
        <v>39</v>
      </c>
      <c r="P933" s="48">
        <v>44</v>
      </c>
    </row>
    <row r="934" spans="1:16">
      <c r="A934" s="41">
        <v>933</v>
      </c>
      <c r="B934" s="42">
        <v>40585</v>
      </c>
      <c r="C934" s="43">
        <v>1</v>
      </c>
      <c r="D934" s="43">
        <v>0</v>
      </c>
      <c r="E934" s="43">
        <v>2</v>
      </c>
      <c r="F934" s="43">
        <v>11</v>
      </c>
      <c r="G934" s="43" t="b">
        <v>0</v>
      </c>
      <c r="H934" s="43">
        <v>5</v>
      </c>
      <c r="I934" s="43">
        <v>1</v>
      </c>
      <c r="J934" s="43">
        <v>0.22</v>
      </c>
      <c r="K934" s="43">
        <v>0.2273</v>
      </c>
      <c r="L934" s="43">
        <v>0.47</v>
      </c>
      <c r="M934" s="43">
        <v>0.1343</v>
      </c>
      <c r="N934" s="43">
        <v>12</v>
      </c>
      <c r="O934" s="43">
        <v>52</v>
      </c>
      <c r="P934" s="44">
        <v>64</v>
      </c>
    </row>
    <row r="935" spans="1:16">
      <c r="A935" s="45">
        <v>934</v>
      </c>
      <c r="B935" s="46">
        <v>40585</v>
      </c>
      <c r="C935" s="47">
        <v>1</v>
      </c>
      <c r="D935" s="47">
        <v>0</v>
      </c>
      <c r="E935" s="47">
        <v>2</v>
      </c>
      <c r="F935" s="47">
        <v>12</v>
      </c>
      <c r="G935" s="47" t="b">
        <v>0</v>
      </c>
      <c r="H935" s="47">
        <v>5</v>
      </c>
      <c r="I935" s="47">
        <v>1</v>
      </c>
      <c r="J935" s="47">
        <v>0.22</v>
      </c>
      <c r="K935" s="47">
        <v>0.2273</v>
      </c>
      <c r="L935" s="47">
        <v>0.47</v>
      </c>
      <c r="M935" s="47">
        <v>0.1343</v>
      </c>
      <c r="N935" s="47">
        <v>7</v>
      </c>
      <c r="O935" s="47">
        <v>64</v>
      </c>
      <c r="P935" s="48">
        <v>71</v>
      </c>
    </row>
    <row r="936" spans="1:16">
      <c r="A936" s="41">
        <v>935</v>
      </c>
      <c r="B936" s="42">
        <v>40585</v>
      </c>
      <c r="C936" s="43">
        <v>1</v>
      </c>
      <c r="D936" s="43">
        <v>0</v>
      </c>
      <c r="E936" s="43">
        <v>2</v>
      </c>
      <c r="F936" s="43">
        <v>13</v>
      </c>
      <c r="G936" s="43" t="b">
        <v>0</v>
      </c>
      <c r="H936" s="43">
        <v>5</v>
      </c>
      <c r="I936" s="43">
        <v>1</v>
      </c>
      <c r="J936" s="43">
        <v>0.24</v>
      </c>
      <c r="K936" s="43">
        <v>0.2273</v>
      </c>
      <c r="L936" s="43">
        <v>0.35</v>
      </c>
      <c r="M936" s="43">
        <v>0.19400000000000001</v>
      </c>
      <c r="N936" s="43">
        <v>21</v>
      </c>
      <c r="O936" s="43">
        <v>89</v>
      </c>
      <c r="P936" s="44">
        <v>110</v>
      </c>
    </row>
    <row r="937" spans="1:16">
      <c r="A937" s="45">
        <v>936</v>
      </c>
      <c r="B937" s="46">
        <v>40585</v>
      </c>
      <c r="C937" s="47">
        <v>1</v>
      </c>
      <c r="D937" s="47">
        <v>0</v>
      </c>
      <c r="E937" s="47">
        <v>2</v>
      </c>
      <c r="F937" s="47">
        <v>14</v>
      </c>
      <c r="G937" s="47" t="b">
        <v>0</v>
      </c>
      <c r="H937" s="47">
        <v>5</v>
      </c>
      <c r="I937" s="47">
        <v>1</v>
      </c>
      <c r="J937" s="47">
        <v>0.3</v>
      </c>
      <c r="K937" s="47">
        <v>0.28789999999999999</v>
      </c>
      <c r="L937" s="47">
        <v>0.26</v>
      </c>
      <c r="M937" s="47">
        <v>0.25369999999999998</v>
      </c>
      <c r="N937" s="47">
        <v>17</v>
      </c>
      <c r="O937" s="47">
        <v>67</v>
      </c>
      <c r="P937" s="48">
        <v>84</v>
      </c>
    </row>
    <row r="938" spans="1:16">
      <c r="A938" s="41">
        <v>937</v>
      </c>
      <c r="B938" s="42">
        <v>40585</v>
      </c>
      <c r="C938" s="43">
        <v>1</v>
      </c>
      <c r="D938" s="43">
        <v>0</v>
      </c>
      <c r="E938" s="43">
        <v>2</v>
      </c>
      <c r="F938" s="43">
        <v>15</v>
      </c>
      <c r="G938" s="43" t="b">
        <v>0</v>
      </c>
      <c r="H938" s="43">
        <v>5</v>
      </c>
      <c r="I938" s="43">
        <v>1</v>
      </c>
      <c r="J938" s="43">
        <v>0.32</v>
      </c>
      <c r="K938" s="43">
        <v>0.31819999999999998</v>
      </c>
      <c r="L938" s="43">
        <v>0.21</v>
      </c>
      <c r="M938" s="43">
        <v>0.16420000000000001</v>
      </c>
      <c r="N938" s="43">
        <v>12</v>
      </c>
      <c r="O938" s="43">
        <v>62</v>
      </c>
      <c r="P938" s="44">
        <v>74</v>
      </c>
    </row>
    <row r="939" spans="1:16">
      <c r="A939" s="45">
        <v>938</v>
      </c>
      <c r="B939" s="46">
        <v>40585</v>
      </c>
      <c r="C939" s="47">
        <v>1</v>
      </c>
      <c r="D939" s="47">
        <v>0</v>
      </c>
      <c r="E939" s="47">
        <v>2</v>
      </c>
      <c r="F939" s="47">
        <v>16</v>
      </c>
      <c r="G939" s="47" t="b">
        <v>0</v>
      </c>
      <c r="H939" s="47">
        <v>5</v>
      </c>
      <c r="I939" s="47">
        <v>1</v>
      </c>
      <c r="J939" s="47">
        <v>0.3</v>
      </c>
      <c r="K939" s="47">
        <v>0.28789999999999999</v>
      </c>
      <c r="L939" s="47">
        <v>0.28000000000000003</v>
      </c>
      <c r="M939" s="47">
        <v>0.19400000000000001</v>
      </c>
      <c r="N939" s="47">
        <v>14</v>
      </c>
      <c r="O939" s="47">
        <v>111</v>
      </c>
      <c r="P939" s="48">
        <v>125</v>
      </c>
    </row>
    <row r="940" spans="1:16">
      <c r="A940" s="41">
        <v>939</v>
      </c>
      <c r="B940" s="42">
        <v>40585</v>
      </c>
      <c r="C940" s="43">
        <v>1</v>
      </c>
      <c r="D940" s="43">
        <v>0</v>
      </c>
      <c r="E940" s="43">
        <v>2</v>
      </c>
      <c r="F940" s="43">
        <v>17</v>
      </c>
      <c r="G940" s="43" t="b">
        <v>0</v>
      </c>
      <c r="H940" s="43">
        <v>5</v>
      </c>
      <c r="I940" s="43">
        <v>1</v>
      </c>
      <c r="J940" s="43">
        <v>0.3</v>
      </c>
      <c r="K940" s="43">
        <v>0.33329999999999999</v>
      </c>
      <c r="L940" s="43">
        <v>0.24</v>
      </c>
      <c r="M940" s="43">
        <v>0</v>
      </c>
      <c r="N940" s="43">
        <v>18</v>
      </c>
      <c r="O940" s="43">
        <v>193</v>
      </c>
      <c r="P940" s="44">
        <v>211</v>
      </c>
    </row>
    <row r="941" spans="1:16">
      <c r="A941" s="45">
        <v>940</v>
      </c>
      <c r="B941" s="46">
        <v>40585</v>
      </c>
      <c r="C941" s="47">
        <v>1</v>
      </c>
      <c r="D941" s="47">
        <v>0</v>
      </c>
      <c r="E941" s="47">
        <v>2</v>
      </c>
      <c r="F941" s="47">
        <v>18</v>
      </c>
      <c r="G941" s="47" t="b">
        <v>0</v>
      </c>
      <c r="H941" s="47">
        <v>5</v>
      </c>
      <c r="I941" s="47">
        <v>1</v>
      </c>
      <c r="J941" s="47">
        <v>0.28000000000000003</v>
      </c>
      <c r="K941" s="47">
        <v>0.31819999999999998</v>
      </c>
      <c r="L941" s="47">
        <v>0.28000000000000003</v>
      </c>
      <c r="M941" s="47">
        <v>0</v>
      </c>
      <c r="N941" s="47">
        <v>9</v>
      </c>
      <c r="O941" s="47">
        <v>165</v>
      </c>
      <c r="P941" s="48">
        <v>174</v>
      </c>
    </row>
    <row r="942" spans="1:16">
      <c r="A942" s="41">
        <v>941</v>
      </c>
      <c r="B942" s="42">
        <v>40585</v>
      </c>
      <c r="C942" s="43">
        <v>1</v>
      </c>
      <c r="D942" s="43">
        <v>0</v>
      </c>
      <c r="E942" s="43">
        <v>2</v>
      </c>
      <c r="F942" s="43">
        <v>19</v>
      </c>
      <c r="G942" s="43" t="b">
        <v>0</v>
      </c>
      <c r="H942" s="43">
        <v>5</v>
      </c>
      <c r="I942" s="43">
        <v>1</v>
      </c>
      <c r="J942" s="43">
        <v>0.26</v>
      </c>
      <c r="K942" s="43">
        <v>0.30299999999999999</v>
      </c>
      <c r="L942" s="43">
        <v>0.33</v>
      </c>
      <c r="M942" s="43">
        <v>0</v>
      </c>
      <c r="N942" s="43">
        <v>7</v>
      </c>
      <c r="O942" s="43">
        <v>94</v>
      </c>
      <c r="P942" s="44">
        <v>101</v>
      </c>
    </row>
    <row r="943" spans="1:16">
      <c r="A943" s="45">
        <v>942</v>
      </c>
      <c r="B943" s="46">
        <v>40585</v>
      </c>
      <c r="C943" s="47">
        <v>1</v>
      </c>
      <c r="D943" s="47">
        <v>0</v>
      </c>
      <c r="E943" s="47">
        <v>2</v>
      </c>
      <c r="F943" s="47">
        <v>20</v>
      </c>
      <c r="G943" s="47" t="b">
        <v>0</v>
      </c>
      <c r="H943" s="47">
        <v>5</v>
      </c>
      <c r="I943" s="47">
        <v>1</v>
      </c>
      <c r="J943" s="47">
        <v>0.22</v>
      </c>
      <c r="K943" s="47">
        <v>0.2273</v>
      </c>
      <c r="L943" s="47">
        <v>0.55000000000000004</v>
      </c>
      <c r="M943" s="47">
        <v>0.1343</v>
      </c>
      <c r="N943" s="47">
        <v>2</v>
      </c>
      <c r="O943" s="47">
        <v>61</v>
      </c>
      <c r="P943" s="48">
        <v>63</v>
      </c>
    </row>
    <row r="944" spans="1:16">
      <c r="A944" s="41">
        <v>943</v>
      </c>
      <c r="B944" s="42">
        <v>40585</v>
      </c>
      <c r="C944" s="43">
        <v>1</v>
      </c>
      <c r="D944" s="43">
        <v>0</v>
      </c>
      <c r="E944" s="43">
        <v>2</v>
      </c>
      <c r="F944" s="43">
        <v>21</v>
      </c>
      <c r="G944" s="43" t="b">
        <v>0</v>
      </c>
      <c r="H944" s="43">
        <v>5</v>
      </c>
      <c r="I944" s="43">
        <v>1</v>
      </c>
      <c r="J944" s="43">
        <v>0.2</v>
      </c>
      <c r="K944" s="43">
        <v>0.21210000000000001</v>
      </c>
      <c r="L944" s="43">
        <v>0.59</v>
      </c>
      <c r="M944" s="43">
        <v>0.1343</v>
      </c>
      <c r="N944" s="43">
        <v>1</v>
      </c>
      <c r="O944" s="43">
        <v>46</v>
      </c>
      <c r="P944" s="44">
        <v>47</v>
      </c>
    </row>
    <row r="945" spans="1:16">
      <c r="A945" s="45">
        <v>944</v>
      </c>
      <c r="B945" s="46">
        <v>40585</v>
      </c>
      <c r="C945" s="47">
        <v>1</v>
      </c>
      <c r="D945" s="47">
        <v>0</v>
      </c>
      <c r="E945" s="47">
        <v>2</v>
      </c>
      <c r="F945" s="47">
        <v>22</v>
      </c>
      <c r="G945" s="47" t="b">
        <v>0</v>
      </c>
      <c r="H945" s="47">
        <v>5</v>
      </c>
      <c r="I945" s="47">
        <v>1</v>
      </c>
      <c r="J945" s="47">
        <v>0.2</v>
      </c>
      <c r="K945" s="47">
        <v>0.2273</v>
      </c>
      <c r="L945" s="47">
        <v>0.64</v>
      </c>
      <c r="M945" s="47">
        <v>8.9599999999999999E-2</v>
      </c>
      <c r="N945" s="47">
        <v>2</v>
      </c>
      <c r="O945" s="47">
        <v>41</v>
      </c>
      <c r="P945" s="48">
        <v>43</v>
      </c>
    </row>
    <row r="946" spans="1:16">
      <c r="A946" s="41">
        <v>945</v>
      </c>
      <c r="B946" s="42">
        <v>40585</v>
      </c>
      <c r="C946" s="43">
        <v>1</v>
      </c>
      <c r="D946" s="43">
        <v>0</v>
      </c>
      <c r="E946" s="43">
        <v>2</v>
      </c>
      <c r="F946" s="43">
        <v>23</v>
      </c>
      <c r="G946" s="43" t="b">
        <v>0</v>
      </c>
      <c r="H946" s="43">
        <v>5</v>
      </c>
      <c r="I946" s="43">
        <v>1</v>
      </c>
      <c r="J946" s="43">
        <v>0.18</v>
      </c>
      <c r="K946" s="43">
        <v>0.2424</v>
      </c>
      <c r="L946" s="43">
        <v>0.69</v>
      </c>
      <c r="M946" s="43">
        <v>0</v>
      </c>
      <c r="N946" s="43">
        <v>5</v>
      </c>
      <c r="O946" s="43">
        <v>48</v>
      </c>
      <c r="P946" s="44">
        <v>53</v>
      </c>
    </row>
    <row r="947" spans="1:16">
      <c r="A947" s="45">
        <v>946</v>
      </c>
      <c r="B947" s="46">
        <v>40586</v>
      </c>
      <c r="C947" s="47">
        <v>1</v>
      </c>
      <c r="D947" s="47">
        <v>0</v>
      </c>
      <c r="E947" s="47">
        <v>2</v>
      </c>
      <c r="F947" s="47">
        <v>0</v>
      </c>
      <c r="G947" s="47" t="b">
        <v>0</v>
      </c>
      <c r="H947" s="47">
        <v>6</v>
      </c>
      <c r="I947" s="47">
        <v>1</v>
      </c>
      <c r="J947" s="47">
        <v>0.16</v>
      </c>
      <c r="K947" s="47">
        <v>0.19700000000000001</v>
      </c>
      <c r="L947" s="47">
        <v>0.69</v>
      </c>
      <c r="M947" s="47">
        <v>8.9599999999999999E-2</v>
      </c>
      <c r="N947" s="47">
        <v>3</v>
      </c>
      <c r="O947" s="47">
        <v>27</v>
      </c>
      <c r="P947" s="48">
        <v>30</v>
      </c>
    </row>
    <row r="948" spans="1:16">
      <c r="A948" s="41">
        <v>947</v>
      </c>
      <c r="B948" s="42">
        <v>40586</v>
      </c>
      <c r="C948" s="43">
        <v>1</v>
      </c>
      <c r="D948" s="43">
        <v>0</v>
      </c>
      <c r="E948" s="43">
        <v>2</v>
      </c>
      <c r="F948" s="43">
        <v>1</v>
      </c>
      <c r="G948" s="43" t="b">
        <v>0</v>
      </c>
      <c r="H948" s="43">
        <v>6</v>
      </c>
      <c r="I948" s="43">
        <v>1</v>
      </c>
      <c r="J948" s="43">
        <v>0.14000000000000001</v>
      </c>
      <c r="K948" s="43">
        <v>0.21210000000000001</v>
      </c>
      <c r="L948" s="43">
        <v>0.86</v>
      </c>
      <c r="M948" s="43">
        <v>0</v>
      </c>
      <c r="N948" s="43">
        <v>2</v>
      </c>
      <c r="O948" s="43">
        <v>22</v>
      </c>
      <c r="P948" s="44">
        <v>24</v>
      </c>
    </row>
    <row r="949" spans="1:16">
      <c r="A949" s="45">
        <v>948</v>
      </c>
      <c r="B949" s="46">
        <v>40586</v>
      </c>
      <c r="C949" s="47">
        <v>1</v>
      </c>
      <c r="D949" s="47">
        <v>0</v>
      </c>
      <c r="E949" s="47">
        <v>2</v>
      </c>
      <c r="F949" s="47">
        <v>2</v>
      </c>
      <c r="G949" s="47" t="b">
        <v>0</v>
      </c>
      <c r="H949" s="47">
        <v>6</v>
      </c>
      <c r="I949" s="47">
        <v>1</v>
      </c>
      <c r="J949" s="47">
        <v>0.14000000000000001</v>
      </c>
      <c r="K949" s="47">
        <v>0.21210000000000001</v>
      </c>
      <c r="L949" s="47">
        <v>0.8</v>
      </c>
      <c r="M949" s="47">
        <v>0</v>
      </c>
      <c r="N949" s="47">
        <v>2</v>
      </c>
      <c r="O949" s="47">
        <v>13</v>
      </c>
      <c r="P949" s="48">
        <v>15</v>
      </c>
    </row>
    <row r="950" spans="1:16">
      <c r="A950" s="41">
        <v>949</v>
      </c>
      <c r="B950" s="42">
        <v>40586</v>
      </c>
      <c r="C950" s="43">
        <v>1</v>
      </c>
      <c r="D950" s="43">
        <v>0</v>
      </c>
      <c r="E950" s="43">
        <v>2</v>
      </c>
      <c r="F950" s="43">
        <v>3</v>
      </c>
      <c r="G950" s="43" t="b">
        <v>0</v>
      </c>
      <c r="H950" s="43">
        <v>6</v>
      </c>
      <c r="I950" s="43">
        <v>1</v>
      </c>
      <c r="J950" s="43">
        <v>0.12</v>
      </c>
      <c r="K950" s="43">
        <v>0.19700000000000001</v>
      </c>
      <c r="L950" s="43">
        <v>0.8</v>
      </c>
      <c r="M950" s="43">
        <v>0</v>
      </c>
      <c r="N950" s="43">
        <v>3</v>
      </c>
      <c r="O950" s="43">
        <v>7</v>
      </c>
      <c r="P950" s="44">
        <v>10</v>
      </c>
    </row>
    <row r="951" spans="1:16">
      <c r="A951" s="45">
        <v>950</v>
      </c>
      <c r="B951" s="46">
        <v>40586</v>
      </c>
      <c r="C951" s="47">
        <v>1</v>
      </c>
      <c r="D951" s="47">
        <v>0</v>
      </c>
      <c r="E951" s="47">
        <v>2</v>
      </c>
      <c r="F951" s="47">
        <v>4</v>
      </c>
      <c r="G951" s="47" t="b">
        <v>0</v>
      </c>
      <c r="H951" s="47">
        <v>6</v>
      </c>
      <c r="I951" s="47">
        <v>1</v>
      </c>
      <c r="J951" s="47">
        <v>0.12</v>
      </c>
      <c r="K951" s="47">
        <v>0.16669999999999999</v>
      </c>
      <c r="L951" s="47">
        <v>0.74</v>
      </c>
      <c r="M951" s="47">
        <v>8.9599999999999999E-2</v>
      </c>
      <c r="N951" s="47">
        <v>0</v>
      </c>
      <c r="O951" s="47">
        <v>4</v>
      </c>
      <c r="P951" s="48">
        <v>4</v>
      </c>
    </row>
    <row r="952" spans="1:16">
      <c r="A952" s="41">
        <v>951</v>
      </c>
      <c r="B952" s="42">
        <v>40586</v>
      </c>
      <c r="C952" s="43">
        <v>1</v>
      </c>
      <c r="D952" s="43">
        <v>0</v>
      </c>
      <c r="E952" s="43">
        <v>2</v>
      </c>
      <c r="F952" s="43">
        <v>5</v>
      </c>
      <c r="G952" s="43" t="b">
        <v>0</v>
      </c>
      <c r="H952" s="43">
        <v>6</v>
      </c>
      <c r="I952" s="43">
        <v>1</v>
      </c>
      <c r="J952" s="43">
        <v>0.12</v>
      </c>
      <c r="K952" s="43">
        <v>0.16669999999999999</v>
      </c>
      <c r="L952" s="43">
        <v>0.74</v>
      </c>
      <c r="M952" s="43">
        <v>8.9599999999999999E-2</v>
      </c>
      <c r="N952" s="43">
        <v>0</v>
      </c>
      <c r="O952" s="43">
        <v>1</v>
      </c>
      <c r="P952" s="44">
        <v>1</v>
      </c>
    </row>
    <row r="953" spans="1:16">
      <c r="A953" s="45">
        <v>952</v>
      </c>
      <c r="B953" s="46">
        <v>40586</v>
      </c>
      <c r="C953" s="47">
        <v>1</v>
      </c>
      <c r="D953" s="47">
        <v>0</v>
      </c>
      <c r="E953" s="47">
        <v>2</v>
      </c>
      <c r="F953" s="47">
        <v>6</v>
      </c>
      <c r="G953" s="47" t="b">
        <v>0</v>
      </c>
      <c r="H953" s="47">
        <v>6</v>
      </c>
      <c r="I953" s="47">
        <v>1</v>
      </c>
      <c r="J953" s="47">
        <v>0.12</v>
      </c>
      <c r="K953" s="47">
        <v>0.13639999999999999</v>
      </c>
      <c r="L953" s="47">
        <v>0.93</v>
      </c>
      <c r="M953" s="47">
        <v>0.19400000000000001</v>
      </c>
      <c r="N953" s="47">
        <v>1</v>
      </c>
      <c r="O953" s="47">
        <v>1</v>
      </c>
      <c r="P953" s="48">
        <v>2</v>
      </c>
    </row>
    <row r="954" spans="1:16">
      <c r="A954" s="41">
        <v>953</v>
      </c>
      <c r="B954" s="42">
        <v>40586</v>
      </c>
      <c r="C954" s="43">
        <v>1</v>
      </c>
      <c r="D954" s="43">
        <v>0</v>
      </c>
      <c r="E954" s="43">
        <v>2</v>
      </c>
      <c r="F954" s="43">
        <v>7</v>
      </c>
      <c r="G954" s="43" t="b">
        <v>0</v>
      </c>
      <c r="H954" s="43">
        <v>6</v>
      </c>
      <c r="I954" s="43">
        <v>1</v>
      </c>
      <c r="J954" s="43">
        <v>0.12</v>
      </c>
      <c r="K954" s="43">
        <v>0.1515</v>
      </c>
      <c r="L954" s="43">
        <v>0.8</v>
      </c>
      <c r="M954" s="43">
        <v>0.1045</v>
      </c>
      <c r="N954" s="43">
        <v>2</v>
      </c>
      <c r="O954" s="43">
        <v>9</v>
      </c>
      <c r="P954" s="44">
        <v>11</v>
      </c>
    </row>
    <row r="955" spans="1:16">
      <c r="A955" s="45">
        <v>954</v>
      </c>
      <c r="B955" s="46">
        <v>40586</v>
      </c>
      <c r="C955" s="47">
        <v>1</v>
      </c>
      <c r="D955" s="47">
        <v>0</v>
      </c>
      <c r="E955" s="47">
        <v>2</v>
      </c>
      <c r="F955" s="47">
        <v>8</v>
      </c>
      <c r="G955" s="47" t="b">
        <v>0</v>
      </c>
      <c r="H955" s="47">
        <v>6</v>
      </c>
      <c r="I955" s="47">
        <v>1</v>
      </c>
      <c r="J955" s="47">
        <v>0.14000000000000001</v>
      </c>
      <c r="K955" s="47">
        <v>0.1515</v>
      </c>
      <c r="L955" s="47">
        <v>0.86</v>
      </c>
      <c r="M955" s="47">
        <v>0.1343</v>
      </c>
      <c r="N955" s="47">
        <v>2</v>
      </c>
      <c r="O955" s="47">
        <v>28</v>
      </c>
      <c r="P955" s="48">
        <v>30</v>
      </c>
    </row>
    <row r="956" spans="1:16">
      <c r="A956" s="41">
        <v>955</v>
      </c>
      <c r="B956" s="42">
        <v>40586</v>
      </c>
      <c r="C956" s="43">
        <v>1</v>
      </c>
      <c r="D956" s="43">
        <v>0</v>
      </c>
      <c r="E956" s="43">
        <v>2</v>
      </c>
      <c r="F956" s="43">
        <v>9</v>
      </c>
      <c r="G956" s="43" t="b">
        <v>0</v>
      </c>
      <c r="H956" s="43">
        <v>6</v>
      </c>
      <c r="I956" s="43">
        <v>1</v>
      </c>
      <c r="J956" s="43">
        <v>0.16</v>
      </c>
      <c r="K956" s="43">
        <v>0.18179999999999999</v>
      </c>
      <c r="L956" s="43">
        <v>0.64</v>
      </c>
      <c r="M956" s="43">
        <v>0.1343</v>
      </c>
      <c r="N956" s="43">
        <v>5</v>
      </c>
      <c r="O956" s="43">
        <v>38</v>
      </c>
      <c r="P956" s="44">
        <v>43</v>
      </c>
    </row>
    <row r="957" spans="1:16">
      <c r="A957" s="45">
        <v>956</v>
      </c>
      <c r="B957" s="46">
        <v>40586</v>
      </c>
      <c r="C957" s="47">
        <v>1</v>
      </c>
      <c r="D957" s="47">
        <v>0</v>
      </c>
      <c r="E957" s="47">
        <v>2</v>
      </c>
      <c r="F957" s="47">
        <v>10</v>
      </c>
      <c r="G957" s="47" t="b">
        <v>0</v>
      </c>
      <c r="H957" s="47">
        <v>6</v>
      </c>
      <c r="I957" s="47">
        <v>1</v>
      </c>
      <c r="J957" s="47">
        <v>0.22</v>
      </c>
      <c r="K957" s="47">
        <v>0.21210000000000001</v>
      </c>
      <c r="L957" s="47">
        <v>0.41</v>
      </c>
      <c r="M957" s="47">
        <v>0.25369999999999998</v>
      </c>
      <c r="N957" s="47">
        <v>13</v>
      </c>
      <c r="O957" s="47">
        <v>71</v>
      </c>
      <c r="P957" s="48">
        <v>84</v>
      </c>
    </row>
    <row r="958" spans="1:16">
      <c r="A958" s="41">
        <v>957</v>
      </c>
      <c r="B958" s="42">
        <v>40586</v>
      </c>
      <c r="C958" s="43">
        <v>1</v>
      </c>
      <c r="D958" s="43">
        <v>0</v>
      </c>
      <c r="E958" s="43">
        <v>2</v>
      </c>
      <c r="F958" s="43">
        <v>11</v>
      </c>
      <c r="G958" s="43" t="b">
        <v>0</v>
      </c>
      <c r="H958" s="43">
        <v>6</v>
      </c>
      <c r="I958" s="43">
        <v>1</v>
      </c>
      <c r="J958" s="43">
        <v>0.3</v>
      </c>
      <c r="K958" s="43">
        <v>0.2727</v>
      </c>
      <c r="L958" s="43">
        <v>0.28000000000000003</v>
      </c>
      <c r="M958" s="43">
        <v>0.32840000000000003</v>
      </c>
      <c r="N958" s="43">
        <v>30</v>
      </c>
      <c r="O958" s="43">
        <v>84</v>
      </c>
      <c r="P958" s="44">
        <v>114</v>
      </c>
    </row>
    <row r="959" spans="1:16">
      <c r="A959" s="45">
        <v>958</v>
      </c>
      <c r="B959" s="46">
        <v>40586</v>
      </c>
      <c r="C959" s="47">
        <v>1</v>
      </c>
      <c r="D959" s="47">
        <v>0</v>
      </c>
      <c r="E959" s="47">
        <v>2</v>
      </c>
      <c r="F959" s="47">
        <v>12</v>
      </c>
      <c r="G959" s="47" t="b">
        <v>0</v>
      </c>
      <c r="H959" s="47">
        <v>6</v>
      </c>
      <c r="I959" s="47">
        <v>1</v>
      </c>
      <c r="J959" s="47">
        <v>0.3</v>
      </c>
      <c r="K959" s="47">
        <v>0.2727</v>
      </c>
      <c r="L959" s="47">
        <v>0.39</v>
      </c>
      <c r="M959" s="47">
        <v>0.4627</v>
      </c>
      <c r="N959" s="47">
        <v>27</v>
      </c>
      <c r="O959" s="47">
        <v>93</v>
      </c>
      <c r="P959" s="48">
        <v>120</v>
      </c>
    </row>
    <row r="960" spans="1:16">
      <c r="A960" s="41">
        <v>959</v>
      </c>
      <c r="B960" s="42">
        <v>40586</v>
      </c>
      <c r="C960" s="43">
        <v>1</v>
      </c>
      <c r="D960" s="43">
        <v>0</v>
      </c>
      <c r="E960" s="43">
        <v>2</v>
      </c>
      <c r="F960" s="43">
        <v>13</v>
      </c>
      <c r="G960" s="43" t="b">
        <v>0</v>
      </c>
      <c r="H960" s="43">
        <v>6</v>
      </c>
      <c r="I960" s="43">
        <v>1</v>
      </c>
      <c r="J960" s="43">
        <v>0.3</v>
      </c>
      <c r="K960" s="43">
        <v>0.2727</v>
      </c>
      <c r="L960" s="43">
        <v>0.39</v>
      </c>
      <c r="M960" s="43">
        <v>0.41789999999999999</v>
      </c>
      <c r="N960" s="43">
        <v>32</v>
      </c>
      <c r="O960" s="43">
        <v>103</v>
      </c>
      <c r="P960" s="44">
        <v>135</v>
      </c>
    </row>
    <row r="961" spans="1:16">
      <c r="A961" s="45">
        <v>960</v>
      </c>
      <c r="B961" s="46">
        <v>40586</v>
      </c>
      <c r="C961" s="47">
        <v>1</v>
      </c>
      <c r="D961" s="47">
        <v>0</v>
      </c>
      <c r="E961" s="47">
        <v>2</v>
      </c>
      <c r="F961" s="47">
        <v>14</v>
      </c>
      <c r="G961" s="47" t="b">
        <v>0</v>
      </c>
      <c r="H961" s="47">
        <v>6</v>
      </c>
      <c r="I961" s="47">
        <v>1</v>
      </c>
      <c r="J961" s="47">
        <v>0.34</v>
      </c>
      <c r="K961" s="47">
        <v>0.31819999999999998</v>
      </c>
      <c r="L961" s="47">
        <v>0.31</v>
      </c>
      <c r="M961" s="47">
        <v>0.28360000000000002</v>
      </c>
      <c r="N961" s="47">
        <v>30</v>
      </c>
      <c r="O961" s="47">
        <v>90</v>
      </c>
      <c r="P961" s="48">
        <v>120</v>
      </c>
    </row>
    <row r="962" spans="1:16">
      <c r="A962" s="41">
        <v>961</v>
      </c>
      <c r="B962" s="42">
        <v>40586</v>
      </c>
      <c r="C962" s="43">
        <v>1</v>
      </c>
      <c r="D962" s="43">
        <v>0</v>
      </c>
      <c r="E962" s="43">
        <v>2</v>
      </c>
      <c r="F962" s="43">
        <v>15</v>
      </c>
      <c r="G962" s="43" t="b">
        <v>0</v>
      </c>
      <c r="H962" s="43">
        <v>6</v>
      </c>
      <c r="I962" s="43">
        <v>1</v>
      </c>
      <c r="J962" s="43">
        <v>0.34</v>
      </c>
      <c r="K962" s="43">
        <v>0.30299999999999999</v>
      </c>
      <c r="L962" s="43">
        <v>0.28999999999999998</v>
      </c>
      <c r="M962" s="43">
        <v>0.41789999999999999</v>
      </c>
      <c r="N962" s="43">
        <v>47</v>
      </c>
      <c r="O962" s="43">
        <v>127</v>
      </c>
      <c r="P962" s="44">
        <v>174</v>
      </c>
    </row>
    <row r="963" spans="1:16">
      <c r="A963" s="45">
        <v>962</v>
      </c>
      <c r="B963" s="46">
        <v>40586</v>
      </c>
      <c r="C963" s="47">
        <v>1</v>
      </c>
      <c r="D963" s="47">
        <v>0</v>
      </c>
      <c r="E963" s="47">
        <v>2</v>
      </c>
      <c r="F963" s="47">
        <v>16</v>
      </c>
      <c r="G963" s="47" t="b">
        <v>0</v>
      </c>
      <c r="H963" s="47">
        <v>6</v>
      </c>
      <c r="I963" s="47">
        <v>1</v>
      </c>
      <c r="J963" s="47">
        <v>0.34</v>
      </c>
      <c r="K963" s="47">
        <v>0.30299999999999999</v>
      </c>
      <c r="L963" s="47">
        <v>0.28999999999999998</v>
      </c>
      <c r="M963" s="47">
        <v>0.41789999999999999</v>
      </c>
      <c r="N963" s="47">
        <v>42</v>
      </c>
      <c r="O963" s="47">
        <v>103</v>
      </c>
      <c r="P963" s="48">
        <v>145</v>
      </c>
    </row>
    <row r="964" spans="1:16">
      <c r="A964" s="41">
        <v>963</v>
      </c>
      <c r="B964" s="42">
        <v>40586</v>
      </c>
      <c r="C964" s="43">
        <v>1</v>
      </c>
      <c r="D964" s="43">
        <v>0</v>
      </c>
      <c r="E964" s="43">
        <v>2</v>
      </c>
      <c r="F964" s="43">
        <v>17</v>
      </c>
      <c r="G964" s="43" t="b">
        <v>0</v>
      </c>
      <c r="H964" s="43">
        <v>6</v>
      </c>
      <c r="I964" s="43">
        <v>1</v>
      </c>
      <c r="J964" s="43">
        <v>0.32</v>
      </c>
      <c r="K964" s="43">
        <v>0.28789999999999999</v>
      </c>
      <c r="L964" s="43">
        <v>0.31</v>
      </c>
      <c r="M964" s="43">
        <v>0.52239999999999998</v>
      </c>
      <c r="N964" s="43">
        <v>24</v>
      </c>
      <c r="O964" s="43">
        <v>113</v>
      </c>
      <c r="P964" s="44">
        <v>137</v>
      </c>
    </row>
    <row r="965" spans="1:16">
      <c r="A965" s="45">
        <v>964</v>
      </c>
      <c r="B965" s="46">
        <v>40586</v>
      </c>
      <c r="C965" s="47">
        <v>1</v>
      </c>
      <c r="D965" s="47">
        <v>0</v>
      </c>
      <c r="E965" s="47">
        <v>2</v>
      </c>
      <c r="F965" s="47">
        <v>18</v>
      </c>
      <c r="G965" s="47" t="b">
        <v>0</v>
      </c>
      <c r="H965" s="47">
        <v>6</v>
      </c>
      <c r="I965" s="47">
        <v>1</v>
      </c>
      <c r="J965" s="47">
        <v>0.28000000000000003</v>
      </c>
      <c r="K965" s="47">
        <v>0.2576</v>
      </c>
      <c r="L965" s="47">
        <v>0.38</v>
      </c>
      <c r="M965" s="47">
        <v>0.32840000000000003</v>
      </c>
      <c r="N965" s="47">
        <v>4</v>
      </c>
      <c r="O965" s="47">
        <v>60</v>
      </c>
      <c r="P965" s="48">
        <v>64</v>
      </c>
    </row>
    <row r="966" spans="1:16">
      <c r="A966" s="41">
        <v>965</v>
      </c>
      <c r="B966" s="42">
        <v>40586</v>
      </c>
      <c r="C966" s="43">
        <v>1</v>
      </c>
      <c r="D966" s="43">
        <v>0</v>
      </c>
      <c r="E966" s="43">
        <v>2</v>
      </c>
      <c r="F966" s="43">
        <v>19</v>
      </c>
      <c r="G966" s="43" t="b">
        <v>0</v>
      </c>
      <c r="H966" s="43">
        <v>6</v>
      </c>
      <c r="I966" s="43">
        <v>1</v>
      </c>
      <c r="J966" s="43">
        <v>0.28000000000000003</v>
      </c>
      <c r="K966" s="43">
        <v>0.2727</v>
      </c>
      <c r="L966" s="43">
        <v>0.38</v>
      </c>
      <c r="M966" s="43">
        <v>0.16420000000000001</v>
      </c>
      <c r="N966" s="43">
        <v>2</v>
      </c>
      <c r="O966" s="43">
        <v>39</v>
      </c>
      <c r="P966" s="44">
        <v>41</v>
      </c>
    </row>
    <row r="967" spans="1:16">
      <c r="A967" s="45">
        <v>966</v>
      </c>
      <c r="B967" s="46">
        <v>40586</v>
      </c>
      <c r="C967" s="47">
        <v>1</v>
      </c>
      <c r="D967" s="47">
        <v>0</v>
      </c>
      <c r="E967" s="47">
        <v>2</v>
      </c>
      <c r="F967" s="47">
        <v>20</v>
      </c>
      <c r="G967" s="47" t="b">
        <v>0</v>
      </c>
      <c r="H967" s="47">
        <v>6</v>
      </c>
      <c r="I967" s="47">
        <v>1</v>
      </c>
      <c r="J967" s="47">
        <v>0.26</v>
      </c>
      <c r="K967" s="47">
        <v>0.2576</v>
      </c>
      <c r="L967" s="47">
        <v>0.41</v>
      </c>
      <c r="M967" s="47">
        <v>0.22389999999999999</v>
      </c>
      <c r="N967" s="47">
        <v>1</v>
      </c>
      <c r="O967" s="47">
        <v>39</v>
      </c>
      <c r="P967" s="48">
        <v>40</v>
      </c>
    </row>
    <row r="968" spans="1:16">
      <c r="A968" s="41">
        <v>967</v>
      </c>
      <c r="B968" s="42">
        <v>40586</v>
      </c>
      <c r="C968" s="43">
        <v>1</v>
      </c>
      <c r="D968" s="43">
        <v>0</v>
      </c>
      <c r="E968" s="43">
        <v>2</v>
      </c>
      <c r="F968" s="43">
        <v>21</v>
      </c>
      <c r="G968" s="43" t="b">
        <v>0</v>
      </c>
      <c r="H968" s="43">
        <v>6</v>
      </c>
      <c r="I968" s="43">
        <v>1</v>
      </c>
      <c r="J968" s="43">
        <v>0.26</v>
      </c>
      <c r="K968" s="43">
        <v>0.30299999999999999</v>
      </c>
      <c r="L968" s="43">
        <v>0.41</v>
      </c>
      <c r="M968" s="43">
        <v>0</v>
      </c>
      <c r="N968" s="43">
        <v>9</v>
      </c>
      <c r="O968" s="43">
        <v>42</v>
      </c>
      <c r="P968" s="44">
        <v>51</v>
      </c>
    </row>
    <row r="969" spans="1:16">
      <c r="A969" s="45">
        <v>968</v>
      </c>
      <c r="B969" s="46">
        <v>40586</v>
      </c>
      <c r="C969" s="47">
        <v>1</v>
      </c>
      <c r="D969" s="47">
        <v>0</v>
      </c>
      <c r="E969" s="47">
        <v>2</v>
      </c>
      <c r="F969" s="47">
        <v>22</v>
      </c>
      <c r="G969" s="47" t="b">
        <v>0</v>
      </c>
      <c r="H969" s="47">
        <v>6</v>
      </c>
      <c r="I969" s="47">
        <v>1</v>
      </c>
      <c r="J969" s="47">
        <v>0.24</v>
      </c>
      <c r="K969" s="47">
        <v>0.2576</v>
      </c>
      <c r="L969" s="47">
        <v>0.44</v>
      </c>
      <c r="M969" s="47">
        <v>8.9599999999999999E-2</v>
      </c>
      <c r="N969" s="47">
        <v>6</v>
      </c>
      <c r="O969" s="47">
        <v>39</v>
      </c>
      <c r="P969" s="48">
        <v>45</v>
      </c>
    </row>
    <row r="970" spans="1:16">
      <c r="A970" s="41">
        <v>969</v>
      </c>
      <c r="B970" s="42">
        <v>40586</v>
      </c>
      <c r="C970" s="43">
        <v>1</v>
      </c>
      <c r="D970" s="43">
        <v>0</v>
      </c>
      <c r="E970" s="43">
        <v>2</v>
      </c>
      <c r="F970" s="43">
        <v>23</v>
      </c>
      <c r="G970" s="43" t="b">
        <v>0</v>
      </c>
      <c r="H970" s="43">
        <v>6</v>
      </c>
      <c r="I970" s="43">
        <v>1</v>
      </c>
      <c r="J970" s="43">
        <v>0.22</v>
      </c>
      <c r="K970" s="43">
        <v>0.2273</v>
      </c>
      <c r="L970" s="43">
        <v>0.51</v>
      </c>
      <c r="M970" s="43">
        <v>0.1343</v>
      </c>
      <c r="N970" s="43">
        <v>1</v>
      </c>
      <c r="O970" s="43">
        <v>31</v>
      </c>
      <c r="P970" s="44">
        <v>32</v>
      </c>
    </row>
    <row r="971" spans="1:16">
      <c r="A971" s="45">
        <v>970</v>
      </c>
      <c r="B971" s="46">
        <v>40587</v>
      </c>
      <c r="C971" s="47">
        <v>1</v>
      </c>
      <c r="D971" s="47">
        <v>0</v>
      </c>
      <c r="E971" s="47">
        <v>2</v>
      </c>
      <c r="F971" s="47">
        <v>0</v>
      </c>
      <c r="G971" s="47" t="b">
        <v>0</v>
      </c>
      <c r="H971" s="47">
        <v>0</v>
      </c>
      <c r="I971" s="47">
        <v>1</v>
      </c>
      <c r="J971" s="47">
        <v>0.2</v>
      </c>
      <c r="K971" s="47">
        <v>0.2273</v>
      </c>
      <c r="L971" s="47">
        <v>0.64</v>
      </c>
      <c r="M971" s="47">
        <v>0.1045</v>
      </c>
      <c r="N971" s="47">
        <v>5</v>
      </c>
      <c r="O971" s="47">
        <v>34</v>
      </c>
      <c r="P971" s="48">
        <v>39</v>
      </c>
    </row>
    <row r="972" spans="1:16">
      <c r="A972" s="41">
        <v>971</v>
      </c>
      <c r="B972" s="42">
        <v>40587</v>
      </c>
      <c r="C972" s="43">
        <v>1</v>
      </c>
      <c r="D972" s="43">
        <v>0</v>
      </c>
      <c r="E972" s="43">
        <v>2</v>
      </c>
      <c r="F972" s="43">
        <v>1</v>
      </c>
      <c r="G972" s="43" t="b">
        <v>0</v>
      </c>
      <c r="H972" s="43">
        <v>0</v>
      </c>
      <c r="I972" s="43">
        <v>1</v>
      </c>
      <c r="J972" s="43">
        <v>0.2</v>
      </c>
      <c r="K972" s="43">
        <v>0.2273</v>
      </c>
      <c r="L972" s="43">
        <v>0.59</v>
      </c>
      <c r="M972" s="43">
        <v>8.9599999999999999E-2</v>
      </c>
      <c r="N972" s="43">
        <v>1</v>
      </c>
      <c r="O972" s="43">
        <v>23</v>
      </c>
      <c r="P972" s="44">
        <v>24</v>
      </c>
    </row>
    <row r="973" spans="1:16">
      <c r="A973" s="45">
        <v>972</v>
      </c>
      <c r="B973" s="46">
        <v>40587</v>
      </c>
      <c r="C973" s="47">
        <v>1</v>
      </c>
      <c r="D973" s="47">
        <v>0</v>
      </c>
      <c r="E973" s="47">
        <v>2</v>
      </c>
      <c r="F973" s="47">
        <v>2</v>
      </c>
      <c r="G973" s="47" t="b">
        <v>0</v>
      </c>
      <c r="H973" s="47">
        <v>0</v>
      </c>
      <c r="I973" s="47">
        <v>2</v>
      </c>
      <c r="J973" s="47">
        <v>0.2</v>
      </c>
      <c r="K973" s="47">
        <v>0.2273</v>
      </c>
      <c r="L973" s="47">
        <v>0.75</v>
      </c>
      <c r="M973" s="47">
        <v>8.9599999999999999E-2</v>
      </c>
      <c r="N973" s="47">
        <v>1</v>
      </c>
      <c r="O973" s="47">
        <v>19</v>
      </c>
      <c r="P973" s="48">
        <v>20</v>
      </c>
    </row>
    <row r="974" spans="1:16">
      <c r="A974" s="41">
        <v>973</v>
      </c>
      <c r="B974" s="42">
        <v>40587</v>
      </c>
      <c r="C974" s="43">
        <v>1</v>
      </c>
      <c r="D974" s="43">
        <v>0</v>
      </c>
      <c r="E974" s="43">
        <v>2</v>
      </c>
      <c r="F974" s="43">
        <v>3</v>
      </c>
      <c r="G974" s="43" t="b">
        <v>0</v>
      </c>
      <c r="H974" s="43">
        <v>0</v>
      </c>
      <c r="I974" s="43">
        <v>2</v>
      </c>
      <c r="J974" s="43">
        <v>0.2</v>
      </c>
      <c r="K974" s="43">
        <v>0.2273</v>
      </c>
      <c r="L974" s="43">
        <v>0.69</v>
      </c>
      <c r="M974" s="43">
        <v>0.1045</v>
      </c>
      <c r="N974" s="43">
        <v>4</v>
      </c>
      <c r="O974" s="43">
        <v>8</v>
      </c>
      <c r="P974" s="44">
        <v>12</v>
      </c>
    </row>
    <row r="975" spans="1:16">
      <c r="A975" s="45">
        <v>974</v>
      </c>
      <c r="B975" s="46">
        <v>40587</v>
      </c>
      <c r="C975" s="47">
        <v>1</v>
      </c>
      <c r="D975" s="47">
        <v>0</v>
      </c>
      <c r="E975" s="47">
        <v>2</v>
      </c>
      <c r="F975" s="47">
        <v>4</v>
      </c>
      <c r="G975" s="47" t="b">
        <v>0</v>
      </c>
      <c r="H975" s="47">
        <v>0</v>
      </c>
      <c r="I975" s="47">
        <v>2</v>
      </c>
      <c r="J975" s="47">
        <v>0.2</v>
      </c>
      <c r="K975" s="47">
        <v>0.21210000000000001</v>
      </c>
      <c r="L975" s="47">
        <v>0.69</v>
      </c>
      <c r="M975" s="47">
        <v>0.16420000000000001</v>
      </c>
      <c r="N975" s="47">
        <v>0</v>
      </c>
      <c r="O975" s="47">
        <v>2</v>
      </c>
      <c r="P975" s="48">
        <v>2</v>
      </c>
    </row>
    <row r="976" spans="1:16">
      <c r="A976" s="41">
        <v>975</v>
      </c>
      <c r="B976" s="42">
        <v>40587</v>
      </c>
      <c r="C976" s="43">
        <v>1</v>
      </c>
      <c r="D976" s="43">
        <v>0</v>
      </c>
      <c r="E976" s="43">
        <v>2</v>
      </c>
      <c r="F976" s="43">
        <v>6</v>
      </c>
      <c r="G976" s="43" t="b">
        <v>0</v>
      </c>
      <c r="H976" s="43">
        <v>0</v>
      </c>
      <c r="I976" s="43">
        <v>2</v>
      </c>
      <c r="J976" s="43">
        <v>0.2</v>
      </c>
      <c r="K976" s="43">
        <v>0.21210000000000001</v>
      </c>
      <c r="L976" s="43">
        <v>0.69</v>
      </c>
      <c r="M976" s="43">
        <v>0.1343</v>
      </c>
      <c r="N976" s="43">
        <v>2</v>
      </c>
      <c r="O976" s="43">
        <v>3</v>
      </c>
      <c r="P976" s="44">
        <v>5</v>
      </c>
    </row>
    <row r="977" spans="1:16">
      <c r="A977" s="45">
        <v>976</v>
      </c>
      <c r="B977" s="46">
        <v>40587</v>
      </c>
      <c r="C977" s="47">
        <v>1</v>
      </c>
      <c r="D977" s="47">
        <v>0</v>
      </c>
      <c r="E977" s="47">
        <v>2</v>
      </c>
      <c r="F977" s="47">
        <v>7</v>
      </c>
      <c r="G977" s="47" t="b">
        <v>0</v>
      </c>
      <c r="H977" s="47">
        <v>0</v>
      </c>
      <c r="I977" s="47">
        <v>2</v>
      </c>
      <c r="J977" s="47">
        <v>0.22</v>
      </c>
      <c r="K977" s="47">
        <v>0.2727</v>
      </c>
      <c r="L977" s="47">
        <v>0.55000000000000004</v>
      </c>
      <c r="M977" s="47">
        <v>0</v>
      </c>
      <c r="N977" s="47">
        <v>0</v>
      </c>
      <c r="O977" s="47">
        <v>3</v>
      </c>
      <c r="P977" s="48">
        <v>3</v>
      </c>
    </row>
    <row r="978" spans="1:16">
      <c r="A978" s="41">
        <v>977</v>
      </c>
      <c r="B978" s="42">
        <v>40587</v>
      </c>
      <c r="C978" s="43">
        <v>1</v>
      </c>
      <c r="D978" s="43">
        <v>0</v>
      </c>
      <c r="E978" s="43">
        <v>2</v>
      </c>
      <c r="F978" s="43">
        <v>8</v>
      </c>
      <c r="G978" s="43" t="b">
        <v>0</v>
      </c>
      <c r="H978" s="43">
        <v>0</v>
      </c>
      <c r="I978" s="43">
        <v>2</v>
      </c>
      <c r="J978" s="43">
        <v>0.22</v>
      </c>
      <c r="K978" s="43">
        <v>0.2273</v>
      </c>
      <c r="L978" s="43">
        <v>0.64</v>
      </c>
      <c r="M978" s="43">
        <v>0.19400000000000001</v>
      </c>
      <c r="N978" s="43">
        <v>1</v>
      </c>
      <c r="O978" s="43">
        <v>11</v>
      </c>
      <c r="P978" s="44">
        <v>12</v>
      </c>
    </row>
    <row r="979" spans="1:16">
      <c r="A979" s="45">
        <v>978</v>
      </c>
      <c r="B979" s="46">
        <v>40587</v>
      </c>
      <c r="C979" s="47">
        <v>1</v>
      </c>
      <c r="D979" s="47">
        <v>0</v>
      </c>
      <c r="E979" s="47">
        <v>2</v>
      </c>
      <c r="F979" s="47">
        <v>9</v>
      </c>
      <c r="G979" s="47" t="b">
        <v>0</v>
      </c>
      <c r="H979" s="47">
        <v>0</v>
      </c>
      <c r="I979" s="47">
        <v>2</v>
      </c>
      <c r="J979" s="47">
        <v>0.24</v>
      </c>
      <c r="K979" s="47">
        <v>0.2273</v>
      </c>
      <c r="L979" s="47">
        <v>0.6</v>
      </c>
      <c r="M979" s="47">
        <v>0.22389999999999999</v>
      </c>
      <c r="N979" s="47">
        <v>12</v>
      </c>
      <c r="O979" s="47">
        <v>35</v>
      </c>
      <c r="P979" s="48">
        <v>47</v>
      </c>
    </row>
    <row r="980" spans="1:16">
      <c r="A980" s="41">
        <v>979</v>
      </c>
      <c r="B980" s="42">
        <v>40587</v>
      </c>
      <c r="C980" s="43">
        <v>1</v>
      </c>
      <c r="D980" s="43">
        <v>0</v>
      </c>
      <c r="E980" s="43">
        <v>2</v>
      </c>
      <c r="F980" s="43">
        <v>10</v>
      </c>
      <c r="G980" s="43" t="b">
        <v>0</v>
      </c>
      <c r="H980" s="43">
        <v>0</v>
      </c>
      <c r="I980" s="43">
        <v>1</v>
      </c>
      <c r="J980" s="43">
        <v>0.3</v>
      </c>
      <c r="K980" s="43">
        <v>0.2727</v>
      </c>
      <c r="L980" s="43">
        <v>0.45</v>
      </c>
      <c r="M980" s="43">
        <v>0.32840000000000003</v>
      </c>
      <c r="N980" s="43">
        <v>19</v>
      </c>
      <c r="O980" s="43">
        <v>86</v>
      </c>
      <c r="P980" s="44">
        <v>105</v>
      </c>
    </row>
    <row r="981" spans="1:16">
      <c r="A981" s="45">
        <v>980</v>
      </c>
      <c r="B981" s="46">
        <v>40587</v>
      </c>
      <c r="C981" s="47">
        <v>1</v>
      </c>
      <c r="D981" s="47">
        <v>0</v>
      </c>
      <c r="E981" s="47">
        <v>2</v>
      </c>
      <c r="F981" s="47">
        <v>11</v>
      </c>
      <c r="G981" s="47" t="b">
        <v>0</v>
      </c>
      <c r="H981" s="47">
        <v>0</v>
      </c>
      <c r="I981" s="47">
        <v>1</v>
      </c>
      <c r="J981" s="47">
        <v>0.32</v>
      </c>
      <c r="K981" s="47">
        <v>0.28789999999999999</v>
      </c>
      <c r="L981" s="47">
        <v>0.39</v>
      </c>
      <c r="M981" s="47">
        <v>0.44779999999999998</v>
      </c>
      <c r="N981" s="47">
        <v>26</v>
      </c>
      <c r="O981" s="47">
        <v>86</v>
      </c>
      <c r="P981" s="48">
        <v>112</v>
      </c>
    </row>
    <row r="982" spans="1:16">
      <c r="A982" s="41">
        <v>981</v>
      </c>
      <c r="B982" s="42">
        <v>40587</v>
      </c>
      <c r="C982" s="43">
        <v>1</v>
      </c>
      <c r="D982" s="43">
        <v>0</v>
      </c>
      <c r="E982" s="43">
        <v>2</v>
      </c>
      <c r="F982" s="43">
        <v>12</v>
      </c>
      <c r="G982" s="43" t="b">
        <v>0</v>
      </c>
      <c r="H982" s="43">
        <v>0</v>
      </c>
      <c r="I982" s="43">
        <v>1</v>
      </c>
      <c r="J982" s="43">
        <v>0.36</v>
      </c>
      <c r="K982" s="43">
        <v>0.31819999999999998</v>
      </c>
      <c r="L982" s="43">
        <v>0.32</v>
      </c>
      <c r="M982" s="43">
        <v>0.4627</v>
      </c>
      <c r="N982" s="43">
        <v>58</v>
      </c>
      <c r="O982" s="43">
        <v>94</v>
      </c>
      <c r="P982" s="44">
        <v>152</v>
      </c>
    </row>
    <row r="983" spans="1:16">
      <c r="A983" s="45">
        <v>982</v>
      </c>
      <c r="B983" s="46">
        <v>40587</v>
      </c>
      <c r="C983" s="47">
        <v>1</v>
      </c>
      <c r="D983" s="47">
        <v>0</v>
      </c>
      <c r="E983" s="47">
        <v>2</v>
      </c>
      <c r="F983" s="47">
        <v>13</v>
      </c>
      <c r="G983" s="47" t="b">
        <v>0</v>
      </c>
      <c r="H983" s="47">
        <v>0</v>
      </c>
      <c r="I983" s="47">
        <v>1</v>
      </c>
      <c r="J983" s="47">
        <v>0.38</v>
      </c>
      <c r="K983" s="47">
        <v>0.39389999999999997</v>
      </c>
      <c r="L983" s="47">
        <v>0.28999999999999998</v>
      </c>
      <c r="M983" s="47">
        <v>0.35820000000000002</v>
      </c>
      <c r="N983" s="47">
        <v>62</v>
      </c>
      <c r="O983" s="47">
        <v>92</v>
      </c>
      <c r="P983" s="48">
        <v>154</v>
      </c>
    </row>
    <row r="984" spans="1:16">
      <c r="A984" s="41">
        <v>983</v>
      </c>
      <c r="B984" s="42">
        <v>40587</v>
      </c>
      <c r="C984" s="43">
        <v>1</v>
      </c>
      <c r="D984" s="43">
        <v>0</v>
      </c>
      <c r="E984" s="43">
        <v>2</v>
      </c>
      <c r="F984" s="43">
        <v>14</v>
      </c>
      <c r="G984" s="43" t="b">
        <v>0</v>
      </c>
      <c r="H984" s="43">
        <v>0</v>
      </c>
      <c r="I984" s="43">
        <v>2</v>
      </c>
      <c r="J984" s="43">
        <v>0.4</v>
      </c>
      <c r="K984" s="43">
        <v>0.40910000000000002</v>
      </c>
      <c r="L984" s="43">
        <v>0.3</v>
      </c>
      <c r="M984" s="43">
        <v>0.41789999999999999</v>
      </c>
      <c r="N984" s="43">
        <v>51</v>
      </c>
      <c r="O984" s="43">
        <v>110</v>
      </c>
      <c r="P984" s="44">
        <v>161</v>
      </c>
    </row>
    <row r="985" spans="1:16">
      <c r="A985" s="45">
        <v>984</v>
      </c>
      <c r="B985" s="46">
        <v>40587</v>
      </c>
      <c r="C985" s="47">
        <v>1</v>
      </c>
      <c r="D985" s="47">
        <v>0</v>
      </c>
      <c r="E985" s="47">
        <v>2</v>
      </c>
      <c r="F985" s="47">
        <v>15</v>
      </c>
      <c r="G985" s="47" t="b">
        <v>0</v>
      </c>
      <c r="H985" s="47">
        <v>0</v>
      </c>
      <c r="I985" s="47">
        <v>2</v>
      </c>
      <c r="J985" s="47">
        <v>0.4</v>
      </c>
      <c r="K985" s="47">
        <v>0.40910000000000002</v>
      </c>
      <c r="L985" s="47">
        <v>0.3</v>
      </c>
      <c r="M985" s="47">
        <v>0.29849999999999999</v>
      </c>
      <c r="N985" s="47">
        <v>40</v>
      </c>
      <c r="O985" s="47">
        <v>122</v>
      </c>
      <c r="P985" s="48">
        <v>162</v>
      </c>
    </row>
    <row r="986" spans="1:16">
      <c r="A986" s="41">
        <v>985</v>
      </c>
      <c r="B986" s="42">
        <v>40587</v>
      </c>
      <c r="C986" s="43">
        <v>1</v>
      </c>
      <c r="D986" s="43">
        <v>0</v>
      </c>
      <c r="E986" s="43">
        <v>2</v>
      </c>
      <c r="F986" s="43">
        <v>16</v>
      </c>
      <c r="G986" s="43" t="b">
        <v>0</v>
      </c>
      <c r="H986" s="43">
        <v>0</v>
      </c>
      <c r="I986" s="43">
        <v>2</v>
      </c>
      <c r="J986" s="43">
        <v>0.42</v>
      </c>
      <c r="K986" s="43">
        <v>0.42420000000000002</v>
      </c>
      <c r="L986" s="43">
        <v>0.28000000000000003</v>
      </c>
      <c r="M986" s="43">
        <v>0.32840000000000003</v>
      </c>
      <c r="N986" s="43">
        <v>28</v>
      </c>
      <c r="O986" s="43">
        <v>106</v>
      </c>
      <c r="P986" s="44">
        <v>134</v>
      </c>
    </row>
    <row r="987" spans="1:16">
      <c r="A987" s="45">
        <v>986</v>
      </c>
      <c r="B987" s="46">
        <v>40587</v>
      </c>
      <c r="C987" s="47">
        <v>1</v>
      </c>
      <c r="D987" s="47">
        <v>0</v>
      </c>
      <c r="E987" s="47">
        <v>2</v>
      </c>
      <c r="F987" s="47">
        <v>17</v>
      </c>
      <c r="G987" s="47" t="b">
        <v>0</v>
      </c>
      <c r="H987" s="47">
        <v>0</v>
      </c>
      <c r="I987" s="47">
        <v>1</v>
      </c>
      <c r="J987" s="47">
        <v>0.42</v>
      </c>
      <c r="K987" s="47">
        <v>0.42420000000000002</v>
      </c>
      <c r="L987" s="47">
        <v>0.28000000000000003</v>
      </c>
      <c r="M987" s="47">
        <v>0.32840000000000003</v>
      </c>
      <c r="N987" s="47">
        <v>30</v>
      </c>
      <c r="O987" s="47">
        <v>95</v>
      </c>
      <c r="P987" s="48">
        <v>125</v>
      </c>
    </row>
    <row r="988" spans="1:16">
      <c r="A988" s="41">
        <v>987</v>
      </c>
      <c r="B988" s="42">
        <v>40587</v>
      </c>
      <c r="C988" s="43">
        <v>1</v>
      </c>
      <c r="D988" s="43">
        <v>0</v>
      </c>
      <c r="E988" s="43">
        <v>2</v>
      </c>
      <c r="F988" s="43">
        <v>18</v>
      </c>
      <c r="G988" s="43" t="b">
        <v>0</v>
      </c>
      <c r="H988" s="43">
        <v>0</v>
      </c>
      <c r="I988" s="43">
        <v>1</v>
      </c>
      <c r="J988" s="43">
        <v>0.4</v>
      </c>
      <c r="K988" s="43">
        <v>0.40910000000000002</v>
      </c>
      <c r="L988" s="43">
        <v>0.32</v>
      </c>
      <c r="M988" s="43">
        <v>0.29849999999999999</v>
      </c>
      <c r="N988" s="43">
        <v>17</v>
      </c>
      <c r="O988" s="43">
        <v>78</v>
      </c>
      <c r="P988" s="44">
        <v>95</v>
      </c>
    </row>
    <row r="989" spans="1:16">
      <c r="A989" s="45">
        <v>988</v>
      </c>
      <c r="B989" s="46">
        <v>40587</v>
      </c>
      <c r="C989" s="47">
        <v>1</v>
      </c>
      <c r="D989" s="47">
        <v>0</v>
      </c>
      <c r="E989" s="47">
        <v>2</v>
      </c>
      <c r="F989" s="47">
        <v>19</v>
      </c>
      <c r="G989" s="47" t="b">
        <v>0</v>
      </c>
      <c r="H989" s="47">
        <v>0</v>
      </c>
      <c r="I989" s="47">
        <v>1</v>
      </c>
      <c r="J989" s="47">
        <v>0.4</v>
      </c>
      <c r="K989" s="47">
        <v>0.40910000000000002</v>
      </c>
      <c r="L989" s="47">
        <v>0.35</v>
      </c>
      <c r="M989" s="47">
        <v>0.28360000000000002</v>
      </c>
      <c r="N989" s="47">
        <v>11</v>
      </c>
      <c r="O989" s="47">
        <v>50</v>
      </c>
      <c r="P989" s="48">
        <v>61</v>
      </c>
    </row>
    <row r="990" spans="1:16">
      <c r="A990" s="41">
        <v>989</v>
      </c>
      <c r="B990" s="42">
        <v>40587</v>
      </c>
      <c r="C990" s="43">
        <v>1</v>
      </c>
      <c r="D990" s="43">
        <v>0</v>
      </c>
      <c r="E990" s="43">
        <v>2</v>
      </c>
      <c r="F990" s="43">
        <v>20</v>
      </c>
      <c r="G990" s="43" t="b">
        <v>0</v>
      </c>
      <c r="H990" s="43">
        <v>0</v>
      </c>
      <c r="I990" s="43">
        <v>1</v>
      </c>
      <c r="J990" s="43">
        <v>0.4</v>
      </c>
      <c r="K990" s="43">
        <v>0.40910000000000002</v>
      </c>
      <c r="L990" s="43">
        <v>0.35</v>
      </c>
      <c r="M990" s="43">
        <v>0.32840000000000003</v>
      </c>
      <c r="N990" s="43">
        <v>15</v>
      </c>
      <c r="O990" s="43">
        <v>32</v>
      </c>
      <c r="P990" s="44">
        <v>47</v>
      </c>
    </row>
    <row r="991" spans="1:16">
      <c r="A991" s="45">
        <v>990</v>
      </c>
      <c r="B991" s="46">
        <v>40587</v>
      </c>
      <c r="C991" s="47">
        <v>1</v>
      </c>
      <c r="D991" s="47">
        <v>0</v>
      </c>
      <c r="E991" s="47">
        <v>2</v>
      </c>
      <c r="F991" s="47">
        <v>21</v>
      </c>
      <c r="G991" s="47" t="b">
        <v>0</v>
      </c>
      <c r="H991" s="47">
        <v>0</v>
      </c>
      <c r="I991" s="47">
        <v>1</v>
      </c>
      <c r="J991" s="47">
        <v>0.4</v>
      </c>
      <c r="K991" s="47">
        <v>0.40910000000000002</v>
      </c>
      <c r="L991" s="47">
        <v>0.35</v>
      </c>
      <c r="M991" s="47">
        <v>0.35820000000000002</v>
      </c>
      <c r="N991" s="47">
        <v>6</v>
      </c>
      <c r="O991" s="47">
        <v>45</v>
      </c>
      <c r="P991" s="48">
        <v>51</v>
      </c>
    </row>
    <row r="992" spans="1:16">
      <c r="A992" s="41">
        <v>991</v>
      </c>
      <c r="B992" s="42">
        <v>40587</v>
      </c>
      <c r="C992" s="43">
        <v>1</v>
      </c>
      <c r="D992" s="43">
        <v>0</v>
      </c>
      <c r="E992" s="43">
        <v>2</v>
      </c>
      <c r="F992" s="43">
        <v>22</v>
      </c>
      <c r="G992" s="43" t="b">
        <v>0</v>
      </c>
      <c r="H992" s="43">
        <v>0</v>
      </c>
      <c r="I992" s="43">
        <v>1</v>
      </c>
      <c r="J992" s="43">
        <v>0.4</v>
      </c>
      <c r="K992" s="43">
        <v>0.40910000000000002</v>
      </c>
      <c r="L992" s="43">
        <v>0.35</v>
      </c>
      <c r="M992" s="43">
        <v>0.29849999999999999</v>
      </c>
      <c r="N992" s="43">
        <v>5</v>
      </c>
      <c r="O992" s="43">
        <v>31</v>
      </c>
      <c r="P992" s="44">
        <v>36</v>
      </c>
    </row>
    <row r="993" spans="1:16">
      <c r="A993" s="45">
        <v>992</v>
      </c>
      <c r="B993" s="46">
        <v>40587</v>
      </c>
      <c r="C993" s="47">
        <v>1</v>
      </c>
      <c r="D993" s="47">
        <v>0</v>
      </c>
      <c r="E993" s="47">
        <v>2</v>
      </c>
      <c r="F993" s="47">
        <v>23</v>
      </c>
      <c r="G993" s="47" t="b">
        <v>0</v>
      </c>
      <c r="H993" s="47">
        <v>0</v>
      </c>
      <c r="I993" s="47">
        <v>1</v>
      </c>
      <c r="J993" s="47">
        <v>0.4</v>
      </c>
      <c r="K993" s="47">
        <v>0.40910000000000002</v>
      </c>
      <c r="L993" s="47">
        <v>0.35</v>
      </c>
      <c r="M993" s="47">
        <v>0.35820000000000002</v>
      </c>
      <c r="N993" s="47">
        <v>3</v>
      </c>
      <c r="O993" s="47">
        <v>27</v>
      </c>
      <c r="P993" s="48">
        <v>30</v>
      </c>
    </row>
    <row r="994" spans="1:16">
      <c r="A994" s="41">
        <v>993</v>
      </c>
      <c r="B994" s="42">
        <v>40588</v>
      </c>
      <c r="C994" s="43">
        <v>1</v>
      </c>
      <c r="D994" s="43">
        <v>0</v>
      </c>
      <c r="E994" s="43">
        <v>2</v>
      </c>
      <c r="F994" s="43">
        <v>0</v>
      </c>
      <c r="G994" s="43" t="b">
        <v>0</v>
      </c>
      <c r="H994" s="43">
        <v>1</v>
      </c>
      <c r="I994" s="43">
        <v>1</v>
      </c>
      <c r="J994" s="43">
        <v>0.38</v>
      </c>
      <c r="K994" s="43">
        <v>0.39389999999999997</v>
      </c>
      <c r="L994" s="43">
        <v>0.37</v>
      </c>
      <c r="M994" s="43">
        <v>0.35820000000000002</v>
      </c>
      <c r="N994" s="43">
        <v>3</v>
      </c>
      <c r="O994" s="43">
        <v>8</v>
      </c>
      <c r="P994" s="44">
        <v>11</v>
      </c>
    </row>
    <row r="995" spans="1:16">
      <c r="A995" s="45">
        <v>994</v>
      </c>
      <c r="B995" s="46">
        <v>40588</v>
      </c>
      <c r="C995" s="47">
        <v>1</v>
      </c>
      <c r="D995" s="47">
        <v>0</v>
      </c>
      <c r="E995" s="47">
        <v>2</v>
      </c>
      <c r="F995" s="47">
        <v>1</v>
      </c>
      <c r="G995" s="47" t="b">
        <v>0</v>
      </c>
      <c r="H995" s="47">
        <v>1</v>
      </c>
      <c r="I995" s="47">
        <v>1</v>
      </c>
      <c r="J995" s="47">
        <v>0.38</v>
      </c>
      <c r="K995" s="47">
        <v>0.39389999999999997</v>
      </c>
      <c r="L995" s="47">
        <v>0.37</v>
      </c>
      <c r="M995" s="47">
        <v>0.35820000000000002</v>
      </c>
      <c r="N995" s="47">
        <v>1</v>
      </c>
      <c r="O995" s="47">
        <v>6</v>
      </c>
      <c r="P995" s="48">
        <v>7</v>
      </c>
    </row>
    <row r="996" spans="1:16">
      <c r="A996" s="41">
        <v>995</v>
      </c>
      <c r="B996" s="42">
        <v>40588</v>
      </c>
      <c r="C996" s="43">
        <v>1</v>
      </c>
      <c r="D996" s="43">
        <v>0</v>
      </c>
      <c r="E996" s="43">
        <v>2</v>
      </c>
      <c r="F996" s="43">
        <v>2</v>
      </c>
      <c r="G996" s="43" t="b">
        <v>0</v>
      </c>
      <c r="H996" s="43">
        <v>1</v>
      </c>
      <c r="I996" s="43">
        <v>1</v>
      </c>
      <c r="J996" s="43">
        <v>0.36</v>
      </c>
      <c r="K996" s="43">
        <v>0.33329999999999999</v>
      </c>
      <c r="L996" s="43">
        <v>0.4</v>
      </c>
      <c r="M996" s="43">
        <v>0.29849999999999999</v>
      </c>
      <c r="N996" s="43">
        <v>0</v>
      </c>
      <c r="O996" s="43">
        <v>2</v>
      </c>
      <c r="P996" s="44">
        <v>2</v>
      </c>
    </row>
    <row r="997" spans="1:16">
      <c r="A997" s="45">
        <v>996</v>
      </c>
      <c r="B997" s="46">
        <v>40588</v>
      </c>
      <c r="C997" s="47">
        <v>1</v>
      </c>
      <c r="D997" s="47">
        <v>0</v>
      </c>
      <c r="E997" s="47">
        <v>2</v>
      </c>
      <c r="F997" s="47">
        <v>3</v>
      </c>
      <c r="G997" s="47" t="b">
        <v>0</v>
      </c>
      <c r="H997" s="47">
        <v>1</v>
      </c>
      <c r="I997" s="47">
        <v>1</v>
      </c>
      <c r="J997" s="47">
        <v>0.34</v>
      </c>
      <c r="K997" s="47">
        <v>0.31819999999999998</v>
      </c>
      <c r="L997" s="47">
        <v>0.46</v>
      </c>
      <c r="M997" s="47">
        <v>0.22389999999999999</v>
      </c>
      <c r="N997" s="47">
        <v>1</v>
      </c>
      <c r="O997" s="47">
        <v>1</v>
      </c>
      <c r="P997" s="48">
        <v>2</v>
      </c>
    </row>
    <row r="998" spans="1:16">
      <c r="A998" s="41">
        <v>997</v>
      </c>
      <c r="B998" s="42">
        <v>40588</v>
      </c>
      <c r="C998" s="43">
        <v>1</v>
      </c>
      <c r="D998" s="43">
        <v>0</v>
      </c>
      <c r="E998" s="43">
        <v>2</v>
      </c>
      <c r="F998" s="43">
        <v>4</v>
      </c>
      <c r="G998" s="43" t="b">
        <v>0</v>
      </c>
      <c r="H998" s="43">
        <v>1</v>
      </c>
      <c r="I998" s="43">
        <v>1</v>
      </c>
      <c r="J998" s="43">
        <v>0.32</v>
      </c>
      <c r="K998" s="43">
        <v>0.30299999999999999</v>
      </c>
      <c r="L998" s="43">
        <v>0.53</v>
      </c>
      <c r="M998" s="43">
        <v>0.28360000000000002</v>
      </c>
      <c r="N998" s="43">
        <v>0</v>
      </c>
      <c r="O998" s="43">
        <v>2</v>
      </c>
      <c r="P998" s="44">
        <v>2</v>
      </c>
    </row>
    <row r="999" spans="1:16">
      <c r="A999" s="45">
        <v>998</v>
      </c>
      <c r="B999" s="46">
        <v>40588</v>
      </c>
      <c r="C999" s="47">
        <v>1</v>
      </c>
      <c r="D999" s="47">
        <v>0</v>
      </c>
      <c r="E999" s="47">
        <v>2</v>
      </c>
      <c r="F999" s="47">
        <v>5</v>
      </c>
      <c r="G999" s="47" t="b">
        <v>0</v>
      </c>
      <c r="H999" s="47">
        <v>1</v>
      </c>
      <c r="I999" s="47">
        <v>1</v>
      </c>
      <c r="J999" s="47">
        <v>0.32</v>
      </c>
      <c r="K999" s="47">
        <v>0.30299999999999999</v>
      </c>
      <c r="L999" s="47">
        <v>0.53</v>
      </c>
      <c r="M999" s="47">
        <v>0.28360000000000002</v>
      </c>
      <c r="N999" s="47">
        <v>0</v>
      </c>
      <c r="O999" s="47">
        <v>3</v>
      </c>
      <c r="P999" s="48">
        <v>3</v>
      </c>
    </row>
    <row r="1000" spans="1:16">
      <c r="A1000" s="41">
        <v>999</v>
      </c>
      <c r="B1000" s="42">
        <v>40588</v>
      </c>
      <c r="C1000" s="43">
        <v>1</v>
      </c>
      <c r="D1000" s="43">
        <v>0</v>
      </c>
      <c r="E1000" s="43">
        <v>2</v>
      </c>
      <c r="F1000" s="43">
        <v>6</v>
      </c>
      <c r="G1000" s="43" t="b">
        <v>0</v>
      </c>
      <c r="H1000" s="43">
        <v>1</v>
      </c>
      <c r="I1000" s="43">
        <v>1</v>
      </c>
      <c r="J1000" s="43">
        <v>0.34</v>
      </c>
      <c r="K1000" s="43">
        <v>0.30299999999999999</v>
      </c>
      <c r="L1000" s="43">
        <v>0.46</v>
      </c>
      <c r="M1000" s="43">
        <v>0.29849999999999999</v>
      </c>
      <c r="N1000" s="43">
        <v>1</v>
      </c>
      <c r="O1000" s="43">
        <v>25</v>
      </c>
      <c r="P1000" s="44">
        <v>26</v>
      </c>
    </row>
    <row r="1001" spans="1:16">
      <c r="A1001" s="15">
        <v>1000</v>
      </c>
      <c r="B1001" s="49">
        <v>40588</v>
      </c>
      <c r="C1001" s="16">
        <v>1</v>
      </c>
      <c r="D1001" s="16">
        <v>0</v>
      </c>
      <c r="E1001" s="16">
        <v>2</v>
      </c>
      <c r="F1001" s="16">
        <v>7</v>
      </c>
      <c r="G1001" s="16" t="b">
        <v>0</v>
      </c>
      <c r="H1001" s="16">
        <v>1</v>
      </c>
      <c r="I1001" s="16">
        <v>1</v>
      </c>
      <c r="J1001" s="16">
        <v>0.34</v>
      </c>
      <c r="K1001" s="16">
        <v>0.30299999999999999</v>
      </c>
      <c r="L1001" s="16">
        <v>0.46</v>
      </c>
      <c r="M1001" s="16">
        <v>0.29849999999999999</v>
      </c>
      <c r="N1001" s="16">
        <v>2</v>
      </c>
      <c r="O1001" s="16">
        <v>96</v>
      </c>
      <c r="P1001" s="17">
        <v>98</v>
      </c>
    </row>
  </sheetData>
  <conditionalFormatting sqref="A1:A1048576">
    <cfRule type="duplicateValues" dxfId="0"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49AAD-6396-49DD-84CB-CA62B8CF8C69}">
  <dimension ref="G2:K7"/>
  <sheetViews>
    <sheetView workbookViewId="0">
      <selection activeCell="P6" sqref="P6"/>
    </sheetView>
  </sheetViews>
  <sheetFormatPr defaultRowHeight="14.4"/>
  <cols>
    <col min="7" max="7" width="19" customWidth="1"/>
    <col min="8" max="8" width="31.109375" customWidth="1"/>
    <col min="9" max="9" width="16.33203125" customWidth="1"/>
    <col min="11" max="11" width="9.6640625" bestFit="1" customWidth="1"/>
  </cols>
  <sheetData>
    <row r="2" spans="7:11">
      <c r="G2" s="12" t="s">
        <v>25</v>
      </c>
      <c r="H2" s="12" t="s">
        <v>26</v>
      </c>
      <c r="I2" t="s">
        <v>43</v>
      </c>
      <c r="J2" t="s">
        <v>45</v>
      </c>
      <c r="K2" t="s">
        <v>12</v>
      </c>
    </row>
    <row r="3" spans="7:11" ht="19.2" customHeight="1">
      <c r="G3" s="13" t="s">
        <v>27</v>
      </c>
      <c r="H3" s="14" t="s">
        <v>28</v>
      </c>
      <c r="I3" s="26">
        <f>_xlfn.QUARTILE.INC('working data'!$Q$2:$Q$1001,1)</f>
        <v>16</v>
      </c>
      <c r="J3" s="10">
        <f>_xlfn.QUARTILE.INC('working data'!$L$2:$L$1001,1)</f>
        <v>0.44</v>
      </c>
      <c r="K3" s="9">
        <f>_xlfn.QUARTILE.INC('working data'!$M$2:$M$1001,1)</f>
        <v>0.1343</v>
      </c>
    </row>
    <row r="4" spans="7:11" ht="21.6" customHeight="1">
      <c r="G4" s="13" t="s">
        <v>29</v>
      </c>
      <c r="H4" s="14" t="s">
        <v>30</v>
      </c>
      <c r="I4" s="26">
        <f>_xlfn.QUARTILE.INC('working data'!$Q$2:$Q$1001,3)</f>
        <v>83</v>
      </c>
      <c r="J4" s="10">
        <f>_xlfn.QUARTILE.INC('working data'!$L$2:$L$1001,3)</f>
        <v>0.7</v>
      </c>
      <c r="K4" s="9">
        <f>_xlfn.QUARTILE.INC('working data'!$M$2:$M$1001,3)</f>
        <v>0.28360000000000002</v>
      </c>
    </row>
    <row r="5" spans="7:11">
      <c r="G5" s="13" t="s">
        <v>31</v>
      </c>
      <c r="H5" s="25" t="s">
        <v>40</v>
      </c>
      <c r="I5" s="26">
        <f>I4-I3</f>
        <v>67</v>
      </c>
      <c r="J5" s="10">
        <f>J4-J3</f>
        <v>0.25999999999999995</v>
      </c>
      <c r="K5" s="9">
        <f>K4-K3</f>
        <v>0.14930000000000002</v>
      </c>
    </row>
    <row r="6" spans="7:11" ht="15" customHeight="1">
      <c r="G6" s="13" t="s">
        <v>32</v>
      </c>
      <c r="H6" s="25" t="s">
        <v>41</v>
      </c>
      <c r="I6" s="2">
        <f>I3-(1.5*I5)</f>
        <v>-84.5</v>
      </c>
      <c r="J6" s="10">
        <f>J3-(1.5*J5)</f>
        <v>5.00000000000001E-2</v>
      </c>
      <c r="K6" s="9">
        <f>K3-(1.5*K5)</f>
        <v>-8.9650000000000035E-2</v>
      </c>
    </row>
    <row r="7" spans="7:11" ht="14.4" customHeight="1">
      <c r="G7" s="13" t="s">
        <v>33</v>
      </c>
      <c r="H7" s="25" t="s">
        <v>42</v>
      </c>
      <c r="I7" s="2">
        <f>I4+(1.5*I5)</f>
        <v>183.5</v>
      </c>
      <c r="J7" s="10">
        <f>J4+(1.5*J5)</f>
        <v>1.0899999999999999</v>
      </c>
      <c r="K7" s="9">
        <f>K4+(1.5*K5)</f>
        <v>0.50755000000000006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88C7-4942-4FAD-A76F-737909050777}">
  <dimension ref="A1:P391"/>
  <sheetViews>
    <sheetView workbookViewId="0">
      <selection activeCell="K1" sqref="K1:P1"/>
    </sheetView>
  </sheetViews>
  <sheetFormatPr defaultRowHeight="14.4"/>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611</v>
      </c>
      <c r="B2" s="1">
        <v>40571</v>
      </c>
      <c r="C2">
        <v>1</v>
      </c>
      <c r="D2">
        <v>0</v>
      </c>
      <c r="E2">
        <v>1</v>
      </c>
      <c r="F2">
        <v>16</v>
      </c>
      <c r="G2" t="b">
        <v>0</v>
      </c>
      <c r="H2">
        <v>5</v>
      </c>
      <c r="I2">
        <v>1</v>
      </c>
      <c r="J2">
        <v>0.22</v>
      </c>
      <c r="K2">
        <v>0.2727</v>
      </c>
      <c r="L2">
        <v>0.8</v>
      </c>
      <c r="M2">
        <v>0</v>
      </c>
      <c r="N2">
        <v>10</v>
      </c>
      <c r="O2">
        <v>70</v>
      </c>
      <c r="P2">
        <v>80</v>
      </c>
    </row>
    <row r="3" spans="1:16">
      <c r="A3">
        <v>612</v>
      </c>
      <c r="B3" s="1">
        <v>40571</v>
      </c>
      <c r="C3">
        <v>1</v>
      </c>
      <c r="D3">
        <v>0</v>
      </c>
      <c r="E3">
        <v>1</v>
      </c>
      <c r="F3">
        <v>17</v>
      </c>
      <c r="G3" t="b">
        <v>0</v>
      </c>
      <c r="H3">
        <v>5</v>
      </c>
      <c r="I3">
        <v>1</v>
      </c>
      <c r="J3">
        <v>0.24</v>
      </c>
      <c r="K3">
        <v>0.2424</v>
      </c>
      <c r="L3">
        <v>0.75</v>
      </c>
      <c r="M3">
        <v>0.1343</v>
      </c>
      <c r="N3">
        <v>2</v>
      </c>
      <c r="O3">
        <v>147</v>
      </c>
      <c r="P3">
        <v>149</v>
      </c>
    </row>
    <row r="4" spans="1:16">
      <c r="A4">
        <v>613</v>
      </c>
      <c r="B4" s="1">
        <v>40571</v>
      </c>
      <c r="C4">
        <v>1</v>
      </c>
      <c r="D4">
        <v>0</v>
      </c>
      <c r="E4">
        <v>1</v>
      </c>
      <c r="F4">
        <v>18</v>
      </c>
      <c r="G4" t="b">
        <v>0</v>
      </c>
      <c r="H4">
        <v>5</v>
      </c>
      <c r="I4">
        <v>1</v>
      </c>
      <c r="J4">
        <v>0.24</v>
      </c>
      <c r="K4">
        <v>0.2273</v>
      </c>
      <c r="L4">
        <v>0.75</v>
      </c>
      <c r="M4">
        <v>0.19400000000000001</v>
      </c>
      <c r="N4">
        <v>2</v>
      </c>
      <c r="O4">
        <v>107</v>
      </c>
      <c r="P4">
        <v>109</v>
      </c>
    </row>
    <row r="5" spans="1:16">
      <c r="A5">
        <v>614</v>
      </c>
      <c r="B5" s="1">
        <v>40571</v>
      </c>
      <c r="C5">
        <v>1</v>
      </c>
      <c r="D5">
        <v>0</v>
      </c>
      <c r="E5">
        <v>1</v>
      </c>
      <c r="F5">
        <v>19</v>
      </c>
      <c r="G5" t="b">
        <v>0</v>
      </c>
      <c r="H5">
        <v>5</v>
      </c>
      <c r="I5">
        <v>2</v>
      </c>
      <c r="J5">
        <v>0.24</v>
      </c>
      <c r="K5">
        <v>0.2424</v>
      </c>
      <c r="L5">
        <v>0.75</v>
      </c>
      <c r="M5">
        <v>0.1343</v>
      </c>
      <c r="N5">
        <v>5</v>
      </c>
      <c r="O5">
        <v>84</v>
      </c>
      <c r="P5">
        <v>89</v>
      </c>
    </row>
    <row r="6" spans="1:16">
      <c r="A6">
        <v>615</v>
      </c>
      <c r="B6" s="1">
        <v>40571</v>
      </c>
      <c r="C6">
        <v>1</v>
      </c>
      <c r="D6">
        <v>0</v>
      </c>
      <c r="E6">
        <v>1</v>
      </c>
      <c r="F6">
        <v>20</v>
      </c>
      <c r="G6" t="b">
        <v>0</v>
      </c>
      <c r="H6">
        <v>5</v>
      </c>
      <c r="I6">
        <v>2</v>
      </c>
      <c r="J6">
        <v>0.24</v>
      </c>
      <c r="K6">
        <v>0.2273</v>
      </c>
      <c r="L6">
        <v>0.7</v>
      </c>
      <c r="M6">
        <v>0.19400000000000001</v>
      </c>
      <c r="N6">
        <v>1</v>
      </c>
      <c r="O6">
        <v>61</v>
      </c>
      <c r="P6">
        <v>62</v>
      </c>
    </row>
    <row r="7" spans="1:16">
      <c r="A7">
        <v>616</v>
      </c>
      <c r="B7" s="1">
        <v>40571</v>
      </c>
      <c r="C7">
        <v>1</v>
      </c>
      <c r="D7">
        <v>0</v>
      </c>
      <c r="E7">
        <v>1</v>
      </c>
      <c r="F7">
        <v>21</v>
      </c>
      <c r="G7" t="b">
        <v>0</v>
      </c>
      <c r="H7">
        <v>5</v>
      </c>
      <c r="I7">
        <v>2</v>
      </c>
      <c r="J7">
        <v>0.22</v>
      </c>
      <c r="K7">
        <v>0.2273</v>
      </c>
      <c r="L7">
        <v>0.75</v>
      </c>
      <c r="M7">
        <v>0.1343</v>
      </c>
      <c r="N7">
        <v>1</v>
      </c>
      <c r="O7">
        <v>57</v>
      </c>
      <c r="P7">
        <v>58</v>
      </c>
    </row>
    <row r="8" spans="1:16">
      <c r="A8">
        <v>617</v>
      </c>
      <c r="B8" s="1">
        <v>40571</v>
      </c>
      <c r="C8">
        <v>1</v>
      </c>
      <c r="D8">
        <v>0</v>
      </c>
      <c r="E8">
        <v>1</v>
      </c>
      <c r="F8">
        <v>22</v>
      </c>
      <c r="G8" t="b">
        <v>0</v>
      </c>
      <c r="H8">
        <v>5</v>
      </c>
      <c r="I8">
        <v>1</v>
      </c>
      <c r="J8">
        <v>0.24</v>
      </c>
      <c r="K8">
        <v>0.21210000000000001</v>
      </c>
      <c r="L8">
        <v>0.65</v>
      </c>
      <c r="M8">
        <v>0.35820000000000002</v>
      </c>
      <c r="N8">
        <v>0</v>
      </c>
      <c r="O8">
        <v>26</v>
      </c>
      <c r="P8">
        <v>26</v>
      </c>
    </row>
    <row r="9" spans="1:16">
      <c r="A9">
        <v>618</v>
      </c>
      <c r="B9" s="1">
        <v>40571</v>
      </c>
      <c r="C9">
        <v>1</v>
      </c>
      <c r="D9">
        <v>0</v>
      </c>
      <c r="E9">
        <v>1</v>
      </c>
      <c r="F9">
        <v>23</v>
      </c>
      <c r="G9" t="b">
        <v>0</v>
      </c>
      <c r="H9">
        <v>5</v>
      </c>
      <c r="I9">
        <v>1</v>
      </c>
      <c r="J9">
        <v>0.24</v>
      </c>
      <c r="K9">
        <v>0.2273</v>
      </c>
      <c r="L9">
        <v>0.6</v>
      </c>
      <c r="M9">
        <v>0.22389999999999999</v>
      </c>
      <c r="N9">
        <v>1</v>
      </c>
      <c r="O9">
        <v>22</v>
      </c>
      <c r="P9">
        <v>23</v>
      </c>
    </row>
    <row r="10" spans="1:16">
      <c r="A10">
        <v>619</v>
      </c>
      <c r="B10" s="1">
        <v>40572</v>
      </c>
      <c r="C10">
        <v>1</v>
      </c>
      <c r="D10">
        <v>0</v>
      </c>
      <c r="E10">
        <v>1</v>
      </c>
      <c r="F10">
        <v>0</v>
      </c>
      <c r="G10" t="b">
        <v>0</v>
      </c>
      <c r="H10">
        <v>6</v>
      </c>
      <c r="I10">
        <v>1</v>
      </c>
      <c r="J10">
        <v>0.22</v>
      </c>
      <c r="K10">
        <v>0.19700000000000001</v>
      </c>
      <c r="L10">
        <v>0.64</v>
      </c>
      <c r="M10">
        <v>0.35820000000000002</v>
      </c>
      <c r="N10">
        <v>2</v>
      </c>
      <c r="O10">
        <v>26</v>
      </c>
      <c r="P10">
        <v>28</v>
      </c>
    </row>
    <row r="11" spans="1:16">
      <c r="A11">
        <v>620</v>
      </c>
      <c r="B11" s="1">
        <v>40572</v>
      </c>
      <c r="C11">
        <v>1</v>
      </c>
      <c r="D11">
        <v>0</v>
      </c>
      <c r="E11">
        <v>1</v>
      </c>
      <c r="F11">
        <v>1</v>
      </c>
      <c r="G11" t="b">
        <v>0</v>
      </c>
      <c r="H11">
        <v>6</v>
      </c>
      <c r="I11">
        <v>1</v>
      </c>
      <c r="J11">
        <v>0.22</v>
      </c>
      <c r="K11">
        <v>0.2273</v>
      </c>
      <c r="L11">
        <v>0.64</v>
      </c>
      <c r="M11">
        <v>0.19400000000000001</v>
      </c>
      <c r="N11">
        <v>0</v>
      </c>
      <c r="O11">
        <v>20</v>
      </c>
      <c r="P11">
        <v>20</v>
      </c>
    </row>
    <row r="12" spans="1:16">
      <c r="A12">
        <v>621</v>
      </c>
      <c r="B12" s="1">
        <v>40572</v>
      </c>
      <c r="C12">
        <v>1</v>
      </c>
      <c r="D12">
        <v>0</v>
      </c>
      <c r="E12">
        <v>1</v>
      </c>
      <c r="F12">
        <v>2</v>
      </c>
      <c r="G12" t="b">
        <v>0</v>
      </c>
      <c r="H12">
        <v>6</v>
      </c>
      <c r="I12">
        <v>1</v>
      </c>
      <c r="J12">
        <v>0.22</v>
      </c>
      <c r="K12">
        <v>0.2273</v>
      </c>
      <c r="L12">
        <v>0.64</v>
      </c>
      <c r="M12">
        <v>0.16420000000000001</v>
      </c>
      <c r="N12">
        <v>0</v>
      </c>
      <c r="O12">
        <v>15</v>
      </c>
      <c r="P12">
        <v>15</v>
      </c>
    </row>
    <row r="13" spans="1:16">
      <c r="A13">
        <v>622</v>
      </c>
      <c r="B13" s="1">
        <v>40572</v>
      </c>
      <c r="C13">
        <v>1</v>
      </c>
      <c r="D13">
        <v>0</v>
      </c>
      <c r="E13">
        <v>1</v>
      </c>
      <c r="F13">
        <v>3</v>
      </c>
      <c r="G13" t="b">
        <v>0</v>
      </c>
      <c r="H13">
        <v>6</v>
      </c>
      <c r="I13">
        <v>1</v>
      </c>
      <c r="J13">
        <v>0.2</v>
      </c>
      <c r="K13">
        <v>0.21210000000000001</v>
      </c>
      <c r="L13">
        <v>0.64</v>
      </c>
      <c r="M13">
        <v>0.1343</v>
      </c>
      <c r="N13">
        <v>3</v>
      </c>
      <c r="O13">
        <v>5</v>
      </c>
      <c r="P13">
        <v>8</v>
      </c>
    </row>
    <row r="14" spans="1:16">
      <c r="A14">
        <v>623</v>
      </c>
      <c r="B14" s="1">
        <v>40572</v>
      </c>
      <c r="C14">
        <v>1</v>
      </c>
      <c r="D14">
        <v>0</v>
      </c>
      <c r="E14">
        <v>1</v>
      </c>
      <c r="F14">
        <v>4</v>
      </c>
      <c r="G14" t="b">
        <v>0</v>
      </c>
      <c r="H14">
        <v>6</v>
      </c>
      <c r="I14">
        <v>1</v>
      </c>
      <c r="J14">
        <v>0.16</v>
      </c>
      <c r="K14">
        <v>0.18179999999999999</v>
      </c>
      <c r="L14">
        <v>0.69</v>
      </c>
      <c r="M14">
        <v>0.1045</v>
      </c>
      <c r="N14">
        <v>1</v>
      </c>
      <c r="O14">
        <v>2</v>
      </c>
      <c r="P14">
        <v>3</v>
      </c>
    </row>
    <row r="15" spans="1:16">
      <c r="A15">
        <v>624</v>
      </c>
      <c r="B15" s="1">
        <v>40572</v>
      </c>
      <c r="C15">
        <v>1</v>
      </c>
      <c r="D15">
        <v>0</v>
      </c>
      <c r="E15">
        <v>1</v>
      </c>
      <c r="F15">
        <v>6</v>
      </c>
      <c r="G15" t="b">
        <v>0</v>
      </c>
      <c r="H15">
        <v>6</v>
      </c>
      <c r="I15">
        <v>1</v>
      </c>
      <c r="J15">
        <v>0.16</v>
      </c>
      <c r="K15">
        <v>0.18179999999999999</v>
      </c>
      <c r="L15">
        <v>0.64</v>
      </c>
      <c r="M15">
        <v>0.1343</v>
      </c>
      <c r="N15">
        <v>0</v>
      </c>
      <c r="O15">
        <v>2</v>
      </c>
      <c r="P15">
        <v>2</v>
      </c>
    </row>
    <row r="16" spans="1:16">
      <c r="A16">
        <v>625</v>
      </c>
      <c r="B16" s="1">
        <v>40572</v>
      </c>
      <c r="C16">
        <v>1</v>
      </c>
      <c r="D16">
        <v>0</v>
      </c>
      <c r="E16">
        <v>1</v>
      </c>
      <c r="F16">
        <v>7</v>
      </c>
      <c r="G16" t="b">
        <v>0</v>
      </c>
      <c r="H16">
        <v>6</v>
      </c>
      <c r="I16">
        <v>1</v>
      </c>
      <c r="J16">
        <v>0.16</v>
      </c>
      <c r="K16">
        <v>0.18179999999999999</v>
      </c>
      <c r="L16">
        <v>0.59</v>
      </c>
      <c r="M16">
        <v>0.1045</v>
      </c>
      <c r="N16">
        <v>1</v>
      </c>
      <c r="O16">
        <v>4</v>
      </c>
      <c r="P16">
        <v>5</v>
      </c>
    </row>
    <row r="17" spans="1:16">
      <c r="A17">
        <v>626</v>
      </c>
      <c r="B17" s="1">
        <v>40572</v>
      </c>
      <c r="C17">
        <v>1</v>
      </c>
      <c r="D17">
        <v>0</v>
      </c>
      <c r="E17">
        <v>1</v>
      </c>
      <c r="F17">
        <v>8</v>
      </c>
      <c r="G17" t="b">
        <v>0</v>
      </c>
      <c r="H17">
        <v>6</v>
      </c>
      <c r="I17">
        <v>1</v>
      </c>
      <c r="J17">
        <v>0.18</v>
      </c>
      <c r="K17">
        <v>0.19700000000000001</v>
      </c>
      <c r="L17">
        <v>0.55000000000000004</v>
      </c>
      <c r="M17">
        <v>0.16420000000000001</v>
      </c>
      <c r="N17">
        <v>3</v>
      </c>
      <c r="O17">
        <v>31</v>
      </c>
      <c r="P17">
        <v>34</v>
      </c>
    </row>
    <row r="18" spans="1:16">
      <c r="A18">
        <v>627</v>
      </c>
      <c r="B18" s="1">
        <v>40572</v>
      </c>
      <c r="C18">
        <v>1</v>
      </c>
      <c r="D18">
        <v>0</v>
      </c>
      <c r="E18">
        <v>1</v>
      </c>
      <c r="F18">
        <v>9</v>
      </c>
      <c r="G18" t="b">
        <v>0</v>
      </c>
      <c r="H18">
        <v>6</v>
      </c>
      <c r="I18">
        <v>1</v>
      </c>
      <c r="J18">
        <v>0.18</v>
      </c>
      <c r="K18">
        <v>0.21210000000000001</v>
      </c>
      <c r="L18">
        <v>0.59</v>
      </c>
      <c r="M18">
        <v>8.9599999999999999E-2</v>
      </c>
      <c r="N18">
        <v>0</v>
      </c>
      <c r="O18">
        <v>34</v>
      </c>
      <c r="P18">
        <v>34</v>
      </c>
    </row>
    <row r="19" spans="1:16">
      <c r="A19">
        <v>628</v>
      </c>
      <c r="B19" s="1">
        <v>40572</v>
      </c>
      <c r="C19">
        <v>1</v>
      </c>
      <c r="D19">
        <v>0</v>
      </c>
      <c r="E19">
        <v>1</v>
      </c>
      <c r="F19">
        <v>10</v>
      </c>
      <c r="G19" t="b">
        <v>0</v>
      </c>
      <c r="H19">
        <v>6</v>
      </c>
      <c r="I19">
        <v>2</v>
      </c>
      <c r="J19">
        <v>0.18</v>
      </c>
      <c r="K19">
        <v>0.21210000000000001</v>
      </c>
      <c r="L19">
        <v>0.64</v>
      </c>
      <c r="M19">
        <v>0.1045</v>
      </c>
      <c r="N19">
        <v>4</v>
      </c>
      <c r="O19">
        <v>51</v>
      </c>
      <c r="P19">
        <v>55</v>
      </c>
    </row>
    <row r="20" spans="1:16">
      <c r="A20">
        <v>629</v>
      </c>
      <c r="B20" s="1">
        <v>40572</v>
      </c>
      <c r="C20">
        <v>1</v>
      </c>
      <c r="D20">
        <v>0</v>
      </c>
      <c r="E20">
        <v>1</v>
      </c>
      <c r="F20">
        <v>11</v>
      </c>
      <c r="G20" t="b">
        <v>0</v>
      </c>
      <c r="H20">
        <v>6</v>
      </c>
      <c r="I20">
        <v>2</v>
      </c>
      <c r="J20">
        <v>0.18</v>
      </c>
      <c r="K20">
        <v>0.19700000000000001</v>
      </c>
      <c r="L20">
        <v>0.64</v>
      </c>
      <c r="M20">
        <v>0.1343</v>
      </c>
      <c r="N20">
        <v>4</v>
      </c>
      <c r="O20">
        <v>60</v>
      </c>
      <c r="P20">
        <v>64</v>
      </c>
    </row>
    <row r="21" spans="1:16">
      <c r="A21">
        <v>630</v>
      </c>
      <c r="B21" s="1">
        <v>40572</v>
      </c>
      <c r="C21">
        <v>1</v>
      </c>
      <c r="D21">
        <v>0</v>
      </c>
      <c r="E21">
        <v>1</v>
      </c>
      <c r="F21">
        <v>12</v>
      </c>
      <c r="G21" t="b">
        <v>0</v>
      </c>
      <c r="H21">
        <v>6</v>
      </c>
      <c r="I21">
        <v>2</v>
      </c>
      <c r="J21">
        <v>0.2</v>
      </c>
      <c r="K21">
        <v>0.19700000000000001</v>
      </c>
      <c r="L21">
        <v>0.59</v>
      </c>
      <c r="M21">
        <v>0.19400000000000001</v>
      </c>
      <c r="N21">
        <v>12</v>
      </c>
      <c r="O21">
        <v>66</v>
      </c>
      <c r="P21">
        <v>78</v>
      </c>
    </row>
    <row r="22" spans="1:16">
      <c r="A22">
        <v>631</v>
      </c>
      <c r="B22" s="1">
        <v>40572</v>
      </c>
      <c r="C22">
        <v>1</v>
      </c>
      <c r="D22">
        <v>0</v>
      </c>
      <c r="E22">
        <v>1</v>
      </c>
      <c r="F22">
        <v>13</v>
      </c>
      <c r="G22" t="b">
        <v>0</v>
      </c>
      <c r="H22">
        <v>6</v>
      </c>
      <c r="I22">
        <v>2</v>
      </c>
      <c r="J22">
        <v>0.22</v>
      </c>
      <c r="K22">
        <v>0.2273</v>
      </c>
      <c r="L22">
        <v>0.55000000000000004</v>
      </c>
      <c r="M22">
        <v>0.16420000000000001</v>
      </c>
      <c r="N22">
        <v>9</v>
      </c>
      <c r="O22">
        <v>56</v>
      </c>
      <c r="P22">
        <v>65</v>
      </c>
    </row>
    <row r="23" spans="1:16">
      <c r="A23">
        <v>632</v>
      </c>
      <c r="B23" s="1">
        <v>40572</v>
      </c>
      <c r="C23">
        <v>1</v>
      </c>
      <c r="D23">
        <v>0</v>
      </c>
      <c r="E23">
        <v>1</v>
      </c>
      <c r="F23">
        <v>14</v>
      </c>
      <c r="G23" t="b">
        <v>0</v>
      </c>
      <c r="H23">
        <v>6</v>
      </c>
      <c r="I23">
        <v>2</v>
      </c>
      <c r="J23">
        <v>0.22</v>
      </c>
      <c r="K23">
        <v>0.2273</v>
      </c>
      <c r="L23">
        <v>0.6</v>
      </c>
      <c r="M23">
        <v>0.1343</v>
      </c>
      <c r="N23">
        <v>10</v>
      </c>
      <c r="O23">
        <v>89</v>
      </c>
      <c r="P23">
        <v>99</v>
      </c>
    </row>
    <row r="24" spans="1:16">
      <c r="A24">
        <v>633</v>
      </c>
      <c r="B24" s="1">
        <v>40572</v>
      </c>
      <c r="C24">
        <v>1</v>
      </c>
      <c r="D24">
        <v>0</v>
      </c>
      <c r="E24">
        <v>1</v>
      </c>
      <c r="F24">
        <v>15</v>
      </c>
      <c r="G24" t="b">
        <v>0</v>
      </c>
      <c r="H24">
        <v>6</v>
      </c>
      <c r="I24">
        <v>1</v>
      </c>
      <c r="J24">
        <v>0.22</v>
      </c>
      <c r="K24">
        <v>0.21210000000000001</v>
      </c>
      <c r="L24">
        <v>0.69</v>
      </c>
      <c r="M24">
        <v>0.25369999999999998</v>
      </c>
      <c r="N24">
        <v>22</v>
      </c>
      <c r="O24">
        <v>98</v>
      </c>
      <c r="P24">
        <v>120</v>
      </c>
    </row>
    <row r="25" spans="1:16">
      <c r="A25">
        <v>634</v>
      </c>
      <c r="B25" s="1">
        <v>40572</v>
      </c>
      <c r="C25">
        <v>1</v>
      </c>
      <c r="D25">
        <v>0</v>
      </c>
      <c r="E25">
        <v>1</v>
      </c>
      <c r="F25">
        <v>16</v>
      </c>
      <c r="G25" t="b">
        <v>0</v>
      </c>
      <c r="H25">
        <v>6</v>
      </c>
      <c r="I25">
        <v>1</v>
      </c>
      <c r="J25">
        <v>0.24</v>
      </c>
      <c r="K25">
        <v>0.2424</v>
      </c>
      <c r="L25">
        <v>0.6</v>
      </c>
      <c r="M25">
        <v>0.16420000000000001</v>
      </c>
      <c r="N25">
        <v>19</v>
      </c>
      <c r="O25">
        <v>88</v>
      </c>
      <c r="P25">
        <v>107</v>
      </c>
    </row>
    <row r="26" spans="1:16">
      <c r="A26">
        <v>635</v>
      </c>
      <c r="B26" s="1">
        <v>40572</v>
      </c>
      <c r="C26">
        <v>1</v>
      </c>
      <c r="D26">
        <v>0</v>
      </c>
      <c r="E26">
        <v>1</v>
      </c>
      <c r="F26">
        <v>17</v>
      </c>
      <c r="G26" t="b">
        <v>0</v>
      </c>
      <c r="H26">
        <v>6</v>
      </c>
      <c r="I26">
        <v>1</v>
      </c>
      <c r="J26">
        <v>0.24</v>
      </c>
      <c r="K26">
        <v>0.28789999999999999</v>
      </c>
      <c r="L26">
        <v>0.6</v>
      </c>
      <c r="M26">
        <v>0</v>
      </c>
      <c r="N26">
        <v>9</v>
      </c>
      <c r="O26">
        <v>82</v>
      </c>
      <c r="P26">
        <v>91</v>
      </c>
    </row>
    <row r="27" spans="1:16">
      <c r="A27">
        <v>636</v>
      </c>
      <c r="B27" s="1">
        <v>40572</v>
      </c>
      <c r="C27">
        <v>1</v>
      </c>
      <c r="D27">
        <v>0</v>
      </c>
      <c r="E27">
        <v>1</v>
      </c>
      <c r="F27">
        <v>18</v>
      </c>
      <c r="G27" t="b">
        <v>0</v>
      </c>
      <c r="H27">
        <v>6</v>
      </c>
      <c r="I27">
        <v>1</v>
      </c>
      <c r="J27">
        <v>0.22</v>
      </c>
      <c r="K27">
        <v>0.2273</v>
      </c>
      <c r="L27">
        <v>0.69</v>
      </c>
      <c r="M27">
        <v>0.1343</v>
      </c>
      <c r="N27">
        <v>9</v>
      </c>
      <c r="O27">
        <v>59</v>
      </c>
      <c r="P27">
        <v>68</v>
      </c>
    </row>
    <row r="28" spans="1:16">
      <c r="A28">
        <v>637</v>
      </c>
      <c r="B28" s="1">
        <v>40572</v>
      </c>
      <c r="C28">
        <v>1</v>
      </c>
      <c r="D28">
        <v>0</v>
      </c>
      <c r="E28">
        <v>1</v>
      </c>
      <c r="F28">
        <v>19</v>
      </c>
      <c r="G28" t="b">
        <v>0</v>
      </c>
      <c r="H28">
        <v>6</v>
      </c>
      <c r="I28">
        <v>2</v>
      </c>
      <c r="J28">
        <v>0.22</v>
      </c>
      <c r="K28">
        <v>0.21210000000000001</v>
      </c>
      <c r="L28">
        <v>0.69</v>
      </c>
      <c r="M28">
        <v>0.25369999999999998</v>
      </c>
      <c r="N28">
        <v>6</v>
      </c>
      <c r="O28">
        <v>52</v>
      </c>
      <c r="P28">
        <v>58</v>
      </c>
    </row>
    <row r="29" spans="1:16">
      <c r="A29">
        <v>638</v>
      </c>
      <c r="B29" s="1">
        <v>40572</v>
      </c>
      <c r="C29">
        <v>1</v>
      </c>
      <c r="D29">
        <v>0</v>
      </c>
      <c r="E29">
        <v>1</v>
      </c>
      <c r="F29">
        <v>20</v>
      </c>
      <c r="G29" t="b">
        <v>0</v>
      </c>
      <c r="H29">
        <v>6</v>
      </c>
      <c r="I29">
        <v>1</v>
      </c>
      <c r="J29">
        <v>0.18</v>
      </c>
      <c r="K29">
        <v>0.21210000000000001</v>
      </c>
      <c r="L29">
        <v>0.74</v>
      </c>
      <c r="M29">
        <v>8.9599999999999999E-2</v>
      </c>
      <c r="N29">
        <v>1</v>
      </c>
      <c r="O29">
        <v>42</v>
      </c>
      <c r="P29">
        <v>43</v>
      </c>
    </row>
    <row r="30" spans="1:16">
      <c r="A30">
        <v>639</v>
      </c>
      <c r="B30" s="1">
        <v>40572</v>
      </c>
      <c r="C30">
        <v>1</v>
      </c>
      <c r="D30">
        <v>0</v>
      </c>
      <c r="E30">
        <v>1</v>
      </c>
      <c r="F30">
        <v>21</v>
      </c>
      <c r="G30" t="b">
        <v>0</v>
      </c>
      <c r="H30">
        <v>6</v>
      </c>
      <c r="I30">
        <v>1</v>
      </c>
      <c r="J30">
        <v>0.18</v>
      </c>
      <c r="K30">
        <v>0.21210000000000001</v>
      </c>
      <c r="L30">
        <v>0.74</v>
      </c>
      <c r="M30">
        <v>8.9599999999999999E-2</v>
      </c>
      <c r="N30">
        <v>1</v>
      </c>
      <c r="O30">
        <v>35</v>
      </c>
      <c r="P30">
        <v>36</v>
      </c>
    </row>
    <row r="31" spans="1:16">
      <c r="A31">
        <v>640</v>
      </c>
      <c r="B31" s="1">
        <v>40572</v>
      </c>
      <c r="C31">
        <v>1</v>
      </c>
      <c r="D31">
        <v>0</v>
      </c>
      <c r="E31">
        <v>1</v>
      </c>
      <c r="F31">
        <v>22</v>
      </c>
      <c r="G31" t="b">
        <v>0</v>
      </c>
      <c r="H31">
        <v>6</v>
      </c>
      <c r="I31">
        <v>1</v>
      </c>
      <c r="J31">
        <v>0.16</v>
      </c>
      <c r="K31">
        <v>0.19700000000000001</v>
      </c>
      <c r="L31">
        <v>0.8</v>
      </c>
      <c r="M31">
        <v>8.9599999999999999E-2</v>
      </c>
      <c r="N31">
        <v>4</v>
      </c>
      <c r="O31">
        <v>28</v>
      </c>
      <c r="P31">
        <v>32</v>
      </c>
    </row>
    <row r="32" spans="1:16">
      <c r="A32">
        <v>641</v>
      </c>
      <c r="B32" s="1">
        <v>40572</v>
      </c>
      <c r="C32">
        <v>1</v>
      </c>
      <c r="D32">
        <v>0</v>
      </c>
      <c r="E32">
        <v>1</v>
      </c>
      <c r="F32">
        <v>23</v>
      </c>
      <c r="G32" t="b">
        <v>0</v>
      </c>
      <c r="H32">
        <v>6</v>
      </c>
      <c r="I32">
        <v>1</v>
      </c>
      <c r="J32">
        <v>0.16</v>
      </c>
      <c r="K32">
        <v>0.19700000000000001</v>
      </c>
      <c r="L32">
        <v>0.8</v>
      </c>
      <c r="M32">
        <v>8.9599999999999999E-2</v>
      </c>
      <c r="N32">
        <v>3</v>
      </c>
      <c r="O32">
        <v>30</v>
      </c>
      <c r="P32">
        <v>33</v>
      </c>
    </row>
    <row r="33" spans="1:16">
      <c r="A33">
        <v>642</v>
      </c>
      <c r="B33" s="1">
        <v>40573</v>
      </c>
      <c r="C33">
        <v>1</v>
      </c>
      <c r="D33">
        <v>0</v>
      </c>
      <c r="E33">
        <v>1</v>
      </c>
      <c r="F33">
        <v>0</v>
      </c>
      <c r="G33" t="b">
        <v>0</v>
      </c>
      <c r="H33">
        <v>0</v>
      </c>
      <c r="I33">
        <v>1</v>
      </c>
      <c r="J33">
        <v>0.16</v>
      </c>
      <c r="K33">
        <v>0.18179999999999999</v>
      </c>
      <c r="L33">
        <v>0.8</v>
      </c>
      <c r="M33">
        <v>0.1045</v>
      </c>
      <c r="N33">
        <v>0</v>
      </c>
      <c r="O33">
        <v>33</v>
      </c>
      <c r="P33">
        <v>33</v>
      </c>
    </row>
    <row r="34" spans="1:16">
      <c r="A34">
        <v>643</v>
      </c>
      <c r="B34" s="1">
        <v>40573</v>
      </c>
      <c r="C34">
        <v>1</v>
      </c>
      <c r="D34">
        <v>0</v>
      </c>
      <c r="E34">
        <v>1</v>
      </c>
      <c r="F34">
        <v>1</v>
      </c>
      <c r="G34" t="b">
        <v>0</v>
      </c>
      <c r="H34">
        <v>0</v>
      </c>
      <c r="I34">
        <v>1</v>
      </c>
      <c r="J34">
        <v>0.14000000000000001</v>
      </c>
      <c r="K34">
        <v>0.21210000000000001</v>
      </c>
      <c r="L34">
        <v>0.8</v>
      </c>
      <c r="M34">
        <v>0</v>
      </c>
      <c r="N34">
        <v>7</v>
      </c>
      <c r="O34">
        <v>22</v>
      </c>
      <c r="P34">
        <v>29</v>
      </c>
    </row>
    <row r="35" spans="1:16">
      <c r="A35">
        <v>644</v>
      </c>
      <c r="B35" s="1">
        <v>40573</v>
      </c>
      <c r="C35">
        <v>1</v>
      </c>
      <c r="D35">
        <v>0</v>
      </c>
      <c r="E35">
        <v>1</v>
      </c>
      <c r="F35">
        <v>2</v>
      </c>
      <c r="G35" t="b">
        <v>0</v>
      </c>
      <c r="H35">
        <v>0</v>
      </c>
      <c r="I35">
        <v>1</v>
      </c>
      <c r="J35">
        <v>0.16</v>
      </c>
      <c r="K35">
        <v>0.2273</v>
      </c>
      <c r="L35">
        <v>0.8</v>
      </c>
      <c r="M35">
        <v>0</v>
      </c>
      <c r="N35">
        <v>1</v>
      </c>
      <c r="O35">
        <v>10</v>
      </c>
      <c r="P35">
        <v>11</v>
      </c>
    </row>
    <row r="36" spans="1:16">
      <c r="A36">
        <v>645</v>
      </c>
      <c r="B36" s="1">
        <v>40573</v>
      </c>
      <c r="C36">
        <v>1</v>
      </c>
      <c r="D36">
        <v>0</v>
      </c>
      <c r="E36">
        <v>1</v>
      </c>
      <c r="F36">
        <v>3</v>
      </c>
      <c r="G36" t="b">
        <v>0</v>
      </c>
      <c r="H36">
        <v>0</v>
      </c>
      <c r="I36">
        <v>1</v>
      </c>
      <c r="J36">
        <v>0.14000000000000001</v>
      </c>
      <c r="K36">
        <v>0.21210000000000001</v>
      </c>
      <c r="L36">
        <v>0.93</v>
      </c>
      <c r="M36">
        <v>0</v>
      </c>
      <c r="N36">
        <v>1</v>
      </c>
      <c r="O36">
        <v>7</v>
      </c>
      <c r="P36">
        <v>8</v>
      </c>
    </row>
    <row r="37" spans="1:16">
      <c r="A37">
        <v>646</v>
      </c>
      <c r="B37" s="1">
        <v>40573</v>
      </c>
      <c r="C37">
        <v>1</v>
      </c>
      <c r="D37">
        <v>0</v>
      </c>
      <c r="E37">
        <v>1</v>
      </c>
      <c r="F37">
        <v>4</v>
      </c>
      <c r="G37" t="b">
        <v>0</v>
      </c>
      <c r="H37">
        <v>0</v>
      </c>
      <c r="I37">
        <v>1</v>
      </c>
      <c r="J37">
        <v>0.14000000000000001</v>
      </c>
      <c r="K37">
        <v>0.21210000000000001</v>
      </c>
      <c r="L37">
        <v>0.93</v>
      </c>
      <c r="M37">
        <v>0</v>
      </c>
      <c r="N37">
        <v>0</v>
      </c>
      <c r="O37">
        <v>1</v>
      </c>
      <c r="P37">
        <v>1</v>
      </c>
    </row>
    <row r="38" spans="1:16">
      <c r="A38">
        <v>647</v>
      </c>
      <c r="B38" s="1">
        <v>40573</v>
      </c>
      <c r="C38">
        <v>1</v>
      </c>
      <c r="D38">
        <v>0</v>
      </c>
      <c r="E38">
        <v>1</v>
      </c>
      <c r="F38">
        <v>5</v>
      </c>
      <c r="G38" t="b">
        <v>0</v>
      </c>
      <c r="H38">
        <v>0</v>
      </c>
      <c r="I38">
        <v>1</v>
      </c>
      <c r="J38">
        <v>0.14000000000000001</v>
      </c>
      <c r="K38">
        <v>0.21210000000000001</v>
      </c>
      <c r="L38">
        <v>0.86</v>
      </c>
      <c r="M38">
        <v>0</v>
      </c>
      <c r="N38">
        <v>0</v>
      </c>
      <c r="O38">
        <v>3</v>
      </c>
      <c r="P38">
        <v>3</v>
      </c>
    </row>
    <row r="39" spans="1:16">
      <c r="A39">
        <v>648</v>
      </c>
      <c r="B39" s="1">
        <v>40573</v>
      </c>
      <c r="C39">
        <v>1</v>
      </c>
      <c r="D39">
        <v>0</v>
      </c>
      <c r="E39">
        <v>1</v>
      </c>
      <c r="F39">
        <v>7</v>
      </c>
      <c r="G39" t="b">
        <v>0</v>
      </c>
      <c r="H39">
        <v>0</v>
      </c>
      <c r="I39">
        <v>1</v>
      </c>
      <c r="J39">
        <v>0.14000000000000001</v>
      </c>
      <c r="K39">
        <v>0.21210000000000001</v>
      </c>
      <c r="L39">
        <v>0.86</v>
      </c>
      <c r="M39">
        <v>0</v>
      </c>
      <c r="N39">
        <v>0</v>
      </c>
      <c r="O39">
        <v>3</v>
      </c>
      <c r="P39">
        <v>3</v>
      </c>
    </row>
    <row r="40" spans="1:16">
      <c r="A40">
        <v>649</v>
      </c>
      <c r="B40" s="1">
        <v>40573</v>
      </c>
      <c r="C40">
        <v>1</v>
      </c>
      <c r="D40">
        <v>0</v>
      </c>
      <c r="E40">
        <v>1</v>
      </c>
      <c r="F40">
        <v>8</v>
      </c>
      <c r="G40" t="b">
        <v>0</v>
      </c>
      <c r="H40">
        <v>0</v>
      </c>
      <c r="I40">
        <v>2</v>
      </c>
      <c r="J40">
        <v>0.14000000000000001</v>
      </c>
      <c r="K40">
        <v>0.21210000000000001</v>
      </c>
      <c r="L40">
        <v>0.86</v>
      </c>
      <c r="M40">
        <v>0</v>
      </c>
      <c r="N40">
        <v>1</v>
      </c>
      <c r="O40">
        <v>11</v>
      </c>
      <c r="P40">
        <v>12</v>
      </c>
    </row>
    <row r="41" spans="1:16">
      <c r="A41">
        <v>650</v>
      </c>
      <c r="B41" s="1">
        <v>40573</v>
      </c>
      <c r="C41">
        <v>1</v>
      </c>
      <c r="D41">
        <v>0</v>
      </c>
      <c r="E41">
        <v>1</v>
      </c>
      <c r="F41">
        <v>9</v>
      </c>
      <c r="G41" t="b">
        <v>0</v>
      </c>
      <c r="H41">
        <v>0</v>
      </c>
      <c r="I41">
        <v>2</v>
      </c>
      <c r="J41">
        <v>0.16</v>
      </c>
      <c r="K41">
        <v>0.2273</v>
      </c>
      <c r="L41">
        <v>0.8</v>
      </c>
      <c r="M41">
        <v>0</v>
      </c>
      <c r="N41">
        <v>4</v>
      </c>
      <c r="O41">
        <v>34</v>
      </c>
      <c r="P41">
        <v>38</v>
      </c>
    </row>
    <row r="42" spans="1:16">
      <c r="A42">
        <v>651</v>
      </c>
      <c r="B42" s="1">
        <v>40573</v>
      </c>
      <c r="C42">
        <v>1</v>
      </c>
      <c r="D42">
        <v>0</v>
      </c>
      <c r="E42">
        <v>1</v>
      </c>
      <c r="F42">
        <v>10</v>
      </c>
      <c r="G42" t="b">
        <v>0</v>
      </c>
      <c r="H42">
        <v>0</v>
      </c>
      <c r="I42">
        <v>2</v>
      </c>
      <c r="J42">
        <v>0.18</v>
      </c>
      <c r="K42">
        <v>0.2424</v>
      </c>
      <c r="L42">
        <v>0.8</v>
      </c>
      <c r="M42">
        <v>0</v>
      </c>
      <c r="N42">
        <v>7</v>
      </c>
      <c r="O42">
        <v>57</v>
      </c>
      <c r="P42">
        <v>64</v>
      </c>
    </row>
    <row r="43" spans="1:16">
      <c r="A43">
        <v>652</v>
      </c>
      <c r="B43" s="1">
        <v>40573</v>
      </c>
      <c r="C43">
        <v>1</v>
      </c>
      <c r="D43">
        <v>0</v>
      </c>
      <c r="E43">
        <v>1</v>
      </c>
      <c r="F43">
        <v>11</v>
      </c>
      <c r="G43" t="b">
        <v>0</v>
      </c>
      <c r="H43">
        <v>0</v>
      </c>
      <c r="I43">
        <v>1</v>
      </c>
      <c r="J43">
        <v>0.22</v>
      </c>
      <c r="K43">
        <v>0.2727</v>
      </c>
      <c r="L43">
        <v>0.75</v>
      </c>
      <c r="M43">
        <v>0</v>
      </c>
      <c r="N43">
        <v>9</v>
      </c>
      <c r="O43">
        <v>50</v>
      </c>
      <c r="P43">
        <v>59</v>
      </c>
    </row>
    <row r="44" spans="1:16">
      <c r="A44">
        <v>653</v>
      </c>
      <c r="B44" s="1">
        <v>40573</v>
      </c>
      <c r="C44">
        <v>1</v>
      </c>
      <c r="D44">
        <v>0</v>
      </c>
      <c r="E44">
        <v>1</v>
      </c>
      <c r="F44">
        <v>12</v>
      </c>
      <c r="G44" t="b">
        <v>0</v>
      </c>
      <c r="H44">
        <v>0</v>
      </c>
      <c r="I44">
        <v>1</v>
      </c>
      <c r="J44">
        <v>0.3</v>
      </c>
      <c r="K44">
        <v>0.31819999999999998</v>
      </c>
      <c r="L44">
        <v>0.52</v>
      </c>
      <c r="M44">
        <v>0.1045</v>
      </c>
      <c r="N44">
        <v>10</v>
      </c>
      <c r="O44">
        <v>87</v>
      </c>
      <c r="P44">
        <v>97</v>
      </c>
    </row>
    <row r="45" spans="1:16">
      <c r="A45">
        <v>654</v>
      </c>
      <c r="B45" s="1">
        <v>40573</v>
      </c>
      <c r="C45">
        <v>1</v>
      </c>
      <c r="D45">
        <v>0</v>
      </c>
      <c r="E45">
        <v>1</v>
      </c>
      <c r="F45">
        <v>13</v>
      </c>
      <c r="G45" t="b">
        <v>0</v>
      </c>
      <c r="H45">
        <v>0</v>
      </c>
      <c r="I45">
        <v>1</v>
      </c>
      <c r="J45">
        <v>0.28000000000000003</v>
      </c>
      <c r="K45">
        <v>0.28789999999999999</v>
      </c>
      <c r="L45">
        <v>0.61</v>
      </c>
      <c r="M45">
        <v>0.1045</v>
      </c>
      <c r="N45">
        <v>13</v>
      </c>
      <c r="O45">
        <v>71</v>
      </c>
      <c r="P45">
        <v>84</v>
      </c>
    </row>
    <row r="46" spans="1:16">
      <c r="A46">
        <v>655</v>
      </c>
      <c r="B46" s="1">
        <v>40573</v>
      </c>
      <c r="C46">
        <v>1</v>
      </c>
      <c r="D46">
        <v>0</v>
      </c>
      <c r="E46">
        <v>1</v>
      </c>
      <c r="F46">
        <v>14</v>
      </c>
      <c r="G46" t="b">
        <v>0</v>
      </c>
      <c r="H46">
        <v>0</v>
      </c>
      <c r="I46">
        <v>1</v>
      </c>
      <c r="J46">
        <v>0.28000000000000003</v>
      </c>
      <c r="K46">
        <v>0.30299999999999999</v>
      </c>
      <c r="L46">
        <v>0.61</v>
      </c>
      <c r="M46">
        <v>8.9599999999999999E-2</v>
      </c>
      <c r="N46">
        <v>18</v>
      </c>
      <c r="O46">
        <v>104</v>
      </c>
      <c r="P46">
        <v>122</v>
      </c>
    </row>
    <row r="47" spans="1:16">
      <c r="A47">
        <v>656</v>
      </c>
      <c r="B47" s="1">
        <v>40573</v>
      </c>
      <c r="C47">
        <v>1</v>
      </c>
      <c r="D47">
        <v>0</v>
      </c>
      <c r="E47">
        <v>1</v>
      </c>
      <c r="F47">
        <v>15</v>
      </c>
      <c r="G47" t="b">
        <v>0</v>
      </c>
      <c r="H47">
        <v>0</v>
      </c>
      <c r="I47">
        <v>1</v>
      </c>
      <c r="J47">
        <v>0.3</v>
      </c>
      <c r="K47">
        <v>0.33329999999999999</v>
      </c>
      <c r="L47">
        <v>0.56000000000000005</v>
      </c>
      <c r="M47">
        <v>0</v>
      </c>
      <c r="N47">
        <v>14</v>
      </c>
      <c r="O47">
        <v>95</v>
      </c>
      <c r="P47">
        <v>109</v>
      </c>
    </row>
    <row r="48" spans="1:16">
      <c r="A48">
        <v>657</v>
      </c>
      <c r="B48" s="1">
        <v>40573</v>
      </c>
      <c r="C48">
        <v>1</v>
      </c>
      <c r="D48">
        <v>0</v>
      </c>
      <c r="E48">
        <v>1</v>
      </c>
      <c r="F48">
        <v>16</v>
      </c>
      <c r="G48" t="b">
        <v>0</v>
      </c>
      <c r="H48">
        <v>0</v>
      </c>
      <c r="I48">
        <v>1</v>
      </c>
      <c r="J48">
        <v>0.3</v>
      </c>
      <c r="K48">
        <v>0.33329999999999999</v>
      </c>
      <c r="L48">
        <v>0.56000000000000005</v>
      </c>
      <c r="M48">
        <v>0</v>
      </c>
      <c r="N48">
        <v>19</v>
      </c>
      <c r="O48">
        <v>104</v>
      </c>
      <c r="P48">
        <v>123</v>
      </c>
    </row>
    <row r="49" spans="1:16">
      <c r="A49">
        <v>658</v>
      </c>
      <c r="B49" s="1">
        <v>40573</v>
      </c>
      <c r="C49">
        <v>1</v>
      </c>
      <c r="D49">
        <v>0</v>
      </c>
      <c r="E49">
        <v>1</v>
      </c>
      <c r="F49">
        <v>17</v>
      </c>
      <c r="G49" t="b">
        <v>0</v>
      </c>
      <c r="H49">
        <v>0</v>
      </c>
      <c r="I49">
        <v>1</v>
      </c>
      <c r="J49">
        <v>0.3</v>
      </c>
      <c r="K49">
        <v>0.28789999999999999</v>
      </c>
      <c r="L49">
        <v>0.56000000000000005</v>
      </c>
      <c r="M49">
        <v>0.19400000000000001</v>
      </c>
      <c r="N49">
        <v>6</v>
      </c>
      <c r="O49">
        <v>71</v>
      </c>
      <c r="P49">
        <v>77</v>
      </c>
    </row>
    <row r="50" spans="1:16">
      <c r="A50">
        <v>659</v>
      </c>
      <c r="B50" s="1">
        <v>40573</v>
      </c>
      <c r="C50">
        <v>1</v>
      </c>
      <c r="D50">
        <v>0</v>
      </c>
      <c r="E50">
        <v>1</v>
      </c>
      <c r="F50">
        <v>18</v>
      </c>
      <c r="G50" t="b">
        <v>0</v>
      </c>
      <c r="H50">
        <v>0</v>
      </c>
      <c r="I50">
        <v>1</v>
      </c>
      <c r="J50">
        <v>0.26</v>
      </c>
      <c r="K50">
        <v>0.2576</v>
      </c>
      <c r="L50">
        <v>0.65</v>
      </c>
      <c r="M50">
        <v>0.16420000000000001</v>
      </c>
      <c r="N50">
        <v>8</v>
      </c>
      <c r="O50">
        <v>57</v>
      </c>
      <c r="P50">
        <v>65</v>
      </c>
    </row>
    <row r="51" spans="1:16">
      <c r="A51">
        <v>660</v>
      </c>
      <c r="B51" s="1">
        <v>40573</v>
      </c>
      <c r="C51">
        <v>1</v>
      </c>
      <c r="D51">
        <v>0</v>
      </c>
      <c r="E51">
        <v>1</v>
      </c>
      <c r="F51">
        <v>19</v>
      </c>
      <c r="G51" t="b">
        <v>0</v>
      </c>
      <c r="H51">
        <v>0</v>
      </c>
      <c r="I51">
        <v>1</v>
      </c>
      <c r="J51">
        <v>0.26</v>
      </c>
      <c r="K51">
        <v>0.2576</v>
      </c>
      <c r="L51">
        <v>0.65</v>
      </c>
      <c r="M51">
        <v>0.19400000000000001</v>
      </c>
      <c r="N51">
        <v>9</v>
      </c>
      <c r="O51">
        <v>46</v>
      </c>
      <c r="P51">
        <v>55</v>
      </c>
    </row>
    <row r="52" spans="1:16">
      <c r="A52">
        <v>661</v>
      </c>
      <c r="B52" s="1">
        <v>40573</v>
      </c>
      <c r="C52">
        <v>1</v>
      </c>
      <c r="D52">
        <v>0</v>
      </c>
      <c r="E52">
        <v>1</v>
      </c>
      <c r="F52">
        <v>20</v>
      </c>
      <c r="G52" t="b">
        <v>0</v>
      </c>
      <c r="H52">
        <v>0</v>
      </c>
      <c r="I52">
        <v>2</v>
      </c>
      <c r="J52">
        <v>0.26</v>
      </c>
      <c r="K52">
        <v>0.2727</v>
      </c>
      <c r="L52">
        <v>0.65</v>
      </c>
      <c r="M52">
        <v>0.1045</v>
      </c>
      <c r="N52">
        <v>3</v>
      </c>
      <c r="O52">
        <v>30</v>
      </c>
      <c r="P52">
        <v>33</v>
      </c>
    </row>
    <row r="53" spans="1:16">
      <c r="A53">
        <v>662</v>
      </c>
      <c r="B53" s="1">
        <v>40573</v>
      </c>
      <c r="C53">
        <v>1</v>
      </c>
      <c r="D53">
        <v>0</v>
      </c>
      <c r="E53">
        <v>1</v>
      </c>
      <c r="F53">
        <v>21</v>
      </c>
      <c r="G53" t="b">
        <v>0</v>
      </c>
      <c r="H53">
        <v>0</v>
      </c>
      <c r="I53">
        <v>2</v>
      </c>
      <c r="J53">
        <v>0.24</v>
      </c>
      <c r="K53">
        <v>0.2424</v>
      </c>
      <c r="L53">
        <v>0.7</v>
      </c>
      <c r="M53">
        <v>0.16420000000000001</v>
      </c>
      <c r="N53">
        <v>3</v>
      </c>
      <c r="O53">
        <v>25</v>
      </c>
      <c r="P53">
        <v>28</v>
      </c>
    </row>
    <row r="54" spans="1:16">
      <c r="A54">
        <v>663</v>
      </c>
      <c r="B54" s="1">
        <v>40573</v>
      </c>
      <c r="C54">
        <v>1</v>
      </c>
      <c r="D54">
        <v>0</v>
      </c>
      <c r="E54">
        <v>1</v>
      </c>
      <c r="F54">
        <v>22</v>
      </c>
      <c r="G54" t="b">
        <v>0</v>
      </c>
      <c r="H54">
        <v>0</v>
      </c>
      <c r="I54">
        <v>2</v>
      </c>
      <c r="J54">
        <v>0.24</v>
      </c>
      <c r="K54">
        <v>0.2273</v>
      </c>
      <c r="L54">
        <v>0.7</v>
      </c>
      <c r="M54">
        <v>0.19400000000000001</v>
      </c>
      <c r="N54">
        <v>2</v>
      </c>
      <c r="O54">
        <v>19</v>
      </c>
      <c r="P54">
        <v>21</v>
      </c>
    </row>
    <row r="55" spans="1:16">
      <c r="A55">
        <v>664</v>
      </c>
      <c r="B55" s="1">
        <v>40573</v>
      </c>
      <c r="C55">
        <v>1</v>
      </c>
      <c r="D55">
        <v>0</v>
      </c>
      <c r="E55">
        <v>1</v>
      </c>
      <c r="F55">
        <v>23</v>
      </c>
      <c r="G55" t="b">
        <v>0</v>
      </c>
      <c r="H55">
        <v>0</v>
      </c>
      <c r="I55">
        <v>2</v>
      </c>
      <c r="J55">
        <v>0.24</v>
      </c>
      <c r="K55">
        <v>0.21210000000000001</v>
      </c>
      <c r="L55">
        <v>0.65</v>
      </c>
      <c r="M55">
        <v>0.28360000000000002</v>
      </c>
      <c r="N55">
        <v>5</v>
      </c>
      <c r="O55">
        <v>16</v>
      </c>
      <c r="P55">
        <v>21</v>
      </c>
    </row>
    <row r="56" spans="1:16">
      <c r="A56">
        <v>665</v>
      </c>
      <c r="B56" s="1">
        <v>40574</v>
      </c>
      <c r="C56">
        <v>1</v>
      </c>
      <c r="D56">
        <v>0</v>
      </c>
      <c r="E56">
        <v>1</v>
      </c>
      <c r="F56">
        <v>0</v>
      </c>
      <c r="G56" t="b">
        <v>0</v>
      </c>
      <c r="H56">
        <v>1</v>
      </c>
      <c r="I56">
        <v>2</v>
      </c>
      <c r="J56">
        <v>0.24</v>
      </c>
      <c r="K56">
        <v>0.2273</v>
      </c>
      <c r="L56">
        <v>0.65</v>
      </c>
      <c r="M56">
        <v>0.22389999999999999</v>
      </c>
      <c r="N56">
        <v>1</v>
      </c>
      <c r="O56">
        <v>6</v>
      </c>
      <c r="P56">
        <v>7</v>
      </c>
    </row>
    <row r="57" spans="1:16">
      <c r="A57">
        <v>666</v>
      </c>
      <c r="B57" s="1">
        <v>40574</v>
      </c>
      <c r="C57">
        <v>1</v>
      </c>
      <c r="D57">
        <v>0</v>
      </c>
      <c r="E57">
        <v>1</v>
      </c>
      <c r="F57">
        <v>1</v>
      </c>
      <c r="G57" t="b">
        <v>0</v>
      </c>
      <c r="H57">
        <v>1</v>
      </c>
      <c r="I57">
        <v>1</v>
      </c>
      <c r="J57">
        <v>0.22</v>
      </c>
      <c r="K57">
        <v>0.21210000000000001</v>
      </c>
      <c r="L57">
        <v>0.64</v>
      </c>
      <c r="M57">
        <v>0.25369999999999998</v>
      </c>
      <c r="N57">
        <v>2</v>
      </c>
      <c r="O57">
        <v>5</v>
      </c>
      <c r="P57">
        <v>7</v>
      </c>
    </row>
    <row r="58" spans="1:16">
      <c r="A58">
        <v>667</v>
      </c>
      <c r="B58" s="1">
        <v>40574</v>
      </c>
      <c r="C58">
        <v>1</v>
      </c>
      <c r="D58">
        <v>0</v>
      </c>
      <c r="E58">
        <v>1</v>
      </c>
      <c r="F58">
        <v>2</v>
      </c>
      <c r="G58" t="b">
        <v>0</v>
      </c>
      <c r="H58">
        <v>1</v>
      </c>
      <c r="I58">
        <v>1</v>
      </c>
      <c r="J58">
        <v>0.22</v>
      </c>
      <c r="K58">
        <v>0.2273</v>
      </c>
      <c r="L58">
        <v>0.64</v>
      </c>
      <c r="M58">
        <v>0.19400000000000001</v>
      </c>
      <c r="N58">
        <v>0</v>
      </c>
      <c r="O58">
        <v>1</v>
      </c>
      <c r="P58">
        <v>1</v>
      </c>
    </row>
    <row r="59" spans="1:16">
      <c r="A59">
        <v>668</v>
      </c>
      <c r="B59" s="1">
        <v>40574</v>
      </c>
      <c r="C59">
        <v>1</v>
      </c>
      <c r="D59">
        <v>0</v>
      </c>
      <c r="E59">
        <v>1</v>
      </c>
      <c r="F59">
        <v>3</v>
      </c>
      <c r="G59" t="b">
        <v>0</v>
      </c>
      <c r="H59">
        <v>1</v>
      </c>
      <c r="I59">
        <v>1</v>
      </c>
      <c r="J59">
        <v>0.22</v>
      </c>
      <c r="K59">
        <v>0.2273</v>
      </c>
      <c r="L59">
        <v>0.64</v>
      </c>
      <c r="M59">
        <v>0.19400000000000001</v>
      </c>
      <c r="N59">
        <v>0</v>
      </c>
      <c r="O59">
        <v>2</v>
      </c>
      <c r="P59">
        <v>2</v>
      </c>
    </row>
    <row r="60" spans="1:16">
      <c r="A60">
        <v>669</v>
      </c>
      <c r="B60" s="1">
        <v>40574</v>
      </c>
      <c r="C60">
        <v>1</v>
      </c>
      <c r="D60">
        <v>0</v>
      </c>
      <c r="E60">
        <v>1</v>
      </c>
      <c r="F60">
        <v>4</v>
      </c>
      <c r="G60" t="b">
        <v>0</v>
      </c>
      <c r="H60">
        <v>1</v>
      </c>
      <c r="I60">
        <v>1</v>
      </c>
      <c r="J60">
        <v>0.2</v>
      </c>
      <c r="K60">
        <v>0.19700000000000001</v>
      </c>
      <c r="L60">
        <v>0.59</v>
      </c>
      <c r="M60">
        <v>0.22389999999999999</v>
      </c>
      <c r="N60">
        <v>0</v>
      </c>
      <c r="O60">
        <v>2</v>
      </c>
      <c r="P60">
        <v>2</v>
      </c>
    </row>
    <row r="61" spans="1:16">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c r="A62">
        <v>671</v>
      </c>
      <c r="B62" s="1">
        <v>40574</v>
      </c>
      <c r="C62">
        <v>1</v>
      </c>
      <c r="D62">
        <v>0</v>
      </c>
      <c r="E62">
        <v>1</v>
      </c>
      <c r="F62">
        <v>6</v>
      </c>
      <c r="G62" t="b">
        <v>0</v>
      </c>
      <c r="H62">
        <v>1</v>
      </c>
      <c r="I62">
        <v>1</v>
      </c>
      <c r="J62">
        <v>0.16</v>
      </c>
      <c r="K62">
        <v>0.13639999999999999</v>
      </c>
      <c r="L62">
        <v>0.69</v>
      </c>
      <c r="M62">
        <v>0.32840000000000003</v>
      </c>
      <c r="N62">
        <v>0</v>
      </c>
      <c r="O62">
        <v>37</v>
      </c>
      <c r="P62">
        <v>37</v>
      </c>
    </row>
    <row r="63" spans="1:16">
      <c r="A63">
        <v>672</v>
      </c>
      <c r="B63" s="1">
        <v>40574</v>
      </c>
      <c r="C63">
        <v>1</v>
      </c>
      <c r="D63">
        <v>0</v>
      </c>
      <c r="E63">
        <v>1</v>
      </c>
      <c r="F63">
        <v>7</v>
      </c>
      <c r="G63" t="b">
        <v>0</v>
      </c>
      <c r="H63">
        <v>1</v>
      </c>
      <c r="I63">
        <v>2</v>
      </c>
      <c r="J63">
        <v>0.16</v>
      </c>
      <c r="K63">
        <v>0.13639999999999999</v>
      </c>
      <c r="L63">
        <v>0.64</v>
      </c>
      <c r="M63">
        <v>0.28360000000000002</v>
      </c>
      <c r="N63">
        <v>1</v>
      </c>
      <c r="O63">
        <v>71</v>
      </c>
      <c r="P63">
        <v>72</v>
      </c>
    </row>
    <row r="64" spans="1:16">
      <c r="A64">
        <v>673</v>
      </c>
      <c r="B64" s="1">
        <v>40574</v>
      </c>
      <c r="C64">
        <v>1</v>
      </c>
      <c r="D64">
        <v>0</v>
      </c>
      <c r="E64">
        <v>1</v>
      </c>
      <c r="F64">
        <v>8</v>
      </c>
      <c r="G64" t="b">
        <v>0</v>
      </c>
      <c r="H64">
        <v>1</v>
      </c>
      <c r="I64">
        <v>2</v>
      </c>
      <c r="J64">
        <v>0.16</v>
      </c>
      <c r="K64">
        <v>0.13639999999999999</v>
      </c>
      <c r="L64">
        <v>0.59</v>
      </c>
      <c r="M64">
        <v>0.28360000000000002</v>
      </c>
      <c r="N64">
        <v>3</v>
      </c>
      <c r="O64">
        <v>182</v>
      </c>
      <c r="P64">
        <v>185</v>
      </c>
    </row>
    <row r="65" spans="1:16">
      <c r="A65">
        <v>674</v>
      </c>
      <c r="B65" s="1">
        <v>40574</v>
      </c>
      <c r="C65">
        <v>1</v>
      </c>
      <c r="D65">
        <v>0</v>
      </c>
      <c r="E65">
        <v>1</v>
      </c>
      <c r="F65">
        <v>9</v>
      </c>
      <c r="G65" t="b">
        <v>0</v>
      </c>
      <c r="H65">
        <v>1</v>
      </c>
      <c r="I65">
        <v>2</v>
      </c>
      <c r="J65">
        <v>0.16</v>
      </c>
      <c r="K65">
        <v>0.13639999999999999</v>
      </c>
      <c r="L65">
        <v>0.59</v>
      </c>
      <c r="M65">
        <v>0.29849999999999999</v>
      </c>
      <c r="N65">
        <v>0</v>
      </c>
      <c r="O65">
        <v>112</v>
      </c>
      <c r="P65">
        <v>112</v>
      </c>
    </row>
    <row r="66" spans="1:16">
      <c r="A66">
        <v>675</v>
      </c>
      <c r="B66" s="1">
        <v>40574</v>
      </c>
      <c r="C66">
        <v>1</v>
      </c>
      <c r="D66">
        <v>0</v>
      </c>
      <c r="E66">
        <v>1</v>
      </c>
      <c r="F66">
        <v>10</v>
      </c>
      <c r="G66" t="b">
        <v>0</v>
      </c>
      <c r="H66">
        <v>1</v>
      </c>
      <c r="I66">
        <v>2</v>
      </c>
      <c r="J66">
        <v>0.16</v>
      </c>
      <c r="K66">
        <v>0.1515</v>
      </c>
      <c r="L66">
        <v>0.59</v>
      </c>
      <c r="M66">
        <v>0.19400000000000001</v>
      </c>
      <c r="N66">
        <v>1</v>
      </c>
      <c r="O66">
        <v>68</v>
      </c>
      <c r="P66">
        <v>69</v>
      </c>
    </row>
    <row r="67" spans="1:16">
      <c r="A67">
        <v>676</v>
      </c>
      <c r="B67" s="1">
        <v>40574</v>
      </c>
      <c r="C67">
        <v>1</v>
      </c>
      <c r="D67">
        <v>0</v>
      </c>
      <c r="E67">
        <v>1</v>
      </c>
      <c r="F67">
        <v>11</v>
      </c>
      <c r="G67" t="b">
        <v>0</v>
      </c>
      <c r="H67">
        <v>1</v>
      </c>
      <c r="I67">
        <v>2</v>
      </c>
      <c r="J67">
        <v>0.16</v>
      </c>
      <c r="K67">
        <v>0.1515</v>
      </c>
      <c r="L67">
        <v>0.59</v>
      </c>
      <c r="M67">
        <v>0.19400000000000001</v>
      </c>
      <c r="N67">
        <v>2</v>
      </c>
      <c r="O67">
        <v>46</v>
      </c>
      <c r="P67">
        <v>48</v>
      </c>
    </row>
    <row r="68" spans="1:16">
      <c r="A68">
        <v>677</v>
      </c>
      <c r="B68" s="1">
        <v>40574</v>
      </c>
      <c r="C68">
        <v>1</v>
      </c>
      <c r="D68">
        <v>0</v>
      </c>
      <c r="E68">
        <v>1</v>
      </c>
      <c r="F68">
        <v>12</v>
      </c>
      <c r="G68" t="b">
        <v>0</v>
      </c>
      <c r="H68">
        <v>1</v>
      </c>
      <c r="I68">
        <v>2</v>
      </c>
      <c r="J68">
        <v>0.18</v>
      </c>
      <c r="K68">
        <v>0.21210000000000001</v>
      </c>
      <c r="L68">
        <v>0.55000000000000004</v>
      </c>
      <c r="M68">
        <v>0.1045</v>
      </c>
      <c r="N68">
        <v>6</v>
      </c>
      <c r="O68">
        <v>62</v>
      </c>
      <c r="P68">
        <v>68</v>
      </c>
    </row>
    <row r="69" spans="1:16">
      <c r="A69">
        <v>678</v>
      </c>
      <c r="B69" s="1">
        <v>40574</v>
      </c>
      <c r="C69">
        <v>1</v>
      </c>
      <c r="D69">
        <v>0</v>
      </c>
      <c r="E69">
        <v>1</v>
      </c>
      <c r="F69">
        <v>13</v>
      </c>
      <c r="G69" t="b">
        <v>0</v>
      </c>
      <c r="H69">
        <v>1</v>
      </c>
      <c r="I69">
        <v>2</v>
      </c>
      <c r="J69">
        <v>0.16</v>
      </c>
      <c r="K69">
        <v>0.2273</v>
      </c>
      <c r="L69">
        <v>0.59</v>
      </c>
      <c r="M69">
        <v>0</v>
      </c>
      <c r="N69">
        <v>2</v>
      </c>
      <c r="O69">
        <v>52</v>
      </c>
      <c r="P69">
        <v>54</v>
      </c>
    </row>
    <row r="70" spans="1:16">
      <c r="A70">
        <v>679</v>
      </c>
      <c r="B70" s="1">
        <v>40574</v>
      </c>
      <c r="C70">
        <v>1</v>
      </c>
      <c r="D70">
        <v>0</v>
      </c>
      <c r="E70">
        <v>1</v>
      </c>
      <c r="F70">
        <v>14</v>
      </c>
      <c r="G70" t="b">
        <v>0</v>
      </c>
      <c r="H70">
        <v>1</v>
      </c>
      <c r="I70">
        <v>2</v>
      </c>
      <c r="J70">
        <v>0.18</v>
      </c>
      <c r="K70">
        <v>0.19700000000000001</v>
      </c>
      <c r="L70">
        <v>0.55000000000000004</v>
      </c>
      <c r="M70">
        <v>0.1343</v>
      </c>
      <c r="N70">
        <v>1</v>
      </c>
      <c r="O70">
        <v>85</v>
      </c>
      <c r="P70">
        <v>86</v>
      </c>
    </row>
    <row r="71" spans="1:16">
      <c r="A71">
        <v>680</v>
      </c>
      <c r="B71" s="1">
        <v>40574</v>
      </c>
      <c r="C71">
        <v>1</v>
      </c>
      <c r="D71">
        <v>0</v>
      </c>
      <c r="E71">
        <v>1</v>
      </c>
      <c r="F71">
        <v>15</v>
      </c>
      <c r="G71" t="b">
        <v>0</v>
      </c>
      <c r="H71">
        <v>1</v>
      </c>
      <c r="I71">
        <v>2</v>
      </c>
      <c r="J71">
        <v>0.16</v>
      </c>
      <c r="K71">
        <v>0.18179999999999999</v>
      </c>
      <c r="L71">
        <v>0.59</v>
      </c>
      <c r="M71">
        <v>0.1343</v>
      </c>
      <c r="N71">
        <v>3</v>
      </c>
      <c r="O71">
        <v>41</v>
      </c>
      <c r="P71">
        <v>44</v>
      </c>
    </row>
    <row r="72" spans="1:16">
      <c r="A72">
        <v>681</v>
      </c>
      <c r="B72" s="1">
        <v>40574</v>
      </c>
      <c r="C72">
        <v>1</v>
      </c>
      <c r="D72">
        <v>0</v>
      </c>
      <c r="E72">
        <v>1</v>
      </c>
      <c r="F72">
        <v>16</v>
      </c>
      <c r="G72" t="b">
        <v>0</v>
      </c>
      <c r="H72">
        <v>1</v>
      </c>
      <c r="I72">
        <v>2</v>
      </c>
      <c r="J72">
        <v>0.16</v>
      </c>
      <c r="K72">
        <v>0.18179999999999999</v>
      </c>
      <c r="L72">
        <v>0.56000000000000005</v>
      </c>
      <c r="M72">
        <v>0.19400000000000001</v>
      </c>
      <c r="N72">
        <v>3</v>
      </c>
      <c r="O72">
        <v>83</v>
      </c>
      <c r="P72">
        <v>86</v>
      </c>
    </row>
    <row r="73" spans="1:16">
      <c r="A73">
        <v>682</v>
      </c>
      <c r="B73" s="1">
        <v>40574</v>
      </c>
      <c r="C73">
        <v>1</v>
      </c>
      <c r="D73">
        <v>0</v>
      </c>
      <c r="E73">
        <v>1</v>
      </c>
      <c r="F73">
        <v>17</v>
      </c>
      <c r="G73" t="b">
        <v>0</v>
      </c>
      <c r="H73">
        <v>1</v>
      </c>
      <c r="I73">
        <v>2</v>
      </c>
      <c r="J73">
        <v>0.16</v>
      </c>
      <c r="K73">
        <v>0.1515</v>
      </c>
      <c r="L73">
        <v>0.59</v>
      </c>
      <c r="M73">
        <v>0.19400000000000001</v>
      </c>
      <c r="N73">
        <v>6</v>
      </c>
      <c r="O73">
        <v>155</v>
      </c>
      <c r="P73">
        <v>161</v>
      </c>
    </row>
    <row r="74" spans="1:16">
      <c r="A74">
        <v>683</v>
      </c>
      <c r="B74" s="1">
        <v>40574</v>
      </c>
      <c r="C74">
        <v>1</v>
      </c>
      <c r="D74">
        <v>0</v>
      </c>
      <c r="E74">
        <v>1</v>
      </c>
      <c r="F74">
        <v>18</v>
      </c>
      <c r="G74" t="b">
        <v>0</v>
      </c>
      <c r="H74">
        <v>1</v>
      </c>
      <c r="I74">
        <v>2</v>
      </c>
      <c r="J74">
        <v>0.16</v>
      </c>
      <c r="K74">
        <v>0.1515</v>
      </c>
      <c r="L74">
        <v>0.55000000000000004</v>
      </c>
      <c r="M74">
        <v>0.22389999999999999</v>
      </c>
      <c r="N74">
        <v>3</v>
      </c>
      <c r="O74">
        <v>153</v>
      </c>
      <c r="P74">
        <v>156</v>
      </c>
    </row>
    <row r="75" spans="1:16">
      <c r="A75">
        <v>684</v>
      </c>
      <c r="B75" s="1">
        <v>40574</v>
      </c>
      <c r="C75">
        <v>1</v>
      </c>
      <c r="D75">
        <v>0</v>
      </c>
      <c r="E75">
        <v>1</v>
      </c>
      <c r="F75">
        <v>19</v>
      </c>
      <c r="G75" t="b">
        <v>0</v>
      </c>
      <c r="H75">
        <v>1</v>
      </c>
      <c r="I75">
        <v>1</v>
      </c>
      <c r="J75">
        <v>0.3</v>
      </c>
      <c r="K75">
        <v>0.31819999999999998</v>
      </c>
      <c r="L75">
        <v>0.61</v>
      </c>
      <c r="M75">
        <v>0.1045</v>
      </c>
      <c r="N75">
        <v>3</v>
      </c>
      <c r="O75">
        <v>108</v>
      </c>
      <c r="P75">
        <v>111</v>
      </c>
    </row>
    <row r="76" spans="1:16">
      <c r="A76">
        <v>685</v>
      </c>
      <c r="B76" s="1">
        <v>40574</v>
      </c>
      <c r="C76">
        <v>1</v>
      </c>
      <c r="D76">
        <v>0</v>
      </c>
      <c r="E76">
        <v>1</v>
      </c>
      <c r="F76">
        <v>20</v>
      </c>
      <c r="G76" t="b">
        <v>0</v>
      </c>
      <c r="H76">
        <v>1</v>
      </c>
      <c r="I76">
        <v>3</v>
      </c>
      <c r="J76">
        <v>0.16</v>
      </c>
      <c r="K76">
        <v>0.16669999999999999</v>
      </c>
      <c r="L76">
        <v>0.59</v>
      </c>
      <c r="M76">
        <v>0.16420000000000001</v>
      </c>
      <c r="N76">
        <v>0</v>
      </c>
      <c r="O76">
        <v>78</v>
      </c>
      <c r="P76">
        <v>78</v>
      </c>
    </row>
    <row r="77" spans="1:16">
      <c r="A77">
        <v>686</v>
      </c>
      <c r="B77" s="1">
        <v>40574</v>
      </c>
      <c r="C77">
        <v>1</v>
      </c>
      <c r="D77">
        <v>0</v>
      </c>
      <c r="E77">
        <v>1</v>
      </c>
      <c r="F77">
        <v>21</v>
      </c>
      <c r="G77" t="b">
        <v>0</v>
      </c>
      <c r="H77">
        <v>1</v>
      </c>
      <c r="I77">
        <v>3</v>
      </c>
      <c r="J77">
        <v>0.16</v>
      </c>
      <c r="K77">
        <v>0.19700000000000001</v>
      </c>
      <c r="L77">
        <v>0.59</v>
      </c>
      <c r="M77">
        <v>8.9599999999999999E-2</v>
      </c>
      <c r="N77">
        <v>3</v>
      </c>
      <c r="O77">
        <v>53</v>
      </c>
      <c r="P77">
        <v>56</v>
      </c>
    </row>
    <row r="78" spans="1:16">
      <c r="A78">
        <v>687</v>
      </c>
      <c r="B78" s="1">
        <v>40574</v>
      </c>
      <c r="C78">
        <v>1</v>
      </c>
      <c r="D78">
        <v>0</v>
      </c>
      <c r="E78">
        <v>1</v>
      </c>
      <c r="F78">
        <v>22</v>
      </c>
      <c r="G78" t="b">
        <v>0</v>
      </c>
      <c r="H78">
        <v>1</v>
      </c>
      <c r="I78">
        <v>2</v>
      </c>
      <c r="J78">
        <v>0.16</v>
      </c>
      <c r="K78">
        <v>0.18179999999999999</v>
      </c>
      <c r="L78">
        <v>0.59</v>
      </c>
      <c r="M78">
        <v>0.1045</v>
      </c>
      <c r="N78">
        <v>0</v>
      </c>
      <c r="O78">
        <v>34</v>
      </c>
      <c r="P78">
        <v>34</v>
      </c>
    </row>
    <row r="79" spans="1:16">
      <c r="A79">
        <v>688</v>
      </c>
      <c r="B79" s="1">
        <v>40574</v>
      </c>
      <c r="C79">
        <v>1</v>
      </c>
      <c r="D79">
        <v>0</v>
      </c>
      <c r="E79">
        <v>1</v>
      </c>
      <c r="F79">
        <v>23</v>
      </c>
      <c r="G79" t="b">
        <v>0</v>
      </c>
      <c r="H79">
        <v>1</v>
      </c>
      <c r="I79">
        <v>2</v>
      </c>
      <c r="J79">
        <v>0.16</v>
      </c>
      <c r="K79">
        <v>0.19700000000000001</v>
      </c>
      <c r="L79">
        <v>0.64</v>
      </c>
      <c r="M79">
        <v>8.9599999999999999E-2</v>
      </c>
      <c r="N79">
        <v>2</v>
      </c>
      <c r="O79">
        <v>15</v>
      </c>
      <c r="P79">
        <v>17</v>
      </c>
    </row>
    <row r="80" spans="1:16">
      <c r="A80">
        <v>689</v>
      </c>
      <c r="B80" s="1">
        <v>40575</v>
      </c>
      <c r="C80">
        <v>1</v>
      </c>
      <c r="D80">
        <v>0</v>
      </c>
      <c r="E80">
        <v>2</v>
      </c>
      <c r="F80">
        <v>0</v>
      </c>
      <c r="G80" t="b">
        <v>0</v>
      </c>
      <c r="H80">
        <v>2</v>
      </c>
      <c r="I80">
        <v>2</v>
      </c>
      <c r="J80">
        <v>0.16</v>
      </c>
      <c r="K80">
        <v>0.18179999999999999</v>
      </c>
      <c r="L80">
        <v>0.64</v>
      </c>
      <c r="M80">
        <v>0.1045</v>
      </c>
      <c r="N80">
        <v>2</v>
      </c>
      <c r="O80">
        <v>6</v>
      </c>
      <c r="P80">
        <v>8</v>
      </c>
    </row>
    <row r="81" spans="1:16">
      <c r="A81">
        <v>690</v>
      </c>
      <c r="B81" s="1">
        <v>40575</v>
      </c>
      <c r="C81">
        <v>1</v>
      </c>
      <c r="D81">
        <v>0</v>
      </c>
      <c r="E81">
        <v>2</v>
      </c>
      <c r="F81">
        <v>1</v>
      </c>
      <c r="G81" t="b">
        <v>0</v>
      </c>
      <c r="H81">
        <v>2</v>
      </c>
      <c r="I81">
        <v>2</v>
      </c>
      <c r="J81">
        <v>0.16</v>
      </c>
      <c r="K81">
        <v>0.18179999999999999</v>
      </c>
      <c r="L81">
        <v>0.69</v>
      </c>
      <c r="M81">
        <v>0.1045</v>
      </c>
      <c r="N81">
        <v>0</v>
      </c>
      <c r="O81">
        <v>3</v>
      </c>
      <c r="P81">
        <v>3</v>
      </c>
    </row>
    <row r="82" spans="1:16">
      <c r="A82">
        <v>691</v>
      </c>
      <c r="B82" s="1">
        <v>40575</v>
      </c>
      <c r="C82">
        <v>1</v>
      </c>
      <c r="D82">
        <v>0</v>
      </c>
      <c r="E82">
        <v>2</v>
      </c>
      <c r="F82">
        <v>2</v>
      </c>
      <c r="G82" t="b">
        <v>0</v>
      </c>
      <c r="H82">
        <v>2</v>
      </c>
      <c r="I82">
        <v>2</v>
      </c>
      <c r="J82">
        <v>0.16</v>
      </c>
      <c r="K82">
        <v>0.2273</v>
      </c>
      <c r="L82">
        <v>0.69</v>
      </c>
      <c r="M82">
        <v>0</v>
      </c>
      <c r="N82">
        <v>0</v>
      </c>
      <c r="O82">
        <v>2</v>
      </c>
      <c r="P82">
        <v>2</v>
      </c>
    </row>
    <row r="83" spans="1:16">
      <c r="A83">
        <v>692</v>
      </c>
      <c r="B83" s="1">
        <v>40575</v>
      </c>
      <c r="C83">
        <v>1</v>
      </c>
      <c r="D83">
        <v>0</v>
      </c>
      <c r="E83">
        <v>2</v>
      </c>
      <c r="F83">
        <v>3</v>
      </c>
      <c r="G83" t="b">
        <v>0</v>
      </c>
      <c r="H83">
        <v>2</v>
      </c>
      <c r="I83">
        <v>2</v>
      </c>
      <c r="J83">
        <v>0.16</v>
      </c>
      <c r="K83">
        <v>0.2273</v>
      </c>
      <c r="L83">
        <v>0.69</v>
      </c>
      <c r="M83">
        <v>0</v>
      </c>
      <c r="N83">
        <v>0</v>
      </c>
      <c r="O83">
        <v>2</v>
      </c>
      <c r="P83">
        <v>2</v>
      </c>
    </row>
    <row r="84" spans="1:16">
      <c r="A84">
        <v>693</v>
      </c>
      <c r="B84" s="1">
        <v>40575</v>
      </c>
      <c r="C84">
        <v>1</v>
      </c>
      <c r="D84">
        <v>0</v>
      </c>
      <c r="E84">
        <v>2</v>
      </c>
      <c r="F84">
        <v>5</v>
      </c>
      <c r="G84" t="b">
        <v>0</v>
      </c>
      <c r="H84">
        <v>2</v>
      </c>
      <c r="I84">
        <v>3</v>
      </c>
      <c r="J84">
        <v>0.14000000000000001</v>
      </c>
      <c r="K84">
        <v>0.21210000000000001</v>
      </c>
      <c r="L84">
        <v>0.93</v>
      </c>
      <c r="M84">
        <v>0</v>
      </c>
      <c r="N84">
        <v>0</v>
      </c>
      <c r="O84">
        <v>3</v>
      </c>
      <c r="P84">
        <v>3</v>
      </c>
    </row>
    <row r="85" spans="1:16">
      <c r="A85">
        <v>694</v>
      </c>
      <c r="B85" s="1">
        <v>40575</v>
      </c>
      <c r="C85">
        <v>1</v>
      </c>
      <c r="D85">
        <v>0</v>
      </c>
      <c r="E85">
        <v>2</v>
      </c>
      <c r="F85">
        <v>6</v>
      </c>
      <c r="G85" t="b">
        <v>0</v>
      </c>
      <c r="H85">
        <v>2</v>
      </c>
      <c r="I85">
        <v>3</v>
      </c>
      <c r="J85">
        <v>0.14000000000000001</v>
      </c>
      <c r="K85">
        <v>0.21210000000000001</v>
      </c>
      <c r="L85">
        <v>0.93</v>
      </c>
      <c r="M85">
        <v>0</v>
      </c>
      <c r="N85">
        <v>0</v>
      </c>
      <c r="O85">
        <v>22</v>
      </c>
      <c r="P85">
        <v>22</v>
      </c>
    </row>
    <row r="86" spans="1:16">
      <c r="A86">
        <v>695</v>
      </c>
      <c r="B86" s="1">
        <v>40575</v>
      </c>
      <c r="C86">
        <v>1</v>
      </c>
      <c r="D86">
        <v>0</v>
      </c>
      <c r="E86">
        <v>2</v>
      </c>
      <c r="F86">
        <v>7</v>
      </c>
      <c r="G86" t="b">
        <v>0</v>
      </c>
      <c r="H86">
        <v>2</v>
      </c>
      <c r="I86">
        <v>3</v>
      </c>
      <c r="J86">
        <v>0.16</v>
      </c>
      <c r="K86">
        <v>0.2273</v>
      </c>
      <c r="L86">
        <v>0.93</v>
      </c>
      <c r="M86">
        <v>0</v>
      </c>
      <c r="N86">
        <v>0</v>
      </c>
      <c r="O86">
        <v>52</v>
      </c>
      <c r="P86">
        <v>52</v>
      </c>
    </row>
    <row r="87" spans="1:16">
      <c r="A87">
        <v>696</v>
      </c>
      <c r="B87" s="1">
        <v>40575</v>
      </c>
      <c r="C87">
        <v>1</v>
      </c>
      <c r="D87">
        <v>0</v>
      </c>
      <c r="E87">
        <v>2</v>
      </c>
      <c r="F87">
        <v>8</v>
      </c>
      <c r="G87" t="b">
        <v>0</v>
      </c>
      <c r="H87">
        <v>2</v>
      </c>
      <c r="I87">
        <v>3</v>
      </c>
      <c r="J87">
        <v>0.16</v>
      </c>
      <c r="K87">
        <v>0.2273</v>
      </c>
      <c r="L87">
        <v>0.93</v>
      </c>
      <c r="M87">
        <v>0</v>
      </c>
      <c r="N87">
        <v>3</v>
      </c>
      <c r="O87">
        <v>132</v>
      </c>
      <c r="P87">
        <v>135</v>
      </c>
    </row>
    <row r="88" spans="1:16">
      <c r="A88">
        <v>697</v>
      </c>
      <c r="B88" s="1">
        <v>40575</v>
      </c>
      <c r="C88">
        <v>1</v>
      </c>
      <c r="D88">
        <v>0</v>
      </c>
      <c r="E88">
        <v>2</v>
      </c>
      <c r="F88">
        <v>9</v>
      </c>
      <c r="G88" t="b">
        <v>0</v>
      </c>
      <c r="H88">
        <v>2</v>
      </c>
      <c r="I88">
        <v>2</v>
      </c>
      <c r="J88">
        <v>0.16</v>
      </c>
      <c r="K88">
        <v>0.2273</v>
      </c>
      <c r="L88">
        <v>0.93</v>
      </c>
      <c r="M88">
        <v>0</v>
      </c>
      <c r="N88">
        <v>2</v>
      </c>
      <c r="O88">
        <v>114</v>
      </c>
      <c r="P88">
        <v>116</v>
      </c>
    </row>
    <row r="89" spans="1:16">
      <c r="A89">
        <v>698</v>
      </c>
      <c r="B89" s="1">
        <v>40575</v>
      </c>
      <c r="C89">
        <v>1</v>
      </c>
      <c r="D89">
        <v>0</v>
      </c>
      <c r="E89">
        <v>2</v>
      </c>
      <c r="F89">
        <v>10</v>
      </c>
      <c r="G89" t="b">
        <v>0</v>
      </c>
      <c r="H89">
        <v>2</v>
      </c>
      <c r="I89">
        <v>2</v>
      </c>
      <c r="J89">
        <v>0.16</v>
      </c>
      <c r="K89">
        <v>0.2273</v>
      </c>
      <c r="L89">
        <v>0.93</v>
      </c>
      <c r="M89">
        <v>0</v>
      </c>
      <c r="N89">
        <v>0</v>
      </c>
      <c r="O89">
        <v>47</v>
      </c>
      <c r="P89">
        <v>47</v>
      </c>
    </row>
    <row r="90" spans="1:16">
      <c r="A90">
        <v>699</v>
      </c>
      <c r="B90" s="1">
        <v>40575</v>
      </c>
      <c r="C90">
        <v>1</v>
      </c>
      <c r="D90">
        <v>0</v>
      </c>
      <c r="E90">
        <v>2</v>
      </c>
      <c r="F90">
        <v>11</v>
      </c>
      <c r="G90" t="b">
        <v>0</v>
      </c>
      <c r="H90">
        <v>2</v>
      </c>
      <c r="I90">
        <v>2</v>
      </c>
      <c r="J90">
        <v>0.18</v>
      </c>
      <c r="K90">
        <v>0.2424</v>
      </c>
      <c r="L90">
        <v>0.86</v>
      </c>
      <c r="M90">
        <v>0</v>
      </c>
      <c r="N90">
        <v>2</v>
      </c>
      <c r="O90">
        <v>49</v>
      </c>
      <c r="P90">
        <v>51</v>
      </c>
    </row>
    <row r="91" spans="1:16">
      <c r="A91">
        <v>700</v>
      </c>
      <c r="B91" s="1">
        <v>40575</v>
      </c>
      <c r="C91">
        <v>1</v>
      </c>
      <c r="D91">
        <v>0</v>
      </c>
      <c r="E91">
        <v>2</v>
      </c>
      <c r="F91">
        <v>12</v>
      </c>
      <c r="G91" t="b">
        <v>0</v>
      </c>
      <c r="H91">
        <v>2</v>
      </c>
      <c r="I91">
        <v>2</v>
      </c>
      <c r="J91">
        <v>0.2</v>
      </c>
      <c r="K91">
        <v>0.2576</v>
      </c>
      <c r="L91">
        <v>0.86</v>
      </c>
      <c r="M91">
        <v>0</v>
      </c>
      <c r="N91">
        <v>2</v>
      </c>
      <c r="O91">
        <v>53</v>
      </c>
      <c r="P91">
        <v>55</v>
      </c>
    </row>
    <row r="92" spans="1:16">
      <c r="A92">
        <v>701</v>
      </c>
      <c r="B92" s="1">
        <v>40575</v>
      </c>
      <c r="C92">
        <v>1</v>
      </c>
      <c r="D92">
        <v>0</v>
      </c>
      <c r="E92">
        <v>2</v>
      </c>
      <c r="F92">
        <v>13</v>
      </c>
      <c r="G92" t="b">
        <v>0</v>
      </c>
      <c r="H92">
        <v>2</v>
      </c>
      <c r="I92">
        <v>2</v>
      </c>
      <c r="J92">
        <v>0.2</v>
      </c>
      <c r="K92">
        <v>0.2576</v>
      </c>
      <c r="L92">
        <v>0.86</v>
      </c>
      <c r="M92">
        <v>0</v>
      </c>
      <c r="N92">
        <v>3</v>
      </c>
      <c r="O92">
        <v>49</v>
      </c>
      <c r="P92">
        <v>52</v>
      </c>
    </row>
    <row r="93" spans="1:16">
      <c r="A93">
        <v>702</v>
      </c>
      <c r="B93" s="1">
        <v>40575</v>
      </c>
      <c r="C93">
        <v>1</v>
      </c>
      <c r="D93">
        <v>0</v>
      </c>
      <c r="E93">
        <v>2</v>
      </c>
      <c r="F93">
        <v>14</v>
      </c>
      <c r="G93" t="b">
        <v>0</v>
      </c>
      <c r="H93">
        <v>2</v>
      </c>
      <c r="I93">
        <v>2</v>
      </c>
      <c r="J93">
        <v>0.22</v>
      </c>
      <c r="K93">
        <v>0.2576</v>
      </c>
      <c r="L93">
        <v>0.8</v>
      </c>
      <c r="M93">
        <v>8.9599999999999999E-2</v>
      </c>
      <c r="N93">
        <v>5</v>
      </c>
      <c r="O93">
        <v>49</v>
      </c>
      <c r="P93">
        <v>54</v>
      </c>
    </row>
    <row r="94" spans="1:16">
      <c r="A94">
        <v>703</v>
      </c>
      <c r="B94" s="1">
        <v>40575</v>
      </c>
      <c r="C94">
        <v>1</v>
      </c>
      <c r="D94">
        <v>0</v>
      </c>
      <c r="E94">
        <v>2</v>
      </c>
      <c r="F94">
        <v>15</v>
      </c>
      <c r="G94" t="b">
        <v>0</v>
      </c>
      <c r="H94">
        <v>2</v>
      </c>
      <c r="I94">
        <v>2</v>
      </c>
      <c r="J94">
        <v>0.24</v>
      </c>
      <c r="K94">
        <v>0.28789999999999999</v>
      </c>
      <c r="L94">
        <v>0.75</v>
      </c>
      <c r="M94">
        <v>0</v>
      </c>
      <c r="N94">
        <v>7</v>
      </c>
      <c r="O94">
        <v>45</v>
      </c>
      <c r="P94">
        <v>52</v>
      </c>
    </row>
    <row r="95" spans="1:16">
      <c r="A95">
        <v>704</v>
      </c>
      <c r="B95" s="1">
        <v>40575</v>
      </c>
      <c r="C95">
        <v>1</v>
      </c>
      <c r="D95">
        <v>0</v>
      </c>
      <c r="E95">
        <v>2</v>
      </c>
      <c r="F95">
        <v>16</v>
      </c>
      <c r="G95" t="b">
        <v>0</v>
      </c>
      <c r="H95">
        <v>2</v>
      </c>
      <c r="I95">
        <v>2</v>
      </c>
      <c r="J95">
        <v>0.24</v>
      </c>
      <c r="K95">
        <v>0.2424</v>
      </c>
      <c r="L95">
        <v>0.75</v>
      </c>
      <c r="M95">
        <v>0.1343</v>
      </c>
      <c r="N95">
        <v>3</v>
      </c>
      <c r="O95">
        <v>61</v>
      </c>
      <c r="P95">
        <v>64</v>
      </c>
    </row>
    <row r="96" spans="1:16">
      <c r="A96">
        <v>705</v>
      </c>
      <c r="B96" s="1">
        <v>40575</v>
      </c>
      <c r="C96">
        <v>1</v>
      </c>
      <c r="D96">
        <v>0</v>
      </c>
      <c r="E96">
        <v>2</v>
      </c>
      <c r="F96">
        <v>17</v>
      </c>
      <c r="G96" t="b">
        <v>0</v>
      </c>
      <c r="H96">
        <v>2</v>
      </c>
      <c r="I96">
        <v>2</v>
      </c>
      <c r="J96">
        <v>0.24</v>
      </c>
      <c r="K96">
        <v>0.28789999999999999</v>
      </c>
      <c r="L96">
        <v>0.75</v>
      </c>
      <c r="M96">
        <v>0</v>
      </c>
      <c r="N96">
        <v>4</v>
      </c>
      <c r="O96">
        <v>172</v>
      </c>
      <c r="P96">
        <v>176</v>
      </c>
    </row>
    <row r="97" spans="1:16">
      <c r="A97">
        <v>706</v>
      </c>
      <c r="B97" s="1">
        <v>40575</v>
      </c>
      <c r="C97">
        <v>1</v>
      </c>
      <c r="D97">
        <v>0</v>
      </c>
      <c r="E97">
        <v>2</v>
      </c>
      <c r="F97">
        <v>18</v>
      </c>
      <c r="G97" t="b">
        <v>0</v>
      </c>
      <c r="H97">
        <v>2</v>
      </c>
      <c r="I97">
        <v>2</v>
      </c>
      <c r="J97">
        <v>0.24</v>
      </c>
      <c r="K97">
        <v>0.2576</v>
      </c>
      <c r="L97">
        <v>0.81</v>
      </c>
      <c r="M97">
        <v>0.1045</v>
      </c>
      <c r="N97">
        <v>3</v>
      </c>
      <c r="O97">
        <v>165</v>
      </c>
      <c r="P97">
        <v>168</v>
      </c>
    </row>
    <row r="98" spans="1:16">
      <c r="A98">
        <v>707</v>
      </c>
      <c r="B98" s="1">
        <v>40575</v>
      </c>
      <c r="C98">
        <v>1</v>
      </c>
      <c r="D98">
        <v>0</v>
      </c>
      <c r="E98">
        <v>2</v>
      </c>
      <c r="F98">
        <v>19</v>
      </c>
      <c r="G98" t="b">
        <v>0</v>
      </c>
      <c r="H98">
        <v>2</v>
      </c>
      <c r="I98">
        <v>2</v>
      </c>
      <c r="J98">
        <v>0.24</v>
      </c>
      <c r="K98">
        <v>0.2424</v>
      </c>
      <c r="L98">
        <v>0.81</v>
      </c>
      <c r="M98">
        <v>0.1343</v>
      </c>
      <c r="N98">
        <v>3</v>
      </c>
      <c r="O98">
        <v>105</v>
      </c>
      <c r="P98">
        <v>108</v>
      </c>
    </row>
    <row r="99" spans="1:16">
      <c r="A99">
        <v>708</v>
      </c>
      <c r="B99" s="1">
        <v>40575</v>
      </c>
      <c r="C99">
        <v>1</v>
      </c>
      <c r="D99">
        <v>0</v>
      </c>
      <c r="E99">
        <v>2</v>
      </c>
      <c r="F99">
        <v>20</v>
      </c>
      <c r="G99" t="b">
        <v>0</v>
      </c>
      <c r="H99">
        <v>2</v>
      </c>
      <c r="I99">
        <v>2</v>
      </c>
      <c r="J99">
        <v>0.22</v>
      </c>
      <c r="K99">
        <v>0.2273</v>
      </c>
      <c r="L99">
        <v>0.87</v>
      </c>
      <c r="M99">
        <v>0.1343</v>
      </c>
      <c r="N99">
        <v>5</v>
      </c>
      <c r="O99">
        <v>69</v>
      </c>
      <c r="P99">
        <v>74</v>
      </c>
    </row>
    <row r="100" spans="1:16">
      <c r="A100">
        <v>709</v>
      </c>
      <c r="B100" s="1">
        <v>40575</v>
      </c>
      <c r="C100">
        <v>1</v>
      </c>
      <c r="D100">
        <v>0</v>
      </c>
      <c r="E100">
        <v>2</v>
      </c>
      <c r="F100">
        <v>21</v>
      </c>
      <c r="G100" t="b">
        <v>0</v>
      </c>
      <c r="H100">
        <v>2</v>
      </c>
      <c r="I100">
        <v>2</v>
      </c>
      <c r="J100">
        <v>0.22</v>
      </c>
      <c r="K100">
        <v>0.2273</v>
      </c>
      <c r="L100">
        <v>0.87</v>
      </c>
      <c r="M100">
        <v>0.1343</v>
      </c>
      <c r="N100">
        <v>0</v>
      </c>
      <c r="O100">
        <v>64</v>
      </c>
      <c r="P100">
        <v>64</v>
      </c>
    </row>
    <row r="101" spans="1:16">
      <c r="A101">
        <v>710</v>
      </c>
      <c r="B101" s="1">
        <v>40575</v>
      </c>
      <c r="C101">
        <v>1</v>
      </c>
      <c r="D101">
        <v>0</v>
      </c>
      <c r="E101">
        <v>2</v>
      </c>
      <c r="F101">
        <v>22</v>
      </c>
      <c r="G101" t="b">
        <v>0</v>
      </c>
      <c r="H101">
        <v>2</v>
      </c>
      <c r="I101">
        <v>2</v>
      </c>
      <c r="J101">
        <v>0.22</v>
      </c>
      <c r="K101">
        <v>0.2576</v>
      </c>
      <c r="L101">
        <v>0.87</v>
      </c>
      <c r="M101">
        <v>8.9599999999999999E-2</v>
      </c>
      <c r="N101">
        <v>2</v>
      </c>
      <c r="O101">
        <v>34</v>
      </c>
      <c r="P101">
        <v>36</v>
      </c>
    </row>
    <row r="102" spans="1:16">
      <c r="A102">
        <v>711</v>
      </c>
      <c r="B102" s="1">
        <v>40575</v>
      </c>
      <c r="C102">
        <v>1</v>
      </c>
      <c r="D102">
        <v>0</v>
      </c>
      <c r="E102">
        <v>2</v>
      </c>
      <c r="F102">
        <v>23</v>
      </c>
      <c r="G102" t="b">
        <v>0</v>
      </c>
      <c r="H102">
        <v>2</v>
      </c>
      <c r="I102">
        <v>3</v>
      </c>
      <c r="J102">
        <v>0.2</v>
      </c>
      <c r="K102">
        <v>0.19700000000000001</v>
      </c>
      <c r="L102">
        <v>0.93</v>
      </c>
      <c r="M102">
        <v>0.19400000000000001</v>
      </c>
      <c r="N102">
        <v>1</v>
      </c>
      <c r="O102">
        <v>15</v>
      </c>
      <c r="P102">
        <v>16</v>
      </c>
    </row>
    <row r="103" spans="1:16">
      <c r="A103">
        <v>712</v>
      </c>
      <c r="B103" s="1">
        <v>40576</v>
      </c>
      <c r="C103">
        <v>1</v>
      </c>
      <c r="D103">
        <v>0</v>
      </c>
      <c r="E103">
        <v>2</v>
      </c>
      <c r="F103">
        <v>0</v>
      </c>
      <c r="G103" t="b">
        <v>0</v>
      </c>
      <c r="H103">
        <v>3</v>
      </c>
      <c r="I103">
        <v>3</v>
      </c>
      <c r="J103">
        <v>0.22</v>
      </c>
      <c r="K103">
        <v>0.2424</v>
      </c>
      <c r="L103">
        <v>0.93</v>
      </c>
      <c r="M103">
        <v>0.1045</v>
      </c>
      <c r="N103">
        <v>0</v>
      </c>
      <c r="O103">
        <v>2</v>
      </c>
      <c r="P103">
        <v>2</v>
      </c>
    </row>
    <row r="104" spans="1:16">
      <c r="A104">
        <v>713</v>
      </c>
      <c r="B104" s="1">
        <v>40576</v>
      </c>
      <c r="C104">
        <v>1</v>
      </c>
      <c r="D104">
        <v>0</v>
      </c>
      <c r="E104">
        <v>2</v>
      </c>
      <c r="F104">
        <v>1</v>
      </c>
      <c r="G104" t="b">
        <v>0</v>
      </c>
      <c r="H104">
        <v>3</v>
      </c>
      <c r="I104">
        <v>3</v>
      </c>
      <c r="J104">
        <v>0.22</v>
      </c>
      <c r="K104">
        <v>0.2273</v>
      </c>
      <c r="L104">
        <v>0.93</v>
      </c>
      <c r="M104">
        <v>0.19400000000000001</v>
      </c>
      <c r="N104">
        <v>0</v>
      </c>
      <c r="O104">
        <v>3</v>
      </c>
      <c r="P104">
        <v>3</v>
      </c>
    </row>
    <row r="105" spans="1:16">
      <c r="A105">
        <v>714</v>
      </c>
      <c r="B105" s="1">
        <v>40576</v>
      </c>
      <c r="C105">
        <v>1</v>
      </c>
      <c r="D105">
        <v>0</v>
      </c>
      <c r="E105">
        <v>2</v>
      </c>
      <c r="F105">
        <v>2</v>
      </c>
      <c r="G105" t="b">
        <v>0</v>
      </c>
      <c r="H105">
        <v>3</v>
      </c>
      <c r="I105">
        <v>3</v>
      </c>
      <c r="J105">
        <v>0.22</v>
      </c>
      <c r="K105">
        <v>0.2273</v>
      </c>
      <c r="L105">
        <v>0.93</v>
      </c>
      <c r="M105">
        <v>0.1343</v>
      </c>
      <c r="N105">
        <v>4</v>
      </c>
      <c r="O105">
        <v>0</v>
      </c>
      <c r="P105">
        <v>4</v>
      </c>
    </row>
    <row r="106" spans="1:16">
      <c r="A106">
        <v>715</v>
      </c>
      <c r="B106" s="1">
        <v>40576</v>
      </c>
      <c r="C106">
        <v>1</v>
      </c>
      <c r="D106">
        <v>0</v>
      </c>
      <c r="E106">
        <v>2</v>
      </c>
      <c r="F106">
        <v>3</v>
      </c>
      <c r="G106" t="b">
        <v>0</v>
      </c>
      <c r="H106">
        <v>3</v>
      </c>
      <c r="I106">
        <v>3</v>
      </c>
      <c r="J106">
        <v>0.22</v>
      </c>
      <c r="K106">
        <v>0.2273</v>
      </c>
      <c r="L106">
        <v>0.93</v>
      </c>
      <c r="M106">
        <v>0.1343</v>
      </c>
      <c r="N106">
        <v>0</v>
      </c>
      <c r="O106">
        <v>1</v>
      </c>
      <c r="P106">
        <v>1</v>
      </c>
    </row>
    <row r="107" spans="1:16">
      <c r="A107">
        <v>716</v>
      </c>
      <c r="B107" s="1">
        <v>40576</v>
      </c>
      <c r="C107">
        <v>1</v>
      </c>
      <c r="D107">
        <v>0</v>
      </c>
      <c r="E107">
        <v>2</v>
      </c>
      <c r="F107">
        <v>4</v>
      </c>
      <c r="G107" t="b">
        <v>0</v>
      </c>
      <c r="H107">
        <v>3</v>
      </c>
      <c r="I107">
        <v>3</v>
      </c>
      <c r="J107">
        <v>0.22</v>
      </c>
      <c r="K107">
        <v>0.21210000000000001</v>
      </c>
      <c r="L107">
        <v>0.93</v>
      </c>
      <c r="M107">
        <v>0.28360000000000002</v>
      </c>
      <c r="N107">
        <v>0</v>
      </c>
      <c r="O107">
        <v>1</v>
      </c>
      <c r="P107">
        <v>1</v>
      </c>
    </row>
    <row r="108" spans="1:16">
      <c r="A108">
        <v>717</v>
      </c>
      <c r="B108" s="1">
        <v>40576</v>
      </c>
      <c r="C108">
        <v>1</v>
      </c>
      <c r="D108">
        <v>0</v>
      </c>
      <c r="E108">
        <v>2</v>
      </c>
      <c r="F108">
        <v>5</v>
      </c>
      <c r="G108" t="b">
        <v>0</v>
      </c>
      <c r="H108">
        <v>3</v>
      </c>
      <c r="I108">
        <v>3</v>
      </c>
      <c r="J108">
        <v>0.22</v>
      </c>
      <c r="K108">
        <v>0.2424</v>
      </c>
      <c r="L108">
        <v>0.93</v>
      </c>
      <c r="M108">
        <v>0.1045</v>
      </c>
      <c r="N108">
        <v>0</v>
      </c>
      <c r="O108">
        <v>3</v>
      </c>
      <c r="P108">
        <v>3</v>
      </c>
    </row>
    <row r="109" spans="1:16">
      <c r="A109">
        <v>718</v>
      </c>
      <c r="B109" s="1">
        <v>40576</v>
      </c>
      <c r="C109">
        <v>1</v>
      </c>
      <c r="D109">
        <v>0</v>
      </c>
      <c r="E109">
        <v>2</v>
      </c>
      <c r="F109">
        <v>6</v>
      </c>
      <c r="G109" t="b">
        <v>0</v>
      </c>
      <c r="H109">
        <v>3</v>
      </c>
      <c r="I109">
        <v>3</v>
      </c>
      <c r="J109">
        <v>0.22</v>
      </c>
      <c r="K109">
        <v>0.2424</v>
      </c>
      <c r="L109">
        <v>0.93</v>
      </c>
      <c r="M109">
        <v>0.1045</v>
      </c>
      <c r="N109">
        <v>1</v>
      </c>
      <c r="O109">
        <v>17</v>
      </c>
      <c r="P109">
        <v>18</v>
      </c>
    </row>
    <row r="110" spans="1:16">
      <c r="A110">
        <v>719</v>
      </c>
      <c r="B110" s="1">
        <v>40576</v>
      </c>
      <c r="C110">
        <v>1</v>
      </c>
      <c r="D110">
        <v>0</v>
      </c>
      <c r="E110">
        <v>2</v>
      </c>
      <c r="F110">
        <v>7</v>
      </c>
      <c r="G110" t="b">
        <v>0</v>
      </c>
      <c r="H110">
        <v>3</v>
      </c>
      <c r="I110">
        <v>3</v>
      </c>
      <c r="J110">
        <v>0.22</v>
      </c>
      <c r="K110">
        <v>0.21210000000000001</v>
      </c>
      <c r="L110">
        <v>0.93</v>
      </c>
      <c r="M110">
        <v>0.22389999999999999</v>
      </c>
      <c r="N110">
        <v>1</v>
      </c>
      <c r="O110">
        <v>48</v>
      </c>
      <c r="P110">
        <v>49</v>
      </c>
    </row>
    <row r="111" spans="1:16">
      <c r="A111">
        <v>720</v>
      </c>
      <c r="B111" s="1">
        <v>40576</v>
      </c>
      <c r="C111">
        <v>1</v>
      </c>
      <c r="D111">
        <v>0</v>
      </c>
      <c r="E111">
        <v>2</v>
      </c>
      <c r="F111">
        <v>8</v>
      </c>
      <c r="G111" t="b">
        <v>0</v>
      </c>
      <c r="H111">
        <v>3</v>
      </c>
      <c r="I111">
        <v>3</v>
      </c>
      <c r="J111">
        <v>0.22</v>
      </c>
      <c r="K111">
        <v>0.21210000000000001</v>
      </c>
      <c r="L111">
        <v>0.93</v>
      </c>
      <c r="M111">
        <v>0.22389999999999999</v>
      </c>
      <c r="N111">
        <v>1</v>
      </c>
      <c r="O111">
        <v>154</v>
      </c>
      <c r="P111">
        <v>155</v>
      </c>
    </row>
    <row r="112" spans="1:16">
      <c r="A112">
        <v>721</v>
      </c>
      <c r="B112" s="1">
        <v>40576</v>
      </c>
      <c r="C112">
        <v>1</v>
      </c>
      <c r="D112">
        <v>0</v>
      </c>
      <c r="E112">
        <v>2</v>
      </c>
      <c r="F112">
        <v>9</v>
      </c>
      <c r="G112" t="b">
        <v>0</v>
      </c>
      <c r="H112">
        <v>3</v>
      </c>
      <c r="I112">
        <v>2</v>
      </c>
      <c r="J112">
        <v>0.24</v>
      </c>
      <c r="K112">
        <v>0.2576</v>
      </c>
      <c r="L112">
        <v>0.93</v>
      </c>
      <c r="M112">
        <v>8.9599999999999999E-2</v>
      </c>
      <c r="N112">
        <v>4</v>
      </c>
      <c r="O112">
        <v>119</v>
      </c>
      <c r="P112">
        <v>123</v>
      </c>
    </row>
    <row r="113" spans="1:16">
      <c r="A113">
        <v>722</v>
      </c>
      <c r="B113" s="1">
        <v>40576</v>
      </c>
      <c r="C113">
        <v>1</v>
      </c>
      <c r="D113">
        <v>0</v>
      </c>
      <c r="E113">
        <v>2</v>
      </c>
      <c r="F113">
        <v>10</v>
      </c>
      <c r="G113" t="b">
        <v>0</v>
      </c>
      <c r="H113">
        <v>3</v>
      </c>
      <c r="I113">
        <v>2</v>
      </c>
      <c r="J113">
        <v>0.22</v>
      </c>
      <c r="K113">
        <v>0.2727</v>
      </c>
      <c r="L113">
        <v>1</v>
      </c>
      <c r="M113">
        <v>0</v>
      </c>
      <c r="N113">
        <v>2</v>
      </c>
      <c r="O113">
        <v>59</v>
      </c>
      <c r="P113">
        <v>61</v>
      </c>
    </row>
    <row r="114" spans="1:16">
      <c r="A114">
        <v>723</v>
      </c>
      <c r="B114" s="1">
        <v>40576</v>
      </c>
      <c r="C114">
        <v>1</v>
      </c>
      <c r="D114">
        <v>0</v>
      </c>
      <c r="E114">
        <v>2</v>
      </c>
      <c r="F114">
        <v>11</v>
      </c>
      <c r="G114" t="b">
        <v>0</v>
      </c>
      <c r="H114">
        <v>3</v>
      </c>
      <c r="I114">
        <v>2</v>
      </c>
      <c r="J114">
        <v>0.24</v>
      </c>
      <c r="K114">
        <v>0.2273</v>
      </c>
      <c r="L114">
        <v>0.93</v>
      </c>
      <c r="M114">
        <v>0.19400000000000001</v>
      </c>
      <c r="N114">
        <v>5</v>
      </c>
      <c r="O114">
        <v>47</v>
      </c>
      <c r="P114">
        <v>52</v>
      </c>
    </row>
    <row r="115" spans="1:16">
      <c r="A115">
        <v>724</v>
      </c>
      <c r="B115" s="1">
        <v>40576</v>
      </c>
      <c r="C115">
        <v>1</v>
      </c>
      <c r="D115">
        <v>0</v>
      </c>
      <c r="E115">
        <v>2</v>
      </c>
      <c r="F115">
        <v>12</v>
      </c>
      <c r="G115" t="b">
        <v>0</v>
      </c>
      <c r="H115">
        <v>3</v>
      </c>
      <c r="I115">
        <v>2</v>
      </c>
      <c r="J115">
        <v>0.24</v>
      </c>
      <c r="K115">
        <v>0.2273</v>
      </c>
      <c r="L115">
        <v>0.93</v>
      </c>
      <c r="M115">
        <v>0.22389999999999999</v>
      </c>
      <c r="N115">
        <v>3</v>
      </c>
      <c r="O115">
        <v>61</v>
      </c>
      <c r="P115">
        <v>64</v>
      </c>
    </row>
    <row r="116" spans="1:16">
      <c r="A116">
        <v>725</v>
      </c>
      <c r="B116" s="1">
        <v>40576</v>
      </c>
      <c r="C116">
        <v>1</v>
      </c>
      <c r="D116">
        <v>0</v>
      </c>
      <c r="E116">
        <v>2</v>
      </c>
      <c r="F116">
        <v>13</v>
      </c>
      <c r="G116" t="b">
        <v>0</v>
      </c>
      <c r="H116">
        <v>3</v>
      </c>
      <c r="I116">
        <v>1</v>
      </c>
      <c r="J116">
        <v>0.34</v>
      </c>
      <c r="K116">
        <v>0.33329999999999999</v>
      </c>
      <c r="L116">
        <v>0.93</v>
      </c>
      <c r="M116">
        <v>0.16420000000000001</v>
      </c>
      <c r="N116">
        <v>1</v>
      </c>
      <c r="O116">
        <v>74</v>
      </c>
      <c r="P116">
        <v>75</v>
      </c>
    </row>
    <row r="117" spans="1:16">
      <c r="A117">
        <v>726</v>
      </c>
      <c r="B117" s="1">
        <v>40576</v>
      </c>
      <c r="C117">
        <v>1</v>
      </c>
      <c r="D117">
        <v>0</v>
      </c>
      <c r="E117">
        <v>2</v>
      </c>
      <c r="F117">
        <v>14</v>
      </c>
      <c r="G117" t="b">
        <v>0</v>
      </c>
      <c r="H117">
        <v>3</v>
      </c>
      <c r="I117">
        <v>1</v>
      </c>
      <c r="J117">
        <v>0.38</v>
      </c>
      <c r="K117">
        <v>0.39389999999999997</v>
      </c>
      <c r="L117">
        <v>0.82</v>
      </c>
      <c r="M117">
        <v>0.3881</v>
      </c>
      <c r="N117">
        <v>2</v>
      </c>
      <c r="O117">
        <v>61</v>
      </c>
      <c r="P117">
        <v>63</v>
      </c>
    </row>
    <row r="118" spans="1:16">
      <c r="A118">
        <v>727</v>
      </c>
      <c r="B118" s="1">
        <v>40576</v>
      </c>
      <c r="C118">
        <v>1</v>
      </c>
      <c r="D118">
        <v>0</v>
      </c>
      <c r="E118">
        <v>2</v>
      </c>
      <c r="F118">
        <v>15</v>
      </c>
      <c r="G118" t="b">
        <v>0</v>
      </c>
      <c r="H118">
        <v>3</v>
      </c>
      <c r="I118">
        <v>1</v>
      </c>
      <c r="J118">
        <v>0.38</v>
      </c>
      <c r="K118">
        <v>0.39389999999999997</v>
      </c>
      <c r="L118">
        <v>0.76</v>
      </c>
      <c r="M118">
        <v>0.32840000000000003</v>
      </c>
      <c r="N118">
        <v>10</v>
      </c>
      <c r="O118">
        <v>66</v>
      </c>
      <c r="P118">
        <v>76</v>
      </c>
    </row>
    <row r="119" spans="1:16">
      <c r="A119">
        <v>728</v>
      </c>
      <c r="B119" s="1">
        <v>40576</v>
      </c>
      <c r="C119">
        <v>1</v>
      </c>
      <c r="D119">
        <v>0</v>
      </c>
      <c r="E119">
        <v>2</v>
      </c>
      <c r="F119">
        <v>16</v>
      </c>
      <c r="G119" t="b">
        <v>0</v>
      </c>
      <c r="H119">
        <v>3</v>
      </c>
      <c r="I119">
        <v>1</v>
      </c>
      <c r="J119">
        <v>0.36</v>
      </c>
      <c r="K119">
        <v>0.33329999999999999</v>
      </c>
      <c r="L119">
        <v>0.71</v>
      </c>
      <c r="M119">
        <v>0.29849999999999999</v>
      </c>
      <c r="N119">
        <v>8</v>
      </c>
      <c r="O119">
        <v>95</v>
      </c>
      <c r="P119">
        <v>103</v>
      </c>
    </row>
    <row r="120" spans="1:16">
      <c r="A120">
        <v>729</v>
      </c>
      <c r="B120" s="1">
        <v>40576</v>
      </c>
      <c r="C120">
        <v>1</v>
      </c>
      <c r="D120">
        <v>0</v>
      </c>
      <c r="E120">
        <v>2</v>
      </c>
      <c r="F120">
        <v>17</v>
      </c>
      <c r="G120" t="b">
        <v>0</v>
      </c>
      <c r="H120">
        <v>3</v>
      </c>
      <c r="I120">
        <v>1</v>
      </c>
      <c r="J120">
        <v>0.36</v>
      </c>
      <c r="K120">
        <v>0.31819999999999998</v>
      </c>
      <c r="L120">
        <v>0.53</v>
      </c>
      <c r="M120">
        <v>0.52239999999999998</v>
      </c>
      <c r="N120">
        <v>7</v>
      </c>
      <c r="O120">
        <v>183</v>
      </c>
      <c r="P120">
        <v>190</v>
      </c>
    </row>
    <row r="121" spans="1:16">
      <c r="A121">
        <v>730</v>
      </c>
      <c r="B121" s="1">
        <v>40576</v>
      </c>
      <c r="C121">
        <v>1</v>
      </c>
      <c r="D121">
        <v>0</v>
      </c>
      <c r="E121">
        <v>2</v>
      </c>
      <c r="F121">
        <v>18</v>
      </c>
      <c r="G121" t="b">
        <v>0</v>
      </c>
      <c r="H121">
        <v>3</v>
      </c>
      <c r="I121">
        <v>1</v>
      </c>
      <c r="J121">
        <v>0.34</v>
      </c>
      <c r="K121">
        <v>0.28789999999999999</v>
      </c>
      <c r="L121">
        <v>0.42</v>
      </c>
      <c r="M121">
        <v>0.55220000000000002</v>
      </c>
      <c r="N121">
        <v>7</v>
      </c>
      <c r="O121">
        <v>175</v>
      </c>
      <c r="P121">
        <v>182</v>
      </c>
    </row>
    <row r="122" spans="1:16">
      <c r="A122">
        <v>731</v>
      </c>
      <c r="B122" s="1">
        <v>40576</v>
      </c>
      <c r="C122">
        <v>1</v>
      </c>
      <c r="D122">
        <v>0</v>
      </c>
      <c r="E122">
        <v>2</v>
      </c>
      <c r="F122">
        <v>19</v>
      </c>
      <c r="G122" t="b">
        <v>0</v>
      </c>
      <c r="H122">
        <v>3</v>
      </c>
      <c r="I122">
        <v>1</v>
      </c>
      <c r="J122">
        <v>0.28000000000000003</v>
      </c>
      <c r="K122">
        <v>0.2424</v>
      </c>
      <c r="L122">
        <v>0.45</v>
      </c>
      <c r="M122">
        <v>0.49249999999999999</v>
      </c>
      <c r="N122">
        <v>3</v>
      </c>
      <c r="O122">
        <v>88</v>
      </c>
      <c r="P122">
        <v>91</v>
      </c>
    </row>
    <row r="123" spans="1:16">
      <c r="A123">
        <v>732</v>
      </c>
      <c r="B123" s="1">
        <v>40576</v>
      </c>
      <c r="C123">
        <v>1</v>
      </c>
      <c r="D123">
        <v>0</v>
      </c>
      <c r="E123">
        <v>2</v>
      </c>
      <c r="F123">
        <v>20</v>
      </c>
      <c r="G123" t="b">
        <v>0</v>
      </c>
      <c r="H123">
        <v>3</v>
      </c>
      <c r="I123">
        <v>1</v>
      </c>
      <c r="J123">
        <v>0.24</v>
      </c>
      <c r="K123">
        <v>0.19700000000000001</v>
      </c>
      <c r="L123">
        <v>0.48</v>
      </c>
      <c r="M123">
        <v>0.55220000000000002</v>
      </c>
      <c r="N123">
        <v>4</v>
      </c>
      <c r="O123">
        <v>71</v>
      </c>
      <c r="P123">
        <v>75</v>
      </c>
    </row>
    <row r="124" spans="1:16">
      <c r="A124">
        <v>733</v>
      </c>
      <c r="B124" s="1">
        <v>40576</v>
      </c>
      <c r="C124">
        <v>1</v>
      </c>
      <c r="D124">
        <v>0</v>
      </c>
      <c r="E124">
        <v>2</v>
      </c>
      <c r="F124">
        <v>21</v>
      </c>
      <c r="G124" t="b">
        <v>0</v>
      </c>
      <c r="H124">
        <v>3</v>
      </c>
      <c r="I124">
        <v>1</v>
      </c>
      <c r="J124">
        <v>0.22</v>
      </c>
      <c r="K124">
        <v>0.19700000000000001</v>
      </c>
      <c r="L124">
        <v>0.47</v>
      </c>
      <c r="M124">
        <v>0.32840000000000003</v>
      </c>
      <c r="N124">
        <v>1</v>
      </c>
      <c r="O124">
        <v>62</v>
      </c>
      <c r="P124">
        <v>63</v>
      </c>
    </row>
    <row r="125" spans="1:16">
      <c r="A125">
        <v>734</v>
      </c>
      <c r="B125" s="1">
        <v>40576</v>
      </c>
      <c r="C125">
        <v>1</v>
      </c>
      <c r="D125">
        <v>0</v>
      </c>
      <c r="E125">
        <v>2</v>
      </c>
      <c r="F125">
        <v>22</v>
      </c>
      <c r="G125" t="b">
        <v>0</v>
      </c>
      <c r="H125">
        <v>3</v>
      </c>
      <c r="I125">
        <v>1</v>
      </c>
      <c r="J125">
        <v>0.22</v>
      </c>
      <c r="K125">
        <v>0.21210000000000001</v>
      </c>
      <c r="L125">
        <v>0.44</v>
      </c>
      <c r="M125">
        <v>0.25369999999999998</v>
      </c>
      <c r="N125">
        <v>5</v>
      </c>
      <c r="O125">
        <v>35</v>
      </c>
      <c r="P125">
        <v>40</v>
      </c>
    </row>
    <row r="126" spans="1:16">
      <c r="A126">
        <v>735</v>
      </c>
      <c r="B126" s="1">
        <v>40576</v>
      </c>
      <c r="C126">
        <v>1</v>
      </c>
      <c r="D126">
        <v>0</v>
      </c>
      <c r="E126">
        <v>2</v>
      </c>
      <c r="F126">
        <v>23</v>
      </c>
      <c r="G126" t="b">
        <v>0</v>
      </c>
      <c r="H126">
        <v>3</v>
      </c>
      <c r="I126">
        <v>1</v>
      </c>
      <c r="J126">
        <v>0.2</v>
      </c>
      <c r="K126">
        <v>0.16669999999999999</v>
      </c>
      <c r="L126">
        <v>0.44</v>
      </c>
      <c r="M126">
        <v>0.44779999999999998</v>
      </c>
      <c r="N126">
        <v>3</v>
      </c>
      <c r="O126">
        <v>29</v>
      </c>
      <c r="P126">
        <v>32</v>
      </c>
    </row>
    <row r="127" spans="1:16">
      <c r="A127">
        <v>736</v>
      </c>
      <c r="B127" s="1">
        <v>40577</v>
      </c>
      <c r="C127">
        <v>1</v>
      </c>
      <c r="D127">
        <v>0</v>
      </c>
      <c r="E127">
        <v>2</v>
      </c>
      <c r="F127">
        <v>0</v>
      </c>
      <c r="G127" t="b">
        <v>0</v>
      </c>
      <c r="H127">
        <v>4</v>
      </c>
      <c r="I127">
        <v>1</v>
      </c>
      <c r="J127">
        <v>0.2</v>
      </c>
      <c r="K127">
        <v>0.16669999999999999</v>
      </c>
      <c r="L127">
        <v>0.4</v>
      </c>
      <c r="M127">
        <v>0.44779999999999998</v>
      </c>
      <c r="N127">
        <v>1</v>
      </c>
      <c r="O127">
        <v>11</v>
      </c>
      <c r="P127">
        <v>12</v>
      </c>
    </row>
    <row r="128" spans="1:16">
      <c r="A128">
        <v>737</v>
      </c>
      <c r="B128" s="1">
        <v>40577</v>
      </c>
      <c r="C128">
        <v>1</v>
      </c>
      <c r="D128">
        <v>0</v>
      </c>
      <c r="E128">
        <v>2</v>
      </c>
      <c r="F128">
        <v>1</v>
      </c>
      <c r="G128" t="b">
        <v>0</v>
      </c>
      <c r="H128">
        <v>4</v>
      </c>
      <c r="I128">
        <v>1</v>
      </c>
      <c r="J128">
        <v>0.2</v>
      </c>
      <c r="K128">
        <v>0.1515</v>
      </c>
      <c r="L128">
        <v>0.44</v>
      </c>
      <c r="M128">
        <v>0.52239999999999998</v>
      </c>
      <c r="N128">
        <v>0</v>
      </c>
      <c r="O128">
        <v>5</v>
      </c>
      <c r="P128">
        <v>5</v>
      </c>
    </row>
    <row r="129" spans="1:16">
      <c r="A129">
        <v>738</v>
      </c>
      <c r="B129" s="1">
        <v>40577</v>
      </c>
      <c r="C129">
        <v>1</v>
      </c>
      <c r="D129">
        <v>0</v>
      </c>
      <c r="E129">
        <v>2</v>
      </c>
      <c r="F129">
        <v>2</v>
      </c>
      <c r="G129" t="b">
        <v>0</v>
      </c>
      <c r="H129">
        <v>4</v>
      </c>
      <c r="I129">
        <v>1</v>
      </c>
      <c r="J129">
        <v>0.18</v>
      </c>
      <c r="K129">
        <v>0.16669999999999999</v>
      </c>
      <c r="L129">
        <v>0.43</v>
      </c>
      <c r="M129">
        <v>0.25369999999999998</v>
      </c>
      <c r="N129">
        <v>0</v>
      </c>
      <c r="O129">
        <v>2</v>
      </c>
      <c r="P129">
        <v>2</v>
      </c>
    </row>
    <row r="130" spans="1:16">
      <c r="A130">
        <v>739</v>
      </c>
      <c r="B130" s="1">
        <v>40577</v>
      </c>
      <c r="C130">
        <v>1</v>
      </c>
      <c r="D130">
        <v>0</v>
      </c>
      <c r="E130">
        <v>2</v>
      </c>
      <c r="F130">
        <v>3</v>
      </c>
      <c r="G130" t="b">
        <v>0</v>
      </c>
      <c r="H130">
        <v>4</v>
      </c>
      <c r="I130">
        <v>1</v>
      </c>
      <c r="J130">
        <v>0.18</v>
      </c>
      <c r="K130">
        <v>0.16669999999999999</v>
      </c>
      <c r="L130">
        <v>0.43</v>
      </c>
      <c r="M130">
        <v>0.25369999999999998</v>
      </c>
      <c r="N130">
        <v>0</v>
      </c>
      <c r="O130">
        <v>1</v>
      </c>
      <c r="P130">
        <v>1</v>
      </c>
    </row>
    <row r="131" spans="1:16">
      <c r="A131">
        <v>740</v>
      </c>
      <c r="B131" s="1">
        <v>40577</v>
      </c>
      <c r="C131">
        <v>1</v>
      </c>
      <c r="D131">
        <v>0</v>
      </c>
      <c r="E131">
        <v>2</v>
      </c>
      <c r="F131">
        <v>5</v>
      </c>
      <c r="G131" t="b">
        <v>0</v>
      </c>
      <c r="H131">
        <v>4</v>
      </c>
      <c r="I131">
        <v>1</v>
      </c>
      <c r="J131">
        <v>0.16</v>
      </c>
      <c r="K131">
        <v>0.13639999999999999</v>
      </c>
      <c r="L131">
        <v>0.5</v>
      </c>
      <c r="M131">
        <v>0.29849999999999999</v>
      </c>
      <c r="N131">
        <v>0</v>
      </c>
      <c r="O131">
        <v>2</v>
      </c>
      <c r="P131">
        <v>2</v>
      </c>
    </row>
    <row r="132" spans="1:16">
      <c r="A132">
        <v>741</v>
      </c>
      <c r="B132" s="1">
        <v>40577</v>
      </c>
      <c r="C132">
        <v>1</v>
      </c>
      <c r="D132">
        <v>0</v>
      </c>
      <c r="E132">
        <v>2</v>
      </c>
      <c r="F132">
        <v>6</v>
      </c>
      <c r="G132" t="b">
        <v>0</v>
      </c>
      <c r="H132">
        <v>4</v>
      </c>
      <c r="I132">
        <v>1</v>
      </c>
      <c r="J132">
        <v>0.16</v>
      </c>
      <c r="K132">
        <v>0.13639999999999999</v>
      </c>
      <c r="L132">
        <v>0.43</v>
      </c>
      <c r="M132">
        <v>0.35820000000000002</v>
      </c>
      <c r="N132">
        <v>0</v>
      </c>
      <c r="O132">
        <v>39</v>
      </c>
      <c r="P132">
        <v>39</v>
      </c>
    </row>
    <row r="133" spans="1:16">
      <c r="A133">
        <v>742</v>
      </c>
      <c r="B133" s="1">
        <v>40577</v>
      </c>
      <c r="C133">
        <v>1</v>
      </c>
      <c r="D133">
        <v>0</v>
      </c>
      <c r="E133">
        <v>2</v>
      </c>
      <c r="F133">
        <v>7</v>
      </c>
      <c r="G133" t="b">
        <v>0</v>
      </c>
      <c r="H133">
        <v>4</v>
      </c>
      <c r="I133">
        <v>1</v>
      </c>
      <c r="J133">
        <v>0.14000000000000001</v>
      </c>
      <c r="K133">
        <v>0.1212</v>
      </c>
      <c r="L133">
        <v>0.5</v>
      </c>
      <c r="M133">
        <v>0.32840000000000003</v>
      </c>
      <c r="N133">
        <v>1</v>
      </c>
      <c r="O133">
        <v>86</v>
      </c>
      <c r="P133">
        <v>87</v>
      </c>
    </row>
    <row r="134" spans="1:16">
      <c r="A134">
        <v>743</v>
      </c>
      <c r="B134" s="1">
        <v>40577</v>
      </c>
      <c r="C134">
        <v>1</v>
      </c>
      <c r="D134">
        <v>0</v>
      </c>
      <c r="E134">
        <v>2</v>
      </c>
      <c r="F134">
        <v>8</v>
      </c>
      <c r="G134" t="b">
        <v>0</v>
      </c>
      <c r="H134">
        <v>4</v>
      </c>
      <c r="I134">
        <v>1</v>
      </c>
      <c r="J134">
        <v>0.14000000000000001</v>
      </c>
      <c r="K134">
        <v>0.1212</v>
      </c>
      <c r="L134">
        <v>0.5</v>
      </c>
      <c r="M134">
        <v>0.35820000000000002</v>
      </c>
      <c r="N134">
        <v>4</v>
      </c>
      <c r="O134">
        <v>184</v>
      </c>
      <c r="P134">
        <v>188</v>
      </c>
    </row>
    <row r="135" spans="1:16">
      <c r="A135">
        <v>744</v>
      </c>
      <c r="B135" s="1">
        <v>40577</v>
      </c>
      <c r="C135">
        <v>1</v>
      </c>
      <c r="D135">
        <v>0</v>
      </c>
      <c r="E135">
        <v>2</v>
      </c>
      <c r="F135">
        <v>9</v>
      </c>
      <c r="G135" t="b">
        <v>0</v>
      </c>
      <c r="H135">
        <v>4</v>
      </c>
      <c r="I135">
        <v>1</v>
      </c>
      <c r="J135">
        <v>0.16</v>
      </c>
      <c r="K135">
        <v>0.13639999999999999</v>
      </c>
      <c r="L135">
        <v>0.47</v>
      </c>
      <c r="M135">
        <v>0.29849999999999999</v>
      </c>
      <c r="N135">
        <v>6</v>
      </c>
      <c r="O135">
        <v>127</v>
      </c>
      <c r="P135">
        <v>133</v>
      </c>
    </row>
    <row r="136" spans="1:16">
      <c r="A136">
        <v>745</v>
      </c>
      <c r="B136" s="1">
        <v>40577</v>
      </c>
      <c r="C136">
        <v>1</v>
      </c>
      <c r="D136">
        <v>0</v>
      </c>
      <c r="E136">
        <v>2</v>
      </c>
      <c r="F136">
        <v>10</v>
      </c>
      <c r="G136" t="b">
        <v>0</v>
      </c>
      <c r="H136">
        <v>4</v>
      </c>
      <c r="I136">
        <v>1</v>
      </c>
      <c r="J136">
        <v>0.18</v>
      </c>
      <c r="K136">
        <v>0.1515</v>
      </c>
      <c r="L136">
        <v>0.43</v>
      </c>
      <c r="M136">
        <v>0.32840000000000003</v>
      </c>
      <c r="N136">
        <v>2</v>
      </c>
      <c r="O136">
        <v>50</v>
      </c>
      <c r="P136">
        <v>52</v>
      </c>
    </row>
    <row r="137" spans="1:16">
      <c r="A137">
        <v>746</v>
      </c>
      <c r="B137" s="1">
        <v>40577</v>
      </c>
      <c r="C137">
        <v>1</v>
      </c>
      <c r="D137">
        <v>0</v>
      </c>
      <c r="E137">
        <v>2</v>
      </c>
      <c r="F137">
        <v>11</v>
      </c>
      <c r="G137" t="b">
        <v>0</v>
      </c>
      <c r="H137">
        <v>4</v>
      </c>
      <c r="I137">
        <v>1</v>
      </c>
      <c r="J137">
        <v>0.18</v>
      </c>
      <c r="K137">
        <v>0.13639999999999999</v>
      </c>
      <c r="L137">
        <v>0.43</v>
      </c>
      <c r="M137">
        <v>0.44779999999999998</v>
      </c>
      <c r="N137">
        <v>9</v>
      </c>
      <c r="O137">
        <v>55</v>
      </c>
      <c r="P137">
        <v>64</v>
      </c>
    </row>
    <row r="138" spans="1:16">
      <c r="A138">
        <v>747</v>
      </c>
      <c r="B138" s="1">
        <v>40577</v>
      </c>
      <c r="C138">
        <v>1</v>
      </c>
      <c r="D138">
        <v>0</v>
      </c>
      <c r="E138">
        <v>2</v>
      </c>
      <c r="F138">
        <v>12</v>
      </c>
      <c r="G138" t="b">
        <v>0</v>
      </c>
      <c r="H138">
        <v>4</v>
      </c>
      <c r="I138">
        <v>1</v>
      </c>
      <c r="J138">
        <v>0.2</v>
      </c>
      <c r="K138">
        <v>0.18179999999999999</v>
      </c>
      <c r="L138">
        <v>0.4</v>
      </c>
      <c r="M138">
        <v>0.35820000000000002</v>
      </c>
      <c r="N138">
        <v>2</v>
      </c>
      <c r="O138">
        <v>67</v>
      </c>
      <c r="P138">
        <v>69</v>
      </c>
    </row>
    <row r="139" spans="1:16">
      <c r="A139">
        <v>748</v>
      </c>
      <c r="B139" s="1">
        <v>40577</v>
      </c>
      <c r="C139">
        <v>1</v>
      </c>
      <c r="D139">
        <v>0</v>
      </c>
      <c r="E139">
        <v>2</v>
      </c>
      <c r="F139">
        <v>13</v>
      </c>
      <c r="G139" t="b">
        <v>0</v>
      </c>
      <c r="H139">
        <v>4</v>
      </c>
      <c r="I139">
        <v>1</v>
      </c>
      <c r="J139">
        <v>0.2</v>
      </c>
      <c r="K139">
        <v>0.16669999999999999</v>
      </c>
      <c r="L139">
        <v>0.4</v>
      </c>
      <c r="M139">
        <v>0.41789999999999999</v>
      </c>
      <c r="N139">
        <v>4</v>
      </c>
      <c r="O139">
        <v>47</v>
      </c>
      <c r="P139">
        <v>51</v>
      </c>
    </row>
    <row r="140" spans="1:16">
      <c r="A140">
        <v>749</v>
      </c>
      <c r="B140" s="1">
        <v>40577</v>
      </c>
      <c r="C140">
        <v>1</v>
      </c>
      <c r="D140">
        <v>0</v>
      </c>
      <c r="E140">
        <v>2</v>
      </c>
      <c r="F140">
        <v>14</v>
      </c>
      <c r="G140" t="b">
        <v>0</v>
      </c>
      <c r="H140">
        <v>4</v>
      </c>
      <c r="I140">
        <v>1</v>
      </c>
      <c r="J140">
        <v>0.22</v>
      </c>
      <c r="K140">
        <v>0.19700000000000001</v>
      </c>
      <c r="L140">
        <v>0.37</v>
      </c>
      <c r="M140">
        <v>0.3881</v>
      </c>
      <c r="N140">
        <v>4</v>
      </c>
      <c r="O140">
        <v>43</v>
      </c>
      <c r="P140">
        <v>47</v>
      </c>
    </row>
    <row r="141" spans="1:16">
      <c r="A141">
        <v>750</v>
      </c>
      <c r="B141" s="1">
        <v>40577</v>
      </c>
      <c r="C141">
        <v>1</v>
      </c>
      <c r="D141">
        <v>0</v>
      </c>
      <c r="E141">
        <v>2</v>
      </c>
      <c r="F141">
        <v>15</v>
      </c>
      <c r="G141" t="b">
        <v>0</v>
      </c>
      <c r="H141">
        <v>4</v>
      </c>
      <c r="I141">
        <v>1</v>
      </c>
      <c r="J141">
        <v>0.22</v>
      </c>
      <c r="K141">
        <v>0.19700000000000001</v>
      </c>
      <c r="L141">
        <v>0.37</v>
      </c>
      <c r="M141">
        <v>0.32840000000000003</v>
      </c>
      <c r="N141">
        <v>4</v>
      </c>
      <c r="O141">
        <v>56</v>
      </c>
      <c r="P141">
        <v>60</v>
      </c>
    </row>
    <row r="142" spans="1:16">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c r="A143">
        <v>752</v>
      </c>
      <c r="B143" s="1">
        <v>40577</v>
      </c>
      <c r="C143">
        <v>1</v>
      </c>
      <c r="D143">
        <v>0</v>
      </c>
      <c r="E143">
        <v>2</v>
      </c>
      <c r="F143">
        <v>17</v>
      </c>
      <c r="G143" t="b">
        <v>0</v>
      </c>
      <c r="H143">
        <v>4</v>
      </c>
      <c r="I143">
        <v>1</v>
      </c>
      <c r="J143">
        <v>0.2</v>
      </c>
      <c r="K143">
        <v>0.19700000000000001</v>
      </c>
      <c r="L143">
        <v>0.4</v>
      </c>
      <c r="M143">
        <v>0.19400000000000001</v>
      </c>
      <c r="N143">
        <v>5</v>
      </c>
      <c r="O143">
        <v>170</v>
      </c>
      <c r="P143">
        <v>175</v>
      </c>
    </row>
    <row r="144" spans="1:16">
      <c r="A144">
        <v>753</v>
      </c>
      <c r="B144" s="1">
        <v>40577</v>
      </c>
      <c r="C144">
        <v>1</v>
      </c>
      <c r="D144">
        <v>0</v>
      </c>
      <c r="E144">
        <v>2</v>
      </c>
      <c r="F144">
        <v>18</v>
      </c>
      <c r="G144" t="b">
        <v>0</v>
      </c>
      <c r="H144">
        <v>4</v>
      </c>
      <c r="I144">
        <v>1</v>
      </c>
      <c r="J144">
        <v>0.2</v>
      </c>
      <c r="K144">
        <v>0.21210000000000001</v>
      </c>
      <c r="L144">
        <v>0.4</v>
      </c>
      <c r="M144">
        <v>0.16420000000000001</v>
      </c>
      <c r="N144">
        <v>2</v>
      </c>
      <c r="O144">
        <v>145</v>
      </c>
      <c r="P144">
        <v>147</v>
      </c>
    </row>
    <row r="145" spans="1:16">
      <c r="A145">
        <v>754</v>
      </c>
      <c r="B145" s="1">
        <v>40577</v>
      </c>
      <c r="C145">
        <v>1</v>
      </c>
      <c r="D145">
        <v>0</v>
      </c>
      <c r="E145">
        <v>2</v>
      </c>
      <c r="F145">
        <v>19</v>
      </c>
      <c r="G145" t="b">
        <v>0</v>
      </c>
      <c r="H145">
        <v>4</v>
      </c>
      <c r="I145">
        <v>1</v>
      </c>
      <c r="J145">
        <v>0.2</v>
      </c>
      <c r="K145">
        <v>0.2576</v>
      </c>
      <c r="L145">
        <v>0.4</v>
      </c>
      <c r="M145">
        <v>0</v>
      </c>
      <c r="N145">
        <v>4</v>
      </c>
      <c r="O145">
        <v>92</v>
      </c>
      <c r="P145">
        <v>96</v>
      </c>
    </row>
    <row r="146" spans="1:16">
      <c r="A146">
        <v>755</v>
      </c>
      <c r="B146" s="1">
        <v>40577</v>
      </c>
      <c r="C146">
        <v>1</v>
      </c>
      <c r="D146">
        <v>0</v>
      </c>
      <c r="E146">
        <v>2</v>
      </c>
      <c r="F146">
        <v>20</v>
      </c>
      <c r="G146" t="b">
        <v>0</v>
      </c>
      <c r="H146">
        <v>4</v>
      </c>
      <c r="I146">
        <v>1</v>
      </c>
      <c r="J146">
        <v>0.2</v>
      </c>
      <c r="K146">
        <v>0.2273</v>
      </c>
      <c r="L146">
        <v>0.47</v>
      </c>
      <c r="M146">
        <v>8.9599999999999999E-2</v>
      </c>
      <c r="N146">
        <v>1</v>
      </c>
      <c r="O146">
        <v>108</v>
      </c>
      <c r="P146">
        <v>109</v>
      </c>
    </row>
    <row r="147" spans="1:16">
      <c r="A147">
        <v>756</v>
      </c>
      <c r="B147" s="1">
        <v>40577</v>
      </c>
      <c r="C147">
        <v>1</v>
      </c>
      <c r="D147">
        <v>0</v>
      </c>
      <c r="E147">
        <v>2</v>
      </c>
      <c r="F147">
        <v>21</v>
      </c>
      <c r="G147" t="b">
        <v>0</v>
      </c>
      <c r="H147">
        <v>4</v>
      </c>
      <c r="I147">
        <v>1</v>
      </c>
      <c r="J147">
        <v>0.18</v>
      </c>
      <c r="K147">
        <v>0.21210000000000001</v>
      </c>
      <c r="L147">
        <v>0.55000000000000004</v>
      </c>
      <c r="M147">
        <v>0.1045</v>
      </c>
      <c r="N147">
        <v>1</v>
      </c>
      <c r="O147">
        <v>53</v>
      </c>
      <c r="P147">
        <v>54</v>
      </c>
    </row>
    <row r="148" spans="1:16">
      <c r="A148">
        <v>757</v>
      </c>
      <c r="B148" s="1">
        <v>40577</v>
      </c>
      <c r="C148">
        <v>1</v>
      </c>
      <c r="D148">
        <v>0</v>
      </c>
      <c r="E148">
        <v>2</v>
      </c>
      <c r="F148">
        <v>22</v>
      </c>
      <c r="G148" t="b">
        <v>0</v>
      </c>
      <c r="H148">
        <v>4</v>
      </c>
      <c r="I148">
        <v>1</v>
      </c>
      <c r="J148">
        <v>0.18</v>
      </c>
      <c r="K148">
        <v>0.21210000000000001</v>
      </c>
      <c r="L148">
        <v>0.51</v>
      </c>
      <c r="M148">
        <v>8.9599999999999999E-2</v>
      </c>
      <c r="N148">
        <v>2</v>
      </c>
      <c r="O148">
        <v>39</v>
      </c>
      <c r="P148">
        <v>41</v>
      </c>
    </row>
    <row r="149" spans="1:16">
      <c r="A149">
        <v>758</v>
      </c>
      <c r="B149" s="1">
        <v>40577</v>
      </c>
      <c r="C149">
        <v>1</v>
      </c>
      <c r="D149">
        <v>0</v>
      </c>
      <c r="E149">
        <v>2</v>
      </c>
      <c r="F149">
        <v>23</v>
      </c>
      <c r="G149" t="b">
        <v>0</v>
      </c>
      <c r="H149">
        <v>4</v>
      </c>
      <c r="I149">
        <v>1</v>
      </c>
      <c r="J149">
        <v>0.2</v>
      </c>
      <c r="K149">
        <v>0.2273</v>
      </c>
      <c r="L149">
        <v>0.47</v>
      </c>
      <c r="M149">
        <v>0.1045</v>
      </c>
      <c r="N149">
        <v>4</v>
      </c>
      <c r="O149">
        <v>34</v>
      </c>
      <c r="P149">
        <v>38</v>
      </c>
    </row>
    <row r="150" spans="1:16">
      <c r="A150">
        <v>759</v>
      </c>
      <c r="B150" s="1">
        <v>40578</v>
      </c>
      <c r="C150">
        <v>1</v>
      </c>
      <c r="D150">
        <v>0</v>
      </c>
      <c r="E150">
        <v>2</v>
      </c>
      <c r="F150">
        <v>0</v>
      </c>
      <c r="G150" t="b">
        <v>0</v>
      </c>
      <c r="H150">
        <v>5</v>
      </c>
      <c r="I150">
        <v>2</v>
      </c>
      <c r="J150">
        <v>0.2</v>
      </c>
      <c r="K150">
        <v>0.2576</v>
      </c>
      <c r="L150">
        <v>0.44</v>
      </c>
      <c r="M150">
        <v>0</v>
      </c>
      <c r="N150">
        <v>3</v>
      </c>
      <c r="O150">
        <v>10</v>
      </c>
      <c r="P150">
        <v>13</v>
      </c>
    </row>
    <row r="151" spans="1:16">
      <c r="A151">
        <v>760</v>
      </c>
      <c r="B151" s="1">
        <v>40578</v>
      </c>
      <c r="C151">
        <v>1</v>
      </c>
      <c r="D151">
        <v>0</v>
      </c>
      <c r="E151">
        <v>2</v>
      </c>
      <c r="F151">
        <v>1</v>
      </c>
      <c r="G151" t="b">
        <v>0</v>
      </c>
      <c r="H151">
        <v>5</v>
      </c>
      <c r="I151">
        <v>2</v>
      </c>
      <c r="J151">
        <v>0.16</v>
      </c>
      <c r="K151">
        <v>0.2273</v>
      </c>
      <c r="L151">
        <v>0.59</v>
      </c>
      <c r="M151">
        <v>0</v>
      </c>
      <c r="N151">
        <v>0</v>
      </c>
      <c r="O151">
        <v>7</v>
      </c>
      <c r="P151">
        <v>7</v>
      </c>
    </row>
    <row r="152" spans="1:16">
      <c r="A152">
        <v>761</v>
      </c>
      <c r="B152" s="1">
        <v>40578</v>
      </c>
      <c r="C152">
        <v>1</v>
      </c>
      <c r="D152">
        <v>0</v>
      </c>
      <c r="E152">
        <v>2</v>
      </c>
      <c r="F152">
        <v>2</v>
      </c>
      <c r="G152" t="b">
        <v>0</v>
      </c>
      <c r="H152">
        <v>5</v>
      </c>
      <c r="I152">
        <v>2</v>
      </c>
      <c r="J152">
        <v>0.14000000000000001</v>
      </c>
      <c r="K152">
        <v>0.16669999999999999</v>
      </c>
      <c r="L152">
        <v>0.63</v>
      </c>
      <c r="M152">
        <v>0.1045</v>
      </c>
      <c r="N152">
        <v>0</v>
      </c>
      <c r="O152">
        <v>1</v>
      </c>
      <c r="P152">
        <v>1</v>
      </c>
    </row>
    <row r="153" spans="1:16">
      <c r="A153">
        <v>762</v>
      </c>
      <c r="B153" s="1">
        <v>40578</v>
      </c>
      <c r="C153">
        <v>1</v>
      </c>
      <c r="D153">
        <v>0</v>
      </c>
      <c r="E153">
        <v>2</v>
      </c>
      <c r="F153">
        <v>3</v>
      </c>
      <c r="G153" t="b">
        <v>0</v>
      </c>
      <c r="H153">
        <v>5</v>
      </c>
      <c r="I153">
        <v>2</v>
      </c>
      <c r="J153">
        <v>0.14000000000000001</v>
      </c>
      <c r="K153">
        <v>0.16669999999999999</v>
      </c>
      <c r="L153">
        <v>0.63</v>
      </c>
      <c r="M153">
        <v>0.1045</v>
      </c>
      <c r="N153">
        <v>0</v>
      </c>
      <c r="O153">
        <v>1</v>
      </c>
      <c r="P153">
        <v>1</v>
      </c>
    </row>
    <row r="154" spans="1:16">
      <c r="A154">
        <v>763</v>
      </c>
      <c r="B154" s="1">
        <v>40578</v>
      </c>
      <c r="C154">
        <v>1</v>
      </c>
      <c r="D154">
        <v>0</v>
      </c>
      <c r="E154">
        <v>2</v>
      </c>
      <c r="F154">
        <v>5</v>
      </c>
      <c r="G154" t="b">
        <v>0</v>
      </c>
      <c r="H154">
        <v>5</v>
      </c>
      <c r="I154">
        <v>2</v>
      </c>
      <c r="J154">
        <v>0.14000000000000001</v>
      </c>
      <c r="K154">
        <v>0.1515</v>
      </c>
      <c r="L154">
        <v>0.63</v>
      </c>
      <c r="M154">
        <v>0.1343</v>
      </c>
      <c r="N154">
        <v>0</v>
      </c>
      <c r="O154">
        <v>7</v>
      </c>
      <c r="P154">
        <v>7</v>
      </c>
    </row>
    <row r="155" spans="1:16">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c r="A156">
        <v>765</v>
      </c>
      <c r="B156" s="1">
        <v>40578</v>
      </c>
      <c r="C156">
        <v>1</v>
      </c>
      <c r="D156">
        <v>0</v>
      </c>
      <c r="E156">
        <v>2</v>
      </c>
      <c r="F156">
        <v>7</v>
      </c>
      <c r="G156" t="b">
        <v>0</v>
      </c>
      <c r="H156">
        <v>5</v>
      </c>
      <c r="I156">
        <v>1</v>
      </c>
      <c r="J156">
        <v>0.14000000000000001</v>
      </c>
      <c r="K156">
        <v>0.21210000000000001</v>
      </c>
      <c r="L156">
        <v>0.59</v>
      </c>
      <c r="M156">
        <v>0</v>
      </c>
      <c r="N156">
        <v>0</v>
      </c>
      <c r="O156">
        <v>87</v>
      </c>
      <c r="P156">
        <v>87</v>
      </c>
    </row>
    <row r="157" spans="1:16">
      <c r="A157">
        <v>766</v>
      </c>
      <c r="B157" s="1">
        <v>40578</v>
      </c>
      <c r="C157">
        <v>1</v>
      </c>
      <c r="D157">
        <v>0</v>
      </c>
      <c r="E157">
        <v>2</v>
      </c>
      <c r="F157">
        <v>8</v>
      </c>
      <c r="G157" t="b">
        <v>0</v>
      </c>
      <c r="H157">
        <v>5</v>
      </c>
      <c r="I157">
        <v>1</v>
      </c>
      <c r="J157">
        <v>0.14000000000000001</v>
      </c>
      <c r="K157">
        <v>0.1515</v>
      </c>
      <c r="L157">
        <v>0.74</v>
      </c>
      <c r="M157">
        <v>0.1343</v>
      </c>
      <c r="N157">
        <v>3</v>
      </c>
      <c r="O157">
        <v>217</v>
      </c>
      <c r="P157">
        <v>220</v>
      </c>
    </row>
    <row r="158" spans="1:16">
      <c r="A158">
        <v>767</v>
      </c>
      <c r="B158" s="1">
        <v>40578</v>
      </c>
      <c r="C158">
        <v>1</v>
      </c>
      <c r="D158">
        <v>0</v>
      </c>
      <c r="E158">
        <v>2</v>
      </c>
      <c r="F158">
        <v>9</v>
      </c>
      <c r="G158" t="b">
        <v>0</v>
      </c>
      <c r="H158">
        <v>5</v>
      </c>
      <c r="I158">
        <v>2</v>
      </c>
      <c r="J158">
        <v>0.16</v>
      </c>
      <c r="K158">
        <v>0.18179999999999999</v>
      </c>
      <c r="L158">
        <v>0.8</v>
      </c>
      <c r="M158">
        <v>0.1343</v>
      </c>
      <c r="N158">
        <v>3</v>
      </c>
      <c r="O158">
        <v>124</v>
      </c>
      <c r="P158">
        <v>127</v>
      </c>
    </row>
    <row r="159" spans="1:16">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c r="A161">
        <v>770</v>
      </c>
      <c r="B161" s="1">
        <v>40578</v>
      </c>
      <c r="C161">
        <v>1</v>
      </c>
      <c r="D161">
        <v>0</v>
      </c>
      <c r="E161">
        <v>2</v>
      </c>
      <c r="F161">
        <v>12</v>
      </c>
      <c r="G161" t="b">
        <v>0</v>
      </c>
      <c r="H161">
        <v>5</v>
      </c>
      <c r="I161">
        <v>2</v>
      </c>
      <c r="J161">
        <v>0.24</v>
      </c>
      <c r="K161">
        <v>0.2424</v>
      </c>
      <c r="L161">
        <v>0.48</v>
      </c>
      <c r="M161">
        <v>0.16420000000000001</v>
      </c>
      <c r="N161">
        <v>8</v>
      </c>
      <c r="O161">
        <v>78</v>
      </c>
      <c r="P161">
        <v>86</v>
      </c>
    </row>
    <row r="162" spans="1:16">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c r="A163">
        <v>772</v>
      </c>
      <c r="B163" s="1">
        <v>40578</v>
      </c>
      <c r="C163">
        <v>1</v>
      </c>
      <c r="D163">
        <v>0</v>
      </c>
      <c r="E163">
        <v>2</v>
      </c>
      <c r="F163">
        <v>14</v>
      </c>
      <c r="G163" t="b">
        <v>0</v>
      </c>
      <c r="H163">
        <v>5</v>
      </c>
      <c r="I163">
        <v>2</v>
      </c>
      <c r="J163">
        <v>0.28000000000000003</v>
      </c>
      <c r="K163">
        <v>0.2727</v>
      </c>
      <c r="L163">
        <v>0.45</v>
      </c>
      <c r="M163">
        <v>0.16420000000000001</v>
      </c>
      <c r="N163">
        <v>15</v>
      </c>
      <c r="O163">
        <v>76</v>
      </c>
      <c r="P163">
        <v>91</v>
      </c>
    </row>
    <row r="164" spans="1:16">
      <c r="A164">
        <v>773</v>
      </c>
      <c r="B164" s="1">
        <v>40578</v>
      </c>
      <c r="C164">
        <v>1</v>
      </c>
      <c r="D164">
        <v>0</v>
      </c>
      <c r="E164">
        <v>2</v>
      </c>
      <c r="F164">
        <v>15</v>
      </c>
      <c r="G164" t="b">
        <v>0</v>
      </c>
      <c r="H164">
        <v>5</v>
      </c>
      <c r="I164">
        <v>2</v>
      </c>
      <c r="J164">
        <v>0.28000000000000003</v>
      </c>
      <c r="K164">
        <v>0.2727</v>
      </c>
      <c r="L164">
        <v>0.48</v>
      </c>
      <c r="M164">
        <v>0.25369999999999998</v>
      </c>
      <c r="N164">
        <v>9</v>
      </c>
      <c r="O164">
        <v>81</v>
      </c>
      <c r="P164">
        <v>90</v>
      </c>
    </row>
    <row r="165" spans="1:16">
      <c r="A165">
        <v>774</v>
      </c>
      <c r="B165" s="1">
        <v>40578</v>
      </c>
      <c r="C165">
        <v>1</v>
      </c>
      <c r="D165">
        <v>0</v>
      </c>
      <c r="E165">
        <v>2</v>
      </c>
      <c r="F165">
        <v>16</v>
      </c>
      <c r="G165" t="b">
        <v>0</v>
      </c>
      <c r="H165">
        <v>5</v>
      </c>
      <c r="I165">
        <v>2</v>
      </c>
      <c r="J165">
        <v>0.3</v>
      </c>
      <c r="K165">
        <v>0.28789999999999999</v>
      </c>
      <c r="L165">
        <v>0.42</v>
      </c>
      <c r="M165">
        <v>0.22389999999999999</v>
      </c>
      <c r="N165">
        <v>8</v>
      </c>
      <c r="O165">
        <v>91</v>
      </c>
      <c r="P165">
        <v>99</v>
      </c>
    </row>
    <row r="166" spans="1:16">
      <c r="A166">
        <v>775</v>
      </c>
      <c r="B166" s="1">
        <v>40578</v>
      </c>
      <c r="C166">
        <v>1</v>
      </c>
      <c r="D166">
        <v>0</v>
      </c>
      <c r="E166">
        <v>2</v>
      </c>
      <c r="F166">
        <v>17</v>
      </c>
      <c r="G166" t="b">
        <v>0</v>
      </c>
      <c r="H166">
        <v>5</v>
      </c>
      <c r="I166">
        <v>2</v>
      </c>
      <c r="J166">
        <v>0.26</v>
      </c>
      <c r="K166">
        <v>0.2727</v>
      </c>
      <c r="L166">
        <v>0.56000000000000005</v>
      </c>
      <c r="M166">
        <v>0.1343</v>
      </c>
      <c r="N166">
        <v>10</v>
      </c>
      <c r="O166">
        <v>195</v>
      </c>
      <c r="P166">
        <v>205</v>
      </c>
    </row>
    <row r="167" spans="1:16">
      <c r="A167">
        <v>776</v>
      </c>
      <c r="B167" s="1">
        <v>40578</v>
      </c>
      <c r="C167">
        <v>1</v>
      </c>
      <c r="D167">
        <v>0</v>
      </c>
      <c r="E167">
        <v>2</v>
      </c>
      <c r="F167">
        <v>18</v>
      </c>
      <c r="G167" t="b">
        <v>0</v>
      </c>
      <c r="H167">
        <v>5</v>
      </c>
      <c r="I167">
        <v>2</v>
      </c>
      <c r="J167">
        <v>0.24</v>
      </c>
      <c r="K167">
        <v>0.2576</v>
      </c>
      <c r="L167">
        <v>0.6</v>
      </c>
      <c r="M167">
        <v>0.1045</v>
      </c>
      <c r="N167">
        <v>3</v>
      </c>
      <c r="O167">
        <v>152</v>
      </c>
      <c r="P167">
        <v>155</v>
      </c>
    </row>
    <row r="168" spans="1:16">
      <c r="A168">
        <v>777</v>
      </c>
      <c r="B168" s="1">
        <v>40578</v>
      </c>
      <c r="C168">
        <v>1</v>
      </c>
      <c r="D168">
        <v>0</v>
      </c>
      <c r="E168">
        <v>2</v>
      </c>
      <c r="F168">
        <v>19</v>
      </c>
      <c r="G168" t="b">
        <v>0</v>
      </c>
      <c r="H168">
        <v>5</v>
      </c>
      <c r="I168">
        <v>2</v>
      </c>
      <c r="J168">
        <v>0.24</v>
      </c>
      <c r="K168">
        <v>0.2424</v>
      </c>
      <c r="L168">
        <v>0.65</v>
      </c>
      <c r="M168">
        <v>0.1343</v>
      </c>
      <c r="N168">
        <v>1</v>
      </c>
      <c r="O168">
        <v>102</v>
      </c>
      <c r="P168">
        <v>103</v>
      </c>
    </row>
    <row r="169" spans="1:16">
      <c r="A169">
        <v>778</v>
      </c>
      <c r="B169" s="1">
        <v>40578</v>
      </c>
      <c r="C169">
        <v>1</v>
      </c>
      <c r="D169">
        <v>0</v>
      </c>
      <c r="E169">
        <v>2</v>
      </c>
      <c r="F169">
        <v>20</v>
      </c>
      <c r="G169" t="b">
        <v>0</v>
      </c>
      <c r="H169">
        <v>5</v>
      </c>
      <c r="I169">
        <v>2</v>
      </c>
      <c r="J169">
        <v>0.24</v>
      </c>
      <c r="K169">
        <v>0.2424</v>
      </c>
      <c r="L169">
        <v>0.65</v>
      </c>
      <c r="M169">
        <v>0.16420000000000001</v>
      </c>
      <c r="N169">
        <v>2</v>
      </c>
      <c r="O169">
        <v>69</v>
      </c>
      <c r="P169">
        <v>71</v>
      </c>
    </row>
    <row r="170" spans="1:16">
      <c r="A170">
        <v>779</v>
      </c>
      <c r="B170" s="1">
        <v>40578</v>
      </c>
      <c r="C170">
        <v>1</v>
      </c>
      <c r="D170">
        <v>0</v>
      </c>
      <c r="E170">
        <v>2</v>
      </c>
      <c r="F170">
        <v>21</v>
      </c>
      <c r="G170" t="b">
        <v>0</v>
      </c>
      <c r="H170">
        <v>5</v>
      </c>
      <c r="I170">
        <v>2</v>
      </c>
      <c r="J170">
        <v>0.24</v>
      </c>
      <c r="K170">
        <v>0.2424</v>
      </c>
      <c r="L170">
        <v>0.7</v>
      </c>
      <c r="M170">
        <v>0.16420000000000001</v>
      </c>
      <c r="N170">
        <v>2</v>
      </c>
      <c r="O170">
        <v>41</v>
      </c>
      <c r="P170">
        <v>43</v>
      </c>
    </row>
    <row r="171" spans="1:16">
      <c r="A171">
        <v>780</v>
      </c>
      <c r="B171" s="1">
        <v>40578</v>
      </c>
      <c r="C171">
        <v>1</v>
      </c>
      <c r="D171">
        <v>0</v>
      </c>
      <c r="E171">
        <v>2</v>
      </c>
      <c r="F171">
        <v>22</v>
      </c>
      <c r="G171" t="b">
        <v>0</v>
      </c>
      <c r="H171">
        <v>5</v>
      </c>
      <c r="I171">
        <v>2</v>
      </c>
      <c r="J171">
        <v>0.24</v>
      </c>
      <c r="K171">
        <v>0.2424</v>
      </c>
      <c r="L171">
        <v>0.65</v>
      </c>
      <c r="M171">
        <v>0.16420000000000001</v>
      </c>
      <c r="N171">
        <v>1</v>
      </c>
      <c r="O171">
        <v>45</v>
      </c>
      <c r="P171">
        <v>46</v>
      </c>
    </row>
    <row r="172" spans="1:16">
      <c r="A172">
        <v>781</v>
      </c>
      <c r="B172" s="1">
        <v>40578</v>
      </c>
      <c r="C172">
        <v>1</v>
      </c>
      <c r="D172">
        <v>0</v>
      </c>
      <c r="E172">
        <v>2</v>
      </c>
      <c r="F172">
        <v>23</v>
      </c>
      <c r="G172" t="b">
        <v>0</v>
      </c>
      <c r="H172">
        <v>5</v>
      </c>
      <c r="I172">
        <v>2</v>
      </c>
      <c r="J172">
        <v>0.24</v>
      </c>
      <c r="K172">
        <v>0.2424</v>
      </c>
      <c r="L172">
        <v>0.7</v>
      </c>
      <c r="M172">
        <v>0.1343</v>
      </c>
      <c r="N172">
        <v>1</v>
      </c>
      <c r="O172">
        <v>30</v>
      </c>
      <c r="P172">
        <v>31</v>
      </c>
    </row>
    <row r="173" spans="1:16">
      <c r="A173">
        <v>782</v>
      </c>
      <c r="B173" s="1">
        <v>40579</v>
      </c>
      <c r="C173">
        <v>1</v>
      </c>
      <c r="D173">
        <v>0</v>
      </c>
      <c r="E173">
        <v>2</v>
      </c>
      <c r="F173">
        <v>0</v>
      </c>
      <c r="G173" t="b">
        <v>0</v>
      </c>
      <c r="H173">
        <v>6</v>
      </c>
      <c r="I173">
        <v>2</v>
      </c>
      <c r="J173">
        <v>0.24</v>
      </c>
      <c r="K173">
        <v>0.2424</v>
      </c>
      <c r="L173">
        <v>0.7</v>
      </c>
      <c r="M173">
        <v>0.16420000000000001</v>
      </c>
      <c r="N173">
        <v>3</v>
      </c>
      <c r="O173">
        <v>36</v>
      </c>
      <c r="P173">
        <v>39</v>
      </c>
    </row>
    <row r="174" spans="1:16">
      <c r="A174">
        <v>783</v>
      </c>
      <c r="B174" s="1">
        <v>40579</v>
      </c>
      <c r="C174">
        <v>1</v>
      </c>
      <c r="D174">
        <v>0</v>
      </c>
      <c r="E174">
        <v>2</v>
      </c>
      <c r="F174">
        <v>1</v>
      </c>
      <c r="G174" t="b">
        <v>0</v>
      </c>
      <c r="H174">
        <v>6</v>
      </c>
      <c r="I174">
        <v>2</v>
      </c>
      <c r="J174">
        <v>0.24</v>
      </c>
      <c r="K174">
        <v>0.2424</v>
      </c>
      <c r="L174">
        <v>0.65</v>
      </c>
      <c r="M174">
        <v>0.16420000000000001</v>
      </c>
      <c r="N174">
        <v>1</v>
      </c>
      <c r="O174">
        <v>17</v>
      </c>
      <c r="P174">
        <v>18</v>
      </c>
    </row>
    <row r="175" spans="1:16">
      <c r="A175">
        <v>784</v>
      </c>
      <c r="B175" s="1">
        <v>40579</v>
      </c>
      <c r="C175">
        <v>1</v>
      </c>
      <c r="D175">
        <v>0</v>
      </c>
      <c r="E175">
        <v>2</v>
      </c>
      <c r="F175">
        <v>2</v>
      </c>
      <c r="G175" t="b">
        <v>0</v>
      </c>
      <c r="H175">
        <v>6</v>
      </c>
      <c r="I175">
        <v>2</v>
      </c>
      <c r="J175">
        <v>0.24</v>
      </c>
      <c r="K175">
        <v>0.2424</v>
      </c>
      <c r="L175">
        <v>0.75</v>
      </c>
      <c r="M175">
        <v>0.16420000000000001</v>
      </c>
      <c r="N175">
        <v>5</v>
      </c>
      <c r="O175">
        <v>12</v>
      </c>
      <c r="P175">
        <v>17</v>
      </c>
    </row>
    <row r="176" spans="1:16">
      <c r="A176">
        <v>785</v>
      </c>
      <c r="B176" s="1">
        <v>40579</v>
      </c>
      <c r="C176">
        <v>1</v>
      </c>
      <c r="D176">
        <v>0</v>
      </c>
      <c r="E176">
        <v>2</v>
      </c>
      <c r="F176">
        <v>3</v>
      </c>
      <c r="G176" t="b">
        <v>0</v>
      </c>
      <c r="H176">
        <v>6</v>
      </c>
      <c r="I176">
        <v>2</v>
      </c>
      <c r="J176">
        <v>0.24</v>
      </c>
      <c r="K176">
        <v>0.2424</v>
      </c>
      <c r="L176">
        <v>0.75</v>
      </c>
      <c r="M176">
        <v>0.16420000000000001</v>
      </c>
      <c r="N176">
        <v>1</v>
      </c>
      <c r="O176">
        <v>10</v>
      </c>
      <c r="P176">
        <v>11</v>
      </c>
    </row>
    <row r="177" spans="1:16">
      <c r="A177">
        <v>786</v>
      </c>
      <c r="B177" s="1">
        <v>40579</v>
      </c>
      <c r="C177">
        <v>1</v>
      </c>
      <c r="D177">
        <v>0</v>
      </c>
      <c r="E177">
        <v>2</v>
      </c>
      <c r="F177">
        <v>4</v>
      </c>
      <c r="G177" t="b">
        <v>0</v>
      </c>
      <c r="H177">
        <v>6</v>
      </c>
      <c r="I177">
        <v>3</v>
      </c>
      <c r="J177">
        <v>0.22</v>
      </c>
      <c r="K177">
        <v>0.2273</v>
      </c>
      <c r="L177">
        <v>0.93</v>
      </c>
      <c r="M177">
        <v>0.1343</v>
      </c>
      <c r="N177">
        <v>0</v>
      </c>
      <c r="O177">
        <v>8</v>
      </c>
      <c r="P177">
        <v>8</v>
      </c>
    </row>
    <row r="178" spans="1:16">
      <c r="A178">
        <v>787</v>
      </c>
      <c r="B178" s="1">
        <v>40579</v>
      </c>
      <c r="C178">
        <v>1</v>
      </c>
      <c r="D178">
        <v>0</v>
      </c>
      <c r="E178">
        <v>2</v>
      </c>
      <c r="F178">
        <v>5</v>
      </c>
      <c r="G178" t="b">
        <v>0</v>
      </c>
      <c r="H178">
        <v>6</v>
      </c>
      <c r="I178">
        <v>3</v>
      </c>
      <c r="J178">
        <v>0.2</v>
      </c>
      <c r="K178">
        <v>0.2273</v>
      </c>
      <c r="L178">
        <v>1</v>
      </c>
      <c r="M178">
        <v>8.9599999999999999E-2</v>
      </c>
      <c r="N178">
        <v>0</v>
      </c>
      <c r="O178">
        <v>9</v>
      </c>
      <c r="P178">
        <v>9</v>
      </c>
    </row>
    <row r="179" spans="1:16">
      <c r="A179">
        <v>788</v>
      </c>
      <c r="B179" s="1">
        <v>40579</v>
      </c>
      <c r="C179">
        <v>1</v>
      </c>
      <c r="D179">
        <v>0</v>
      </c>
      <c r="E179">
        <v>2</v>
      </c>
      <c r="F179">
        <v>6</v>
      </c>
      <c r="G179" t="b">
        <v>0</v>
      </c>
      <c r="H179">
        <v>6</v>
      </c>
      <c r="I179">
        <v>3</v>
      </c>
      <c r="J179">
        <v>0.2</v>
      </c>
      <c r="K179">
        <v>0.2576</v>
      </c>
      <c r="L179">
        <v>1</v>
      </c>
      <c r="M179">
        <v>0</v>
      </c>
      <c r="N179">
        <v>0</v>
      </c>
      <c r="O179">
        <v>4</v>
      </c>
      <c r="P179">
        <v>4</v>
      </c>
    </row>
    <row r="180" spans="1:16">
      <c r="A180">
        <v>789</v>
      </c>
      <c r="B180" s="1">
        <v>40579</v>
      </c>
      <c r="C180">
        <v>1</v>
      </c>
      <c r="D180">
        <v>0</v>
      </c>
      <c r="E180">
        <v>2</v>
      </c>
      <c r="F180">
        <v>7</v>
      </c>
      <c r="G180" t="b">
        <v>0</v>
      </c>
      <c r="H180">
        <v>6</v>
      </c>
      <c r="I180">
        <v>3</v>
      </c>
      <c r="J180">
        <v>0.22</v>
      </c>
      <c r="K180">
        <v>0.2576</v>
      </c>
      <c r="L180">
        <v>0.93</v>
      </c>
      <c r="M180">
        <v>8.9599999999999999E-2</v>
      </c>
      <c r="N180">
        <v>0</v>
      </c>
      <c r="O180">
        <v>4</v>
      </c>
      <c r="P180">
        <v>4</v>
      </c>
    </row>
    <row r="181" spans="1:16">
      <c r="A181">
        <v>790</v>
      </c>
      <c r="B181" s="1">
        <v>40579</v>
      </c>
      <c r="C181">
        <v>1</v>
      </c>
      <c r="D181">
        <v>0</v>
      </c>
      <c r="E181">
        <v>2</v>
      </c>
      <c r="F181">
        <v>8</v>
      </c>
      <c r="G181" t="b">
        <v>0</v>
      </c>
      <c r="H181">
        <v>6</v>
      </c>
      <c r="I181">
        <v>3</v>
      </c>
      <c r="J181">
        <v>0.2</v>
      </c>
      <c r="K181">
        <v>0.2273</v>
      </c>
      <c r="L181">
        <v>1</v>
      </c>
      <c r="M181">
        <v>8.9599999999999999E-2</v>
      </c>
      <c r="N181">
        <v>0</v>
      </c>
      <c r="O181">
        <v>10</v>
      </c>
      <c r="P181">
        <v>10</v>
      </c>
    </row>
    <row r="182" spans="1:16">
      <c r="A182">
        <v>791</v>
      </c>
      <c r="B182" s="1">
        <v>40579</v>
      </c>
      <c r="C182">
        <v>1</v>
      </c>
      <c r="D182">
        <v>0</v>
      </c>
      <c r="E182">
        <v>2</v>
      </c>
      <c r="F182">
        <v>9</v>
      </c>
      <c r="G182" t="b">
        <v>0</v>
      </c>
      <c r="H182">
        <v>6</v>
      </c>
      <c r="I182">
        <v>3</v>
      </c>
      <c r="J182">
        <v>0.2</v>
      </c>
      <c r="K182">
        <v>0.2273</v>
      </c>
      <c r="L182">
        <v>1</v>
      </c>
      <c r="M182">
        <v>8.9599999999999999E-2</v>
      </c>
      <c r="N182">
        <v>3</v>
      </c>
      <c r="O182">
        <v>17</v>
      </c>
      <c r="P182">
        <v>20</v>
      </c>
    </row>
    <row r="183" spans="1:16">
      <c r="A183">
        <v>792</v>
      </c>
      <c r="B183" s="1">
        <v>40579</v>
      </c>
      <c r="C183">
        <v>1</v>
      </c>
      <c r="D183">
        <v>0</v>
      </c>
      <c r="E183">
        <v>2</v>
      </c>
      <c r="F183">
        <v>10</v>
      </c>
      <c r="G183" t="b">
        <v>0</v>
      </c>
      <c r="H183">
        <v>6</v>
      </c>
      <c r="I183">
        <v>3</v>
      </c>
      <c r="J183">
        <v>0.2</v>
      </c>
      <c r="K183">
        <v>0.21210000000000001</v>
      </c>
      <c r="L183">
        <v>1</v>
      </c>
      <c r="M183">
        <v>0.1343</v>
      </c>
      <c r="N183">
        <v>3</v>
      </c>
      <c r="O183">
        <v>31</v>
      </c>
      <c r="P183">
        <v>34</v>
      </c>
    </row>
    <row r="184" spans="1:16">
      <c r="A184">
        <v>793</v>
      </c>
      <c r="B184" s="1">
        <v>40579</v>
      </c>
      <c r="C184">
        <v>1</v>
      </c>
      <c r="D184">
        <v>0</v>
      </c>
      <c r="E184">
        <v>2</v>
      </c>
      <c r="F184">
        <v>11</v>
      </c>
      <c r="G184" t="b">
        <v>0</v>
      </c>
      <c r="H184">
        <v>6</v>
      </c>
      <c r="I184">
        <v>3</v>
      </c>
      <c r="J184">
        <v>0.22</v>
      </c>
      <c r="K184">
        <v>0.2273</v>
      </c>
      <c r="L184">
        <v>1</v>
      </c>
      <c r="M184">
        <v>0.1343</v>
      </c>
      <c r="N184">
        <v>1</v>
      </c>
      <c r="O184">
        <v>46</v>
      </c>
      <c r="P184">
        <v>47</v>
      </c>
    </row>
    <row r="185" spans="1:16">
      <c r="A185">
        <v>794</v>
      </c>
      <c r="B185" s="1">
        <v>40579</v>
      </c>
      <c r="C185">
        <v>1</v>
      </c>
      <c r="D185">
        <v>0</v>
      </c>
      <c r="E185">
        <v>2</v>
      </c>
      <c r="F185">
        <v>12</v>
      </c>
      <c r="G185" t="b">
        <v>0</v>
      </c>
      <c r="H185">
        <v>6</v>
      </c>
      <c r="I185">
        <v>3</v>
      </c>
      <c r="J185">
        <v>0.22</v>
      </c>
      <c r="K185">
        <v>0.2273</v>
      </c>
      <c r="L185">
        <v>1</v>
      </c>
      <c r="M185">
        <v>0.16420000000000001</v>
      </c>
      <c r="N185">
        <v>10</v>
      </c>
      <c r="O185">
        <v>42</v>
      </c>
      <c r="P185">
        <v>52</v>
      </c>
    </row>
    <row r="186" spans="1:16">
      <c r="A186">
        <v>795</v>
      </c>
      <c r="B186" s="1">
        <v>40579</v>
      </c>
      <c r="C186">
        <v>1</v>
      </c>
      <c r="D186">
        <v>0</v>
      </c>
      <c r="E186">
        <v>2</v>
      </c>
      <c r="F186">
        <v>13</v>
      </c>
      <c r="G186" t="b">
        <v>0</v>
      </c>
      <c r="H186">
        <v>6</v>
      </c>
      <c r="I186">
        <v>3</v>
      </c>
      <c r="J186">
        <v>0.22</v>
      </c>
      <c r="K186">
        <v>0.2273</v>
      </c>
      <c r="L186">
        <v>1</v>
      </c>
      <c r="M186">
        <v>0.16420000000000001</v>
      </c>
      <c r="N186">
        <v>10</v>
      </c>
      <c r="O186">
        <v>62</v>
      </c>
      <c r="P186">
        <v>72</v>
      </c>
    </row>
    <row r="187" spans="1:16">
      <c r="A187">
        <v>796</v>
      </c>
      <c r="B187" s="1">
        <v>40579</v>
      </c>
      <c r="C187">
        <v>1</v>
      </c>
      <c r="D187">
        <v>0</v>
      </c>
      <c r="E187">
        <v>2</v>
      </c>
      <c r="F187">
        <v>14</v>
      </c>
      <c r="G187" t="b">
        <v>0</v>
      </c>
      <c r="H187">
        <v>6</v>
      </c>
      <c r="I187">
        <v>3</v>
      </c>
      <c r="J187">
        <v>0.22</v>
      </c>
      <c r="K187">
        <v>0.2727</v>
      </c>
      <c r="L187">
        <v>1</v>
      </c>
      <c r="M187">
        <v>0</v>
      </c>
      <c r="N187">
        <v>5</v>
      </c>
      <c r="O187">
        <v>50</v>
      </c>
      <c r="P187">
        <v>55</v>
      </c>
    </row>
    <row r="188" spans="1:16">
      <c r="A188">
        <v>797</v>
      </c>
      <c r="B188" s="1">
        <v>40579</v>
      </c>
      <c r="C188">
        <v>1</v>
      </c>
      <c r="D188">
        <v>0</v>
      </c>
      <c r="E188">
        <v>2</v>
      </c>
      <c r="F188">
        <v>15</v>
      </c>
      <c r="G188" t="b">
        <v>0</v>
      </c>
      <c r="H188">
        <v>6</v>
      </c>
      <c r="I188">
        <v>3</v>
      </c>
      <c r="J188">
        <v>0.22</v>
      </c>
      <c r="K188">
        <v>0.2727</v>
      </c>
      <c r="L188">
        <v>1</v>
      </c>
      <c r="M188">
        <v>0</v>
      </c>
      <c r="N188">
        <v>11</v>
      </c>
      <c r="O188">
        <v>49</v>
      </c>
      <c r="P188">
        <v>60</v>
      </c>
    </row>
    <row r="189" spans="1:16">
      <c r="A189">
        <v>798</v>
      </c>
      <c r="B189" s="1">
        <v>40579</v>
      </c>
      <c r="C189">
        <v>1</v>
      </c>
      <c r="D189">
        <v>0</v>
      </c>
      <c r="E189">
        <v>2</v>
      </c>
      <c r="F189">
        <v>16</v>
      </c>
      <c r="G189" t="b">
        <v>0</v>
      </c>
      <c r="H189">
        <v>6</v>
      </c>
      <c r="I189">
        <v>3</v>
      </c>
      <c r="J189">
        <v>0.22</v>
      </c>
      <c r="K189">
        <v>0.2273</v>
      </c>
      <c r="L189">
        <v>1</v>
      </c>
      <c r="M189">
        <v>0.1343</v>
      </c>
      <c r="N189">
        <v>8</v>
      </c>
      <c r="O189">
        <v>63</v>
      </c>
      <c r="P189">
        <v>71</v>
      </c>
    </row>
    <row r="190" spans="1:16">
      <c r="A190">
        <v>799</v>
      </c>
      <c r="B190" s="1">
        <v>40579</v>
      </c>
      <c r="C190">
        <v>1</v>
      </c>
      <c r="D190">
        <v>0</v>
      </c>
      <c r="E190">
        <v>2</v>
      </c>
      <c r="F190">
        <v>17</v>
      </c>
      <c r="G190" t="b">
        <v>0</v>
      </c>
      <c r="H190">
        <v>6</v>
      </c>
      <c r="I190">
        <v>2</v>
      </c>
      <c r="J190">
        <v>0.24</v>
      </c>
      <c r="K190">
        <v>0.21210000000000001</v>
      </c>
      <c r="L190">
        <v>1</v>
      </c>
      <c r="M190">
        <v>0.28360000000000002</v>
      </c>
      <c r="N190">
        <v>14</v>
      </c>
      <c r="O190">
        <v>64</v>
      </c>
      <c r="P190">
        <v>78</v>
      </c>
    </row>
    <row r="191" spans="1:16">
      <c r="A191">
        <v>800</v>
      </c>
      <c r="B191" s="1">
        <v>40579</v>
      </c>
      <c r="C191">
        <v>1</v>
      </c>
      <c r="D191">
        <v>0</v>
      </c>
      <c r="E191">
        <v>2</v>
      </c>
      <c r="F191">
        <v>18</v>
      </c>
      <c r="G191" t="b">
        <v>0</v>
      </c>
      <c r="H191">
        <v>6</v>
      </c>
      <c r="I191">
        <v>2</v>
      </c>
      <c r="J191">
        <v>0.28000000000000003</v>
      </c>
      <c r="K191">
        <v>0.2424</v>
      </c>
      <c r="L191">
        <v>0.93</v>
      </c>
      <c r="M191">
        <v>0.44779999999999998</v>
      </c>
      <c r="N191">
        <v>2</v>
      </c>
      <c r="O191">
        <v>81</v>
      </c>
      <c r="P191">
        <v>83</v>
      </c>
    </row>
    <row r="192" spans="1:16">
      <c r="A192">
        <v>801</v>
      </c>
      <c r="B192" s="1">
        <v>40579</v>
      </c>
      <c r="C192">
        <v>1</v>
      </c>
      <c r="D192">
        <v>0</v>
      </c>
      <c r="E192">
        <v>2</v>
      </c>
      <c r="F192">
        <v>19</v>
      </c>
      <c r="G192" t="b">
        <v>0</v>
      </c>
      <c r="H192">
        <v>6</v>
      </c>
      <c r="I192">
        <v>2</v>
      </c>
      <c r="J192">
        <v>0.28000000000000003</v>
      </c>
      <c r="K192">
        <v>0.2424</v>
      </c>
      <c r="L192">
        <v>0.93</v>
      </c>
      <c r="M192">
        <v>0.44779999999999998</v>
      </c>
      <c r="N192">
        <v>6</v>
      </c>
      <c r="O192">
        <v>78</v>
      </c>
      <c r="P192">
        <v>84</v>
      </c>
    </row>
    <row r="193" spans="1:16">
      <c r="A193">
        <v>802</v>
      </c>
      <c r="B193" s="1">
        <v>40579</v>
      </c>
      <c r="C193">
        <v>1</v>
      </c>
      <c r="D193">
        <v>0</v>
      </c>
      <c r="E193">
        <v>2</v>
      </c>
      <c r="F193">
        <v>20</v>
      </c>
      <c r="G193" t="b">
        <v>0</v>
      </c>
      <c r="H193">
        <v>6</v>
      </c>
      <c r="I193">
        <v>1</v>
      </c>
      <c r="J193">
        <v>0.3</v>
      </c>
      <c r="K193">
        <v>0.28789999999999999</v>
      </c>
      <c r="L193">
        <v>0.87</v>
      </c>
      <c r="M193">
        <v>0.25369999999999998</v>
      </c>
      <c r="N193">
        <v>5</v>
      </c>
      <c r="O193">
        <v>64</v>
      </c>
      <c r="P193">
        <v>69</v>
      </c>
    </row>
    <row r="194" spans="1:16">
      <c r="A194">
        <v>803</v>
      </c>
      <c r="B194" s="1">
        <v>40579</v>
      </c>
      <c r="C194">
        <v>1</v>
      </c>
      <c r="D194">
        <v>0</v>
      </c>
      <c r="E194">
        <v>2</v>
      </c>
      <c r="F194">
        <v>21</v>
      </c>
      <c r="G194" t="b">
        <v>0</v>
      </c>
      <c r="H194">
        <v>6</v>
      </c>
      <c r="I194">
        <v>1</v>
      </c>
      <c r="J194">
        <v>0.26</v>
      </c>
      <c r="K194">
        <v>0.2576</v>
      </c>
      <c r="L194">
        <v>1</v>
      </c>
      <c r="M194">
        <v>0.19400000000000001</v>
      </c>
      <c r="N194">
        <v>3</v>
      </c>
      <c r="O194">
        <v>53</v>
      </c>
      <c r="P194">
        <v>56</v>
      </c>
    </row>
    <row r="195" spans="1:16">
      <c r="A195">
        <v>804</v>
      </c>
      <c r="B195" s="1">
        <v>40579</v>
      </c>
      <c r="C195">
        <v>1</v>
      </c>
      <c r="D195">
        <v>0</v>
      </c>
      <c r="E195">
        <v>2</v>
      </c>
      <c r="F195">
        <v>22</v>
      </c>
      <c r="G195" t="b">
        <v>0</v>
      </c>
      <c r="H195">
        <v>6</v>
      </c>
      <c r="I195">
        <v>1</v>
      </c>
      <c r="J195">
        <v>0.26</v>
      </c>
      <c r="K195">
        <v>0.2727</v>
      </c>
      <c r="L195">
        <v>0.93</v>
      </c>
      <c r="M195">
        <v>0.1343</v>
      </c>
      <c r="N195">
        <v>2</v>
      </c>
      <c r="O195">
        <v>43</v>
      </c>
      <c r="P195">
        <v>45</v>
      </c>
    </row>
    <row r="196" spans="1:16">
      <c r="A196">
        <v>805</v>
      </c>
      <c r="B196" s="1">
        <v>40579</v>
      </c>
      <c r="C196">
        <v>1</v>
      </c>
      <c r="D196">
        <v>0</v>
      </c>
      <c r="E196">
        <v>2</v>
      </c>
      <c r="F196">
        <v>23</v>
      </c>
      <c r="G196" t="b">
        <v>0</v>
      </c>
      <c r="H196">
        <v>6</v>
      </c>
      <c r="I196">
        <v>1</v>
      </c>
      <c r="J196">
        <v>0.26</v>
      </c>
      <c r="K196">
        <v>0.2576</v>
      </c>
      <c r="L196">
        <v>0.93</v>
      </c>
      <c r="M196">
        <v>0.22389999999999999</v>
      </c>
      <c r="N196">
        <v>7</v>
      </c>
      <c r="O196">
        <v>52</v>
      </c>
      <c r="P196">
        <v>59</v>
      </c>
    </row>
    <row r="197" spans="1:16">
      <c r="A197">
        <v>806</v>
      </c>
      <c r="B197" s="1">
        <v>40580</v>
      </c>
      <c r="C197">
        <v>1</v>
      </c>
      <c r="D197">
        <v>0</v>
      </c>
      <c r="E197">
        <v>2</v>
      </c>
      <c r="F197">
        <v>0</v>
      </c>
      <c r="G197" t="b">
        <v>0</v>
      </c>
      <c r="H197">
        <v>0</v>
      </c>
      <c r="I197">
        <v>1</v>
      </c>
      <c r="J197">
        <v>0.26</v>
      </c>
      <c r="K197">
        <v>0.2576</v>
      </c>
      <c r="L197">
        <v>0.7</v>
      </c>
      <c r="M197">
        <v>0.19400000000000001</v>
      </c>
      <c r="N197">
        <v>2</v>
      </c>
      <c r="O197">
        <v>37</v>
      </c>
      <c r="P197">
        <v>39</v>
      </c>
    </row>
    <row r="198" spans="1:16">
      <c r="A198">
        <v>807</v>
      </c>
      <c r="B198" s="1">
        <v>40580</v>
      </c>
      <c r="C198">
        <v>1</v>
      </c>
      <c r="D198">
        <v>0</v>
      </c>
      <c r="E198">
        <v>2</v>
      </c>
      <c r="F198">
        <v>1</v>
      </c>
      <c r="G198" t="b">
        <v>0</v>
      </c>
      <c r="H198">
        <v>0</v>
      </c>
      <c r="I198">
        <v>1</v>
      </c>
      <c r="J198">
        <v>0.26</v>
      </c>
      <c r="K198">
        <v>0.2273</v>
      </c>
      <c r="L198">
        <v>0.65</v>
      </c>
      <c r="M198">
        <v>0.41789999999999999</v>
      </c>
      <c r="N198">
        <v>4</v>
      </c>
      <c r="O198">
        <v>40</v>
      </c>
      <c r="P198">
        <v>44</v>
      </c>
    </row>
    <row r="199" spans="1:16">
      <c r="A199">
        <v>808</v>
      </c>
      <c r="B199" s="1">
        <v>40580</v>
      </c>
      <c r="C199">
        <v>1</v>
      </c>
      <c r="D199">
        <v>0</v>
      </c>
      <c r="E199">
        <v>2</v>
      </c>
      <c r="F199">
        <v>2</v>
      </c>
      <c r="G199" t="b">
        <v>0</v>
      </c>
      <c r="H199">
        <v>0</v>
      </c>
      <c r="I199">
        <v>1</v>
      </c>
      <c r="J199">
        <v>0.26</v>
      </c>
      <c r="K199">
        <v>0.2273</v>
      </c>
      <c r="L199">
        <v>0.6</v>
      </c>
      <c r="M199">
        <v>0.32840000000000003</v>
      </c>
      <c r="N199">
        <v>0</v>
      </c>
      <c r="O199">
        <v>20</v>
      </c>
      <c r="P199">
        <v>20</v>
      </c>
    </row>
    <row r="200" spans="1:16">
      <c r="A200">
        <v>809</v>
      </c>
      <c r="B200" s="1">
        <v>40580</v>
      </c>
      <c r="C200">
        <v>1</v>
      </c>
      <c r="D200">
        <v>0</v>
      </c>
      <c r="E200">
        <v>2</v>
      </c>
      <c r="F200">
        <v>3</v>
      </c>
      <c r="G200" t="b">
        <v>0</v>
      </c>
      <c r="H200">
        <v>0</v>
      </c>
      <c r="I200">
        <v>1</v>
      </c>
      <c r="J200">
        <v>0.26</v>
      </c>
      <c r="K200">
        <v>0.28789999999999999</v>
      </c>
      <c r="L200">
        <v>0.6</v>
      </c>
      <c r="M200">
        <v>8.9599999999999999E-2</v>
      </c>
      <c r="N200">
        <v>3</v>
      </c>
      <c r="O200">
        <v>10</v>
      </c>
      <c r="P200">
        <v>13</v>
      </c>
    </row>
    <row r="201" spans="1:16">
      <c r="A201">
        <v>810</v>
      </c>
      <c r="B201" s="1">
        <v>40580</v>
      </c>
      <c r="C201">
        <v>1</v>
      </c>
      <c r="D201">
        <v>0</v>
      </c>
      <c r="E201">
        <v>2</v>
      </c>
      <c r="F201">
        <v>4</v>
      </c>
      <c r="G201" t="b">
        <v>0</v>
      </c>
      <c r="H201">
        <v>0</v>
      </c>
      <c r="I201">
        <v>1</v>
      </c>
      <c r="J201">
        <v>0.26</v>
      </c>
      <c r="K201">
        <v>0.2273</v>
      </c>
      <c r="L201">
        <v>0.6</v>
      </c>
      <c r="M201">
        <v>0.35820000000000002</v>
      </c>
      <c r="N201">
        <v>0</v>
      </c>
      <c r="O201">
        <v>2</v>
      </c>
      <c r="P201">
        <v>2</v>
      </c>
    </row>
    <row r="202" spans="1:16">
      <c r="A202">
        <v>811</v>
      </c>
      <c r="B202" s="1">
        <v>40580</v>
      </c>
      <c r="C202">
        <v>1</v>
      </c>
      <c r="D202">
        <v>0</v>
      </c>
      <c r="E202">
        <v>2</v>
      </c>
      <c r="F202">
        <v>5</v>
      </c>
      <c r="G202" t="b">
        <v>0</v>
      </c>
      <c r="H202">
        <v>0</v>
      </c>
      <c r="I202">
        <v>1</v>
      </c>
      <c r="J202">
        <v>0.26</v>
      </c>
      <c r="K202">
        <v>0.2576</v>
      </c>
      <c r="L202">
        <v>0.6</v>
      </c>
      <c r="M202">
        <v>0.22389999999999999</v>
      </c>
      <c r="N202">
        <v>0</v>
      </c>
      <c r="O202">
        <v>1</v>
      </c>
      <c r="P202">
        <v>1</v>
      </c>
    </row>
    <row r="203" spans="1:16">
      <c r="A203">
        <v>812</v>
      </c>
      <c r="B203" s="1">
        <v>40580</v>
      </c>
      <c r="C203">
        <v>1</v>
      </c>
      <c r="D203">
        <v>0</v>
      </c>
      <c r="E203">
        <v>2</v>
      </c>
      <c r="F203">
        <v>6</v>
      </c>
      <c r="G203" t="b">
        <v>0</v>
      </c>
      <c r="H203">
        <v>0</v>
      </c>
      <c r="I203">
        <v>1</v>
      </c>
      <c r="J203">
        <v>0.26</v>
      </c>
      <c r="K203">
        <v>0.2576</v>
      </c>
      <c r="L203">
        <v>0.6</v>
      </c>
      <c r="M203">
        <v>0.22389999999999999</v>
      </c>
      <c r="N203">
        <v>0</v>
      </c>
      <c r="O203">
        <v>1</v>
      </c>
      <c r="P203">
        <v>1</v>
      </c>
    </row>
    <row r="204" spans="1:16">
      <c r="A204">
        <v>813</v>
      </c>
      <c r="B204" s="1">
        <v>40580</v>
      </c>
      <c r="C204">
        <v>1</v>
      </c>
      <c r="D204">
        <v>0</v>
      </c>
      <c r="E204">
        <v>2</v>
      </c>
      <c r="F204">
        <v>7</v>
      </c>
      <c r="G204" t="b">
        <v>0</v>
      </c>
      <c r="H204">
        <v>0</v>
      </c>
      <c r="I204">
        <v>1</v>
      </c>
      <c r="J204">
        <v>0.24</v>
      </c>
      <c r="K204">
        <v>0.2424</v>
      </c>
      <c r="L204">
        <v>0.65</v>
      </c>
      <c r="M204">
        <v>0.16420000000000001</v>
      </c>
      <c r="N204">
        <v>0</v>
      </c>
      <c r="O204">
        <v>8</v>
      </c>
      <c r="P204">
        <v>8</v>
      </c>
    </row>
    <row r="205" spans="1:16">
      <c r="A205">
        <v>814</v>
      </c>
      <c r="B205" s="1">
        <v>40580</v>
      </c>
      <c r="C205">
        <v>1</v>
      </c>
      <c r="D205">
        <v>0</v>
      </c>
      <c r="E205">
        <v>2</v>
      </c>
      <c r="F205">
        <v>8</v>
      </c>
      <c r="G205" t="b">
        <v>0</v>
      </c>
      <c r="H205">
        <v>0</v>
      </c>
      <c r="I205">
        <v>1</v>
      </c>
      <c r="J205">
        <v>0.24</v>
      </c>
      <c r="K205">
        <v>0.2576</v>
      </c>
      <c r="L205">
        <v>0.65</v>
      </c>
      <c r="M205">
        <v>0.1045</v>
      </c>
      <c r="N205">
        <v>2</v>
      </c>
      <c r="O205">
        <v>21</v>
      </c>
      <c r="P205">
        <v>23</v>
      </c>
    </row>
    <row r="206" spans="1:16">
      <c r="A206">
        <v>815</v>
      </c>
      <c r="B206" s="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c r="A207">
        <v>816</v>
      </c>
      <c r="B207" s="1">
        <v>40580</v>
      </c>
      <c r="C207">
        <v>1</v>
      </c>
      <c r="D207">
        <v>0</v>
      </c>
      <c r="E207">
        <v>2</v>
      </c>
      <c r="F207">
        <v>10</v>
      </c>
      <c r="G207" t="b">
        <v>0</v>
      </c>
      <c r="H207">
        <v>0</v>
      </c>
      <c r="I207">
        <v>1</v>
      </c>
      <c r="J207">
        <v>0.3</v>
      </c>
      <c r="K207">
        <v>0.28789999999999999</v>
      </c>
      <c r="L207">
        <v>0.52</v>
      </c>
      <c r="M207">
        <v>0.25369999999999998</v>
      </c>
      <c r="N207">
        <v>15</v>
      </c>
      <c r="O207">
        <v>74</v>
      </c>
      <c r="P207">
        <v>89</v>
      </c>
    </row>
    <row r="208" spans="1:16">
      <c r="A208">
        <v>817</v>
      </c>
      <c r="B208" s="1">
        <v>40580</v>
      </c>
      <c r="C208">
        <v>1</v>
      </c>
      <c r="D208">
        <v>0</v>
      </c>
      <c r="E208">
        <v>2</v>
      </c>
      <c r="F208">
        <v>11</v>
      </c>
      <c r="G208" t="b">
        <v>0</v>
      </c>
      <c r="H208">
        <v>0</v>
      </c>
      <c r="I208">
        <v>1</v>
      </c>
      <c r="J208">
        <v>0.32</v>
      </c>
      <c r="K208">
        <v>0.30299999999999999</v>
      </c>
      <c r="L208">
        <v>0.49</v>
      </c>
      <c r="M208">
        <v>0.25369999999999998</v>
      </c>
      <c r="N208">
        <v>28</v>
      </c>
      <c r="O208">
        <v>89</v>
      </c>
      <c r="P208">
        <v>117</v>
      </c>
    </row>
    <row r="209" spans="1:16">
      <c r="A209">
        <v>818</v>
      </c>
      <c r="B209" s="1">
        <v>40580</v>
      </c>
      <c r="C209">
        <v>1</v>
      </c>
      <c r="D209">
        <v>0</v>
      </c>
      <c r="E209">
        <v>2</v>
      </c>
      <c r="F209">
        <v>12</v>
      </c>
      <c r="G209" t="b">
        <v>0</v>
      </c>
      <c r="H209">
        <v>0</v>
      </c>
      <c r="I209">
        <v>1</v>
      </c>
      <c r="J209">
        <v>0.34</v>
      </c>
      <c r="K209">
        <v>0.33329999999999999</v>
      </c>
      <c r="L209">
        <v>0.46</v>
      </c>
      <c r="M209">
        <v>0</v>
      </c>
      <c r="N209">
        <v>48</v>
      </c>
      <c r="O209">
        <v>126</v>
      </c>
      <c r="P209">
        <v>174</v>
      </c>
    </row>
    <row r="210" spans="1:16">
      <c r="A210">
        <v>819</v>
      </c>
      <c r="B210" s="1">
        <v>40580</v>
      </c>
      <c r="C210">
        <v>1</v>
      </c>
      <c r="D210">
        <v>0</v>
      </c>
      <c r="E210">
        <v>2</v>
      </c>
      <c r="F210">
        <v>13</v>
      </c>
      <c r="G210" t="b">
        <v>0</v>
      </c>
      <c r="H210">
        <v>0</v>
      </c>
      <c r="I210">
        <v>1</v>
      </c>
      <c r="J210">
        <v>0.34</v>
      </c>
      <c r="K210">
        <v>0.36359999999999998</v>
      </c>
      <c r="L210">
        <v>0.46</v>
      </c>
      <c r="M210">
        <v>0</v>
      </c>
      <c r="N210">
        <v>47</v>
      </c>
      <c r="O210">
        <v>135</v>
      </c>
      <c r="P210">
        <v>182</v>
      </c>
    </row>
    <row r="211" spans="1:16">
      <c r="A211">
        <v>820</v>
      </c>
      <c r="B211" s="1">
        <v>40580</v>
      </c>
      <c r="C211">
        <v>1</v>
      </c>
      <c r="D211">
        <v>0</v>
      </c>
      <c r="E211">
        <v>2</v>
      </c>
      <c r="F211">
        <v>14</v>
      </c>
      <c r="G211" t="b">
        <v>0</v>
      </c>
      <c r="H211">
        <v>0</v>
      </c>
      <c r="I211">
        <v>1</v>
      </c>
      <c r="J211">
        <v>0.34</v>
      </c>
      <c r="K211">
        <v>0.34849999999999998</v>
      </c>
      <c r="L211">
        <v>0.46</v>
      </c>
      <c r="M211">
        <v>8.9599999999999999E-2</v>
      </c>
      <c r="N211">
        <v>47</v>
      </c>
      <c r="O211">
        <v>114</v>
      </c>
      <c r="P211">
        <v>161</v>
      </c>
    </row>
    <row r="212" spans="1:16">
      <c r="A212">
        <v>821</v>
      </c>
      <c r="B212" s="1">
        <v>40580</v>
      </c>
      <c r="C212">
        <v>1</v>
      </c>
      <c r="D212">
        <v>0</v>
      </c>
      <c r="E212">
        <v>2</v>
      </c>
      <c r="F212">
        <v>15</v>
      </c>
      <c r="G212" t="b">
        <v>0</v>
      </c>
      <c r="H212">
        <v>0</v>
      </c>
      <c r="I212">
        <v>1</v>
      </c>
      <c r="J212">
        <v>0.34</v>
      </c>
      <c r="K212">
        <v>0.34849999999999998</v>
      </c>
      <c r="L212">
        <v>0.46</v>
      </c>
      <c r="M212">
        <v>8.9599999999999999E-2</v>
      </c>
      <c r="N212">
        <v>52</v>
      </c>
      <c r="O212">
        <v>130</v>
      </c>
      <c r="P212">
        <v>182</v>
      </c>
    </row>
    <row r="213" spans="1:16">
      <c r="A213">
        <v>822</v>
      </c>
      <c r="B213" s="1">
        <v>40580</v>
      </c>
      <c r="C213">
        <v>1</v>
      </c>
      <c r="D213">
        <v>0</v>
      </c>
      <c r="E213">
        <v>2</v>
      </c>
      <c r="F213">
        <v>16</v>
      </c>
      <c r="G213" t="b">
        <v>0</v>
      </c>
      <c r="H213">
        <v>0</v>
      </c>
      <c r="I213">
        <v>1</v>
      </c>
      <c r="J213">
        <v>0.34</v>
      </c>
      <c r="K213">
        <v>0.34849999999999998</v>
      </c>
      <c r="L213">
        <v>0.49</v>
      </c>
      <c r="M213">
        <v>0.1045</v>
      </c>
      <c r="N213">
        <v>42</v>
      </c>
      <c r="O213">
        <v>115</v>
      </c>
      <c r="P213">
        <v>157</v>
      </c>
    </row>
    <row r="214" spans="1:16">
      <c r="A214">
        <v>823</v>
      </c>
      <c r="B214" s="1">
        <v>40580</v>
      </c>
      <c r="C214">
        <v>1</v>
      </c>
      <c r="D214">
        <v>0</v>
      </c>
      <c r="E214">
        <v>2</v>
      </c>
      <c r="F214">
        <v>17</v>
      </c>
      <c r="G214" t="b">
        <v>0</v>
      </c>
      <c r="H214">
        <v>0</v>
      </c>
      <c r="I214">
        <v>1</v>
      </c>
      <c r="J214">
        <v>0.34</v>
      </c>
      <c r="K214">
        <v>0.36359999999999998</v>
      </c>
      <c r="L214">
        <v>0.46</v>
      </c>
      <c r="M214">
        <v>0</v>
      </c>
      <c r="N214">
        <v>24</v>
      </c>
      <c r="O214">
        <v>97</v>
      </c>
      <c r="P214">
        <v>121</v>
      </c>
    </row>
    <row r="215" spans="1:16">
      <c r="A215">
        <v>824</v>
      </c>
      <c r="B215" s="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c r="A216">
        <v>825</v>
      </c>
      <c r="B216" s="1">
        <v>40580</v>
      </c>
      <c r="C216">
        <v>1</v>
      </c>
      <c r="D216">
        <v>0</v>
      </c>
      <c r="E216">
        <v>2</v>
      </c>
      <c r="F216">
        <v>19</v>
      </c>
      <c r="G216" t="b">
        <v>0</v>
      </c>
      <c r="H216">
        <v>0</v>
      </c>
      <c r="I216">
        <v>1</v>
      </c>
      <c r="J216">
        <v>0.28000000000000003</v>
      </c>
      <c r="K216">
        <v>0.28789999999999999</v>
      </c>
      <c r="L216">
        <v>0.61</v>
      </c>
      <c r="M216">
        <v>0.1343</v>
      </c>
      <c r="N216">
        <v>1</v>
      </c>
      <c r="O216">
        <v>20</v>
      </c>
      <c r="P216">
        <v>21</v>
      </c>
    </row>
    <row r="217" spans="1:16">
      <c r="A217">
        <v>826</v>
      </c>
      <c r="B217" s="1">
        <v>40580</v>
      </c>
      <c r="C217">
        <v>1</v>
      </c>
      <c r="D217">
        <v>0</v>
      </c>
      <c r="E217">
        <v>2</v>
      </c>
      <c r="F217">
        <v>20</v>
      </c>
      <c r="G217" t="b">
        <v>0</v>
      </c>
      <c r="H217">
        <v>0</v>
      </c>
      <c r="I217">
        <v>1</v>
      </c>
      <c r="J217">
        <v>0.28000000000000003</v>
      </c>
      <c r="K217">
        <v>0.28789999999999999</v>
      </c>
      <c r="L217">
        <v>0.61</v>
      </c>
      <c r="M217">
        <v>0.1045</v>
      </c>
      <c r="N217">
        <v>5</v>
      </c>
      <c r="O217">
        <v>21</v>
      </c>
      <c r="P217">
        <v>26</v>
      </c>
    </row>
    <row r="218" spans="1:16">
      <c r="A218">
        <v>827</v>
      </c>
      <c r="B218" s="1">
        <v>40580</v>
      </c>
      <c r="C218">
        <v>1</v>
      </c>
      <c r="D218">
        <v>0</v>
      </c>
      <c r="E218">
        <v>2</v>
      </c>
      <c r="F218">
        <v>21</v>
      </c>
      <c r="G218" t="b">
        <v>0</v>
      </c>
      <c r="H218">
        <v>0</v>
      </c>
      <c r="I218">
        <v>1</v>
      </c>
      <c r="J218">
        <v>0.26</v>
      </c>
      <c r="K218">
        <v>0.30299999999999999</v>
      </c>
      <c r="L218">
        <v>0.6</v>
      </c>
      <c r="M218">
        <v>0</v>
      </c>
      <c r="N218">
        <v>5</v>
      </c>
      <c r="O218">
        <v>22</v>
      </c>
      <c r="P218">
        <v>27</v>
      </c>
    </row>
    <row r="219" spans="1:16">
      <c r="A219">
        <v>828</v>
      </c>
      <c r="B219" s="1">
        <v>40580</v>
      </c>
      <c r="C219">
        <v>1</v>
      </c>
      <c r="D219">
        <v>0</v>
      </c>
      <c r="E219">
        <v>2</v>
      </c>
      <c r="F219">
        <v>22</v>
      </c>
      <c r="G219" t="b">
        <v>0</v>
      </c>
      <c r="H219">
        <v>0</v>
      </c>
      <c r="I219">
        <v>1</v>
      </c>
      <c r="J219">
        <v>0.26</v>
      </c>
      <c r="K219">
        <v>0.30299999999999999</v>
      </c>
      <c r="L219">
        <v>0.6</v>
      </c>
      <c r="M219">
        <v>0</v>
      </c>
      <c r="N219">
        <v>5</v>
      </c>
      <c r="O219">
        <v>57</v>
      </c>
      <c r="P219">
        <v>62</v>
      </c>
    </row>
    <row r="220" spans="1:16">
      <c r="A220">
        <v>829</v>
      </c>
      <c r="B220" s="1">
        <v>40580</v>
      </c>
      <c r="C220">
        <v>1</v>
      </c>
      <c r="D220">
        <v>0</v>
      </c>
      <c r="E220">
        <v>2</v>
      </c>
      <c r="F220">
        <v>23</v>
      </c>
      <c r="G220" t="b">
        <v>0</v>
      </c>
      <c r="H220">
        <v>0</v>
      </c>
      <c r="I220">
        <v>1</v>
      </c>
      <c r="J220">
        <v>0.24</v>
      </c>
      <c r="K220">
        <v>0.28789999999999999</v>
      </c>
      <c r="L220">
        <v>0.65</v>
      </c>
      <c r="M220">
        <v>0</v>
      </c>
      <c r="N220">
        <v>4</v>
      </c>
      <c r="O220">
        <v>26</v>
      </c>
      <c r="P220">
        <v>30</v>
      </c>
    </row>
    <row r="221" spans="1:16">
      <c r="A221">
        <v>830</v>
      </c>
      <c r="B221" s="1">
        <v>40581</v>
      </c>
      <c r="C221">
        <v>1</v>
      </c>
      <c r="D221">
        <v>0</v>
      </c>
      <c r="E221">
        <v>2</v>
      </c>
      <c r="F221">
        <v>0</v>
      </c>
      <c r="G221" t="b">
        <v>0</v>
      </c>
      <c r="H221">
        <v>1</v>
      </c>
      <c r="I221">
        <v>1</v>
      </c>
      <c r="J221">
        <v>0.24</v>
      </c>
      <c r="K221">
        <v>0.28789999999999999</v>
      </c>
      <c r="L221">
        <v>0.65</v>
      </c>
      <c r="M221">
        <v>0</v>
      </c>
      <c r="N221">
        <v>1</v>
      </c>
      <c r="O221">
        <v>14</v>
      </c>
      <c r="P221">
        <v>15</v>
      </c>
    </row>
    <row r="222" spans="1:16">
      <c r="A222">
        <v>831</v>
      </c>
      <c r="B222" s="1">
        <v>40581</v>
      </c>
      <c r="C222">
        <v>1</v>
      </c>
      <c r="D222">
        <v>0</v>
      </c>
      <c r="E222">
        <v>2</v>
      </c>
      <c r="F222">
        <v>1</v>
      </c>
      <c r="G222" t="b">
        <v>0</v>
      </c>
      <c r="H222">
        <v>1</v>
      </c>
      <c r="I222">
        <v>1</v>
      </c>
      <c r="J222">
        <v>0.22</v>
      </c>
      <c r="K222">
        <v>0.2727</v>
      </c>
      <c r="L222">
        <v>0.75</v>
      </c>
      <c r="M222">
        <v>0</v>
      </c>
      <c r="N222">
        <v>1</v>
      </c>
      <c r="O222">
        <v>4</v>
      </c>
      <c r="P222">
        <v>5</v>
      </c>
    </row>
    <row r="223" spans="1:16">
      <c r="A223">
        <v>832</v>
      </c>
      <c r="B223" s="1">
        <v>40581</v>
      </c>
      <c r="C223">
        <v>1</v>
      </c>
      <c r="D223">
        <v>0</v>
      </c>
      <c r="E223">
        <v>2</v>
      </c>
      <c r="F223">
        <v>2</v>
      </c>
      <c r="G223" t="b">
        <v>0</v>
      </c>
      <c r="H223">
        <v>1</v>
      </c>
      <c r="I223">
        <v>1</v>
      </c>
      <c r="J223">
        <v>0.2</v>
      </c>
      <c r="K223">
        <v>0.2576</v>
      </c>
      <c r="L223">
        <v>0.8</v>
      </c>
      <c r="M223">
        <v>0</v>
      </c>
      <c r="N223">
        <v>0</v>
      </c>
      <c r="O223">
        <v>3</v>
      </c>
      <c r="P223">
        <v>3</v>
      </c>
    </row>
    <row r="224" spans="1:16">
      <c r="A224">
        <v>833</v>
      </c>
      <c r="B224" s="1">
        <v>40581</v>
      </c>
      <c r="C224">
        <v>1</v>
      </c>
      <c r="D224">
        <v>0</v>
      </c>
      <c r="E224">
        <v>2</v>
      </c>
      <c r="F224">
        <v>3</v>
      </c>
      <c r="G224" t="b">
        <v>0</v>
      </c>
      <c r="H224">
        <v>1</v>
      </c>
      <c r="I224">
        <v>1</v>
      </c>
      <c r="J224">
        <v>0.2</v>
      </c>
      <c r="K224">
        <v>0.2576</v>
      </c>
      <c r="L224">
        <v>0.86</v>
      </c>
      <c r="M224">
        <v>0</v>
      </c>
      <c r="N224">
        <v>0</v>
      </c>
      <c r="O224">
        <v>1</v>
      </c>
      <c r="P224">
        <v>1</v>
      </c>
    </row>
    <row r="225" spans="1:16">
      <c r="A225">
        <v>834</v>
      </c>
      <c r="B225" s="1">
        <v>40581</v>
      </c>
      <c r="C225">
        <v>1</v>
      </c>
      <c r="D225">
        <v>0</v>
      </c>
      <c r="E225">
        <v>2</v>
      </c>
      <c r="F225">
        <v>4</v>
      </c>
      <c r="G225" t="b">
        <v>0</v>
      </c>
      <c r="H225">
        <v>1</v>
      </c>
      <c r="I225">
        <v>1</v>
      </c>
      <c r="J225">
        <v>0.2</v>
      </c>
      <c r="K225">
        <v>0.2576</v>
      </c>
      <c r="L225">
        <v>0.86</v>
      </c>
      <c r="M225">
        <v>0</v>
      </c>
      <c r="N225">
        <v>1</v>
      </c>
      <c r="O225">
        <v>1</v>
      </c>
      <c r="P225">
        <v>2</v>
      </c>
    </row>
    <row r="226" spans="1:16">
      <c r="A226">
        <v>835</v>
      </c>
      <c r="B226" s="1">
        <v>40581</v>
      </c>
      <c r="C226">
        <v>1</v>
      </c>
      <c r="D226">
        <v>0</v>
      </c>
      <c r="E226">
        <v>2</v>
      </c>
      <c r="F226">
        <v>5</v>
      </c>
      <c r="G226" t="b">
        <v>0</v>
      </c>
      <c r="H226">
        <v>1</v>
      </c>
      <c r="I226">
        <v>1</v>
      </c>
      <c r="J226">
        <v>0.2</v>
      </c>
      <c r="K226">
        <v>0.2576</v>
      </c>
      <c r="L226">
        <v>0.86</v>
      </c>
      <c r="M226">
        <v>0</v>
      </c>
      <c r="N226">
        <v>1</v>
      </c>
      <c r="O226">
        <v>9</v>
      </c>
      <c r="P226">
        <v>10</v>
      </c>
    </row>
    <row r="227" spans="1:16">
      <c r="A227">
        <v>836</v>
      </c>
      <c r="B227" s="1">
        <v>40581</v>
      </c>
      <c r="C227">
        <v>1</v>
      </c>
      <c r="D227">
        <v>0</v>
      </c>
      <c r="E227">
        <v>2</v>
      </c>
      <c r="F227">
        <v>6</v>
      </c>
      <c r="G227" t="b">
        <v>0</v>
      </c>
      <c r="H227">
        <v>1</v>
      </c>
      <c r="I227">
        <v>1</v>
      </c>
      <c r="J227">
        <v>0.18</v>
      </c>
      <c r="K227">
        <v>0.2424</v>
      </c>
      <c r="L227">
        <v>0.93</v>
      </c>
      <c r="M227">
        <v>0</v>
      </c>
      <c r="N227">
        <v>1</v>
      </c>
      <c r="O227">
        <v>29</v>
      </c>
      <c r="P227">
        <v>30</v>
      </c>
    </row>
    <row r="228" spans="1:16">
      <c r="A228">
        <v>837</v>
      </c>
      <c r="B228" s="1">
        <v>40581</v>
      </c>
      <c r="C228">
        <v>1</v>
      </c>
      <c r="D228">
        <v>0</v>
      </c>
      <c r="E228">
        <v>2</v>
      </c>
      <c r="F228">
        <v>7</v>
      </c>
      <c r="G228" t="b">
        <v>0</v>
      </c>
      <c r="H228">
        <v>1</v>
      </c>
      <c r="I228">
        <v>1</v>
      </c>
      <c r="J228">
        <v>0.18</v>
      </c>
      <c r="K228">
        <v>0.2424</v>
      </c>
      <c r="L228">
        <v>0.86</v>
      </c>
      <c r="M228">
        <v>0</v>
      </c>
      <c r="N228">
        <v>6</v>
      </c>
      <c r="O228">
        <v>89</v>
      </c>
      <c r="P228">
        <v>95</v>
      </c>
    </row>
    <row r="229" spans="1:16">
      <c r="A229">
        <v>838</v>
      </c>
      <c r="B229" s="1">
        <v>40581</v>
      </c>
      <c r="C229">
        <v>1</v>
      </c>
      <c r="D229">
        <v>0</v>
      </c>
      <c r="E229">
        <v>2</v>
      </c>
      <c r="F229">
        <v>8</v>
      </c>
      <c r="G229" t="b">
        <v>0</v>
      </c>
      <c r="H229">
        <v>1</v>
      </c>
      <c r="I229">
        <v>2</v>
      </c>
      <c r="J229">
        <v>0.16</v>
      </c>
      <c r="K229">
        <v>0.2273</v>
      </c>
      <c r="L229">
        <v>1</v>
      </c>
      <c r="M229">
        <v>0</v>
      </c>
      <c r="N229">
        <v>7</v>
      </c>
      <c r="O229">
        <v>223</v>
      </c>
      <c r="P229">
        <v>230</v>
      </c>
    </row>
    <row r="230" spans="1:16">
      <c r="A230">
        <v>839</v>
      </c>
      <c r="B230" s="1">
        <v>40581</v>
      </c>
      <c r="C230">
        <v>1</v>
      </c>
      <c r="D230">
        <v>0</v>
      </c>
      <c r="E230">
        <v>2</v>
      </c>
      <c r="F230">
        <v>9</v>
      </c>
      <c r="G230" t="b">
        <v>0</v>
      </c>
      <c r="H230">
        <v>1</v>
      </c>
      <c r="I230">
        <v>1</v>
      </c>
      <c r="J230">
        <v>0.22</v>
      </c>
      <c r="K230">
        <v>0.2727</v>
      </c>
      <c r="L230">
        <v>0.8</v>
      </c>
      <c r="M230">
        <v>0</v>
      </c>
      <c r="N230">
        <v>3</v>
      </c>
      <c r="O230">
        <v>115</v>
      </c>
      <c r="P230">
        <v>118</v>
      </c>
    </row>
    <row r="231" spans="1:16">
      <c r="A231">
        <v>840</v>
      </c>
      <c r="B231" s="1">
        <v>40581</v>
      </c>
      <c r="C231">
        <v>1</v>
      </c>
      <c r="D231">
        <v>0</v>
      </c>
      <c r="E231">
        <v>2</v>
      </c>
      <c r="F231">
        <v>10</v>
      </c>
      <c r="G231" t="b">
        <v>0</v>
      </c>
      <c r="H231">
        <v>1</v>
      </c>
      <c r="I231">
        <v>1</v>
      </c>
      <c r="J231">
        <v>0.24</v>
      </c>
      <c r="K231">
        <v>0.2576</v>
      </c>
      <c r="L231">
        <v>0.75</v>
      </c>
      <c r="M231">
        <v>0.1045</v>
      </c>
      <c r="N231">
        <v>6</v>
      </c>
      <c r="O231">
        <v>49</v>
      </c>
      <c r="P231">
        <v>55</v>
      </c>
    </row>
    <row r="232" spans="1:16">
      <c r="A232">
        <v>841</v>
      </c>
      <c r="B232" s="1">
        <v>40581</v>
      </c>
      <c r="C232">
        <v>1</v>
      </c>
      <c r="D232">
        <v>0</v>
      </c>
      <c r="E232">
        <v>2</v>
      </c>
      <c r="F232">
        <v>11</v>
      </c>
      <c r="G232" t="b">
        <v>0</v>
      </c>
      <c r="H232">
        <v>1</v>
      </c>
      <c r="I232">
        <v>1</v>
      </c>
      <c r="J232">
        <v>0.3</v>
      </c>
      <c r="K232">
        <v>0.31819999999999998</v>
      </c>
      <c r="L232">
        <v>0.65</v>
      </c>
      <c r="M232">
        <v>8.9599999999999999E-2</v>
      </c>
      <c r="N232">
        <v>11</v>
      </c>
      <c r="O232">
        <v>36</v>
      </c>
      <c r="P232">
        <v>47</v>
      </c>
    </row>
    <row r="233" spans="1:16">
      <c r="A233">
        <v>842</v>
      </c>
      <c r="B233" s="1">
        <v>40581</v>
      </c>
      <c r="C233">
        <v>1</v>
      </c>
      <c r="D233">
        <v>0</v>
      </c>
      <c r="E233">
        <v>2</v>
      </c>
      <c r="F233">
        <v>12</v>
      </c>
      <c r="G233" t="b">
        <v>0</v>
      </c>
      <c r="H233">
        <v>1</v>
      </c>
      <c r="I233">
        <v>2</v>
      </c>
      <c r="J233">
        <v>0.32</v>
      </c>
      <c r="K233">
        <v>0.34849999999999998</v>
      </c>
      <c r="L233">
        <v>0.62</v>
      </c>
      <c r="M233">
        <v>0</v>
      </c>
      <c r="N233">
        <v>7</v>
      </c>
      <c r="O233">
        <v>59</v>
      </c>
      <c r="P233">
        <v>66</v>
      </c>
    </row>
    <row r="234" spans="1:16">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c r="A235">
        <v>844</v>
      </c>
      <c r="B235" s="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c r="A236">
        <v>845</v>
      </c>
      <c r="B236" s="1">
        <v>40581</v>
      </c>
      <c r="C236">
        <v>1</v>
      </c>
      <c r="D236">
        <v>0</v>
      </c>
      <c r="E236">
        <v>2</v>
      </c>
      <c r="F236">
        <v>15</v>
      </c>
      <c r="G236" t="b">
        <v>0</v>
      </c>
      <c r="H236">
        <v>1</v>
      </c>
      <c r="I236">
        <v>2</v>
      </c>
      <c r="J236">
        <v>0.38</v>
      </c>
      <c r="K236">
        <v>0.39389999999999997</v>
      </c>
      <c r="L236">
        <v>0.54</v>
      </c>
      <c r="M236">
        <v>8.9599999999999999E-2</v>
      </c>
      <c r="N236">
        <v>4</v>
      </c>
      <c r="O236">
        <v>46</v>
      </c>
      <c r="P236">
        <v>50</v>
      </c>
    </row>
    <row r="237" spans="1:16">
      <c r="A237">
        <v>846</v>
      </c>
      <c r="B237" s="1">
        <v>40581</v>
      </c>
      <c r="C237">
        <v>1</v>
      </c>
      <c r="D237">
        <v>0</v>
      </c>
      <c r="E237">
        <v>2</v>
      </c>
      <c r="F237">
        <v>16</v>
      </c>
      <c r="G237" t="b">
        <v>0</v>
      </c>
      <c r="H237">
        <v>1</v>
      </c>
      <c r="I237">
        <v>2</v>
      </c>
      <c r="J237">
        <v>0.36</v>
      </c>
      <c r="K237">
        <v>0.34849999999999998</v>
      </c>
      <c r="L237">
        <v>0.56999999999999995</v>
      </c>
      <c r="M237">
        <v>0.1343</v>
      </c>
      <c r="N237">
        <v>16</v>
      </c>
      <c r="O237">
        <v>98</v>
      </c>
      <c r="P237">
        <v>114</v>
      </c>
    </row>
    <row r="238" spans="1:16">
      <c r="A238">
        <v>847</v>
      </c>
      <c r="B238" s="1">
        <v>40581</v>
      </c>
      <c r="C238">
        <v>1</v>
      </c>
      <c r="D238">
        <v>0</v>
      </c>
      <c r="E238">
        <v>2</v>
      </c>
      <c r="F238">
        <v>17</v>
      </c>
      <c r="G238" t="b">
        <v>0</v>
      </c>
      <c r="H238">
        <v>1</v>
      </c>
      <c r="I238">
        <v>2</v>
      </c>
      <c r="J238">
        <v>0.32</v>
      </c>
      <c r="K238">
        <v>0.31819999999999998</v>
      </c>
      <c r="L238">
        <v>0.7</v>
      </c>
      <c r="M238">
        <v>0.16420000000000001</v>
      </c>
      <c r="N238">
        <v>9</v>
      </c>
      <c r="O238">
        <v>207</v>
      </c>
      <c r="P238">
        <v>216</v>
      </c>
    </row>
    <row r="239" spans="1:16">
      <c r="A239">
        <v>848</v>
      </c>
      <c r="B239" s="1">
        <v>40581</v>
      </c>
      <c r="C239">
        <v>1</v>
      </c>
      <c r="D239">
        <v>0</v>
      </c>
      <c r="E239">
        <v>2</v>
      </c>
      <c r="F239">
        <v>18</v>
      </c>
      <c r="G239" t="b">
        <v>0</v>
      </c>
      <c r="H239">
        <v>1</v>
      </c>
      <c r="I239">
        <v>2</v>
      </c>
      <c r="J239">
        <v>0.34</v>
      </c>
      <c r="K239">
        <v>0.33329999999999999</v>
      </c>
      <c r="L239">
        <v>0.66</v>
      </c>
      <c r="M239">
        <v>0.1343</v>
      </c>
      <c r="N239">
        <v>5</v>
      </c>
      <c r="O239">
        <v>170</v>
      </c>
      <c r="P239">
        <v>175</v>
      </c>
    </row>
    <row r="240" spans="1:16">
      <c r="A240">
        <v>849</v>
      </c>
      <c r="B240" s="1">
        <v>40581</v>
      </c>
      <c r="C240">
        <v>1</v>
      </c>
      <c r="D240">
        <v>0</v>
      </c>
      <c r="E240">
        <v>2</v>
      </c>
      <c r="F240">
        <v>19</v>
      </c>
      <c r="G240" t="b">
        <v>0</v>
      </c>
      <c r="H240">
        <v>1</v>
      </c>
      <c r="I240">
        <v>2</v>
      </c>
      <c r="J240">
        <v>0.32</v>
      </c>
      <c r="K240">
        <v>0.34849999999999998</v>
      </c>
      <c r="L240">
        <v>0.7</v>
      </c>
      <c r="M240">
        <v>0</v>
      </c>
      <c r="N240">
        <v>5</v>
      </c>
      <c r="O240">
        <v>123</v>
      </c>
      <c r="P240">
        <v>128</v>
      </c>
    </row>
    <row r="241" spans="1:16">
      <c r="A241">
        <v>850</v>
      </c>
      <c r="B241" s="1">
        <v>40581</v>
      </c>
      <c r="C241">
        <v>1</v>
      </c>
      <c r="D241">
        <v>0</v>
      </c>
      <c r="E241">
        <v>2</v>
      </c>
      <c r="F241">
        <v>20</v>
      </c>
      <c r="G241" t="b">
        <v>0</v>
      </c>
      <c r="H241">
        <v>1</v>
      </c>
      <c r="I241">
        <v>2</v>
      </c>
      <c r="J241">
        <v>0.32</v>
      </c>
      <c r="K241">
        <v>0.33329999999999999</v>
      </c>
      <c r="L241">
        <v>0.7</v>
      </c>
      <c r="M241">
        <v>0.1045</v>
      </c>
      <c r="N241">
        <v>6</v>
      </c>
      <c r="O241">
        <v>82</v>
      </c>
      <c r="P241">
        <v>88</v>
      </c>
    </row>
    <row r="242" spans="1:16">
      <c r="A242">
        <v>851</v>
      </c>
      <c r="B242" s="1">
        <v>40581</v>
      </c>
      <c r="C242">
        <v>1</v>
      </c>
      <c r="D242">
        <v>0</v>
      </c>
      <c r="E242">
        <v>2</v>
      </c>
      <c r="F242">
        <v>21</v>
      </c>
      <c r="G242" t="b">
        <v>0</v>
      </c>
      <c r="H242">
        <v>1</v>
      </c>
      <c r="I242">
        <v>1</v>
      </c>
      <c r="J242">
        <v>0.32</v>
      </c>
      <c r="K242">
        <v>0.34849999999999998</v>
      </c>
      <c r="L242">
        <v>0.7</v>
      </c>
      <c r="M242">
        <v>0</v>
      </c>
      <c r="N242">
        <v>3</v>
      </c>
      <c r="O242">
        <v>75</v>
      </c>
      <c r="P242">
        <v>78</v>
      </c>
    </row>
    <row r="243" spans="1:16">
      <c r="A243">
        <v>852</v>
      </c>
      <c r="B243" s="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c r="A244">
        <v>853</v>
      </c>
      <c r="B244" s="1">
        <v>40581</v>
      </c>
      <c r="C244">
        <v>1</v>
      </c>
      <c r="D244">
        <v>0</v>
      </c>
      <c r="E244">
        <v>2</v>
      </c>
      <c r="F244">
        <v>23</v>
      </c>
      <c r="G244" t="b">
        <v>0</v>
      </c>
      <c r="H244">
        <v>1</v>
      </c>
      <c r="I244">
        <v>2</v>
      </c>
      <c r="J244">
        <v>0.3</v>
      </c>
      <c r="K244">
        <v>0.33329999999999999</v>
      </c>
      <c r="L244">
        <v>0.81</v>
      </c>
      <c r="M244">
        <v>0</v>
      </c>
      <c r="N244">
        <v>6</v>
      </c>
      <c r="O244">
        <v>19</v>
      </c>
      <c r="P244">
        <v>25</v>
      </c>
    </row>
    <row r="245" spans="1:16">
      <c r="A245">
        <v>854</v>
      </c>
      <c r="B245" s="1">
        <v>40582</v>
      </c>
      <c r="C245">
        <v>1</v>
      </c>
      <c r="D245">
        <v>0</v>
      </c>
      <c r="E245">
        <v>2</v>
      </c>
      <c r="F245">
        <v>0</v>
      </c>
      <c r="G245" t="b">
        <v>0</v>
      </c>
      <c r="H245">
        <v>2</v>
      </c>
      <c r="I245">
        <v>2</v>
      </c>
      <c r="J245">
        <v>0.28000000000000003</v>
      </c>
      <c r="K245">
        <v>0.31819999999999998</v>
      </c>
      <c r="L245">
        <v>0.87</v>
      </c>
      <c r="M245">
        <v>0</v>
      </c>
      <c r="N245">
        <v>4</v>
      </c>
      <c r="O245">
        <v>6</v>
      </c>
      <c r="P245">
        <v>10</v>
      </c>
    </row>
    <row r="246" spans="1:16">
      <c r="A246">
        <v>855</v>
      </c>
      <c r="B246" s="1">
        <v>40582</v>
      </c>
      <c r="C246">
        <v>1</v>
      </c>
      <c r="D246">
        <v>0</v>
      </c>
      <c r="E246">
        <v>2</v>
      </c>
      <c r="F246">
        <v>1</v>
      </c>
      <c r="G246" t="b">
        <v>0</v>
      </c>
      <c r="H246">
        <v>2</v>
      </c>
      <c r="I246">
        <v>2</v>
      </c>
      <c r="J246">
        <v>0.28000000000000003</v>
      </c>
      <c r="K246">
        <v>0.31819999999999998</v>
      </c>
      <c r="L246">
        <v>0.87</v>
      </c>
      <c r="M246">
        <v>0</v>
      </c>
      <c r="N246">
        <v>0</v>
      </c>
      <c r="O246">
        <v>4</v>
      </c>
      <c r="P246">
        <v>4</v>
      </c>
    </row>
    <row r="247" spans="1:16">
      <c r="A247">
        <v>856</v>
      </c>
      <c r="B247" s="1">
        <v>40582</v>
      </c>
      <c r="C247">
        <v>1</v>
      </c>
      <c r="D247">
        <v>0</v>
      </c>
      <c r="E247">
        <v>2</v>
      </c>
      <c r="F247">
        <v>2</v>
      </c>
      <c r="G247" t="b">
        <v>0</v>
      </c>
      <c r="H247">
        <v>2</v>
      </c>
      <c r="I247">
        <v>2</v>
      </c>
      <c r="J247">
        <v>0.26</v>
      </c>
      <c r="K247">
        <v>0.2727</v>
      </c>
      <c r="L247">
        <v>0.93</v>
      </c>
      <c r="M247">
        <v>0.1045</v>
      </c>
      <c r="N247">
        <v>1</v>
      </c>
      <c r="O247">
        <v>1</v>
      </c>
      <c r="P247">
        <v>2</v>
      </c>
    </row>
    <row r="248" spans="1:16">
      <c r="A248">
        <v>857</v>
      </c>
      <c r="B248" s="1">
        <v>40582</v>
      </c>
      <c r="C248">
        <v>1</v>
      </c>
      <c r="D248">
        <v>0</v>
      </c>
      <c r="E248">
        <v>2</v>
      </c>
      <c r="F248">
        <v>3</v>
      </c>
      <c r="G248" t="b">
        <v>0</v>
      </c>
      <c r="H248">
        <v>2</v>
      </c>
      <c r="I248">
        <v>3</v>
      </c>
      <c r="J248">
        <v>0.28000000000000003</v>
      </c>
      <c r="K248">
        <v>0.2727</v>
      </c>
      <c r="L248">
        <v>0.93</v>
      </c>
      <c r="M248">
        <v>0.16420000000000001</v>
      </c>
      <c r="N248">
        <v>0</v>
      </c>
      <c r="O248">
        <v>1</v>
      </c>
      <c r="P248">
        <v>1</v>
      </c>
    </row>
    <row r="249" spans="1:16">
      <c r="A249">
        <v>858</v>
      </c>
      <c r="B249" s="1">
        <v>40582</v>
      </c>
      <c r="C249">
        <v>1</v>
      </c>
      <c r="D249">
        <v>0</v>
      </c>
      <c r="E249">
        <v>2</v>
      </c>
      <c r="F249">
        <v>4</v>
      </c>
      <c r="G249" t="b">
        <v>0</v>
      </c>
      <c r="H249">
        <v>2</v>
      </c>
      <c r="I249">
        <v>1</v>
      </c>
      <c r="J249">
        <v>0.26</v>
      </c>
      <c r="K249">
        <v>0.2576</v>
      </c>
      <c r="L249">
        <v>0.93</v>
      </c>
      <c r="M249">
        <v>0.16420000000000001</v>
      </c>
      <c r="N249">
        <v>0</v>
      </c>
      <c r="O249">
        <v>3</v>
      </c>
      <c r="P249">
        <v>3</v>
      </c>
    </row>
    <row r="250" spans="1:16">
      <c r="A250">
        <v>859</v>
      </c>
      <c r="B250" s="1">
        <v>40582</v>
      </c>
      <c r="C250">
        <v>1</v>
      </c>
      <c r="D250">
        <v>0</v>
      </c>
      <c r="E250">
        <v>2</v>
      </c>
      <c r="F250">
        <v>5</v>
      </c>
      <c r="G250" t="b">
        <v>0</v>
      </c>
      <c r="H250">
        <v>2</v>
      </c>
      <c r="I250">
        <v>1</v>
      </c>
      <c r="J250">
        <v>0.26</v>
      </c>
      <c r="K250">
        <v>0.2273</v>
      </c>
      <c r="L250">
        <v>0.81</v>
      </c>
      <c r="M250">
        <v>0.32840000000000003</v>
      </c>
      <c r="N250">
        <v>0</v>
      </c>
      <c r="O250">
        <v>2</v>
      </c>
      <c r="P250">
        <v>2</v>
      </c>
    </row>
    <row r="251" spans="1:16">
      <c r="A251">
        <v>860</v>
      </c>
      <c r="B251" s="1">
        <v>40582</v>
      </c>
      <c r="C251">
        <v>1</v>
      </c>
      <c r="D251">
        <v>0</v>
      </c>
      <c r="E251">
        <v>2</v>
      </c>
      <c r="F251">
        <v>6</v>
      </c>
      <c r="G251" t="b">
        <v>0</v>
      </c>
      <c r="H251">
        <v>2</v>
      </c>
      <c r="I251">
        <v>1</v>
      </c>
      <c r="J251">
        <v>0.26</v>
      </c>
      <c r="K251">
        <v>0.2273</v>
      </c>
      <c r="L251">
        <v>0.7</v>
      </c>
      <c r="M251">
        <v>0.32840000000000003</v>
      </c>
      <c r="N251">
        <v>0</v>
      </c>
      <c r="O251">
        <v>39</v>
      </c>
      <c r="P251">
        <v>39</v>
      </c>
    </row>
    <row r="252" spans="1:16">
      <c r="A252">
        <v>861</v>
      </c>
      <c r="B252" s="1">
        <v>40582</v>
      </c>
      <c r="C252">
        <v>1</v>
      </c>
      <c r="D252">
        <v>0</v>
      </c>
      <c r="E252">
        <v>2</v>
      </c>
      <c r="F252">
        <v>7</v>
      </c>
      <c r="G252" t="b">
        <v>0</v>
      </c>
      <c r="H252">
        <v>2</v>
      </c>
      <c r="I252">
        <v>1</v>
      </c>
      <c r="J252">
        <v>0.24</v>
      </c>
      <c r="K252">
        <v>0.19700000000000001</v>
      </c>
      <c r="L252">
        <v>0.65</v>
      </c>
      <c r="M252">
        <v>0.41789999999999999</v>
      </c>
      <c r="N252">
        <v>3</v>
      </c>
      <c r="O252">
        <v>97</v>
      </c>
      <c r="P252">
        <v>100</v>
      </c>
    </row>
    <row r="253" spans="1:16">
      <c r="A253">
        <v>862</v>
      </c>
      <c r="B253" s="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c r="A254">
        <v>863</v>
      </c>
      <c r="B254" s="1">
        <v>40582</v>
      </c>
      <c r="C254">
        <v>1</v>
      </c>
      <c r="D254">
        <v>0</v>
      </c>
      <c r="E254">
        <v>2</v>
      </c>
      <c r="F254">
        <v>9</v>
      </c>
      <c r="G254" t="b">
        <v>0</v>
      </c>
      <c r="H254">
        <v>2</v>
      </c>
      <c r="I254">
        <v>1</v>
      </c>
      <c r="J254">
        <v>0.24</v>
      </c>
      <c r="K254">
        <v>0.19700000000000001</v>
      </c>
      <c r="L254">
        <v>0.52</v>
      </c>
      <c r="M254">
        <v>0.49249999999999999</v>
      </c>
      <c r="N254">
        <v>7</v>
      </c>
      <c r="O254">
        <v>128</v>
      </c>
      <c r="P254">
        <v>135</v>
      </c>
    </row>
    <row r="255" spans="1:16">
      <c r="A255">
        <v>864</v>
      </c>
      <c r="B255" s="1">
        <v>40582</v>
      </c>
      <c r="C255">
        <v>1</v>
      </c>
      <c r="D255">
        <v>0</v>
      </c>
      <c r="E255">
        <v>2</v>
      </c>
      <c r="F255">
        <v>10</v>
      </c>
      <c r="G255" t="b">
        <v>0</v>
      </c>
      <c r="H255">
        <v>2</v>
      </c>
      <c r="I255">
        <v>1</v>
      </c>
      <c r="J255">
        <v>0.22</v>
      </c>
      <c r="K255">
        <v>0.18179999999999999</v>
      </c>
      <c r="L255">
        <v>0.47</v>
      </c>
      <c r="M255">
        <v>0.55220000000000002</v>
      </c>
      <c r="N255">
        <v>4</v>
      </c>
      <c r="O255">
        <v>44</v>
      </c>
      <c r="P255">
        <v>48</v>
      </c>
    </row>
    <row r="256" spans="1:16">
      <c r="A256">
        <v>865</v>
      </c>
      <c r="B256" s="1">
        <v>40582</v>
      </c>
      <c r="C256">
        <v>1</v>
      </c>
      <c r="D256">
        <v>0</v>
      </c>
      <c r="E256">
        <v>2</v>
      </c>
      <c r="F256">
        <v>11</v>
      </c>
      <c r="G256" t="b">
        <v>0</v>
      </c>
      <c r="H256">
        <v>2</v>
      </c>
      <c r="I256">
        <v>1</v>
      </c>
      <c r="J256">
        <v>0.22</v>
      </c>
      <c r="K256">
        <v>0.18179999999999999</v>
      </c>
      <c r="L256">
        <v>0.47</v>
      </c>
      <c r="M256">
        <v>0.4627</v>
      </c>
      <c r="N256">
        <v>1</v>
      </c>
      <c r="O256">
        <v>49</v>
      </c>
      <c r="P256">
        <v>50</v>
      </c>
    </row>
    <row r="257" spans="1:16">
      <c r="A257">
        <v>866</v>
      </c>
      <c r="B257" s="1">
        <v>40582</v>
      </c>
      <c r="C257">
        <v>1</v>
      </c>
      <c r="D257">
        <v>0</v>
      </c>
      <c r="E257">
        <v>2</v>
      </c>
      <c r="F257">
        <v>12</v>
      </c>
      <c r="G257" t="b">
        <v>0</v>
      </c>
      <c r="H257">
        <v>2</v>
      </c>
      <c r="I257">
        <v>1</v>
      </c>
      <c r="J257">
        <v>0.24</v>
      </c>
      <c r="K257">
        <v>0.19700000000000001</v>
      </c>
      <c r="L257">
        <v>0.38</v>
      </c>
      <c r="M257">
        <v>0.49249999999999999</v>
      </c>
      <c r="N257">
        <v>2</v>
      </c>
      <c r="O257">
        <v>63</v>
      </c>
      <c r="P257">
        <v>65</v>
      </c>
    </row>
    <row r="258" spans="1:16">
      <c r="A258">
        <v>867</v>
      </c>
      <c r="B258" s="1">
        <v>40582</v>
      </c>
      <c r="C258">
        <v>1</v>
      </c>
      <c r="D258">
        <v>0</v>
      </c>
      <c r="E258">
        <v>2</v>
      </c>
      <c r="F258">
        <v>13</v>
      </c>
      <c r="G258" t="b">
        <v>0</v>
      </c>
      <c r="H258">
        <v>2</v>
      </c>
      <c r="I258">
        <v>2</v>
      </c>
      <c r="J258">
        <v>0.24</v>
      </c>
      <c r="K258">
        <v>0.19700000000000001</v>
      </c>
      <c r="L258">
        <v>0.32</v>
      </c>
      <c r="M258">
        <v>0.44779999999999998</v>
      </c>
      <c r="N258">
        <v>2</v>
      </c>
      <c r="O258">
        <v>48</v>
      </c>
      <c r="P258">
        <v>50</v>
      </c>
    </row>
    <row r="259" spans="1:16">
      <c r="A259">
        <v>868</v>
      </c>
      <c r="B259" s="1">
        <v>40582</v>
      </c>
      <c r="C259">
        <v>1</v>
      </c>
      <c r="D259">
        <v>0</v>
      </c>
      <c r="E259">
        <v>2</v>
      </c>
      <c r="F259">
        <v>14</v>
      </c>
      <c r="G259" t="b">
        <v>0</v>
      </c>
      <c r="H259">
        <v>2</v>
      </c>
      <c r="I259">
        <v>1</v>
      </c>
      <c r="J259">
        <v>0.22</v>
      </c>
      <c r="K259">
        <v>0.19700000000000001</v>
      </c>
      <c r="L259">
        <v>0.37</v>
      </c>
      <c r="M259">
        <v>0.41789999999999999</v>
      </c>
      <c r="N259">
        <v>3</v>
      </c>
      <c r="O259">
        <v>61</v>
      </c>
      <c r="P259">
        <v>64</v>
      </c>
    </row>
    <row r="260" spans="1:16">
      <c r="A260">
        <v>869</v>
      </c>
      <c r="B260" s="1">
        <v>40582</v>
      </c>
      <c r="C260">
        <v>1</v>
      </c>
      <c r="D260">
        <v>0</v>
      </c>
      <c r="E260">
        <v>2</v>
      </c>
      <c r="F260">
        <v>15</v>
      </c>
      <c r="G260" t="b">
        <v>0</v>
      </c>
      <c r="H260">
        <v>2</v>
      </c>
      <c r="I260">
        <v>1</v>
      </c>
      <c r="J260">
        <v>0.22</v>
      </c>
      <c r="K260">
        <v>0.19700000000000001</v>
      </c>
      <c r="L260">
        <v>0.35</v>
      </c>
      <c r="M260">
        <v>0.3881</v>
      </c>
      <c r="N260">
        <v>6</v>
      </c>
      <c r="O260">
        <v>45</v>
      </c>
      <c r="P260">
        <v>51</v>
      </c>
    </row>
    <row r="261" spans="1:16">
      <c r="A261">
        <v>870</v>
      </c>
      <c r="B261" s="1">
        <v>40582</v>
      </c>
      <c r="C261">
        <v>1</v>
      </c>
      <c r="D261">
        <v>0</v>
      </c>
      <c r="E261">
        <v>2</v>
      </c>
      <c r="F261">
        <v>16</v>
      </c>
      <c r="G261" t="b">
        <v>0</v>
      </c>
      <c r="H261">
        <v>2</v>
      </c>
      <c r="I261">
        <v>1</v>
      </c>
      <c r="J261">
        <v>0.22</v>
      </c>
      <c r="K261">
        <v>0.18179999999999999</v>
      </c>
      <c r="L261">
        <v>0.35</v>
      </c>
      <c r="M261">
        <v>0.52239999999999998</v>
      </c>
      <c r="N261">
        <v>4</v>
      </c>
      <c r="O261">
        <v>79</v>
      </c>
      <c r="P261">
        <v>83</v>
      </c>
    </row>
    <row r="262" spans="1:16">
      <c r="A262">
        <v>871</v>
      </c>
      <c r="B262" s="1">
        <v>40582</v>
      </c>
      <c r="C262">
        <v>1</v>
      </c>
      <c r="D262">
        <v>0</v>
      </c>
      <c r="E262">
        <v>2</v>
      </c>
      <c r="F262">
        <v>17</v>
      </c>
      <c r="G262" t="b">
        <v>0</v>
      </c>
      <c r="H262">
        <v>2</v>
      </c>
      <c r="I262">
        <v>1</v>
      </c>
      <c r="J262">
        <v>0.22</v>
      </c>
      <c r="K262">
        <v>0.18179999999999999</v>
      </c>
      <c r="L262">
        <v>0.32</v>
      </c>
      <c r="M262">
        <v>0.58209999999999995</v>
      </c>
      <c r="N262">
        <v>4</v>
      </c>
      <c r="O262">
        <v>172</v>
      </c>
      <c r="P262">
        <v>176</v>
      </c>
    </row>
    <row r="263" spans="1:16">
      <c r="A263">
        <v>872</v>
      </c>
      <c r="B263" s="1">
        <v>40582</v>
      </c>
      <c r="C263">
        <v>1</v>
      </c>
      <c r="D263">
        <v>0</v>
      </c>
      <c r="E263">
        <v>2</v>
      </c>
      <c r="F263">
        <v>18</v>
      </c>
      <c r="G263" t="b">
        <v>0</v>
      </c>
      <c r="H263">
        <v>2</v>
      </c>
      <c r="I263">
        <v>1</v>
      </c>
      <c r="J263">
        <v>0.2</v>
      </c>
      <c r="K263">
        <v>0.18179999999999999</v>
      </c>
      <c r="L263">
        <v>0.32</v>
      </c>
      <c r="M263">
        <v>0.3881</v>
      </c>
      <c r="N263">
        <v>1</v>
      </c>
      <c r="O263">
        <v>151</v>
      </c>
      <c r="P263">
        <v>152</v>
      </c>
    </row>
    <row r="264" spans="1:16">
      <c r="A264">
        <v>873</v>
      </c>
      <c r="B264" s="1">
        <v>40582</v>
      </c>
      <c r="C264">
        <v>1</v>
      </c>
      <c r="D264">
        <v>0</v>
      </c>
      <c r="E264">
        <v>2</v>
      </c>
      <c r="F264">
        <v>19</v>
      </c>
      <c r="G264" t="b">
        <v>0</v>
      </c>
      <c r="H264">
        <v>2</v>
      </c>
      <c r="I264">
        <v>1</v>
      </c>
      <c r="J264">
        <v>0.16</v>
      </c>
      <c r="K264">
        <v>0.1212</v>
      </c>
      <c r="L264">
        <v>0.4</v>
      </c>
      <c r="M264">
        <v>0.4627</v>
      </c>
      <c r="N264">
        <v>1</v>
      </c>
      <c r="O264">
        <v>100</v>
      </c>
      <c r="P264">
        <v>101</v>
      </c>
    </row>
    <row r="265" spans="1:16">
      <c r="A265">
        <v>874</v>
      </c>
      <c r="B265" s="1">
        <v>40582</v>
      </c>
      <c r="C265">
        <v>1</v>
      </c>
      <c r="D265">
        <v>0</v>
      </c>
      <c r="E265">
        <v>2</v>
      </c>
      <c r="F265">
        <v>20</v>
      </c>
      <c r="G265" t="b">
        <v>0</v>
      </c>
      <c r="H265">
        <v>2</v>
      </c>
      <c r="I265">
        <v>1</v>
      </c>
      <c r="J265">
        <v>0.16</v>
      </c>
      <c r="K265">
        <v>0.13639999999999999</v>
      </c>
      <c r="L265">
        <v>0.4</v>
      </c>
      <c r="M265">
        <v>0.32840000000000003</v>
      </c>
      <c r="N265">
        <v>3</v>
      </c>
      <c r="O265">
        <v>53</v>
      </c>
      <c r="P265">
        <v>56</v>
      </c>
    </row>
    <row r="266" spans="1:16">
      <c r="A266">
        <v>875</v>
      </c>
      <c r="B266" s="1">
        <v>40582</v>
      </c>
      <c r="C266">
        <v>1</v>
      </c>
      <c r="D266">
        <v>0</v>
      </c>
      <c r="E266">
        <v>2</v>
      </c>
      <c r="F266">
        <v>21</v>
      </c>
      <c r="G266" t="b">
        <v>0</v>
      </c>
      <c r="H266">
        <v>2</v>
      </c>
      <c r="I266">
        <v>1</v>
      </c>
      <c r="J266">
        <v>0.14000000000000001</v>
      </c>
      <c r="K266">
        <v>0.1061</v>
      </c>
      <c r="L266">
        <v>0.33</v>
      </c>
      <c r="M266">
        <v>0.4627</v>
      </c>
      <c r="N266">
        <v>8</v>
      </c>
      <c r="O266">
        <v>46</v>
      </c>
      <c r="P266">
        <v>54</v>
      </c>
    </row>
    <row r="267" spans="1:16">
      <c r="A267">
        <v>876</v>
      </c>
      <c r="B267" s="1">
        <v>40582</v>
      </c>
      <c r="C267">
        <v>1</v>
      </c>
      <c r="D267">
        <v>0</v>
      </c>
      <c r="E267">
        <v>2</v>
      </c>
      <c r="F267">
        <v>22</v>
      </c>
      <c r="G267" t="b">
        <v>0</v>
      </c>
      <c r="H267">
        <v>2</v>
      </c>
      <c r="I267">
        <v>1</v>
      </c>
      <c r="J267">
        <v>0.12</v>
      </c>
      <c r="K267">
        <v>0.1061</v>
      </c>
      <c r="L267">
        <v>0.33</v>
      </c>
      <c r="M267">
        <v>0.35820000000000002</v>
      </c>
      <c r="N267">
        <v>0</v>
      </c>
      <c r="O267">
        <v>29</v>
      </c>
      <c r="P267">
        <v>29</v>
      </c>
    </row>
    <row r="268" spans="1:16">
      <c r="A268">
        <v>877</v>
      </c>
      <c r="B268" s="1">
        <v>40582</v>
      </c>
      <c r="C268">
        <v>1</v>
      </c>
      <c r="D268">
        <v>0</v>
      </c>
      <c r="E268">
        <v>2</v>
      </c>
      <c r="F268">
        <v>23</v>
      </c>
      <c r="G268" t="b">
        <v>0</v>
      </c>
      <c r="H268">
        <v>2</v>
      </c>
      <c r="I268">
        <v>1</v>
      </c>
      <c r="J268">
        <v>0.12</v>
      </c>
      <c r="K268">
        <v>0.1061</v>
      </c>
      <c r="L268">
        <v>0.33</v>
      </c>
      <c r="M268">
        <v>0.32840000000000003</v>
      </c>
      <c r="N268">
        <v>3</v>
      </c>
      <c r="O268">
        <v>9</v>
      </c>
      <c r="P268">
        <v>12</v>
      </c>
    </row>
    <row r="269" spans="1:16">
      <c r="A269">
        <v>878</v>
      </c>
      <c r="B269" s="1">
        <v>40583</v>
      </c>
      <c r="C269">
        <v>1</v>
      </c>
      <c r="D269">
        <v>0</v>
      </c>
      <c r="E269">
        <v>2</v>
      </c>
      <c r="F269">
        <v>0</v>
      </c>
      <c r="G269" t="b">
        <v>0</v>
      </c>
      <c r="H269">
        <v>3</v>
      </c>
      <c r="I269">
        <v>1</v>
      </c>
      <c r="J269">
        <v>0.1</v>
      </c>
      <c r="K269">
        <v>7.5800000000000006E-2</v>
      </c>
      <c r="L269">
        <v>0.36</v>
      </c>
      <c r="M269">
        <v>0.35820000000000002</v>
      </c>
      <c r="N269">
        <v>0</v>
      </c>
      <c r="O269">
        <v>17</v>
      </c>
      <c r="P269">
        <v>17</v>
      </c>
    </row>
    <row r="270" spans="1:16">
      <c r="A270">
        <v>879</v>
      </c>
      <c r="B270" s="1">
        <v>40583</v>
      </c>
      <c r="C270">
        <v>1</v>
      </c>
      <c r="D270">
        <v>0</v>
      </c>
      <c r="E270">
        <v>2</v>
      </c>
      <c r="F270">
        <v>1</v>
      </c>
      <c r="G270" t="b">
        <v>0</v>
      </c>
      <c r="H270">
        <v>3</v>
      </c>
      <c r="I270">
        <v>1</v>
      </c>
      <c r="J270">
        <v>0.1</v>
      </c>
      <c r="K270">
        <v>0.1061</v>
      </c>
      <c r="L270">
        <v>0.36</v>
      </c>
      <c r="M270">
        <v>0.22389999999999999</v>
      </c>
      <c r="N270">
        <v>0</v>
      </c>
      <c r="O270">
        <v>7</v>
      </c>
      <c r="P270">
        <v>7</v>
      </c>
    </row>
    <row r="271" spans="1:16">
      <c r="A271">
        <v>880</v>
      </c>
      <c r="B271" s="1">
        <v>40583</v>
      </c>
      <c r="C271">
        <v>1</v>
      </c>
      <c r="D271">
        <v>0</v>
      </c>
      <c r="E271">
        <v>2</v>
      </c>
      <c r="F271">
        <v>2</v>
      </c>
      <c r="G271" t="b">
        <v>0</v>
      </c>
      <c r="H271">
        <v>3</v>
      </c>
      <c r="I271">
        <v>1</v>
      </c>
      <c r="J271">
        <v>0.08</v>
      </c>
      <c r="K271">
        <v>7.5800000000000006E-2</v>
      </c>
      <c r="L271">
        <v>0.38</v>
      </c>
      <c r="M271">
        <v>0.28360000000000002</v>
      </c>
      <c r="N271">
        <v>1</v>
      </c>
      <c r="O271">
        <v>2</v>
      </c>
      <c r="P271">
        <v>3</v>
      </c>
    </row>
    <row r="272" spans="1:16">
      <c r="A272">
        <v>881</v>
      </c>
      <c r="B272" s="1">
        <v>40583</v>
      </c>
      <c r="C272">
        <v>1</v>
      </c>
      <c r="D272">
        <v>0</v>
      </c>
      <c r="E272">
        <v>2</v>
      </c>
      <c r="F272">
        <v>3</v>
      </c>
      <c r="G272" t="b">
        <v>0</v>
      </c>
      <c r="H272">
        <v>3</v>
      </c>
      <c r="I272">
        <v>1</v>
      </c>
      <c r="J272">
        <v>0.06</v>
      </c>
      <c r="K272">
        <v>7.5800000000000006E-2</v>
      </c>
      <c r="L272">
        <v>0.45</v>
      </c>
      <c r="M272">
        <v>0.1343</v>
      </c>
      <c r="N272">
        <v>0</v>
      </c>
      <c r="O272">
        <v>2</v>
      </c>
      <c r="P272">
        <v>2</v>
      </c>
    </row>
    <row r="273" spans="1:16">
      <c r="A273">
        <v>882</v>
      </c>
      <c r="B273" s="1">
        <v>40583</v>
      </c>
      <c r="C273">
        <v>1</v>
      </c>
      <c r="D273">
        <v>0</v>
      </c>
      <c r="E273">
        <v>2</v>
      </c>
      <c r="F273">
        <v>5</v>
      </c>
      <c r="G273" t="b">
        <v>0</v>
      </c>
      <c r="H273">
        <v>3</v>
      </c>
      <c r="I273">
        <v>1</v>
      </c>
      <c r="J273">
        <v>0.06</v>
      </c>
      <c r="K273">
        <v>0.1061</v>
      </c>
      <c r="L273">
        <v>0.45</v>
      </c>
      <c r="M273">
        <v>0.1045</v>
      </c>
      <c r="N273">
        <v>0</v>
      </c>
      <c r="O273">
        <v>7</v>
      </c>
      <c r="P273">
        <v>7</v>
      </c>
    </row>
    <row r="274" spans="1:16">
      <c r="A274">
        <v>883</v>
      </c>
      <c r="B274" s="1">
        <v>40583</v>
      </c>
      <c r="C274">
        <v>1</v>
      </c>
      <c r="D274">
        <v>0</v>
      </c>
      <c r="E274">
        <v>2</v>
      </c>
      <c r="F274">
        <v>6</v>
      </c>
      <c r="G274" t="b">
        <v>0</v>
      </c>
      <c r="H274">
        <v>3</v>
      </c>
      <c r="I274">
        <v>1</v>
      </c>
      <c r="J274">
        <v>0.06</v>
      </c>
      <c r="K274">
        <v>0.1515</v>
      </c>
      <c r="L274">
        <v>0.45</v>
      </c>
      <c r="M274">
        <v>0</v>
      </c>
      <c r="N274">
        <v>0</v>
      </c>
      <c r="O274">
        <v>43</v>
      </c>
      <c r="P274">
        <v>43</v>
      </c>
    </row>
    <row r="275" spans="1:16">
      <c r="A275">
        <v>884</v>
      </c>
      <c r="B275" s="1">
        <v>40583</v>
      </c>
      <c r="C275">
        <v>1</v>
      </c>
      <c r="D275">
        <v>0</v>
      </c>
      <c r="E275">
        <v>2</v>
      </c>
      <c r="F275">
        <v>7</v>
      </c>
      <c r="G275" t="b">
        <v>0</v>
      </c>
      <c r="H275">
        <v>3</v>
      </c>
      <c r="I275">
        <v>1</v>
      </c>
      <c r="J275">
        <v>0.06</v>
      </c>
      <c r="K275">
        <v>0.1061</v>
      </c>
      <c r="L275">
        <v>0.49</v>
      </c>
      <c r="M275">
        <v>0.1045</v>
      </c>
      <c r="N275">
        <v>4</v>
      </c>
      <c r="O275">
        <v>95</v>
      </c>
      <c r="P275">
        <v>99</v>
      </c>
    </row>
    <row r="276" spans="1:16">
      <c r="A276">
        <v>885</v>
      </c>
      <c r="B276" s="1">
        <v>40583</v>
      </c>
      <c r="C276">
        <v>1</v>
      </c>
      <c r="D276">
        <v>0</v>
      </c>
      <c r="E276">
        <v>2</v>
      </c>
      <c r="F276">
        <v>8</v>
      </c>
      <c r="G276" t="b">
        <v>0</v>
      </c>
      <c r="H276">
        <v>3</v>
      </c>
      <c r="I276">
        <v>1</v>
      </c>
      <c r="J276">
        <v>0.1</v>
      </c>
      <c r="K276">
        <v>0.13639999999999999</v>
      </c>
      <c r="L276">
        <v>0.42</v>
      </c>
      <c r="M276">
        <v>0</v>
      </c>
      <c r="N276">
        <v>1</v>
      </c>
      <c r="O276">
        <v>198</v>
      </c>
      <c r="P276">
        <v>199</v>
      </c>
    </row>
    <row r="277" spans="1:16">
      <c r="A277">
        <v>886</v>
      </c>
      <c r="B277" s="1">
        <v>40583</v>
      </c>
      <c r="C277">
        <v>1</v>
      </c>
      <c r="D277">
        <v>0</v>
      </c>
      <c r="E277">
        <v>2</v>
      </c>
      <c r="F277">
        <v>9</v>
      </c>
      <c r="G277" t="b">
        <v>0</v>
      </c>
      <c r="H277">
        <v>3</v>
      </c>
      <c r="I277">
        <v>1</v>
      </c>
      <c r="J277">
        <v>0.12</v>
      </c>
      <c r="K277">
        <v>0.13639999999999999</v>
      </c>
      <c r="L277">
        <v>0.39</v>
      </c>
      <c r="M277">
        <v>0.16420000000000001</v>
      </c>
      <c r="N277">
        <v>4</v>
      </c>
      <c r="O277">
        <v>119</v>
      </c>
      <c r="P277">
        <v>123</v>
      </c>
    </row>
    <row r="278" spans="1:16">
      <c r="A278">
        <v>887</v>
      </c>
      <c r="B278" s="1">
        <v>40583</v>
      </c>
      <c r="C278">
        <v>1</v>
      </c>
      <c r="D278">
        <v>0</v>
      </c>
      <c r="E278">
        <v>2</v>
      </c>
      <c r="F278">
        <v>10</v>
      </c>
      <c r="G278" t="b">
        <v>0</v>
      </c>
      <c r="H278">
        <v>3</v>
      </c>
      <c r="I278">
        <v>1</v>
      </c>
      <c r="J278">
        <v>0.14000000000000001</v>
      </c>
      <c r="K278">
        <v>0.18179999999999999</v>
      </c>
      <c r="L278">
        <v>0.36</v>
      </c>
      <c r="M278">
        <v>0</v>
      </c>
      <c r="N278">
        <v>8</v>
      </c>
      <c r="O278">
        <v>51</v>
      </c>
      <c r="P278">
        <v>59</v>
      </c>
    </row>
    <row r="279" spans="1:16">
      <c r="A279">
        <v>888</v>
      </c>
      <c r="B279" s="1">
        <v>40583</v>
      </c>
      <c r="C279">
        <v>1</v>
      </c>
      <c r="D279">
        <v>0</v>
      </c>
      <c r="E279">
        <v>2</v>
      </c>
      <c r="F279">
        <v>11</v>
      </c>
      <c r="G279" t="b">
        <v>0</v>
      </c>
      <c r="H279">
        <v>3</v>
      </c>
      <c r="I279">
        <v>2</v>
      </c>
      <c r="J279">
        <v>0.14000000000000001</v>
      </c>
      <c r="K279">
        <v>0.1515</v>
      </c>
      <c r="L279">
        <v>0.43</v>
      </c>
      <c r="M279">
        <v>0.16420000000000001</v>
      </c>
      <c r="N279">
        <v>1</v>
      </c>
      <c r="O279">
        <v>40</v>
      </c>
      <c r="P279">
        <v>41</v>
      </c>
    </row>
    <row r="280" spans="1:16">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c r="A281">
        <v>890</v>
      </c>
      <c r="B281" s="1">
        <v>40583</v>
      </c>
      <c r="C281">
        <v>1</v>
      </c>
      <c r="D281">
        <v>0</v>
      </c>
      <c r="E281">
        <v>2</v>
      </c>
      <c r="F281">
        <v>13</v>
      </c>
      <c r="G281" t="b">
        <v>0</v>
      </c>
      <c r="H281">
        <v>3</v>
      </c>
      <c r="I281">
        <v>1</v>
      </c>
      <c r="J281">
        <v>0.18</v>
      </c>
      <c r="K281">
        <v>0.16669999999999999</v>
      </c>
      <c r="L281">
        <v>0.4</v>
      </c>
      <c r="M281">
        <v>0.25369999999999998</v>
      </c>
      <c r="N281">
        <v>2</v>
      </c>
      <c r="O281">
        <v>67</v>
      </c>
      <c r="P281">
        <v>69</v>
      </c>
    </row>
    <row r="282" spans="1:16">
      <c r="A282">
        <v>891</v>
      </c>
      <c r="B282" s="1">
        <v>40583</v>
      </c>
      <c r="C282">
        <v>1</v>
      </c>
      <c r="D282">
        <v>0</v>
      </c>
      <c r="E282">
        <v>2</v>
      </c>
      <c r="F282">
        <v>14</v>
      </c>
      <c r="G282" t="b">
        <v>0</v>
      </c>
      <c r="H282">
        <v>3</v>
      </c>
      <c r="I282">
        <v>1</v>
      </c>
      <c r="J282">
        <v>0.2</v>
      </c>
      <c r="K282">
        <v>0.18179999999999999</v>
      </c>
      <c r="L282">
        <v>0.34</v>
      </c>
      <c r="M282">
        <v>0.29849999999999999</v>
      </c>
      <c r="N282">
        <v>2</v>
      </c>
      <c r="O282">
        <v>56</v>
      </c>
      <c r="P282">
        <v>58</v>
      </c>
    </row>
    <row r="283" spans="1:16">
      <c r="A283">
        <v>892</v>
      </c>
      <c r="B283" s="1">
        <v>40583</v>
      </c>
      <c r="C283">
        <v>1</v>
      </c>
      <c r="D283">
        <v>0</v>
      </c>
      <c r="E283">
        <v>2</v>
      </c>
      <c r="F283">
        <v>15</v>
      </c>
      <c r="G283" t="b">
        <v>0</v>
      </c>
      <c r="H283">
        <v>3</v>
      </c>
      <c r="I283">
        <v>2</v>
      </c>
      <c r="J283">
        <v>0.2</v>
      </c>
      <c r="K283">
        <v>0.18179999999999999</v>
      </c>
      <c r="L283">
        <v>0.34</v>
      </c>
      <c r="M283">
        <v>0.28360000000000002</v>
      </c>
      <c r="N283">
        <v>3</v>
      </c>
      <c r="O283">
        <v>61</v>
      </c>
      <c r="P283">
        <v>64</v>
      </c>
    </row>
    <row r="284" spans="1:16">
      <c r="A284">
        <v>893</v>
      </c>
      <c r="B284" s="1">
        <v>40583</v>
      </c>
      <c r="C284">
        <v>1</v>
      </c>
      <c r="D284">
        <v>0</v>
      </c>
      <c r="E284">
        <v>2</v>
      </c>
      <c r="F284">
        <v>16</v>
      </c>
      <c r="G284" t="b">
        <v>0</v>
      </c>
      <c r="H284">
        <v>3</v>
      </c>
      <c r="I284">
        <v>2</v>
      </c>
      <c r="J284">
        <v>0.2</v>
      </c>
      <c r="K284">
        <v>0.19700000000000001</v>
      </c>
      <c r="L284">
        <v>0.37</v>
      </c>
      <c r="M284">
        <v>0.25369999999999998</v>
      </c>
      <c r="N284">
        <v>7</v>
      </c>
      <c r="O284">
        <v>72</v>
      </c>
      <c r="P284">
        <v>79</v>
      </c>
    </row>
    <row r="285" spans="1:16">
      <c r="A285">
        <v>894</v>
      </c>
      <c r="B285" s="1">
        <v>40583</v>
      </c>
      <c r="C285">
        <v>1</v>
      </c>
      <c r="D285">
        <v>0</v>
      </c>
      <c r="E285">
        <v>2</v>
      </c>
      <c r="F285">
        <v>17</v>
      </c>
      <c r="G285" t="b">
        <v>0</v>
      </c>
      <c r="H285">
        <v>3</v>
      </c>
      <c r="I285">
        <v>2</v>
      </c>
      <c r="J285">
        <v>0.2</v>
      </c>
      <c r="K285">
        <v>0.19700000000000001</v>
      </c>
      <c r="L285">
        <v>0.34</v>
      </c>
      <c r="M285">
        <v>0.25369999999999998</v>
      </c>
      <c r="N285">
        <v>9</v>
      </c>
      <c r="O285">
        <v>157</v>
      </c>
      <c r="P285">
        <v>166</v>
      </c>
    </row>
    <row r="286" spans="1:16">
      <c r="A286">
        <v>895</v>
      </c>
      <c r="B286" s="1">
        <v>40583</v>
      </c>
      <c r="C286">
        <v>1</v>
      </c>
      <c r="D286">
        <v>0</v>
      </c>
      <c r="E286">
        <v>2</v>
      </c>
      <c r="F286">
        <v>18</v>
      </c>
      <c r="G286" t="b">
        <v>0</v>
      </c>
      <c r="H286">
        <v>3</v>
      </c>
      <c r="I286">
        <v>2</v>
      </c>
      <c r="J286">
        <v>0.18</v>
      </c>
      <c r="K286">
        <v>0.16669999999999999</v>
      </c>
      <c r="L286">
        <v>0.47</v>
      </c>
      <c r="M286">
        <v>0.29849999999999999</v>
      </c>
      <c r="N286">
        <v>2</v>
      </c>
      <c r="O286">
        <v>168</v>
      </c>
      <c r="P286">
        <v>170</v>
      </c>
    </row>
    <row r="287" spans="1:16">
      <c r="A287">
        <v>896</v>
      </c>
      <c r="B287" s="1">
        <v>40583</v>
      </c>
      <c r="C287">
        <v>1</v>
      </c>
      <c r="D287">
        <v>0</v>
      </c>
      <c r="E287">
        <v>2</v>
      </c>
      <c r="F287">
        <v>19</v>
      </c>
      <c r="G287" t="b">
        <v>0</v>
      </c>
      <c r="H287">
        <v>3</v>
      </c>
      <c r="I287">
        <v>3</v>
      </c>
      <c r="J287">
        <v>0.14000000000000001</v>
      </c>
      <c r="K287">
        <v>0.1212</v>
      </c>
      <c r="L287">
        <v>0.86</v>
      </c>
      <c r="M287">
        <v>0.25369999999999998</v>
      </c>
      <c r="N287">
        <v>1</v>
      </c>
      <c r="O287">
        <v>87</v>
      </c>
      <c r="P287">
        <v>88</v>
      </c>
    </row>
    <row r="288" spans="1:16">
      <c r="A288">
        <v>897</v>
      </c>
      <c r="B288" s="1">
        <v>40583</v>
      </c>
      <c r="C288">
        <v>1</v>
      </c>
      <c r="D288">
        <v>0</v>
      </c>
      <c r="E288">
        <v>2</v>
      </c>
      <c r="F288">
        <v>20</v>
      </c>
      <c r="G288" t="b">
        <v>0</v>
      </c>
      <c r="H288">
        <v>3</v>
      </c>
      <c r="I288">
        <v>3</v>
      </c>
      <c r="J288">
        <v>0.14000000000000001</v>
      </c>
      <c r="K288">
        <v>0.1515</v>
      </c>
      <c r="L288">
        <v>0.86</v>
      </c>
      <c r="M288">
        <v>0.16420000000000001</v>
      </c>
      <c r="N288">
        <v>0</v>
      </c>
      <c r="O288">
        <v>84</v>
      </c>
      <c r="P288">
        <v>84</v>
      </c>
    </row>
    <row r="289" spans="1:16">
      <c r="A289">
        <v>898</v>
      </c>
      <c r="B289" s="1">
        <v>40583</v>
      </c>
      <c r="C289">
        <v>1</v>
      </c>
      <c r="D289">
        <v>0</v>
      </c>
      <c r="E289">
        <v>2</v>
      </c>
      <c r="F289">
        <v>21</v>
      </c>
      <c r="G289" t="b">
        <v>0</v>
      </c>
      <c r="H289">
        <v>3</v>
      </c>
      <c r="I289">
        <v>2</v>
      </c>
      <c r="J289">
        <v>0.14000000000000001</v>
      </c>
      <c r="K289">
        <v>0.1515</v>
      </c>
      <c r="L289">
        <v>0.86</v>
      </c>
      <c r="M289">
        <v>0.16420000000000001</v>
      </c>
      <c r="N289">
        <v>0</v>
      </c>
      <c r="O289">
        <v>83</v>
      </c>
      <c r="P289">
        <v>83</v>
      </c>
    </row>
    <row r="290" spans="1:16">
      <c r="A290">
        <v>899</v>
      </c>
      <c r="B290" s="1">
        <v>40583</v>
      </c>
      <c r="C290">
        <v>1</v>
      </c>
      <c r="D290">
        <v>0</v>
      </c>
      <c r="E290">
        <v>2</v>
      </c>
      <c r="F290">
        <v>22</v>
      </c>
      <c r="G290" t="b">
        <v>0</v>
      </c>
      <c r="H290">
        <v>3</v>
      </c>
      <c r="I290">
        <v>3</v>
      </c>
      <c r="J290">
        <v>0.16</v>
      </c>
      <c r="K290">
        <v>0.16669999999999999</v>
      </c>
      <c r="L290">
        <v>0.8</v>
      </c>
      <c r="M290">
        <v>0.16420000000000001</v>
      </c>
      <c r="N290">
        <v>4</v>
      </c>
      <c r="O290">
        <v>42</v>
      </c>
      <c r="P290">
        <v>46</v>
      </c>
    </row>
    <row r="291" spans="1:16">
      <c r="A291">
        <v>900</v>
      </c>
      <c r="B291" s="1">
        <v>40583</v>
      </c>
      <c r="C291">
        <v>1</v>
      </c>
      <c r="D291">
        <v>0</v>
      </c>
      <c r="E291">
        <v>2</v>
      </c>
      <c r="F291">
        <v>23</v>
      </c>
      <c r="G291" t="b">
        <v>0</v>
      </c>
      <c r="H291">
        <v>3</v>
      </c>
      <c r="I291">
        <v>3</v>
      </c>
      <c r="J291">
        <v>0.16</v>
      </c>
      <c r="K291">
        <v>0.1515</v>
      </c>
      <c r="L291">
        <v>0.8</v>
      </c>
      <c r="M291">
        <v>0.19400000000000001</v>
      </c>
      <c r="N291">
        <v>0</v>
      </c>
      <c r="O291">
        <v>37</v>
      </c>
      <c r="P291">
        <v>37</v>
      </c>
    </row>
    <row r="292" spans="1:16">
      <c r="A292">
        <v>901</v>
      </c>
      <c r="B292" s="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c r="A293">
        <v>902</v>
      </c>
      <c r="B293" s="1">
        <v>40584</v>
      </c>
      <c r="C293">
        <v>1</v>
      </c>
      <c r="D293">
        <v>0</v>
      </c>
      <c r="E293">
        <v>2</v>
      </c>
      <c r="F293">
        <v>1</v>
      </c>
      <c r="G293" t="b">
        <v>0</v>
      </c>
      <c r="H293">
        <v>4</v>
      </c>
      <c r="I293">
        <v>3</v>
      </c>
      <c r="J293">
        <v>0.14000000000000001</v>
      </c>
      <c r="K293">
        <v>0.1515</v>
      </c>
      <c r="L293">
        <v>0.8</v>
      </c>
      <c r="M293">
        <v>0.1343</v>
      </c>
      <c r="N293">
        <v>0</v>
      </c>
      <c r="O293">
        <v>7</v>
      </c>
      <c r="P293">
        <v>7</v>
      </c>
    </row>
    <row r="294" spans="1:16">
      <c r="A294">
        <v>903</v>
      </c>
      <c r="B294" s="1">
        <v>40584</v>
      </c>
      <c r="C294">
        <v>1</v>
      </c>
      <c r="D294">
        <v>0</v>
      </c>
      <c r="E294">
        <v>2</v>
      </c>
      <c r="F294">
        <v>2</v>
      </c>
      <c r="G294" t="b">
        <v>0</v>
      </c>
      <c r="H294">
        <v>4</v>
      </c>
      <c r="I294">
        <v>3</v>
      </c>
      <c r="J294">
        <v>0.14000000000000001</v>
      </c>
      <c r="K294">
        <v>0.1515</v>
      </c>
      <c r="L294">
        <v>0.8</v>
      </c>
      <c r="M294">
        <v>0.1343</v>
      </c>
      <c r="N294">
        <v>0</v>
      </c>
      <c r="O294">
        <v>3</v>
      </c>
      <c r="P294">
        <v>3</v>
      </c>
    </row>
    <row r="295" spans="1:16">
      <c r="A295">
        <v>904</v>
      </c>
      <c r="B295" s="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c r="A296">
        <v>905</v>
      </c>
      <c r="B296" s="1">
        <v>40584</v>
      </c>
      <c r="C296">
        <v>1</v>
      </c>
      <c r="D296">
        <v>0</v>
      </c>
      <c r="E296">
        <v>2</v>
      </c>
      <c r="F296">
        <v>5</v>
      </c>
      <c r="G296" t="b">
        <v>0</v>
      </c>
      <c r="H296">
        <v>4</v>
      </c>
      <c r="I296">
        <v>2</v>
      </c>
      <c r="J296">
        <v>0.12</v>
      </c>
      <c r="K296">
        <v>0.1212</v>
      </c>
      <c r="L296">
        <v>0.5</v>
      </c>
      <c r="M296">
        <v>0.22389999999999999</v>
      </c>
      <c r="N296">
        <v>0</v>
      </c>
      <c r="O296">
        <v>6</v>
      </c>
      <c r="P296">
        <v>6</v>
      </c>
    </row>
    <row r="297" spans="1:16">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c r="A298">
        <v>907</v>
      </c>
      <c r="B298" s="1">
        <v>40584</v>
      </c>
      <c r="C298">
        <v>1</v>
      </c>
      <c r="D298">
        <v>0</v>
      </c>
      <c r="E298">
        <v>2</v>
      </c>
      <c r="F298">
        <v>7</v>
      </c>
      <c r="G298" t="b">
        <v>0</v>
      </c>
      <c r="H298">
        <v>4</v>
      </c>
      <c r="I298">
        <v>1</v>
      </c>
      <c r="J298">
        <v>0.1</v>
      </c>
      <c r="K298">
        <v>7.5800000000000006E-2</v>
      </c>
      <c r="L298">
        <v>0.5</v>
      </c>
      <c r="M298">
        <v>0.41789999999999999</v>
      </c>
      <c r="N298">
        <v>0</v>
      </c>
      <c r="O298">
        <v>99</v>
      </c>
      <c r="P298">
        <v>99</v>
      </c>
    </row>
    <row r="299" spans="1:16">
      <c r="A299">
        <v>908</v>
      </c>
      <c r="B299" s="1">
        <v>40584</v>
      </c>
      <c r="C299">
        <v>1</v>
      </c>
      <c r="D299">
        <v>0</v>
      </c>
      <c r="E299">
        <v>2</v>
      </c>
      <c r="F299">
        <v>8</v>
      </c>
      <c r="G299" t="b">
        <v>0</v>
      </c>
      <c r="H299">
        <v>4</v>
      </c>
      <c r="I299">
        <v>1</v>
      </c>
      <c r="J299">
        <v>0.1</v>
      </c>
      <c r="K299">
        <v>7.5800000000000006E-2</v>
      </c>
      <c r="L299">
        <v>0.49</v>
      </c>
      <c r="M299">
        <v>0.32840000000000003</v>
      </c>
      <c r="N299">
        <v>5</v>
      </c>
      <c r="O299">
        <v>173</v>
      </c>
      <c r="P299">
        <v>178</v>
      </c>
    </row>
    <row r="300" spans="1:16">
      <c r="A300">
        <v>909</v>
      </c>
      <c r="B300" s="1">
        <v>40584</v>
      </c>
      <c r="C300">
        <v>1</v>
      </c>
      <c r="D300">
        <v>0</v>
      </c>
      <c r="E300">
        <v>2</v>
      </c>
      <c r="F300">
        <v>9</v>
      </c>
      <c r="G300" t="b">
        <v>0</v>
      </c>
      <c r="H300">
        <v>4</v>
      </c>
      <c r="I300">
        <v>1</v>
      </c>
      <c r="J300">
        <v>0.12</v>
      </c>
      <c r="K300">
        <v>0.1061</v>
      </c>
      <c r="L300">
        <v>0.42</v>
      </c>
      <c r="M300">
        <v>0.35820000000000002</v>
      </c>
      <c r="N300">
        <v>1</v>
      </c>
      <c r="O300">
        <v>121</v>
      </c>
      <c r="P300">
        <v>122</v>
      </c>
    </row>
    <row r="301" spans="1:16">
      <c r="A301">
        <v>910</v>
      </c>
      <c r="B301" s="1">
        <v>40584</v>
      </c>
      <c r="C301">
        <v>1</v>
      </c>
      <c r="D301">
        <v>0</v>
      </c>
      <c r="E301">
        <v>2</v>
      </c>
      <c r="F301">
        <v>10</v>
      </c>
      <c r="G301" t="b">
        <v>0</v>
      </c>
      <c r="H301">
        <v>4</v>
      </c>
      <c r="I301">
        <v>1</v>
      </c>
      <c r="J301">
        <v>0.12</v>
      </c>
      <c r="K301">
        <v>0.1061</v>
      </c>
      <c r="L301">
        <v>0.42</v>
      </c>
      <c r="M301">
        <v>0.29849999999999999</v>
      </c>
      <c r="N301">
        <v>1</v>
      </c>
      <c r="O301">
        <v>34</v>
      </c>
      <c r="P301">
        <v>35</v>
      </c>
    </row>
    <row r="302" spans="1:16">
      <c r="A302">
        <v>911</v>
      </c>
      <c r="B302" s="1">
        <v>40584</v>
      </c>
      <c r="C302">
        <v>1</v>
      </c>
      <c r="D302">
        <v>0</v>
      </c>
      <c r="E302">
        <v>2</v>
      </c>
      <c r="F302">
        <v>11</v>
      </c>
      <c r="G302" t="b">
        <v>0</v>
      </c>
      <c r="H302">
        <v>4</v>
      </c>
      <c r="I302">
        <v>1</v>
      </c>
      <c r="J302">
        <v>0.14000000000000001</v>
      </c>
      <c r="K302">
        <v>0.1212</v>
      </c>
      <c r="L302">
        <v>0.39</v>
      </c>
      <c r="M302">
        <v>0.35820000000000002</v>
      </c>
      <c r="N302">
        <v>1</v>
      </c>
      <c r="O302">
        <v>44</v>
      </c>
      <c r="P302">
        <v>45</v>
      </c>
    </row>
    <row r="303" spans="1:16">
      <c r="A303">
        <v>912</v>
      </c>
      <c r="B303" s="1">
        <v>40584</v>
      </c>
      <c r="C303">
        <v>1</v>
      </c>
      <c r="D303">
        <v>0</v>
      </c>
      <c r="E303">
        <v>2</v>
      </c>
      <c r="F303">
        <v>12</v>
      </c>
      <c r="G303" t="b">
        <v>0</v>
      </c>
      <c r="H303">
        <v>4</v>
      </c>
      <c r="I303">
        <v>1</v>
      </c>
      <c r="J303">
        <v>0.16</v>
      </c>
      <c r="K303">
        <v>0.13639999999999999</v>
      </c>
      <c r="L303">
        <v>0.34</v>
      </c>
      <c r="M303">
        <v>0.3881</v>
      </c>
      <c r="N303">
        <v>4</v>
      </c>
      <c r="O303">
        <v>65</v>
      </c>
      <c r="P303">
        <v>69</v>
      </c>
    </row>
    <row r="304" spans="1:16">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c r="A305">
        <v>914</v>
      </c>
      <c r="B305" s="1">
        <v>40584</v>
      </c>
      <c r="C305">
        <v>1</v>
      </c>
      <c r="D305">
        <v>0</v>
      </c>
      <c r="E305">
        <v>2</v>
      </c>
      <c r="F305">
        <v>14</v>
      </c>
      <c r="G305" t="b">
        <v>0</v>
      </c>
      <c r="H305">
        <v>4</v>
      </c>
      <c r="I305">
        <v>1</v>
      </c>
      <c r="J305">
        <v>0.2</v>
      </c>
      <c r="K305">
        <v>0.18179999999999999</v>
      </c>
      <c r="L305">
        <v>0.27</v>
      </c>
      <c r="M305">
        <v>0.28360000000000002</v>
      </c>
      <c r="N305">
        <v>6</v>
      </c>
      <c r="O305">
        <v>42</v>
      </c>
      <c r="P305">
        <v>48</v>
      </c>
    </row>
    <row r="306" spans="1:16">
      <c r="A306">
        <v>915</v>
      </c>
      <c r="B306" s="1">
        <v>40584</v>
      </c>
      <c r="C306">
        <v>1</v>
      </c>
      <c r="D306">
        <v>0</v>
      </c>
      <c r="E306">
        <v>2</v>
      </c>
      <c r="F306">
        <v>15</v>
      </c>
      <c r="G306" t="b">
        <v>0</v>
      </c>
      <c r="H306">
        <v>4</v>
      </c>
      <c r="I306">
        <v>1</v>
      </c>
      <c r="J306">
        <v>0.2</v>
      </c>
      <c r="K306">
        <v>0.19700000000000001</v>
      </c>
      <c r="L306">
        <v>0.25</v>
      </c>
      <c r="M306">
        <v>0.25369999999999998</v>
      </c>
      <c r="N306">
        <v>0</v>
      </c>
      <c r="O306">
        <v>50</v>
      </c>
      <c r="P306">
        <v>50</v>
      </c>
    </row>
    <row r="307" spans="1:16">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c r="A308">
        <v>917</v>
      </c>
      <c r="B308" s="1">
        <v>40584</v>
      </c>
      <c r="C308">
        <v>1</v>
      </c>
      <c r="D308">
        <v>0</v>
      </c>
      <c r="E308">
        <v>2</v>
      </c>
      <c r="F308">
        <v>17</v>
      </c>
      <c r="G308" t="b">
        <v>0</v>
      </c>
      <c r="H308">
        <v>4</v>
      </c>
      <c r="I308">
        <v>1</v>
      </c>
      <c r="J308">
        <v>0.18</v>
      </c>
      <c r="K308">
        <v>0.18179999999999999</v>
      </c>
      <c r="L308">
        <v>0.26</v>
      </c>
      <c r="M308">
        <v>0.19400000000000001</v>
      </c>
      <c r="N308">
        <v>6</v>
      </c>
      <c r="O308">
        <v>159</v>
      </c>
      <c r="P308">
        <v>165</v>
      </c>
    </row>
    <row r="309" spans="1:16">
      <c r="A309">
        <v>918</v>
      </c>
      <c r="B309" s="1">
        <v>40584</v>
      </c>
      <c r="C309">
        <v>1</v>
      </c>
      <c r="D309">
        <v>0</v>
      </c>
      <c r="E309">
        <v>2</v>
      </c>
      <c r="F309">
        <v>18</v>
      </c>
      <c r="G309" t="b">
        <v>0</v>
      </c>
      <c r="H309">
        <v>4</v>
      </c>
      <c r="I309">
        <v>1</v>
      </c>
      <c r="J309">
        <v>0.16</v>
      </c>
      <c r="K309">
        <v>0.18179999999999999</v>
      </c>
      <c r="L309">
        <v>0.28000000000000003</v>
      </c>
      <c r="M309">
        <v>0.1343</v>
      </c>
      <c r="N309">
        <v>3</v>
      </c>
      <c r="O309">
        <v>157</v>
      </c>
      <c r="P309">
        <v>160</v>
      </c>
    </row>
    <row r="310" spans="1:16">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c r="A311">
        <v>920</v>
      </c>
      <c r="B311" s="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c r="A312">
        <v>921</v>
      </c>
      <c r="B312" s="1">
        <v>40584</v>
      </c>
      <c r="C312">
        <v>1</v>
      </c>
      <c r="D312">
        <v>0</v>
      </c>
      <c r="E312">
        <v>2</v>
      </c>
      <c r="F312">
        <v>21</v>
      </c>
      <c r="G312" t="b">
        <v>0</v>
      </c>
      <c r="H312">
        <v>4</v>
      </c>
      <c r="I312">
        <v>1</v>
      </c>
      <c r="J312">
        <v>0.14000000000000001</v>
      </c>
      <c r="K312">
        <v>0.21210000000000001</v>
      </c>
      <c r="L312">
        <v>0.39</v>
      </c>
      <c r="M312">
        <v>0</v>
      </c>
      <c r="N312">
        <v>2</v>
      </c>
      <c r="O312">
        <v>70</v>
      </c>
      <c r="P312">
        <v>72</v>
      </c>
    </row>
    <row r="313" spans="1:16">
      <c r="A313">
        <v>922</v>
      </c>
      <c r="B313" s="1">
        <v>40584</v>
      </c>
      <c r="C313">
        <v>1</v>
      </c>
      <c r="D313">
        <v>0</v>
      </c>
      <c r="E313">
        <v>2</v>
      </c>
      <c r="F313">
        <v>22</v>
      </c>
      <c r="G313" t="b">
        <v>0</v>
      </c>
      <c r="H313">
        <v>4</v>
      </c>
      <c r="I313">
        <v>1</v>
      </c>
      <c r="J313">
        <v>0.12</v>
      </c>
      <c r="K313">
        <v>0.19700000000000001</v>
      </c>
      <c r="L313">
        <v>0.39</v>
      </c>
      <c r="M313">
        <v>0</v>
      </c>
      <c r="N313">
        <v>4</v>
      </c>
      <c r="O313">
        <v>47</v>
      </c>
      <c r="P313">
        <v>51</v>
      </c>
    </row>
    <row r="314" spans="1:16">
      <c r="A314">
        <v>923</v>
      </c>
      <c r="B314" s="1">
        <v>40584</v>
      </c>
      <c r="C314">
        <v>1</v>
      </c>
      <c r="D314">
        <v>0</v>
      </c>
      <c r="E314">
        <v>2</v>
      </c>
      <c r="F314">
        <v>23</v>
      </c>
      <c r="G314" t="b">
        <v>0</v>
      </c>
      <c r="H314">
        <v>4</v>
      </c>
      <c r="I314">
        <v>1</v>
      </c>
      <c r="J314">
        <v>0.12</v>
      </c>
      <c r="K314">
        <v>0.1515</v>
      </c>
      <c r="L314">
        <v>0.42</v>
      </c>
      <c r="M314">
        <v>0.1045</v>
      </c>
      <c r="N314">
        <v>1</v>
      </c>
      <c r="O314">
        <v>33</v>
      </c>
      <c r="P314">
        <v>34</v>
      </c>
    </row>
    <row r="315" spans="1:16">
      <c r="A315">
        <v>924</v>
      </c>
      <c r="B315" s="1">
        <v>40585</v>
      </c>
      <c r="C315">
        <v>1</v>
      </c>
      <c r="D315">
        <v>0</v>
      </c>
      <c r="E315">
        <v>2</v>
      </c>
      <c r="F315">
        <v>0</v>
      </c>
      <c r="G315" t="b">
        <v>0</v>
      </c>
      <c r="H315">
        <v>5</v>
      </c>
      <c r="I315">
        <v>1</v>
      </c>
      <c r="J315">
        <v>0.1</v>
      </c>
      <c r="K315">
        <v>0.13639999999999999</v>
      </c>
      <c r="L315">
        <v>0.49</v>
      </c>
      <c r="M315">
        <v>0.1045</v>
      </c>
      <c r="N315">
        <v>2</v>
      </c>
      <c r="O315">
        <v>12</v>
      </c>
      <c r="P315">
        <v>14</v>
      </c>
    </row>
    <row r="316" spans="1:16">
      <c r="A316">
        <v>925</v>
      </c>
      <c r="B316" s="1">
        <v>40585</v>
      </c>
      <c r="C316">
        <v>1</v>
      </c>
      <c r="D316">
        <v>0</v>
      </c>
      <c r="E316">
        <v>2</v>
      </c>
      <c r="F316">
        <v>1</v>
      </c>
      <c r="G316" t="b">
        <v>0</v>
      </c>
      <c r="H316">
        <v>5</v>
      </c>
      <c r="I316">
        <v>1</v>
      </c>
      <c r="J316">
        <v>0.1</v>
      </c>
      <c r="K316">
        <v>0.13639999999999999</v>
      </c>
      <c r="L316">
        <v>0.54</v>
      </c>
      <c r="M316">
        <v>8.9599999999999999E-2</v>
      </c>
      <c r="N316">
        <v>1</v>
      </c>
      <c r="O316">
        <v>6</v>
      </c>
      <c r="P316">
        <v>7</v>
      </c>
    </row>
    <row r="317" spans="1:16">
      <c r="A317">
        <v>926</v>
      </c>
      <c r="B317" s="1">
        <v>40585</v>
      </c>
      <c r="C317">
        <v>1</v>
      </c>
      <c r="D317">
        <v>0</v>
      </c>
      <c r="E317">
        <v>2</v>
      </c>
      <c r="F317">
        <v>2</v>
      </c>
      <c r="G317" t="b">
        <v>0</v>
      </c>
      <c r="H317">
        <v>5</v>
      </c>
      <c r="I317">
        <v>1</v>
      </c>
      <c r="J317">
        <v>0.1</v>
      </c>
      <c r="K317">
        <v>0.13639999999999999</v>
      </c>
      <c r="L317">
        <v>0.54</v>
      </c>
      <c r="M317">
        <v>8.9599999999999999E-2</v>
      </c>
      <c r="N317">
        <v>0</v>
      </c>
      <c r="O317">
        <v>3</v>
      </c>
      <c r="P317">
        <v>3</v>
      </c>
    </row>
    <row r="318" spans="1:16">
      <c r="A318">
        <v>927</v>
      </c>
      <c r="B318" s="1">
        <v>40585</v>
      </c>
      <c r="C318">
        <v>1</v>
      </c>
      <c r="D318">
        <v>0</v>
      </c>
      <c r="E318">
        <v>2</v>
      </c>
      <c r="F318">
        <v>5</v>
      </c>
      <c r="G318" t="b">
        <v>0</v>
      </c>
      <c r="H318">
        <v>5</v>
      </c>
      <c r="I318">
        <v>1</v>
      </c>
      <c r="J318">
        <v>0.08</v>
      </c>
      <c r="K318">
        <v>0.1212</v>
      </c>
      <c r="L318">
        <v>0.63</v>
      </c>
      <c r="M318">
        <v>8.9599999999999999E-2</v>
      </c>
      <c r="N318">
        <v>0</v>
      </c>
      <c r="O318">
        <v>4</v>
      </c>
      <c r="P318">
        <v>4</v>
      </c>
    </row>
    <row r="319" spans="1:16">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c r="A320">
        <v>929</v>
      </c>
      <c r="B320" s="1">
        <v>40585</v>
      </c>
      <c r="C320">
        <v>1</v>
      </c>
      <c r="D320">
        <v>0</v>
      </c>
      <c r="E320">
        <v>2</v>
      </c>
      <c r="F320">
        <v>7</v>
      </c>
      <c r="G320" t="b">
        <v>0</v>
      </c>
      <c r="H320">
        <v>5</v>
      </c>
      <c r="I320">
        <v>1</v>
      </c>
      <c r="J320">
        <v>0.08</v>
      </c>
      <c r="K320">
        <v>0.16669999999999999</v>
      </c>
      <c r="L320">
        <v>0.73</v>
      </c>
      <c r="M320">
        <v>0</v>
      </c>
      <c r="N320">
        <v>1</v>
      </c>
      <c r="O320">
        <v>73</v>
      </c>
      <c r="P320">
        <v>74</v>
      </c>
    </row>
    <row r="321" spans="1:16">
      <c r="A321">
        <v>930</v>
      </c>
      <c r="B321" s="1">
        <v>40585</v>
      </c>
      <c r="C321">
        <v>1</v>
      </c>
      <c r="D321">
        <v>0</v>
      </c>
      <c r="E321">
        <v>2</v>
      </c>
      <c r="F321">
        <v>8</v>
      </c>
      <c r="G321" t="b">
        <v>0</v>
      </c>
      <c r="H321">
        <v>5</v>
      </c>
      <c r="I321">
        <v>1</v>
      </c>
      <c r="J321">
        <v>0.1</v>
      </c>
      <c r="K321">
        <v>0.1212</v>
      </c>
      <c r="L321">
        <v>0.74</v>
      </c>
      <c r="M321">
        <v>0.16420000000000001</v>
      </c>
      <c r="N321">
        <v>4</v>
      </c>
      <c r="O321">
        <v>212</v>
      </c>
      <c r="P321">
        <v>216</v>
      </c>
    </row>
    <row r="322" spans="1:16">
      <c r="A322">
        <v>931</v>
      </c>
      <c r="B322" s="1">
        <v>40585</v>
      </c>
      <c r="C322">
        <v>1</v>
      </c>
      <c r="D322">
        <v>0</v>
      </c>
      <c r="E322">
        <v>2</v>
      </c>
      <c r="F322">
        <v>9</v>
      </c>
      <c r="G322" t="b">
        <v>0</v>
      </c>
      <c r="H322">
        <v>5</v>
      </c>
      <c r="I322">
        <v>1</v>
      </c>
      <c r="J322">
        <v>0.12</v>
      </c>
      <c r="K322">
        <v>0.1212</v>
      </c>
      <c r="L322">
        <v>0.74</v>
      </c>
      <c r="M322">
        <v>0.22389999999999999</v>
      </c>
      <c r="N322">
        <v>8</v>
      </c>
      <c r="O322">
        <v>132</v>
      </c>
      <c r="P322">
        <v>140</v>
      </c>
    </row>
    <row r="323" spans="1:16">
      <c r="A323">
        <v>932</v>
      </c>
      <c r="B323" s="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c r="A324">
        <v>933</v>
      </c>
      <c r="B324" s="1">
        <v>40585</v>
      </c>
      <c r="C324">
        <v>1</v>
      </c>
      <c r="D324">
        <v>0</v>
      </c>
      <c r="E324">
        <v>2</v>
      </c>
      <c r="F324">
        <v>11</v>
      </c>
      <c r="G324" t="b">
        <v>0</v>
      </c>
      <c r="H324">
        <v>5</v>
      </c>
      <c r="I324">
        <v>1</v>
      </c>
      <c r="J324">
        <v>0.22</v>
      </c>
      <c r="K324">
        <v>0.2273</v>
      </c>
      <c r="L324">
        <v>0.47</v>
      </c>
      <c r="M324">
        <v>0.1343</v>
      </c>
      <c r="N324">
        <v>12</v>
      </c>
      <c r="O324">
        <v>52</v>
      </c>
      <c r="P324">
        <v>64</v>
      </c>
    </row>
    <row r="325" spans="1:16">
      <c r="A325">
        <v>934</v>
      </c>
      <c r="B325" s="1">
        <v>40585</v>
      </c>
      <c r="C325">
        <v>1</v>
      </c>
      <c r="D325">
        <v>0</v>
      </c>
      <c r="E325">
        <v>2</v>
      </c>
      <c r="F325">
        <v>12</v>
      </c>
      <c r="G325" t="b">
        <v>0</v>
      </c>
      <c r="H325">
        <v>5</v>
      </c>
      <c r="I325">
        <v>1</v>
      </c>
      <c r="J325">
        <v>0.22</v>
      </c>
      <c r="K325">
        <v>0.2273</v>
      </c>
      <c r="L325">
        <v>0.47</v>
      </c>
      <c r="M325">
        <v>0.1343</v>
      </c>
      <c r="N325">
        <v>7</v>
      </c>
      <c r="O325">
        <v>64</v>
      </c>
      <c r="P325">
        <v>71</v>
      </c>
    </row>
    <row r="326" spans="1:16">
      <c r="A326">
        <v>935</v>
      </c>
      <c r="B326" s="1">
        <v>40585</v>
      </c>
      <c r="C326">
        <v>1</v>
      </c>
      <c r="D326">
        <v>0</v>
      </c>
      <c r="E326">
        <v>2</v>
      </c>
      <c r="F326">
        <v>13</v>
      </c>
      <c r="G326" t="b">
        <v>0</v>
      </c>
      <c r="H326">
        <v>5</v>
      </c>
      <c r="I326">
        <v>1</v>
      </c>
      <c r="J326">
        <v>0.24</v>
      </c>
      <c r="K326">
        <v>0.2273</v>
      </c>
      <c r="L326">
        <v>0.35</v>
      </c>
      <c r="M326">
        <v>0.19400000000000001</v>
      </c>
      <c r="N326">
        <v>21</v>
      </c>
      <c r="O326">
        <v>89</v>
      </c>
      <c r="P326">
        <v>110</v>
      </c>
    </row>
    <row r="327" spans="1:16">
      <c r="A327">
        <v>936</v>
      </c>
      <c r="B327" s="1">
        <v>40585</v>
      </c>
      <c r="C327">
        <v>1</v>
      </c>
      <c r="D327">
        <v>0</v>
      </c>
      <c r="E327">
        <v>2</v>
      </c>
      <c r="F327">
        <v>14</v>
      </c>
      <c r="G327" t="b">
        <v>0</v>
      </c>
      <c r="H327">
        <v>5</v>
      </c>
      <c r="I327">
        <v>1</v>
      </c>
      <c r="J327">
        <v>0.3</v>
      </c>
      <c r="K327">
        <v>0.28789999999999999</v>
      </c>
      <c r="L327">
        <v>0.26</v>
      </c>
      <c r="M327">
        <v>0.25369999999999998</v>
      </c>
      <c r="N327">
        <v>17</v>
      </c>
      <c r="O327">
        <v>67</v>
      </c>
      <c r="P327">
        <v>84</v>
      </c>
    </row>
    <row r="328" spans="1:16">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c r="A329">
        <v>938</v>
      </c>
      <c r="B329" s="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c r="A330">
        <v>939</v>
      </c>
      <c r="B330" s="1">
        <v>40585</v>
      </c>
      <c r="C330">
        <v>1</v>
      </c>
      <c r="D330">
        <v>0</v>
      </c>
      <c r="E330">
        <v>2</v>
      </c>
      <c r="F330">
        <v>17</v>
      </c>
      <c r="G330" t="b">
        <v>0</v>
      </c>
      <c r="H330">
        <v>5</v>
      </c>
      <c r="I330">
        <v>1</v>
      </c>
      <c r="J330">
        <v>0.3</v>
      </c>
      <c r="K330">
        <v>0.33329999999999999</v>
      </c>
      <c r="L330">
        <v>0.24</v>
      </c>
      <c r="M330">
        <v>0</v>
      </c>
      <c r="N330">
        <v>18</v>
      </c>
      <c r="O330">
        <v>193</v>
      </c>
      <c r="P330">
        <v>211</v>
      </c>
    </row>
    <row r="331" spans="1:16">
      <c r="A331">
        <v>940</v>
      </c>
      <c r="B331" s="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c r="A332">
        <v>941</v>
      </c>
      <c r="B332" s="1">
        <v>40585</v>
      </c>
      <c r="C332">
        <v>1</v>
      </c>
      <c r="D332">
        <v>0</v>
      </c>
      <c r="E332">
        <v>2</v>
      </c>
      <c r="F332">
        <v>19</v>
      </c>
      <c r="G332" t="b">
        <v>0</v>
      </c>
      <c r="H332">
        <v>5</v>
      </c>
      <c r="I332">
        <v>1</v>
      </c>
      <c r="J332">
        <v>0.26</v>
      </c>
      <c r="K332">
        <v>0.30299999999999999</v>
      </c>
      <c r="L332">
        <v>0.33</v>
      </c>
      <c r="M332">
        <v>0</v>
      </c>
      <c r="N332">
        <v>7</v>
      </c>
      <c r="O332">
        <v>94</v>
      </c>
      <c r="P332">
        <v>101</v>
      </c>
    </row>
    <row r="333" spans="1:16">
      <c r="A333">
        <v>942</v>
      </c>
      <c r="B333" s="1">
        <v>40585</v>
      </c>
      <c r="C333">
        <v>1</v>
      </c>
      <c r="D333">
        <v>0</v>
      </c>
      <c r="E333">
        <v>2</v>
      </c>
      <c r="F333">
        <v>20</v>
      </c>
      <c r="G333" t="b">
        <v>0</v>
      </c>
      <c r="H333">
        <v>5</v>
      </c>
      <c r="I333">
        <v>1</v>
      </c>
      <c r="J333">
        <v>0.22</v>
      </c>
      <c r="K333">
        <v>0.2273</v>
      </c>
      <c r="L333">
        <v>0.55000000000000004</v>
      </c>
      <c r="M333">
        <v>0.1343</v>
      </c>
      <c r="N333">
        <v>2</v>
      </c>
      <c r="O333">
        <v>61</v>
      </c>
      <c r="P333">
        <v>63</v>
      </c>
    </row>
    <row r="334" spans="1:16">
      <c r="A334">
        <v>943</v>
      </c>
      <c r="B334" s="1">
        <v>40585</v>
      </c>
      <c r="C334">
        <v>1</v>
      </c>
      <c r="D334">
        <v>0</v>
      </c>
      <c r="E334">
        <v>2</v>
      </c>
      <c r="F334">
        <v>21</v>
      </c>
      <c r="G334" t="b">
        <v>0</v>
      </c>
      <c r="H334">
        <v>5</v>
      </c>
      <c r="I334">
        <v>1</v>
      </c>
      <c r="J334">
        <v>0.2</v>
      </c>
      <c r="K334">
        <v>0.21210000000000001</v>
      </c>
      <c r="L334">
        <v>0.59</v>
      </c>
      <c r="M334">
        <v>0.1343</v>
      </c>
      <c r="N334">
        <v>1</v>
      </c>
      <c r="O334">
        <v>46</v>
      </c>
      <c r="P334">
        <v>47</v>
      </c>
    </row>
    <row r="335" spans="1:16">
      <c r="A335">
        <v>944</v>
      </c>
      <c r="B335" s="1">
        <v>40585</v>
      </c>
      <c r="C335">
        <v>1</v>
      </c>
      <c r="D335">
        <v>0</v>
      </c>
      <c r="E335">
        <v>2</v>
      </c>
      <c r="F335">
        <v>22</v>
      </c>
      <c r="G335" t="b">
        <v>0</v>
      </c>
      <c r="H335">
        <v>5</v>
      </c>
      <c r="I335">
        <v>1</v>
      </c>
      <c r="J335">
        <v>0.2</v>
      </c>
      <c r="K335">
        <v>0.2273</v>
      </c>
      <c r="L335">
        <v>0.64</v>
      </c>
      <c r="M335">
        <v>8.9599999999999999E-2</v>
      </c>
      <c r="N335">
        <v>2</v>
      </c>
      <c r="O335">
        <v>41</v>
      </c>
      <c r="P335">
        <v>43</v>
      </c>
    </row>
    <row r="336" spans="1:16">
      <c r="A336">
        <v>945</v>
      </c>
      <c r="B336" s="1">
        <v>40585</v>
      </c>
      <c r="C336">
        <v>1</v>
      </c>
      <c r="D336">
        <v>0</v>
      </c>
      <c r="E336">
        <v>2</v>
      </c>
      <c r="F336">
        <v>23</v>
      </c>
      <c r="G336" t="b">
        <v>0</v>
      </c>
      <c r="H336">
        <v>5</v>
      </c>
      <c r="I336">
        <v>1</v>
      </c>
      <c r="J336">
        <v>0.18</v>
      </c>
      <c r="K336">
        <v>0.2424</v>
      </c>
      <c r="L336">
        <v>0.69</v>
      </c>
      <c r="M336">
        <v>0</v>
      </c>
      <c r="N336">
        <v>5</v>
      </c>
      <c r="O336">
        <v>48</v>
      </c>
      <c r="P336">
        <v>53</v>
      </c>
    </row>
    <row r="337" spans="1:16">
      <c r="A337">
        <v>946</v>
      </c>
      <c r="B337" s="1">
        <v>40586</v>
      </c>
      <c r="C337">
        <v>1</v>
      </c>
      <c r="D337">
        <v>0</v>
      </c>
      <c r="E337">
        <v>2</v>
      </c>
      <c r="F337">
        <v>0</v>
      </c>
      <c r="G337" t="b">
        <v>0</v>
      </c>
      <c r="H337">
        <v>6</v>
      </c>
      <c r="I337">
        <v>1</v>
      </c>
      <c r="J337">
        <v>0.16</v>
      </c>
      <c r="K337">
        <v>0.19700000000000001</v>
      </c>
      <c r="L337">
        <v>0.69</v>
      </c>
      <c r="M337">
        <v>8.9599999999999999E-2</v>
      </c>
      <c r="N337">
        <v>3</v>
      </c>
      <c r="O337">
        <v>27</v>
      </c>
      <c r="P337">
        <v>30</v>
      </c>
    </row>
    <row r="338" spans="1:16">
      <c r="A338">
        <v>947</v>
      </c>
      <c r="B338" s="1">
        <v>40586</v>
      </c>
      <c r="C338">
        <v>1</v>
      </c>
      <c r="D338">
        <v>0</v>
      </c>
      <c r="E338">
        <v>2</v>
      </c>
      <c r="F338">
        <v>1</v>
      </c>
      <c r="G338" t="b">
        <v>0</v>
      </c>
      <c r="H338">
        <v>6</v>
      </c>
      <c r="I338">
        <v>1</v>
      </c>
      <c r="J338">
        <v>0.14000000000000001</v>
      </c>
      <c r="K338">
        <v>0.21210000000000001</v>
      </c>
      <c r="L338">
        <v>0.86</v>
      </c>
      <c r="M338">
        <v>0</v>
      </c>
      <c r="N338">
        <v>2</v>
      </c>
      <c r="O338">
        <v>22</v>
      </c>
      <c r="P338">
        <v>24</v>
      </c>
    </row>
    <row r="339" spans="1:16">
      <c r="A339">
        <v>948</v>
      </c>
      <c r="B339" s="1">
        <v>40586</v>
      </c>
      <c r="C339">
        <v>1</v>
      </c>
      <c r="D339">
        <v>0</v>
      </c>
      <c r="E339">
        <v>2</v>
      </c>
      <c r="F339">
        <v>2</v>
      </c>
      <c r="G339" t="b">
        <v>0</v>
      </c>
      <c r="H339">
        <v>6</v>
      </c>
      <c r="I339">
        <v>1</v>
      </c>
      <c r="J339">
        <v>0.14000000000000001</v>
      </c>
      <c r="K339">
        <v>0.21210000000000001</v>
      </c>
      <c r="L339">
        <v>0.8</v>
      </c>
      <c r="M339">
        <v>0</v>
      </c>
      <c r="N339">
        <v>2</v>
      </c>
      <c r="O339">
        <v>13</v>
      </c>
      <c r="P339">
        <v>15</v>
      </c>
    </row>
    <row r="340" spans="1:16">
      <c r="A340">
        <v>949</v>
      </c>
      <c r="B340" s="1">
        <v>40586</v>
      </c>
      <c r="C340">
        <v>1</v>
      </c>
      <c r="D340">
        <v>0</v>
      </c>
      <c r="E340">
        <v>2</v>
      </c>
      <c r="F340">
        <v>3</v>
      </c>
      <c r="G340" t="b">
        <v>0</v>
      </c>
      <c r="H340">
        <v>6</v>
      </c>
      <c r="I340">
        <v>1</v>
      </c>
      <c r="J340">
        <v>0.12</v>
      </c>
      <c r="K340">
        <v>0.19700000000000001</v>
      </c>
      <c r="L340">
        <v>0.8</v>
      </c>
      <c r="M340">
        <v>0</v>
      </c>
      <c r="N340">
        <v>3</v>
      </c>
      <c r="O340">
        <v>7</v>
      </c>
      <c r="P340">
        <v>10</v>
      </c>
    </row>
    <row r="341" spans="1:16">
      <c r="A341">
        <v>950</v>
      </c>
      <c r="B341" s="1">
        <v>40586</v>
      </c>
      <c r="C341">
        <v>1</v>
      </c>
      <c r="D341">
        <v>0</v>
      </c>
      <c r="E341">
        <v>2</v>
      </c>
      <c r="F341">
        <v>4</v>
      </c>
      <c r="G341" t="b">
        <v>0</v>
      </c>
      <c r="H341">
        <v>6</v>
      </c>
      <c r="I341">
        <v>1</v>
      </c>
      <c r="J341">
        <v>0.12</v>
      </c>
      <c r="K341">
        <v>0.16669999999999999</v>
      </c>
      <c r="L341">
        <v>0.74</v>
      </c>
      <c r="M341">
        <v>8.9599999999999999E-2</v>
      </c>
      <c r="N341">
        <v>0</v>
      </c>
      <c r="O341">
        <v>4</v>
      </c>
      <c r="P341">
        <v>4</v>
      </c>
    </row>
    <row r="342" spans="1:16">
      <c r="A342">
        <v>951</v>
      </c>
      <c r="B342" s="1">
        <v>40586</v>
      </c>
      <c r="C342">
        <v>1</v>
      </c>
      <c r="D342">
        <v>0</v>
      </c>
      <c r="E342">
        <v>2</v>
      </c>
      <c r="F342">
        <v>5</v>
      </c>
      <c r="G342" t="b">
        <v>0</v>
      </c>
      <c r="H342">
        <v>6</v>
      </c>
      <c r="I342">
        <v>1</v>
      </c>
      <c r="J342">
        <v>0.12</v>
      </c>
      <c r="K342">
        <v>0.16669999999999999</v>
      </c>
      <c r="L342">
        <v>0.74</v>
      </c>
      <c r="M342">
        <v>8.9599999999999999E-2</v>
      </c>
      <c r="N342">
        <v>0</v>
      </c>
      <c r="O342">
        <v>1</v>
      </c>
      <c r="P342">
        <v>1</v>
      </c>
    </row>
    <row r="343" spans="1:16">
      <c r="A343">
        <v>952</v>
      </c>
      <c r="B343" s="1">
        <v>40586</v>
      </c>
      <c r="C343">
        <v>1</v>
      </c>
      <c r="D343">
        <v>0</v>
      </c>
      <c r="E343">
        <v>2</v>
      </c>
      <c r="F343">
        <v>6</v>
      </c>
      <c r="G343" t="b">
        <v>0</v>
      </c>
      <c r="H343">
        <v>6</v>
      </c>
      <c r="I343">
        <v>1</v>
      </c>
      <c r="J343">
        <v>0.12</v>
      </c>
      <c r="K343">
        <v>0.13639999999999999</v>
      </c>
      <c r="L343">
        <v>0.93</v>
      </c>
      <c r="M343">
        <v>0.19400000000000001</v>
      </c>
      <c r="N343">
        <v>1</v>
      </c>
      <c r="O343">
        <v>1</v>
      </c>
      <c r="P343">
        <v>2</v>
      </c>
    </row>
    <row r="344" spans="1:16">
      <c r="A344">
        <v>953</v>
      </c>
      <c r="B344" s="1">
        <v>40586</v>
      </c>
      <c r="C344">
        <v>1</v>
      </c>
      <c r="D344">
        <v>0</v>
      </c>
      <c r="E344">
        <v>2</v>
      </c>
      <c r="F344">
        <v>7</v>
      </c>
      <c r="G344" t="b">
        <v>0</v>
      </c>
      <c r="H344">
        <v>6</v>
      </c>
      <c r="I344">
        <v>1</v>
      </c>
      <c r="J344">
        <v>0.12</v>
      </c>
      <c r="K344">
        <v>0.1515</v>
      </c>
      <c r="L344">
        <v>0.8</v>
      </c>
      <c r="M344">
        <v>0.1045</v>
      </c>
      <c r="N344">
        <v>2</v>
      </c>
      <c r="O344">
        <v>9</v>
      </c>
      <c r="P344">
        <v>11</v>
      </c>
    </row>
    <row r="345" spans="1:16">
      <c r="A345">
        <v>954</v>
      </c>
      <c r="B345" s="1">
        <v>40586</v>
      </c>
      <c r="C345">
        <v>1</v>
      </c>
      <c r="D345">
        <v>0</v>
      </c>
      <c r="E345">
        <v>2</v>
      </c>
      <c r="F345">
        <v>8</v>
      </c>
      <c r="G345" t="b">
        <v>0</v>
      </c>
      <c r="H345">
        <v>6</v>
      </c>
      <c r="I345">
        <v>1</v>
      </c>
      <c r="J345">
        <v>0.14000000000000001</v>
      </c>
      <c r="K345">
        <v>0.1515</v>
      </c>
      <c r="L345">
        <v>0.86</v>
      </c>
      <c r="M345">
        <v>0.1343</v>
      </c>
      <c r="N345">
        <v>2</v>
      </c>
      <c r="O345">
        <v>28</v>
      </c>
      <c r="P345">
        <v>30</v>
      </c>
    </row>
    <row r="346" spans="1:16">
      <c r="A346">
        <v>955</v>
      </c>
      <c r="B346" s="1">
        <v>40586</v>
      </c>
      <c r="C346">
        <v>1</v>
      </c>
      <c r="D346">
        <v>0</v>
      </c>
      <c r="E346">
        <v>2</v>
      </c>
      <c r="F346">
        <v>9</v>
      </c>
      <c r="G346" t="b">
        <v>0</v>
      </c>
      <c r="H346">
        <v>6</v>
      </c>
      <c r="I346">
        <v>1</v>
      </c>
      <c r="J346">
        <v>0.16</v>
      </c>
      <c r="K346">
        <v>0.18179999999999999</v>
      </c>
      <c r="L346">
        <v>0.64</v>
      </c>
      <c r="M346">
        <v>0.1343</v>
      </c>
      <c r="N346">
        <v>5</v>
      </c>
      <c r="O346">
        <v>38</v>
      </c>
      <c r="P346">
        <v>43</v>
      </c>
    </row>
    <row r="347" spans="1:16">
      <c r="A347">
        <v>956</v>
      </c>
      <c r="B347" s="1">
        <v>40586</v>
      </c>
      <c r="C347">
        <v>1</v>
      </c>
      <c r="D347">
        <v>0</v>
      </c>
      <c r="E347">
        <v>2</v>
      </c>
      <c r="F347">
        <v>10</v>
      </c>
      <c r="G347" t="b">
        <v>0</v>
      </c>
      <c r="H347">
        <v>6</v>
      </c>
      <c r="I347">
        <v>1</v>
      </c>
      <c r="J347">
        <v>0.22</v>
      </c>
      <c r="K347">
        <v>0.21210000000000001</v>
      </c>
      <c r="L347">
        <v>0.41</v>
      </c>
      <c r="M347">
        <v>0.25369999999999998</v>
      </c>
      <c r="N347">
        <v>13</v>
      </c>
      <c r="O347">
        <v>71</v>
      </c>
      <c r="P347">
        <v>84</v>
      </c>
    </row>
    <row r="348" spans="1:16">
      <c r="A348">
        <v>957</v>
      </c>
      <c r="B348" s="1">
        <v>40586</v>
      </c>
      <c r="C348">
        <v>1</v>
      </c>
      <c r="D348">
        <v>0</v>
      </c>
      <c r="E348">
        <v>2</v>
      </c>
      <c r="F348">
        <v>11</v>
      </c>
      <c r="G348" t="b">
        <v>0</v>
      </c>
      <c r="H348">
        <v>6</v>
      </c>
      <c r="I348">
        <v>1</v>
      </c>
      <c r="J348">
        <v>0.3</v>
      </c>
      <c r="K348">
        <v>0.2727</v>
      </c>
      <c r="L348">
        <v>0.28000000000000003</v>
      </c>
      <c r="M348">
        <v>0.32840000000000003</v>
      </c>
      <c r="N348">
        <v>30</v>
      </c>
      <c r="O348">
        <v>84</v>
      </c>
      <c r="P348">
        <v>114</v>
      </c>
    </row>
    <row r="349" spans="1:16">
      <c r="A349">
        <v>958</v>
      </c>
      <c r="B349" s="1">
        <v>40586</v>
      </c>
      <c r="C349">
        <v>1</v>
      </c>
      <c r="D349">
        <v>0</v>
      </c>
      <c r="E349">
        <v>2</v>
      </c>
      <c r="F349">
        <v>12</v>
      </c>
      <c r="G349" t="b">
        <v>0</v>
      </c>
      <c r="H349">
        <v>6</v>
      </c>
      <c r="I349">
        <v>1</v>
      </c>
      <c r="J349">
        <v>0.3</v>
      </c>
      <c r="K349">
        <v>0.2727</v>
      </c>
      <c r="L349">
        <v>0.39</v>
      </c>
      <c r="M349">
        <v>0.4627</v>
      </c>
      <c r="N349">
        <v>27</v>
      </c>
      <c r="O349">
        <v>93</v>
      </c>
      <c r="P349">
        <v>120</v>
      </c>
    </row>
    <row r="350" spans="1:16">
      <c r="A350">
        <v>959</v>
      </c>
      <c r="B350" s="1">
        <v>40586</v>
      </c>
      <c r="C350">
        <v>1</v>
      </c>
      <c r="D350">
        <v>0</v>
      </c>
      <c r="E350">
        <v>2</v>
      </c>
      <c r="F350">
        <v>13</v>
      </c>
      <c r="G350" t="b">
        <v>0</v>
      </c>
      <c r="H350">
        <v>6</v>
      </c>
      <c r="I350">
        <v>1</v>
      </c>
      <c r="J350">
        <v>0.3</v>
      </c>
      <c r="K350">
        <v>0.2727</v>
      </c>
      <c r="L350">
        <v>0.39</v>
      </c>
      <c r="M350">
        <v>0.41789999999999999</v>
      </c>
      <c r="N350">
        <v>32</v>
      </c>
      <c r="O350">
        <v>103</v>
      </c>
      <c r="P350">
        <v>135</v>
      </c>
    </row>
    <row r="351" spans="1:16">
      <c r="A351">
        <v>960</v>
      </c>
      <c r="B351" s="1">
        <v>40586</v>
      </c>
      <c r="C351">
        <v>1</v>
      </c>
      <c r="D351">
        <v>0</v>
      </c>
      <c r="E351">
        <v>2</v>
      </c>
      <c r="F351">
        <v>14</v>
      </c>
      <c r="G351" t="b">
        <v>0</v>
      </c>
      <c r="H351">
        <v>6</v>
      </c>
      <c r="I351">
        <v>1</v>
      </c>
      <c r="J351">
        <v>0.34</v>
      </c>
      <c r="K351">
        <v>0.31819999999999998</v>
      </c>
      <c r="L351">
        <v>0.31</v>
      </c>
      <c r="M351">
        <v>0.28360000000000002</v>
      </c>
      <c r="N351">
        <v>30</v>
      </c>
      <c r="O351">
        <v>90</v>
      </c>
      <c r="P351">
        <v>120</v>
      </c>
    </row>
    <row r="352" spans="1:16">
      <c r="A352">
        <v>961</v>
      </c>
      <c r="B352" s="1">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c r="A353">
        <v>962</v>
      </c>
      <c r="B353" s="1">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c r="A354">
        <v>963</v>
      </c>
      <c r="B354" s="1">
        <v>40586</v>
      </c>
      <c r="C354">
        <v>1</v>
      </c>
      <c r="D354">
        <v>0</v>
      </c>
      <c r="E354">
        <v>2</v>
      </c>
      <c r="F354">
        <v>17</v>
      </c>
      <c r="G354" t="b">
        <v>0</v>
      </c>
      <c r="H354">
        <v>6</v>
      </c>
      <c r="I354">
        <v>1</v>
      </c>
      <c r="J354">
        <v>0.32</v>
      </c>
      <c r="K354">
        <v>0.28789999999999999</v>
      </c>
      <c r="L354">
        <v>0.31</v>
      </c>
      <c r="M354">
        <v>0.52239999999999998</v>
      </c>
      <c r="N354">
        <v>24</v>
      </c>
      <c r="O354">
        <v>113</v>
      </c>
      <c r="P354">
        <v>137</v>
      </c>
    </row>
    <row r="355" spans="1:16">
      <c r="A355">
        <v>964</v>
      </c>
      <c r="B355" s="1">
        <v>40586</v>
      </c>
      <c r="C355">
        <v>1</v>
      </c>
      <c r="D355">
        <v>0</v>
      </c>
      <c r="E355">
        <v>2</v>
      </c>
      <c r="F355">
        <v>18</v>
      </c>
      <c r="G355" t="b">
        <v>0</v>
      </c>
      <c r="H355">
        <v>6</v>
      </c>
      <c r="I355">
        <v>1</v>
      </c>
      <c r="J355">
        <v>0.28000000000000003</v>
      </c>
      <c r="K355">
        <v>0.2576</v>
      </c>
      <c r="L355">
        <v>0.38</v>
      </c>
      <c r="M355">
        <v>0.32840000000000003</v>
      </c>
      <c r="N355">
        <v>4</v>
      </c>
      <c r="O355">
        <v>60</v>
      </c>
      <c r="P355">
        <v>64</v>
      </c>
    </row>
    <row r="356" spans="1:16">
      <c r="A356">
        <v>965</v>
      </c>
      <c r="B356" s="1">
        <v>40586</v>
      </c>
      <c r="C356">
        <v>1</v>
      </c>
      <c r="D356">
        <v>0</v>
      </c>
      <c r="E356">
        <v>2</v>
      </c>
      <c r="F356">
        <v>19</v>
      </c>
      <c r="G356" t="b">
        <v>0</v>
      </c>
      <c r="H356">
        <v>6</v>
      </c>
      <c r="I356">
        <v>1</v>
      </c>
      <c r="J356">
        <v>0.28000000000000003</v>
      </c>
      <c r="K356">
        <v>0.2727</v>
      </c>
      <c r="L356">
        <v>0.38</v>
      </c>
      <c r="M356">
        <v>0.16420000000000001</v>
      </c>
      <c r="N356">
        <v>2</v>
      </c>
      <c r="O356">
        <v>39</v>
      </c>
      <c r="P356">
        <v>41</v>
      </c>
    </row>
    <row r="357" spans="1:16">
      <c r="A357">
        <v>966</v>
      </c>
      <c r="B357" s="1">
        <v>40586</v>
      </c>
      <c r="C357">
        <v>1</v>
      </c>
      <c r="D357">
        <v>0</v>
      </c>
      <c r="E357">
        <v>2</v>
      </c>
      <c r="F357">
        <v>20</v>
      </c>
      <c r="G357" t="b">
        <v>0</v>
      </c>
      <c r="H357">
        <v>6</v>
      </c>
      <c r="I357">
        <v>1</v>
      </c>
      <c r="J357">
        <v>0.26</v>
      </c>
      <c r="K357">
        <v>0.2576</v>
      </c>
      <c r="L357">
        <v>0.41</v>
      </c>
      <c r="M357">
        <v>0.22389999999999999</v>
      </c>
      <c r="N357">
        <v>1</v>
      </c>
      <c r="O357">
        <v>39</v>
      </c>
      <c r="P357">
        <v>40</v>
      </c>
    </row>
    <row r="358" spans="1:16">
      <c r="A358">
        <v>967</v>
      </c>
      <c r="B358" s="1">
        <v>40586</v>
      </c>
      <c r="C358">
        <v>1</v>
      </c>
      <c r="D358">
        <v>0</v>
      </c>
      <c r="E358">
        <v>2</v>
      </c>
      <c r="F358">
        <v>21</v>
      </c>
      <c r="G358" t="b">
        <v>0</v>
      </c>
      <c r="H358">
        <v>6</v>
      </c>
      <c r="I358">
        <v>1</v>
      </c>
      <c r="J358">
        <v>0.26</v>
      </c>
      <c r="K358">
        <v>0.30299999999999999</v>
      </c>
      <c r="L358">
        <v>0.41</v>
      </c>
      <c r="M358">
        <v>0</v>
      </c>
      <c r="N358">
        <v>9</v>
      </c>
      <c r="O358">
        <v>42</v>
      </c>
      <c r="P358">
        <v>51</v>
      </c>
    </row>
    <row r="359" spans="1:16">
      <c r="A359">
        <v>968</v>
      </c>
      <c r="B359" s="1">
        <v>40586</v>
      </c>
      <c r="C359">
        <v>1</v>
      </c>
      <c r="D359">
        <v>0</v>
      </c>
      <c r="E359">
        <v>2</v>
      </c>
      <c r="F359">
        <v>22</v>
      </c>
      <c r="G359" t="b">
        <v>0</v>
      </c>
      <c r="H359">
        <v>6</v>
      </c>
      <c r="I359">
        <v>1</v>
      </c>
      <c r="J359">
        <v>0.24</v>
      </c>
      <c r="K359">
        <v>0.2576</v>
      </c>
      <c r="L359">
        <v>0.44</v>
      </c>
      <c r="M359">
        <v>8.9599999999999999E-2</v>
      </c>
      <c r="N359">
        <v>6</v>
      </c>
      <c r="O359">
        <v>39</v>
      </c>
      <c r="P359">
        <v>45</v>
      </c>
    </row>
    <row r="360" spans="1:16">
      <c r="A360">
        <v>969</v>
      </c>
      <c r="B360" s="1">
        <v>40586</v>
      </c>
      <c r="C360">
        <v>1</v>
      </c>
      <c r="D360">
        <v>0</v>
      </c>
      <c r="E360">
        <v>2</v>
      </c>
      <c r="F360">
        <v>23</v>
      </c>
      <c r="G360" t="b">
        <v>0</v>
      </c>
      <c r="H360">
        <v>6</v>
      </c>
      <c r="I360">
        <v>1</v>
      </c>
      <c r="J360">
        <v>0.22</v>
      </c>
      <c r="K360">
        <v>0.2273</v>
      </c>
      <c r="L360">
        <v>0.51</v>
      </c>
      <c r="M360">
        <v>0.1343</v>
      </c>
      <c r="N360">
        <v>1</v>
      </c>
      <c r="O360">
        <v>31</v>
      </c>
      <c r="P360">
        <v>32</v>
      </c>
    </row>
    <row r="361" spans="1:16">
      <c r="A361">
        <v>970</v>
      </c>
      <c r="B361" s="1">
        <v>40587</v>
      </c>
      <c r="C361">
        <v>1</v>
      </c>
      <c r="D361">
        <v>0</v>
      </c>
      <c r="E361">
        <v>2</v>
      </c>
      <c r="F361">
        <v>0</v>
      </c>
      <c r="G361" t="b">
        <v>0</v>
      </c>
      <c r="H361">
        <v>0</v>
      </c>
      <c r="I361">
        <v>1</v>
      </c>
      <c r="J361">
        <v>0.2</v>
      </c>
      <c r="K361">
        <v>0.2273</v>
      </c>
      <c r="L361">
        <v>0.64</v>
      </c>
      <c r="M361">
        <v>0.1045</v>
      </c>
      <c r="N361">
        <v>5</v>
      </c>
      <c r="O361">
        <v>34</v>
      </c>
      <c r="P361">
        <v>39</v>
      </c>
    </row>
    <row r="362" spans="1:16">
      <c r="A362">
        <v>971</v>
      </c>
      <c r="B362" s="1">
        <v>40587</v>
      </c>
      <c r="C362">
        <v>1</v>
      </c>
      <c r="D362">
        <v>0</v>
      </c>
      <c r="E362">
        <v>2</v>
      </c>
      <c r="F362">
        <v>1</v>
      </c>
      <c r="G362" t="b">
        <v>0</v>
      </c>
      <c r="H362">
        <v>0</v>
      </c>
      <c r="I362">
        <v>1</v>
      </c>
      <c r="J362">
        <v>0.2</v>
      </c>
      <c r="K362">
        <v>0.2273</v>
      </c>
      <c r="L362">
        <v>0.59</v>
      </c>
      <c r="M362">
        <v>8.9599999999999999E-2</v>
      </c>
      <c r="N362">
        <v>1</v>
      </c>
      <c r="O362">
        <v>23</v>
      </c>
      <c r="P362">
        <v>24</v>
      </c>
    </row>
    <row r="363" spans="1:16">
      <c r="A363">
        <v>972</v>
      </c>
      <c r="B363" s="1">
        <v>40587</v>
      </c>
      <c r="C363">
        <v>1</v>
      </c>
      <c r="D363">
        <v>0</v>
      </c>
      <c r="E363">
        <v>2</v>
      </c>
      <c r="F363">
        <v>2</v>
      </c>
      <c r="G363" t="b">
        <v>0</v>
      </c>
      <c r="H363">
        <v>0</v>
      </c>
      <c r="I363">
        <v>2</v>
      </c>
      <c r="J363">
        <v>0.2</v>
      </c>
      <c r="K363">
        <v>0.2273</v>
      </c>
      <c r="L363">
        <v>0.75</v>
      </c>
      <c r="M363">
        <v>8.9599999999999999E-2</v>
      </c>
      <c r="N363">
        <v>1</v>
      </c>
      <c r="O363">
        <v>19</v>
      </c>
      <c r="P363">
        <v>20</v>
      </c>
    </row>
    <row r="364" spans="1:16">
      <c r="A364">
        <v>973</v>
      </c>
      <c r="B364" s="1">
        <v>40587</v>
      </c>
      <c r="C364">
        <v>1</v>
      </c>
      <c r="D364">
        <v>0</v>
      </c>
      <c r="E364">
        <v>2</v>
      </c>
      <c r="F364">
        <v>3</v>
      </c>
      <c r="G364" t="b">
        <v>0</v>
      </c>
      <c r="H364">
        <v>0</v>
      </c>
      <c r="I364">
        <v>2</v>
      </c>
      <c r="J364">
        <v>0.2</v>
      </c>
      <c r="K364">
        <v>0.2273</v>
      </c>
      <c r="L364">
        <v>0.69</v>
      </c>
      <c r="M364">
        <v>0.1045</v>
      </c>
      <c r="N364">
        <v>4</v>
      </c>
      <c r="O364">
        <v>8</v>
      </c>
      <c r="P364">
        <v>12</v>
      </c>
    </row>
    <row r="365" spans="1:16">
      <c r="A365">
        <v>974</v>
      </c>
      <c r="B365" s="1">
        <v>40587</v>
      </c>
      <c r="C365">
        <v>1</v>
      </c>
      <c r="D365">
        <v>0</v>
      </c>
      <c r="E365">
        <v>2</v>
      </c>
      <c r="F365">
        <v>4</v>
      </c>
      <c r="G365" t="b">
        <v>0</v>
      </c>
      <c r="H365">
        <v>0</v>
      </c>
      <c r="I365">
        <v>2</v>
      </c>
      <c r="J365">
        <v>0.2</v>
      </c>
      <c r="K365">
        <v>0.21210000000000001</v>
      </c>
      <c r="L365">
        <v>0.69</v>
      </c>
      <c r="M365">
        <v>0.16420000000000001</v>
      </c>
      <c r="N365">
        <v>0</v>
      </c>
      <c r="O365">
        <v>2</v>
      </c>
      <c r="P365">
        <v>2</v>
      </c>
    </row>
    <row r="366" spans="1:16">
      <c r="A366">
        <v>975</v>
      </c>
      <c r="B366" s="1">
        <v>40587</v>
      </c>
      <c r="C366">
        <v>1</v>
      </c>
      <c r="D366">
        <v>0</v>
      </c>
      <c r="E366">
        <v>2</v>
      </c>
      <c r="F366">
        <v>6</v>
      </c>
      <c r="G366" t="b">
        <v>0</v>
      </c>
      <c r="H366">
        <v>0</v>
      </c>
      <c r="I366">
        <v>2</v>
      </c>
      <c r="J366">
        <v>0.2</v>
      </c>
      <c r="K366">
        <v>0.21210000000000001</v>
      </c>
      <c r="L366">
        <v>0.69</v>
      </c>
      <c r="M366">
        <v>0.1343</v>
      </c>
      <c r="N366">
        <v>2</v>
      </c>
      <c r="O366">
        <v>3</v>
      </c>
      <c r="P366">
        <v>5</v>
      </c>
    </row>
    <row r="367" spans="1:16">
      <c r="A367">
        <v>976</v>
      </c>
      <c r="B367" s="1">
        <v>40587</v>
      </c>
      <c r="C367">
        <v>1</v>
      </c>
      <c r="D367">
        <v>0</v>
      </c>
      <c r="E367">
        <v>2</v>
      </c>
      <c r="F367">
        <v>7</v>
      </c>
      <c r="G367" t="b">
        <v>0</v>
      </c>
      <c r="H367">
        <v>0</v>
      </c>
      <c r="I367">
        <v>2</v>
      </c>
      <c r="J367">
        <v>0.22</v>
      </c>
      <c r="K367">
        <v>0.2727</v>
      </c>
      <c r="L367">
        <v>0.55000000000000004</v>
      </c>
      <c r="M367">
        <v>0</v>
      </c>
      <c r="N367">
        <v>0</v>
      </c>
      <c r="O367">
        <v>3</v>
      </c>
      <c r="P367">
        <v>3</v>
      </c>
    </row>
    <row r="368" spans="1:16">
      <c r="A368">
        <v>977</v>
      </c>
      <c r="B368" s="1">
        <v>40587</v>
      </c>
      <c r="C368">
        <v>1</v>
      </c>
      <c r="D368">
        <v>0</v>
      </c>
      <c r="E368">
        <v>2</v>
      </c>
      <c r="F368">
        <v>8</v>
      </c>
      <c r="G368" t="b">
        <v>0</v>
      </c>
      <c r="H368">
        <v>0</v>
      </c>
      <c r="I368">
        <v>2</v>
      </c>
      <c r="J368">
        <v>0.22</v>
      </c>
      <c r="K368">
        <v>0.2273</v>
      </c>
      <c r="L368">
        <v>0.64</v>
      </c>
      <c r="M368">
        <v>0.19400000000000001</v>
      </c>
      <c r="N368">
        <v>1</v>
      </c>
      <c r="O368">
        <v>11</v>
      </c>
      <c r="P368">
        <v>12</v>
      </c>
    </row>
    <row r="369" spans="1:16">
      <c r="A369">
        <v>978</v>
      </c>
      <c r="B369" s="1">
        <v>40587</v>
      </c>
      <c r="C369">
        <v>1</v>
      </c>
      <c r="D369">
        <v>0</v>
      </c>
      <c r="E369">
        <v>2</v>
      </c>
      <c r="F369">
        <v>9</v>
      </c>
      <c r="G369" t="b">
        <v>0</v>
      </c>
      <c r="H369">
        <v>0</v>
      </c>
      <c r="I369">
        <v>2</v>
      </c>
      <c r="J369">
        <v>0.24</v>
      </c>
      <c r="K369">
        <v>0.2273</v>
      </c>
      <c r="L369">
        <v>0.6</v>
      </c>
      <c r="M369">
        <v>0.22389999999999999</v>
      </c>
      <c r="N369">
        <v>12</v>
      </c>
      <c r="O369">
        <v>35</v>
      </c>
      <c r="P369">
        <v>47</v>
      </c>
    </row>
    <row r="370" spans="1:16">
      <c r="A370">
        <v>979</v>
      </c>
      <c r="B370" s="1">
        <v>40587</v>
      </c>
      <c r="C370">
        <v>1</v>
      </c>
      <c r="D370">
        <v>0</v>
      </c>
      <c r="E370">
        <v>2</v>
      </c>
      <c r="F370">
        <v>10</v>
      </c>
      <c r="G370" t="b">
        <v>0</v>
      </c>
      <c r="H370">
        <v>0</v>
      </c>
      <c r="I370">
        <v>1</v>
      </c>
      <c r="J370">
        <v>0.3</v>
      </c>
      <c r="K370">
        <v>0.2727</v>
      </c>
      <c r="L370">
        <v>0.45</v>
      </c>
      <c r="M370">
        <v>0.32840000000000003</v>
      </c>
      <c r="N370">
        <v>19</v>
      </c>
      <c r="O370">
        <v>86</v>
      </c>
      <c r="P370">
        <v>105</v>
      </c>
    </row>
    <row r="371" spans="1:16">
      <c r="A371">
        <v>980</v>
      </c>
      <c r="B371" s="1">
        <v>40587</v>
      </c>
      <c r="C371">
        <v>1</v>
      </c>
      <c r="D371">
        <v>0</v>
      </c>
      <c r="E371">
        <v>2</v>
      </c>
      <c r="F371">
        <v>11</v>
      </c>
      <c r="G371" t="b">
        <v>0</v>
      </c>
      <c r="H371">
        <v>0</v>
      </c>
      <c r="I371">
        <v>1</v>
      </c>
      <c r="J371">
        <v>0.32</v>
      </c>
      <c r="K371">
        <v>0.28789999999999999</v>
      </c>
      <c r="L371">
        <v>0.39</v>
      </c>
      <c r="M371">
        <v>0.44779999999999998</v>
      </c>
      <c r="N371">
        <v>26</v>
      </c>
      <c r="O371">
        <v>86</v>
      </c>
      <c r="P371">
        <v>112</v>
      </c>
    </row>
    <row r="372" spans="1:16">
      <c r="A372">
        <v>981</v>
      </c>
      <c r="B372" s="1">
        <v>40587</v>
      </c>
      <c r="C372">
        <v>1</v>
      </c>
      <c r="D372">
        <v>0</v>
      </c>
      <c r="E372">
        <v>2</v>
      </c>
      <c r="F372">
        <v>12</v>
      </c>
      <c r="G372" t="b">
        <v>0</v>
      </c>
      <c r="H372">
        <v>0</v>
      </c>
      <c r="I372">
        <v>1</v>
      </c>
      <c r="J372">
        <v>0.36</v>
      </c>
      <c r="K372">
        <v>0.31819999999999998</v>
      </c>
      <c r="L372">
        <v>0.32</v>
      </c>
      <c r="M372">
        <v>0.4627</v>
      </c>
      <c r="N372">
        <v>58</v>
      </c>
      <c r="O372">
        <v>94</v>
      </c>
      <c r="P372">
        <v>152</v>
      </c>
    </row>
    <row r="373" spans="1:16">
      <c r="A373">
        <v>982</v>
      </c>
      <c r="B373" s="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c r="A374">
        <v>983</v>
      </c>
      <c r="B374" s="1">
        <v>40587</v>
      </c>
      <c r="C374">
        <v>1</v>
      </c>
      <c r="D374">
        <v>0</v>
      </c>
      <c r="E374">
        <v>2</v>
      </c>
      <c r="F374">
        <v>14</v>
      </c>
      <c r="G374" t="b">
        <v>0</v>
      </c>
      <c r="H374">
        <v>0</v>
      </c>
      <c r="I374">
        <v>2</v>
      </c>
      <c r="J374">
        <v>0.4</v>
      </c>
      <c r="K374">
        <v>0.40910000000000002</v>
      </c>
      <c r="L374">
        <v>0.3</v>
      </c>
      <c r="M374">
        <v>0.41789999999999999</v>
      </c>
      <c r="N374">
        <v>51</v>
      </c>
      <c r="O374">
        <v>110</v>
      </c>
      <c r="P374">
        <v>161</v>
      </c>
    </row>
    <row r="375" spans="1:16">
      <c r="A375">
        <v>984</v>
      </c>
      <c r="B375" s="1">
        <v>40587</v>
      </c>
      <c r="C375">
        <v>1</v>
      </c>
      <c r="D375">
        <v>0</v>
      </c>
      <c r="E375">
        <v>2</v>
      </c>
      <c r="F375">
        <v>15</v>
      </c>
      <c r="G375" t="b">
        <v>0</v>
      </c>
      <c r="H375">
        <v>0</v>
      </c>
      <c r="I375">
        <v>2</v>
      </c>
      <c r="J375">
        <v>0.4</v>
      </c>
      <c r="K375">
        <v>0.40910000000000002</v>
      </c>
      <c r="L375">
        <v>0.3</v>
      </c>
      <c r="M375">
        <v>0.29849999999999999</v>
      </c>
      <c r="N375">
        <v>40</v>
      </c>
      <c r="O375">
        <v>122</v>
      </c>
      <c r="P375">
        <v>162</v>
      </c>
    </row>
    <row r="376" spans="1:16">
      <c r="A376">
        <v>985</v>
      </c>
      <c r="B376" s="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c r="A377">
        <v>986</v>
      </c>
      <c r="B377" s="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c r="A378">
        <v>987</v>
      </c>
      <c r="B378" s="1">
        <v>40587</v>
      </c>
      <c r="C378">
        <v>1</v>
      </c>
      <c r="D378">
        <v>0</v>
      </c>
      <c r="E378">
        <v>2</v>
      </c>
      <c r="F378">
        <v>18</v>
      </c>
      <c r="G378" t="b">
        <v>0</v>
      </c>
      <c r="H378">
        <v>0</v>
      </c>
      <c r="I378">
        <v>1</v>
      </c>
      <c r="J378">
        <v>0.4</v>
      </c>
      <c r="K378">
        <v>0.40910000000000002</v>
      </c>
      <c r="L378">
        <v>0.32</v>
      </c>
      <c r="M378">
        <v>0.29849999999999999</v>
      </c>
      <c r="N378">
        <v>17</v>
      </c>
      <c r="O378">
        <v>78</v>
      </c>
      <c r="P378">
        <v>95</v>
      </c>
    </row>
    <row r="379" spans="1:16">
      <c r="A379">
        <v>988</v>
      </c>
      <c r="B379" s="1">
        <v>40587</v>
      </c>
      <c r="C379">
        <v>1</v>
      </c>
      <c r="D379">
        <v>0</v>
      </c>
      <c r="E379">
        <v>2</v>
      </c>
      <c r="F379">
        <v>19</v>
      </c>
      <c r="G379" t="b">
        <v>0</v>
      </c>
      <c r="H379">
        <v>0</v>
      </c>
      <c r="I379">
        <v>1</v>
      </c>
      <c r="J379">
        <v>0.4</v>
      </c>
      <c r="K379">
        <v>0.40910000000000002</v>
      </c>
      <c r="L379">
        <v>0.35</v>
      </c>
      <c r="M379">
        <v>0.28360000000000002</v>
      </c>
      <c r="N379">
        <v>11</v>
      </c>
      <c r="O379">
        <v>50</v>
      </c>
      <c r="P379">
        <v>61</v>
      </c>
    </row>
    <row r="380" spans="1:16">
      <c r="A380">
        <v>989</v>
      </c>
      <c r="B380" s="1">
        <v>40587</v>
      </c>
      <c r="C380">
        <v>1</v>
      </c>
      <c r="D380">
        <v>0</v>
      </c>
      <c r="E380">
        <v>2</v>
      </c>
      <c r="F380">
        <v>20</v>
      </c>
      <c r="G380" t="b">
        <v>0</v>
      </c>
      <c r="H380">
        <v>0</v>
      </c>
      <c r="I380">
        <v>1</v>
      </c>
      <c r="J380">
        <v>0.4</v>
      </c>
      <c r="K380">
        <v>0.40910000000000002</v>
      </c>
      <c r="L380">
        <v>0.35</v>
      </c>
      <c r="M380">
        <v>0.32840000000000003</v>
      </c>
      <c r="N380">
        <v>15</v>
      </c>
      <c r="O380">
        <v>32</v>
      </c>
      <c r="P380">
        <v>47</v>
      </c>
    </row>
    <row r="381" spans="1:16">
      <c r="A381">
        <v>990</v>
      </c>
      <c r="B381" s="1">
        <v>40587</v>
      </c>
      <c r="C381">
        <v>1</v>
      </c>
      <c r="D381">
        <v>0</v>
      </c>
      <c r="E381">
        <v>2</v>
      </c>
      <c r="F381">
        <v>21</v>
      </c>
      <c r="G381" t="b">
        <v>0</v>
      </c>
      <c r="H381">
        <v>0</v>
      </c>
      <c r="I381">
        <v>1</v>
      </c>
      <c r="J381">
        <v>0.4</v>
      </c>
      <c r="K381">
        <v>0.40910000000000002</v>
      </c>
      <c r="L381">
        <v>0.35</v>
      </c>
      <c r="M381">
        <v>0.35820000000000002</v>
      </c>
      <c r="N381">
        <v>6</v>
      </c>
      <c r="O381">
        <v>45</v>
      </c>
      <c r="P381">
        <v>51</v>
      </c>
    </row>
    <row r="382" spans="1:16">
      <c r="A382">
        <v>991</v>
      </c>
      <c r="B382" s="1">
        <v>40587</v>
      </c>
      <c r="C382">
        <v>1</v>
      </c>
      <c r="D382">
        <v>0</v>
      </c>
      <c r="E382">
        <v>2</v>
      </c>
      <c r="F382">
        <v>22</v>
      </c>
      <c r="G382" t="b">
        <v>0</v>
      </c>
      <c r="H382">
        <v>0</v>
      </c>
      <c r="I382">
        <v>1</v>
      </c>
      <c r="J382">
        <v>0.4</v>
      </c>
      <c r="K382">
        <v>0.40910000000000002</v>
      </c>
      <c r="L382">
        <v>0.35</v>
      </c>
      <c r="M382">
        <v>0.29849999999999999</v>
      </c>
      <c r="N382">
        <v>5</v>
      </c>
      <c r="O382">
        <v>31</v>
      </c>
      <c r="P382">
        <v>36</v>
      </c>
    </row>
    <row r="383" spans="1:16">
      <c r="A383">
        <v>992</v>
      </c>
      <c r="B383" s="1">
        <v>40587</v>
      </c>
      <c r="C383">
        <v>1</v>
      </c>
      <c r="D383">
        <v>0</v>
      </c>
      <c r="E383">
        <v>2</v>
      </c>
      <c r="F383">
        <v>23</v>
      </c>
      <c r="G383" t="b">
        <v>0</v>
      </c>
      <c r="H383">
        <v>0</v>
      </c>
      <c r="I383">
        <v>1</v>
      </c>
      <c r="J383">
        <v>0.4</v>
      </c>
      <c r="K383">
        <v>0.40910000000000002</v>
      </c>
      <c r="L383">
        <v>0.35</v>
      </c>
      <c r="M383">
        <v>0.35820000000000002</v>
      </c>
      <c r="N383">
        <v>3</v>
      </c>
      <c r="O383">
        <v>27</v>
      </c>
      <c r="P383">
        <v>30</v>
      </c>
    </row>
    <row r="384" spans="1:16">
      <c r="A384">
        <v>993</v>
      </c>
      <c r="B384" s="1">
        <v>40588</v>
      </c>
      <c r="C384">
        <v>1</v>
      </c>
      <c r="D384">
        <v>0</v>
      </c>
      <c r="E384">
        <v>2</v>
      </c>
      <c r="F384">
        <v>0</v>
      </c>
      <c r="G384" t="b">
        <v>0</v>
      </c>
      <c r="H384">
        <v>1</v>
      </c>
      <c r="I384">
        <v>1</v>
      </c>
      <c r="J384">
        <v>0.38</v>
      </c>
      <c r="K384">
        <v>0.39389999999999997</v>
      </c>
      <c r="L384">
        <v>0.37</v>
      </c>
      <c r="M384">
        <v>0.35820000000000002</v>
      </c>
      <c r="N384">
        <v>3</v>
      </c>
      <c r="O384">
        <v>8</v>
      </c>
      <c r="P384">
        <v>11</v>
      </c>
    </row>
    <row r="385" spans="1:16">
      <c r="A385">
        <v>994</v>
      </c>
      <c r="B385" s="1">
        <v>40588</v>
      </c>
      <c r="C385">
        <v>1</v>
      </c>
      <c r="D385">
        <v>0</v>
      </c>
      <c r="E385">
        <v>2</v>
      </c>
      <c r="F385">
        <v>1</v>
      </c>
      <c r="G385" t="b">
        <v>0</v>
      </c>
      <c r="H385">
        <v>1</v>
      </c>
      <c r="I385">
        <v>1</v>
      </c>
      <c r="J385">
        <v>0.38</v>
      </c>
      <c r="K385">
        <v>0.39389999999999997</v>
      </c>
      <c r="L385">
        <v>0.37</v>
      </c>
      <c r="M385">
        <v>0.35820000000000002</v>
      </c>
      <c r="N385">
        <v>1</v>
      </c>
      <c r="O385">
        <v>6</v>
      </c>
      <c r="P385">
        <v>7</v>
      </c>
    </row>
    <row r="386" spans="1:16">
      <c r="A386">
        <v>995</v>
      </c>
      <c r="B386" s="1">
        <v>40588</v>
      </c>
      <c r="C386">
        <v>1</v>
      </c>
      <c r="D386">
        <v>0</v>
      </c>
      <c r="E386">
        <v>2</v>
      </c>
      <c r="F386">
        <v>2</v>
      </c>
      <c r="G386" t="b">
        <v>0</v>
      </c>
      <c r="H386">
        <v>1</v>
      </c>
      <c r="I386">
        <v>1</v>
      </c>
      <c r="J386">
        <v>0.36</v>
      </c>
      <c r="K386">
        <v>0.33329999999999999</v>
      </c>
      <c r="L386">
        <v>0.4</v>
      </c>
      <c r="M386">
        <v>0.29849999999999999</v>
      </c>
      <c r="N386">
        <v>0</v>
      </c>
      <c r="O386">
        <v>2</v>
      </c>
      <c r="P386">
        <v>2</v>
      </c>
    </row>
    <row r="387" spans="1:16">
      <c r="A387">
        <v>996</v>
      </c>
      <c r="B387" s="1">
        <v>40588</v>
      </c>
      <c r="C387">
        <v>1</v>
      </c>
      <c r="D387">
        <v>0</v>
      </c>
      <c r="E387">
        <v>2</v>
      </c>
      <c r="F387">
        <v>3</v>
      </c>
      <c r="G387" t="b">
        <v>0</v>
      </c>
      <c r="H387">
        <v>1</v>
      </c>
      <c r="I387">
        <v>1</v>
      </c>
      <c r="J387">
        <v>0.34</v>
      </c>
      <c r="K387">
        <v>0.31819999999999998</v>
      </c>
      <c r="L387">
        <v>0.46</v>
      </c>
      <c r="M387">
        <v>0.22389999999999999</v>
      </c>
      <c r="N387">
        <v>1</v>
      </c>
      <c r="O387">
        <v>1</v>
      </c>
      <c r="P387">
        <v>2</v>
      </c>
    </row>
    <row r="388" spans="1:16">
      <c r="A388">
        <v>997</v>
      </c>
      <c r="B388" s="1">
        <v>40588</v>
      </c>
      <c r="C388">
        <v>1</v>
      </c>
      <c r="D388">
        <v>0</v>
      </c>
      <c r="E388">
        <v>2</v>
      </c>
      <c r="F388">
        <v>4</v>
      </c>
      <c r="G388" t="b">
        <v>0</v>
      </c>
      <c r="H388">
        <v>1</v>
      </c>
      <c r="I388">
        <v>1</v>
      </c>
      <c r="J388">
        <v>0.32</v>
      </c>
      <c r="K388">
        <v>0.30299999999999999</v>
      </c>
      <c r="L388">
        <v>0.53</v>
      </c>
      <c r="M388">
        <v>0.28360000000000002</v>
      </c>
      <c r="N388">
        <v>0</v>
      </c>
      <c r="O388">
        <v>2</v>
      </c>
      <c r="P388">
        <v>2</v>
      </c>
    </row>
    <row r="389" spans="1:16">
      <c r="A389">
        <v>998</v>
      </c>
      <c r="B389" s="1">
        <v>40588</v>
      </c>
      <c r="C389">
        <v>1</v>
      </c>
      <c r="D389">
        <v>0</v>
      </c>
      <c r="E389">
        <v>2</v>
      </c>
      <c r="F389">
        <v>5</v>
      </c>
      <c r="G389" t="b">
        <v>0</v>
      </c>
      <c r="H389">
        <v>1</v>
      </c>
      <c r="I389">
        <v>1</v>
      </c>
      <c r="J389">
        <v>0.32</v>
      </c>
      <c r="K389">
        <v>0.30299999999999999</v>
      </c>
      <c r="L389">
        <v>0.53</v>
      </c>
      <c r="M389">
        <v>0.28360000000000002</v>
      </c>
      <c r="N389">
        <v>0</v>
      </c>
      <c r="O389">
        <v>3</v>
      </c>
      <c r="P389">
        <v>3</v>
      </c>
    </row>
    <row r="390" spans="1:16">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50EE9-9C0C-46D6-8FF4-A9154F0CC2D6}">
  <dimension ref="A1:P611"/>
  <sheetViews>
    <sheetView workbookViewId="0">
      <selection activeCell="P6" sqref="P6"/>
    </sheetView>
  </sheetViews>
  <sheetFormatPr defaultRowHeight="14.4"/>
  <cols>
    <col min="1" max="1" width="11.21875" bestFit="1" customWidth="1"/>
    <col min="2" max="2" width="11.33203125" bestFit="1" customWidth="1"/>
    <col min="3" max="3" width="11.21875" bestFit="1" customWidth="1"/>
    <col min="4" max="4" width="7.109375" bestFit="1" customWidth="1"/>
    <col min="5" max="5" width="10" bestFit="1" customWidth="1"/>
    <col min="6" max="6" width="7.21875" bestFit="1" customWidth="1"/>
    <col min="7" max="7" width="11.6640625" bestFit="1" customWidth="1"/>
    <col min="8" max="8" width="13" bestFit="1" customWidth="1"/>
    <col min="9" max="9" width="14.21875" bestFit="1" customWidth="1"/>
    <col min="10" max="10" width="9.8867187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7.5546875" bestFit="1" customWidth="1"/>
    <col min="18" max="18" width="16" bestFit="1" customWidth="1"/>
    <col min="19" max="19" width="21.33203125" bestFit="1" customWidth="1"/>
    <col min="20" max="20" width="17.33203125" bestFit="1" customWidth="1"/>
    <col min="21" max="21" width="20.5546875" bestFit="1" customWidth="1"/>
    <col min="22" max="22" width="14.6640625" bestFit="1" customWidth="1"/>
  </cols>
  <sheetData>
    <row r="1" spans="1:16">
      <c r="A1" s="2" t="s">
        <v>0</v>
      </c>
      <c r="B1" s="2" t="s">
        <v>1</v>
      </c>
      <c r="C1" s="2" t="s">
        <v>2</v>
      </c>
      <c r="D1" s="2" t="s">
        <v>3</v>
      </c>
      <c r="E1" s="2" t="s">
        <v>4</v>
      </c>
      <c r="F1" s="2" t="s">
        <v>5</v>
      </c>
      <c r="G1" s="2" t="s">
        <v>6</v>
      </c>
      <c r="H1" s="2" t="s">
        <v>7</v>
      </c>
      <c r="I1" s="2" t="s">
        <v>8</v>
      </c>
      <c r="J1" s="2" t="s">
        <v>9</v>
      </c>
      <c r="K1" t="s">
        <v>10</v>
      </c>
      <c r="L1" t="s">
        <v>11</v>
      </c>
      <c r="M1" t="s">
        <v>12</v>
      </c>
      <c r="N1" t="s">
        <v>13</v>
      </c>
      <c r="O1" t="s">
        <v>14</v>
      </c>
      <c r="P1" t="s">
        <v>15</v>
      </c>
    </row>
    <row r="2" spans="1:16">
      <c r="A2">
        <v>1</v>
      </c>
      <c r="B2" s="1">
        <v>40544</v>
      </c>
      <c r="C2">
        <v>1</v>
      </c>
      <c r="D2">
        <v>0</v>
      </c>
      <c r="E2">
        <v>1</v>
      </c>
      <c r="F2">
        <v>0</v>
      </c>
      <c r="G2" t="b">
        <v>0</v>
      </c>
      <c r="H2">
        <v>6</v>
      </c>
      <c r="I2">
        <v>1</v>
      </c>
      <c r="J2">
        <v>0.24</v>
      </c>
      <c r="K2">
        <v>0.28789999999999999</v>
      </c>
      <c r="L2">
        <v>0.81</v>
      </c>
      <c r="M2">
        <v>0</v>
      </c>
      <c r="N2">
        <v>3</v>
      </c>
      <c r="O2">
        <v>13</v>
      </c>
      <c r="P2">
        <v>16</v>
      </c>
    </row>
    <row r="3" spans="1:16">
      <c r="A3">
        <v>2</v>
      </c>
      <c r="B3" s="1">
        <v>40544</v>
      </c>
      <c r="C3">
        <v>1</v>
      </c>
      <c r="D3">
        <v>0</v>
      </c>
      <c r="E3">
        <v>1</v>
      </c>
      <c r="F3">
        <v>1</v>
      </c>
      <c r="G3" t="b">
        <v>0</v>
      </c>
      <c r="H3">
        <v>6</v>
      </c>
      <c r="I3">
        <v>1</v>
      </c>
      <c r="J3">
        <v>0.22</v>
      </c>
      <c r="K3">
        <v>0.2727</v>
      </c>
      <c r="L3">
        <v>0.8</v>
      </c>
      <c r="M3">
        <v>0</v>
      </c>
      <c r="N3">
        <v>8</v>
      </c>
      <c r="O3">
        <v>32</v>
      </c>
      <c r="P3">
        <v>40</v>
      </c>
    </row>
    <row r="4" spans="1:16">
      <c r="A4">
        <v>3</v>
      </c>
      <c r="B4" s="1">
        <v>40544</v>
      </c>
      <c r="C4">
        <v>1</v>
      </c>
      <c r="D4">
        <v>0</v>
      </c>
      <c r="E4">
        <v>1</v>
      </c>
      <c r="F4">
        <v>2</v>
      </c>
      <c r="G4" t="b">
        <v>0</v>
      </c>
      <c r="H4">
        <v>6</v>
      </c>
      <c r="I4">
        <v>1</v>
      </c>
      <c r="J4">
        <v>0.22</v>
      </c>
      <c r="K4">
        <v>0.2727</v>
      </c>
      <c r="L4">
        <v>0.8</v>
      </c>
      <c r="M4">
        <v>0</v>
      </c>
      <c r="N4">
        <v>5</v>
      </c>
      <c r="O4">
        <v>27</v>
      </c>
      <c r="P4">
        <v>32</v>
      </c>
    </row>
    <row r="5" spans="1:16">
      <c r="A5">
        <v>4</v>
      </c>
      <c r="B5" s="1">
        <v>40544</v>
      </c>
      <c r="C5">
        <v>1</v>
      </c>
      <c r="D5">
        <v>0</v>
      </c>
      <c r="E5">
        <v>1</v>
      </c>
      <c r="F5">
        <v>3</v>
      </c>
      <c r="G5" t="b">
        <v>0</v>
      </c>
      <c r="H5">
        <v>6</v>
      </c>
      <c r="I5">
        <v>1</v>
      </c>
      <c r="J5">
        <v>0.24</v>
      </c>
      <c r="K5">
        <v>0.28789999999999999</v>
      </c>
      <c r="L5">
        <v>0.75</v>
      </c>
      <c r="M5">
        <v>0</v>
      </c>
      <c r="N5">
        <v>3</v>
      </c>
      <c r="O5">
        <v>10</v>
      </c>
      <c r="P5">
        <v>13</v>
      </c>
    </row>
    <row r="6" spans="1:16">
      <c r="A6">
        <v>5</v>
      </c>
      <c r="B6" s="1">
        <v>40544</v>
      </c>
      <c r="C6">
        <v>1</v>
      </c>
      <c r="D6">
        <v>0</v>
      </c>
      <c r="E6">
        <v>1</v>
      </c>
      <c r="F6">
        <v>4</v>
      </c>
      <c r="G6" t="b">
        <v>0</v>
      </c>
      <c r="H6">
        <v>6</v>
      </c>
      <c r="I6">
        <v>1</v>
      </c>
      <c r="J6">
        <v>0.24</v>
      </c>
      <c r="K6">
        <v>0.28789999999999999</v>
      </c>
      <c r="L6">
        <v>0.75</v>
      </c>
      <c r="M6">
        <v>0</v>
      </c>
      <c r="N6">
        <v>0</v>
      </c>
      <c r="O6">
        <v>1</v>
      </c>
      <c r="P6">
        <v>1</v>
      </c>
    </row>
    <row r="7" spans="1:16">
      <c r="A7">
        <v>6</v>
      </c>
      <c r="B7" s="1">
        <v>40544</v>
      </c>
      <c r="C7">
        <v>1</v>
      </c>
      <c r="D7">
        <v>0</v>
      </c>
      <c r="E7">
        <v>1</v>
      </c>
      <c r="F7">
        <v>5</v>
      </c>
      <c r="G7" t="b">
        <v>0</v>
      </c>
      <c r="H7">
        <v>6</v>
      </c>
      <c r="I7">
        <v>2</v>
      </c>
      <c r="J7">
        <v>0.24</v>
      </c>
      <c r="K7">
        <v>0.2576</v>
      </c>
      <c r="L7">
        <v>0.75</v>
      </c>
      <c r="M7">
        <v>8.9599999999999999E-2</v>
      </c>
      <c r="N7">
        <v>0</v>
      </c>
      <c r="O7">
        <v>1</v>
      </c>
      <c r="P7">
        <v>1</v>
      </c>
    </row>
    <row r="8" spans="1:16">
      <c r="A8">
        <v>7</v>
      </c>
      <c r="B8" s="1">
        <v>40544</v>
      </c>
      <c r="C8">
        <v>1</v>
      </c>
      <c r="D8">
        <v>0</v>
      </c>
      <c r="E8">
        <v>1</v>
      </c>
      <c r="F8">
        <v>6</v>
      </c>
      <c r="G8" t="b">
        <v>0</v>
      </c>
      <c r="H8">
        <v>6</v>
      </c>
      <c r="I8">
        <v>1</v>
      </c>
      <c r="J8">
        <v>0.22</v>
      </c>
      <c r="K8">
        <v>0.2727</v>
      </c>
      <c r="L8">
        <v>0.8</v>
      </c>
      <c r="M8">
        <v>0</v>
      </c>
      <c r="N8">
        <v>2</v>
      </c>
      <c r="O8">
        <v>0</v>
      </c>
      <c r="P8">
        <v>2</v>
      </c>
    </row>
    <row r="9" spans="1:16">
      <c r="A9">
        <v>8</v>
      </c>
      <c r="B9" s="1">
        <v>40544</v>
      </c>
      <c r="C9">
        <v>1</v>
      </c>
      <c r="D9">
        <v>0</v>
      </c>
      <c r="E9">
        <v>1</v>
      </c>
      <c r="F9">
        <v>7</v>
      </c>
      <c r="G9" t="b">
        <v>0</v>
      </c>
      <c r="H9">
        <v>6</v>
      </c>
      <c r="I9">
        <v>1</v>
      </c>
      <c r="J9">
        <v>0.2</v>
      </c>
      <c r="K9">
        <v>0.2576</v>
      </c>
      <c r="L9">
        <v>0.86</v>
      </c>
      <c r="M9">
        <v>0</v>
      </c>
      <c r="N9">
        <v>1</v>
      </c>
      <c r="O9">
        <v>2</v>
      </c>
      <c r="P9">
        <v>3</v>
      </c>
    </row>
    <row r="10" spans="1:16">
      <c r="A10">
        <v>9</v>
      </c>
      <c r="B10" s="1">
        <v>40544</v>
      </c>
      <c r="C10">
        <v>1</v>
      </c>
      <c r="D10">
        <v>0</v>
      </c>
      <c r="E10">
        <v>1</v>
      </c>
      <c r="F10">
        <v>8</v>
      </c>
      <c r="G10" t="b">
        <v>0</v>
      </c>
      <c r="H10">
        <v>6</v>
      </c>
      <c r="I10">
        <v>1</v>
      </c>
      <c r="J10">
        <v>0.24</v>
      </c>
      <c r="L10">
        <v>0.75</v>
      </c>
      <c r="M10">
        <v>0</v>
      </c>
      <c r="N10">
        <v>1</v>
      </c>
      <c r="O10">
        <v>7</v>
      </c>
      <c r="P10">
        <v>8</v>
      </c>
    </row>
    <row r="11" spans="1:16">
      <c r="A11">
        <v>10</v>
      </c>
      <c r="B11" s="1">
        <v>40544</v>
      </c>
      <c r="C11">
        <v>1</v>
      </c>
      <c r="D11">
        <v>0</v>
      </c>
      <c r="E11">
        <v>1</v>
      </c>
      <c r="F11">
        <v>9</v>
      </c>
      <c r="G11" t="b">
        <v>0</v>
      </c>
      <c r="H11">
        <v>6</v>
      </c>
      <c r="I11">
        <v>1</v>
      </c>
      <c r="J11">
        <v>0.32</v>
      </c>
      <c r="K11">
        <v>0.34849999999999998</v>
      </c>
      <c r="L11">
        <v>0.76</v>
      </c>
      <c r="M11">
        <v>0</v>
      </c>
      <c r="N11">
        <v>8</v>
      </c>
      <c r="O11">
        <v>6</v>
      </c>
      <c r="P11">
        <v>14</v>
      </c>
    </row>
    <row r="12" spans="1:16">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c r="A19">
        <v>18</v>
      </c>
      <c r="B19" s="1">
        <v>40544</v>
      </c>
      <c r="C19">
        <v>1</v>
      </c>
      <c r="D19">
        <v>0</v>
      </c>
      <c r="E19">
        <v>1</v>
      </c>
      <c r="F19">
        <v>17</v>
      </c>
      <c r="G19" t="b">
        <v>0</v>
      </c>
      <c r="H19">
        <v>6</v>
      </c>
      <c r="I19">
        <v>2</v>
      </c>
      <c r="J19">
        <v>0.44</v>
      </c>
      <c r="L19">
        <v>0.82</v>
      </c>
      <c r="M19">
        <v>0.28360000000000002</v>
      </c>
      <c r="N19">
        <v>15</v>
      </c>
      <c r="O19">
        <v>52</v>
      </c>
      <c r="P19">
        <v>67</v>
      </c>
    </row>
    <row r="20" spans="1:16">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c r="A25">
        <v>24</v>
      </c>
      <c r="B25" s="1">
        <v>40544</v>
      </c>
      <c r="C25">
        <v>1</v>
      </c>
      <c r="D25">
        <v>0</v>
      </c>
      <c r="E25">
        <v>1</v>
      </c>
      <c r="F25">
        <v>23</v>
      </c>
      <c r="G25" t="b">
        <v>0</v>
      </c>
      <c r="H25">
        <v>6</v>
      </c>
      <c r="I25">
        <v>2</v>
      </c>
      <c r="J25">
        <v>0.46</v>
      </c>
      <c r="L25">
        <v>0.88</v>
      </c>
      <c r="M25">
        <v>0.29849999999999999</v>
      </c>
      <c r="N25">
        <v>15</v>
      </c>
      <c r="O25">
        <v>24</v>
      </c>
      <c r="P25">
        <v>39</v>
      </c>
    </row>
    <row r="26" spans="1:16">
      <c r="A26">
        <v>25</v>
      </c>
      <c r="B26" s="1">
        <v>40545</v>
      </c>
      <c r="C26">
        <v>1</v>
      </c>
      <c r="D26">
        <v>0</v>
      </c>
      <c r="E26">
        <v>1</v>
      </c>
      <c r="F26">
        <v>0</v>
      </c>
      <c r="G26" t="b">
        <v>0</v>
      </c>
      <c r="H26">
        <v>0</v>
      </c>
      <c r="I26">
        <v>2</v>
      </c>
      <c r="J26">
        <v>0.46</v>
      </c>
      <c r="K26">
        <v>0.45450000000000002</v>
      </c>
      <c r="L26">
        <v>0.88</v>
      </c>
      <c r="M26">
        <v>0.29849999999999999</v>
      </c>
      <c r="N26">
        <v>4</v>
      </c>
      <c r="O26">
        <v>13</v>
      </c>
      <c r="P26">
        <v>17</v>
      </c>
    </row>
    <row r="27" spans="1:16">
      <c r="A27">
        <v>26</v>
      </c>
      <c r="B27" s="1">
        <v>40545</v>
      </c>
      <c r="C27">
        <v>1</v>
      </c>
      <c r="D27">
        <v>0</v>
      </c>
      <c r="E27">
        <v>1</v>
      </c>
      <c r="F27">
        <v>1</v>
      </c>
      <c r="G27" t="b">
        <v>0</v>
      </c>
      <c r="H27">
        <v>0</v>
      </c>
      <c r="I27">
        <v>2</v>
      </c>
      <c r="J27">
        <v>0.44</v>
      </c>
      <c r="K27">
        <v>0.43940000000000001</v>
      </c>
      <c r="L27">
        <v>0.94</v>
      </c>
      <c r="M27">
        <v>0.25369999999999998</v>
      </c>
      <c r="N27">
        <v>1</v>
      </c>
      <c r="O27">
        <v>16</v>
      </c>
      <c r="P27">
        <v>17</v>
      </c>
    </row>
    <row r="28" spans="1:16">
      <c r="A28">
        <v>27</v>
      </c>
      <c r="B28" s="1">
        <v>40545</v>
      </c>
      <c r="C28">
        <v>1</v>
      </c>
      <c r="D28">
        <v>0</v>
      </c>
      <c r="E28">
        <v>1</v>
      </c>
      <c r="F28">
        <v>2</v>
      </c>
      <c r="G28" t="b">
        <v>0</v>
      </c>
      <c r="H28">
        <v>0</v>
      </c>
      <c r="I28">
        <v>2</v>
      </c>
      <c r="J28">
        <v>0.42</v>
      </c>
      <c r="K28">
        <v>0.42420000000000002</v>
      </c>
      <c r="L28">
        <v>1</v>
      </c>
      <c r="M28">
        <v>0.28360000000000002</v>
      </c>
      <c r="N28">
        <v>1</v>
      </c>
      <c r="O28">
        <v>8</v>
      </c>
      <c r="P28">
        <v>9</v>
      </c>
    </row>
    <row r="29" spans="1:16">
      <c r="A29">
        <v>28</v>
      </c>
      <c r="B29" s="1">
        <v>40545</v>
      </c>
      <c r="C29">
        <v>1</v>
      </c>
      <c r="D29">
        <v>0</v>
      </c>
      <c r="E29">
        <v>1</v>
      </c>
      <c r="F29">
        <v>3</v>
      </c>
      <c r="G29" t="b">
        <v>0</v>
      </c>
      <c r="H29">
        <v>0</v>
      </c>
      <c r="I29">
        <v>2</v>
      </c>
      <c r="J29">
        <v>0.46</v>
      </c>
      <c r="K29">
        <v>0.45450000000000002</v>
      </c>
      <c r="L29">
        <v>0.94</v>
      </c>
      <c r="M29">
        <v>0.19400000000000001</v>
      </c>
      <c r="N29">
        <v>2</v>
      </c>
      <c r="O29">
        <v>4</v>
      </c>
      <c r="P29">
        <v>6</v>
      </c>
    </row>
    <row r="30" spans="1:16">
      <c r="A30">
        <v>29</v>
      </c>
      <c r="B30" s="1">
        <v>40545</v>
      </c>
      <c r="C30">
        <v>1</v>
      </c>
      <c r="D30">
        <v>0</v>
      </c>
      <c r="E30">
        <v>1</v>
      </c>
      <c r="F30">
        <v>4</v>
      </c>
      <c r="G30" t="b">
        <v>0</v>
      </c>
      <c r="H30">
        <v>0</v>
      </c>
      <c r="I30">
        <v>2</v>
      </c>
      <c r="J30">
        <v>0.46</v>
      </c>
      <c r="L30">
        <v>0.94</v>
      </c>
      <c r="M30">
        <v>0.19400000000000001</v>
      </c>
      <c r="N30">
        <v>2</v>
      </c>
      <c r="O30">
        <v>1</v>
      </c>
      <c r="P30">
        <v>3</v>
      </c>
    </row>
    <row r="31" spans="1:16">
      <c r="A31">
        <v>30</v>
      </c>
      <c r="B31" s="1">
        <v>40545</v>
      </c>
      <c r="C31">
        <v>1</v>
      </c>
      <c r="D31">
        <v>0</v>
      </c>
      <c r="E31">
        <v>1</v>
      </c>
      <c r="F31">
        <v>6</v>
      </c>
      <c r="G31" t="b">
        <v>0</v>
      </c>
      <c r="H31">
        <v>0</v>
      </c>
      <c r="I31">
        <v>3</v>
      </c>
      <c r="J31">
        <v>0.42</v>
      </c>
      <c r="K31">
        <v>0.42420000000000002</v>
      </c>
      <c r="L31">
        <v>0.77</v>
      </c>
      <c r="M31">
        <v>0.29849999999999999</v>
      </c>
      <c r="N31">
        <v>0</v>
      </c>
      <c r="O31">
        <v>2</v>
      </c>
      <c r="P31">
        <v>2</v>
      </c>
    </row>
    <row r="32" spans="1:16">
      <c r="A32">
        <v>31</v>
      </c>
      <c r="B32" s="1">
        <v>40545</v>
      </c>
      <c r="C32">
        <v>1</v>
      </c>
      <c r="D32">
        <v>0</v>
      </c>
      <c r="E32">
        <v>1</v>
      </c>
      <c r="F32">
        <v>7</v>
      </c>
      <c r="G32" t="b">
        <v>0</v>
      </c>
      <c r="H32">
        <v>0</v>
      </c>
      <c r="I32">
        <v>2</v>
      </c>
      <c r="J32">
        <v>0.4</v>
      </c>
      <c r="K32">
        <v>0.40910000000000002</v>
      </c>
      <c r="L32">
        <v>0.76</v>
      </c>
      <c r="M32">
        <v>0.19400000000000001</v>
      </c>
      <c r="N32">
        <v>0</v>
      </c>
      <c r="O32">
        <v>1</v>
      </c>
      <c r="P32">
        <v>1</v>
      </c>
    </row>
    <row r="33" spans="1:16">
      <c r="A33">
        <v>32</v>
      </c>
      <c r="B33" s="1">
        <v>40545</v>
      </c>
      <c r="C33">
        <v>1</v>
      </c>
      <c r="D33">
        <v>0</v>
      </c>
      <c r="E33">
        <v>1</v>
      </c>
      <c r="F33">
        <v>8</v>
      </c>
      <c r="G33" t="b">
        <v>0</v>
      </c>
      <c r="H33">
        <v>0</v>
      </c>
      <c r="I33">
        <v>3</v>
      </c>
      <c r="J33">
        <v>0.4</v>
      </c>
      <c r="K33">
        <v>0.40910000000000002</v>
      </c>
      <c r="L33">
        <v>0.71</v>
      </c>
      <c r="M33">
        <v>0.22389999999999999</v>
      </c>
      <c r="N33">
        <v>0</v>
      </c>
      <c r="O33">
        <v>8</v>
      </c>
      <c r="P33">
        <v>8</v>
      </c>
    </row>
    <row r="34" spans="1:16">
      <c r="A34">
        <v>33</v>
      </c>
      <c r="B34" s="1">
        <v>40545</v>
      </c>
      <c r="C34">
        <v>1</v>
      </c>
      <c r="D34">
        <v>0</v>
      </c>
      <c r="E34">
        <v>1</v>
      </c>
      <c r="F34">
        <v>9</v>
      </c>
      <c r="G34" t="b">
        <v>0</v>
      </c>
      <c r="H34">
        <v>0</v>
      </c>
      <c r="I34">
        <v>2</v>
      </c>
      <c r="J34">
        <v>0.38</v>
      </c>
      <c r="L34">
        <v>0.76</v>
      </c>
      <c r="M34">
        <v>0.22389999999999999</v>
      </c>
      <c r="N34">
        <v>1</v>
      </c>
      <c r="O34">
        <v>19</v>
      </c>
      <c r="P34">
        <v>20</v>
      </c>
    </row>
    <row r="35" spans="1:16">
      <c r="A35">
        <v>34</v>
      </c>
      <c r="B35" s="1">
        <v>40545</v>
      </c>
      <c r="C35">
        <v>1</v>
      </c>
      <c r="D35">
        <v>0</v>
      </c>
      <c r="E35">
        <v>1</v>
      </c>
      <c r="F35">
        <v>10</v>
      </c>
      <c r="G35" t="b">
        <v>0</v>
      </c>
      <c r="H35">
        <v>0</v>
      </c>
      <c r="I35">
        <v>2</v>
      </c>
      <c r="J35">
        <v>0.36</v>
      </c>
      <c r="K35">
        <v>0.34849999999999998</v>
      </c>
      <c r="L35">
        <v>0.81</v>
      </c>
      <c r="M35">
        <v>0.22389999999999999</v>
      </c>
      <c r="N35">
        <v>7</v>
      </c>
      <c r="O35">
        <v>46</v>
      </c>
      <c r="P35">
        <v>53</v>
      </c>
    </row>
    <row r="36" spans="1:16">
      <c r="A36">
        <v>35</v>
      </c>
      <c r="B36" s="1">
        <v>40545</v>
      </c>
      <c r="C36">
        <v>1</v>
      </c>
      <c r="D36">
        <v>0</v>
      </c>
      <c r="E36">
        <v>1</v>
      </c>
      <c r="F36">
        <v>11</v>
      </c>
      <c r="G36" t="b">
        <v>0</v>
      </c>
      <c r="H36">
        <v>0</v>
      </c>
      <c r="I36">
        <v>2</v>
      </c>
      <c r="J36">
        <v>0.36</v>
      </c>
      <c r="K36">
        <v>0.33329999999999999</v>
      </c>
      <c r="L36">
        <v>0.71</v>
      </c>
      <c r="M36">
        <v>0.25369999999999998</v>
      </c>
      <c r="N36">
        <v>16</v>
      </c>
      <c r="O36">
        <v>54</v>
      </c>
      <c r="P36">
        <v>70</v>
      </c>
    </row>
    <row r="37" spans="1:16">
      <c r="A37">
        <v>36</v>
      </c>
      <c r="B37" s="1">
        <v>40545</v>
      </c>
      <c r="C37">
        <v>1</v>
      </c>
      <c r="D37">
        <v>0</v>
      </c>
      <c r="E37">
        <v>1</v>
      </c>
      <c r="F37">
        <v>12</v>
      </c>
      <c r="G37" t="b">
        <v>0</v>
      </c>
      <c r="H37">
        <v>0</v>
      </c>
      <c r="I37">
        <v>2</v>
      </c>
      <c r="J37">
        <v>0.36</v>
      </c>
      <c r="K37">
        <v>0.33329999999999999</v>
      </c>
      <c r="L37">
        <v>0.66</v>
      </c>
      <c r="M37">
        <v>0.29849999999999999</v>
      </c>
      <c r="N37">
        <v>20</v>
      </c>
      <c r="O37">
        <v>73</v>
      </c>
      <c r="P37">
        <v>93</v>
      </c>
    </row>
    <row r="38" spans="1:16">
      <c r="A38">
        <v>37</v>
      </c>
      <c r="B38" s="1">
        <v>40545</v>
      </c>
      <c r="C38">
        <v>1</v>
      </c>
      <c r="D38">
        <v>0</v>
      </c>
      <c r="E38">
        <v>1</v>
      </c>
      <c r="F38">
        <v>13</v>
      </c>
      <c r="G38" t="b">
        <v>0</v>
      </c>
      <c r="H38">
        <v>0</v>
      </c>
      <c r="I38">
        <v>2</v>
      </c>
      <c r="J38">
        <v>0.36</v>
      </c>
      <c r="K38">
        <v>0.34849999999999998</v>
      </c>
      <c r="L38">
        <v>0.66</v>
      </c>
      <c r="M38">
        <v>0.1343</v>
      </c>
      <c r="N38">
        <v>11</v>
      </c>
      <c r="O38">
        <v>64</v>
      </c>
      <c r="P38">
        <v>75</v>
      </c>
    </row>
    <row r="39" spans="1:16">
      <c r="A39">
        <v>38</v>
      </c>
      <c r="B39" s="1">
        <v>40545</v>
      </c>
      <c r="C39">
        <v>1</v>
      </c>
      <c r="D39">
        <v>0</v>
      </c>
      <c r="E39">
        <v>1</v>
      </c>
      <c r="F39">
        <v>14</v>
      </c>
      <c r="G39" t="b">
        <v>0</v>
      </c>
      <c r="H39">
        <v>0</v>
      </c>
      <c r="I39">
        <v>3</v>
      </c>
      <c r="J39">
        <v>0.36</v>
      </c>
      <c r="L39">
        <v>0.76</v>
      </c>
      <c r="M39">
        <v>0.19400000000000001</v>
      </c>
      <c r="N39">
        <v>4</v>
      </c>
      <c r="O39">
        <v>55</v>
      </c>
      <c r="P39">
        <v>59</v>
      </c>
    </row>
    <row r="40" spans="1:16">
      <c r="A40">
        <v>39</v>
      </c>
      <c r="B40" s="1">
        <v>40545</v>
      </c>
      <c r="C40">
        <v>1</v>
      </c>
      <c r="D40">
        <v>0</v>
      </c>
      <c r="E40">
        <v>1</v>
      </c>
      <c r="F40">
        <v>15</v>
      </c>
      <c r="G40" t="b">
        <v>0</v>
      </c>
      <c r="H40">
        <v>0</v>
      </c>
      <c r="I40">
        <v>3</v>
      </c>
      <c r="J40">
        <v>0.34</v>
      </c>
      <c r="K40">
        <v>0.33329999999999999</v>
      </c>
      <c r="L40">
        <v>0.81</v>
      </c>
      <c r="M40">
        <v>0.16420000000000001</v>
      </c>
      <c r="N40">
        <v>19</v>
      </c>
      <c r="O40">
        <v>55</v>
      </c>
      <c r="P40">
        <v>74</v>
      </c>
    </row>
    <row r="41" spans="1:16">
      <c r="A41">
        <v>40</v>
      </c>
      <c r="B41" s="1">
        <v>40545</v>
      </c>
      <c r="C41">
        <v>1</v>
      </c>
      <c r="D41">
        <v>0</v>
      </c>
      <c r="E41">
        <v>1</v>
      </c>
      <c r="F41">
        <v>16</v>
      </c>
      <c r="G41" t="b">
        <v>0</v>
      </c>
      <c r="H41">
        <v>0</v>
      </c>
      <c r="I41">
        <v>3</v>
      </c>
      <c r="J41">
        <v>0.34</v>
      </c>
      <c r="K41">
        <v>0.33329999999999999</v>
      </c>
      <c r="L41">
        <v>0.71</v>
      </c>
      <c r="M41">
        <v>0.16420000000000001</v>
      </c>
      <c r="N41">
        <v>9</v>
      </c>
      <c r="O41">
        <v>67</v>
      </c>
      <c r="P41">
        <v>76</v>
      </c>
    </row>
    <row r="42" spans="1:16">
      <c r="A42">
        <v>41</v>
      </c>
      <c r="B42" s="1">
        <v>40545</v>
      </c>
      <c r="C42">
        <v>1</v>
      </c>
      <c r="D42">
        <v>0</v>
      </c>
      <c r="E42">
        <v>1</v>
      </c>
      <c r="F42">
        <v>17</v>
      </c>
      <c r="G42" t="b">
        <v>0</v>
      </c>
      <c r="H42">
        <v>0</v>
      </c>
      <c r="I42">
        <v>1</v>
      </c>
      <c r="J42">
        <v>0.34</v>
      </c>
      <c r="K42">
        <v>0.33329999999999999</v>
      </c>
      <c r="L42">
        <v>0.56999999999999995</v>
      </c>
      <c r="M42">
        <v>0.19400000000000001</v>
      </c>
      <c r="N42">
        <v>7</v>
      </c>
      <c r="O42">
        <v>58</v>
      </c>
      <c r="P42">
        <v>65</v>
      </c>
    </row>
    <row r="43" spans="1:16">
      <c r="A43">
        <v>42</v>
      </c>
      <c r="B43" s="1">
        <v>40545</v>
      </c>
      <c r="C43">
        <v>1</v>
      </c>
      <c r="D43">
        <v>0</v>
      </c>
      <c r="E43">
        <v>1</v>
      </c>
      <c r="F43">
        <v>18</v>
      </c>
      <c r="G43" t="b">
        <v>0</v>
      </c>
      <c r="H43">
        <v>0</v>
      </c>
      <c r="I43">
        <v>2</v>
      </c>
      <c r="J43">
        <v>0.36</v>
      </c>
      <c r="K43">
        <v>0.33329999999999999</v>
      </c>
      <c r="L43">
        <v>0.46</v>
      </c>
      <c r="M43">
        <v>0.32840000000000003</v>
      </c>
      <c r="N43">
        <v>10</v>
      </c>
      <c r="O43">
        <v>43</v>
      </c>
      <c r="P43">
        <v>53</v>
      </c>
    </row>
    <row r="44" spans="1:16">
      <c r="A44">
        <v>43</v>
      </c>
      <c r="B44" s="1">
        <v>40545</v>
      </c>
      <c r="C44">
        <v>1</v>
      </c>
      <c r="D44">
        <v>0</v>
      </c>
      <c r="E44">
        <v>1</v>
      </c>
      <c r="F44">
        <v>19</v>
      </c>
      <c r="G44" t="b">
        <v>0</v>
      </c>
      <c r="H44">
        <v>0</v>
      </c>
      <c r="I44">
        <v>1</v>
      </c>
      <c r="J44">
        <v>0.32</v>
      </c>
      <c r="K44">
        <v>0.28789999999999999</v>
      </c>
      <c r="L44">
        <v>0.42</v>
      </c>
      <c r="M44">
        <v>0.44779999999999998</v>
      </c>
      <c r="N44">
        <v>1</v>
      </c>
      <c r="O44">
        <v>29</v>
      </c>
      <c r="P44">
        <v>30</v>
      </c>
    </row>
    <row r="45" spans="1:16">
      <c r="A45">
        <v>44</v>
      </c>
      <c r="B45" s="1">
        <v>40545</v>
      </c>
      <c r="C45">
        <v>1</v>
      </c>
      <c r="D45">
        <v>0</v>
      </c>
      <c r="E45">
        <v>1</v>
      </c>
      <c r="F45">
        <v>20</v>
      </c>
      <c r="G45" t="b">
        <v>0</v>
      </c>
      <c r="H45">
        <v>0</v>
      </c>
      <c r="I45">
        <v>1</v>
      </c>
      <c r="J45">
        <v>0.3</v>
      </c>
      <c r="L45">
        <v>0.39</v>
      </c>
      <c r="M45">
        <v>0.35820000000000002</v>
      </c>
      <c r="N45">
        <v>5</v>
      </c>
      <c r="O45">
        <v>17</v>
      </c>
      <c r="P45">
        <v>22</v>
      </c>
    </row>
    <row r="46" spans="1:16">
      <c r="A46">
        <v>45</v>
      </c>
      <c r="B46" s="1">
        <v>40545</v>
      </c>
      <c r="C46">
        <v>1</v>
      </c>
      <c r="D46">
        <v>0</v>
      </c>
      <c r="E46">
        <v>1</v>
      </c>
      <c r="F46">
        <v>21</v>
      </c>
      <c r="G46" t="b">
        <v>0</v>
      </c>
      <c r="H46">
        <v>0</v>
      </c>
      <c r="I46">
        <v>1</v>
      </c>
      <c r="J46">
        <v>0.26</v>
      </c>
      <c r="K46">
        <v>0.2273</v>
      </c>
      <c r="L46">
        <v>0.44</v>
      </c>
      <c r="M46">
        <v>0.32840000000000003</v>
      </c>
      <c r="N46">
        <v>11</v>
      </c>
      <c r="O46">
        <v>20</v>
      </c>
      <c r="P46">
        <v>31</v>
      </c>
    </row>
    <row r="47" spans="1:16">
      <c r="A47">
        <v>46</v>
      </c>
      <c r="B47" s="1">
        <v>40545</v>
      </c>
      <c r="C47">
        <v>1</v>
      </c>
      <c r="D47">
        <v>0</v>
      </c>
      <c r="E47">
        <v>1</v>
      </c>
      <c r="F47">
        <v>22</v>
      </c>
      <c r="G47" t="b">
        <v>0</v>
      </c>
      <c r="H47">
        <v>0</v>
      </c>
      <c r="I47">
        <v>1</v>
      </c>
      <c r="J47">
        <v>0.24</v>
      </c>
      <c r="K47">
        <v>0.21210000000000001</v>
      </c>
      <c r="L47">
        <v>0.44</v>
      </c>
      <c r="M47">
        <v>0.29849999999999999</v>
      </c>
      <c r="N47">
        <v>0</v>
      </c>
      <c r="O47">
        <v>9</v>
      </c>
      <c r="P47">
        <v>9</v>
      </c>
    </row>
    <row r="48" spans="1:16">
      <c r="A48">
        <v>47</v>
      </c>
      <c r="B48" s="1">
        <v>40545</v>
      </c>
      <c r="C48">
        <v>1</v>
      </c>
      <c r="D48">
        <v>0</v>
      </c>
      <c r="E48">
        <v>1</v>
      </c>
      <c r="F48">
        <v>23</v>
      </c>
      <c r="G48" t="b">
        <v>0</v>
      </c>
      <c r="H48">
        <v>0</v>
      </c>
      <c r="I48">
        <v>1</v>
      </c>
      <c r="J48">
        <v>0.22</v>
      </c>
      <c r="K48">
        <v>0.2273</v>
      </c>
      <c r="L48">
        <v>0.47</v>
      </c>
      <c r="M48">
        <v>0.16420000000000001</v>
      </c>
      <c r="N48">
        <v>0</v>
      </c>
      <c r="O48">
        <v>8</v>
      </c>
      <c r="P48">
        <v>8</v>
      </c>
    </row>
    <row r="49" spans="1:16">
      <c r="A49">
        <v>48</v>
      </c>
      <c r="B49" s="1">
        <v>40546</v>
      </c>
      <c r="C49">
        <v>1</v>
      </c>
      <c r="D49">
        <v>0</v>
      </c>
      <c r="E49">
        <v>1</v>
      </c>
      <c r="F49">
        <v>0</v>
      </c>
      <c r="G49" t="b">
        <v>0</v>
      </c>
      <c r="H49">
        <v>1</v>
      </c>
      <c r="I49">
        <v>1</v>
      </c>
      <c r="J49">
        <v>0.22</v>
      </c>
      <c r="K49">
        <v>0.19700000000000001</v>
      </c>
      <c r="L49">
        <v>0.44</v>
      </c>
      <c r="M49">
        <v>0.35820000000000002</v>
      </c>
      <c r="N49">
        <v>0</v>
      </c>
      <c r="O49">
        <v>5</v>
      </c>
      <c r="P49">
        <v>5</v>
      </c>
    </row>
    <row r="50" spans="1:16">
      <c r="A50">
        <v>49</v>
      </c>
      <c r="B50" s="1">
        <v>40546</v>
      </c>
      <c r="C50">
        <v>1</v>
      </c>
      <c r="D50">
        <v>0</v>
      </c>
      <c r="E50">
        <v>1</v>
      </c>
      <c r="F50">
        <v>1</v>
      </c>
      <c r="G50" t="b">
        <v>0</v>
      </c>
      <c r="H50">
        <v>1</v>
      </c>
      <c r="I50">
        <v>1</v>
      </c>
      <c r="J50">
        <v>0.2</v>
      </c>
      <c r="L50">
        <v>0.44</v>
      </c>
      <c r="M50">
        <v>0.41789999999999999</v>
      </c>
      <c r="N50">
        <v>0</v>
      </c>
      <c r="O50">
        <v>2</v>
      </c>
      <c r="P50">
        <v>2</v>
      </c>
    </row>
    <row r="51" spans="1:16">
      <c r="A51">
        <v>50</v>
      </c>
      <c r="B51" s="1">
        <v>40546</v>
      </c>
      <c r="C51">
        <v>1</v>
      </c>
      <c r="D51">
        <v>0</v>
      </c>
      <c r="E51">
        <v>1</v>
      </c>
      <c r="F51">
        <v>4</v>
      </c>
      <c r="G51" t="b">
        <v>0</v>
      </c>
      <c r="H51">
        <v>1</v>
      </c>
      <c r="I51">
        <v>1</v>
      </c>
      <c r="J51">
        <v>0.16</v>
      </c>
      <c r="K51">
        <v>0.13639999999999999</v>
      </c>
      <c r="L51">
        <v>0.47</v>
      </c>
      <c r="M51">
        <v>0.3881</v>
      </c>
      <c r="N51">
        <v>0</v>
      </c>
      <c r="O51">
        <v>1</v>
      </c>
      <c r="P51">
        <v>1</v>
      </c>
    </row>
    <row r="52" spans="1:16">
      <c r="A52">
        <v>51</v>
      </c>
      <c r="B52" s="1">
        <v>40546</v>
      </c>
      <c r="C52">
        <v>1</v>
      </c>
      <c r="D52">
        <v>0</v>
      </c>
      <c r="E52">
        <v>1</v>
      </c>
      <c r="F52">
        <v>5</v>
      </c>
      <c r="G52" t="b">
        <v>0</v>
      </c>
      <c r="H52">
        <v>1</v>
      </c>
      <c r="I52">
        <v>1</v>
      </c>
      <c r="J52">
        <v>0.16</v>
      </c>
      <c r="K52">
        <v>0.13639999999999999</v>
      </c>
      <c r="L52">
        <v>0.47</v>
      </c>
      <c r="M52">
        <v>0.28360000000000002</v>
      </c>
      <c r="N52">
        <v>0</v>
      </c>
      <c r="O52">
        <v>3</v>
      </c>
      <c r="P52">
        <v>3</v>
      </c>
    </row>
    <row r="53" spans="1:16">
      <c r="A53">
        <v>52</v>
      </c>
      <c r="B53" s="1">
        <v>40546</v>
      </c>
      <c r="C53">
        <v>1</v>
      </c>
      <c r="D53">
        <v>0</v>
      </c>
      <c r="E53">
        <v>1</v>
      </c>
      <c r="F53">
        <v>6</v>
      </c>
      <c r="G53" t="b">
        <v>0</v>
      </c>
      <c r="H53">
        <v>1</v>
      </c>
      <c r="I53">
        <v>1</v>
      </c>
      <c r="J53">
        <v>0.14000000000000001</v>
      </c>
      <c r="K53">
        <v>0.1061</v>
      </c>
      <c r="L53">
        <v>0.5</v>
      </c>
      <c r="M53">
        <v>0.3881</v>
      </c>
      <c r="N53">
        <v>0</v>
      </c>
      <c r="O53">
        <v>30</v>
      </c>
      <c r="P53">
        <v>30</v>
      </c>
    </row>
    <row r="54" spans="1:16">
      <c r="A54">
        <v>53</v>
      </c>
      <c r="B54" s="1">
        <v>40546</v>
      </c>
      <c r="C54">
        <v>1</v>
      </c>
      <c r="D54">
        <v>0</v>
      </c>
      <c r="E54">
        <v>1</v>
      </c>
      <c r="F54">
        <v>7</v>
      </c>
      <c r="G54" t="b">
        <v>0</v>
      </c>
      <c r="H54">
        <v>1</v>
      </c>
      <c r="I54">
        <v>1</v>
      </c>
      <c r="J54">
        <v>0.14000000000000001</v>
      </c>
      <c r="K54">
        <v>0.13639999999999999</v>
      </c>
      <c r="L54">
        <v>0.5</v>
      </c>
      <c r="M54">
        <v>0.19400000000000001</v>
      </c>
      <c r="N54">
        <v>1</v>
      </c>
      <c r="O54">
        <v>63</v>
      </c>
      <c r="P54">
        <v>64</v>
      </c>
    </row>
    <row r="55" spans="1:16">
      <c r="A55">
        <v>54</v>
      </c>
      <c r="B55" s="1">
        <v>40546</v>
      </c>
      <c r="C55">
        <v>1</v>
      </c>
      <c r="D55">
        <v>0</v>
      </c>
      <c r="E55">
        <v>1</v>
      </c>
      <c r="F55">
        <v>8</v>
      </c>
      <c r="G55" t="b">
        <v>0</v>
      </c>
      <c r="H55">
        <v>1</v>
      </c>
      <c r="I55">
        <v>1</v>
      </c>
      <c r="J55">
        <v>0.14000000000000001</v>
      </c>
      <c r="K55">
        <v>0.1212</v>
      </c>
      <c r="L55">
        <v>0.5</v>
      </c>
      <c r="M55">
        <v>0.28360000000000002</v>
      </c>
      <c r="N55">
        <v>1</v>
      </c>
      <c r="O55">
        <v>153</v>
      </c>
      <c r="P55">
        <v>154</v>
      </c>
    </row>
    <row r="56" spans="1:16">
      <c r="A56">
        <v>55</v>
      </c>
      <c r="B56" s="1">
        <v>40546</v>
      </c>
      <c r="C56">
        <v>1</v>
      </c>
      <c r="D56">
        <v>0</v>
      </c>
      <c r="E56">
        <v>1</v>
      </c>
      <c r="F56">
        <v>9</v>
      </c>
      <c r="G56" t="b">
        <v>0</v>
      </c>
      <c r="H56">
        <v>1</v>
      </c>
      <c r="I56">
        <v>1</v>
      </c>
      <c r="J56">
        <v>0.16</v>
      </c>
      <c r="K56">
        <v>0.13639999999999999</v>
      </c>
      <c r="L56">
        <v>0.43</v>
      </c>
      <c r="M56">
        <v>0.3881</v>
      </c>
      <c r="N56">
        <v>7</v>
      </c>
      <c r="O56">
        <v>81</v>
      </c>
      <c r="P56">
        <v>88</v>
      </c>
    </row>
    <row r="57" spans="1:16">
      <c r="A57">
        <v>56</v>
      </c>
      <c r="B57" s="1">
        <v>40546</v>
      </c>
      <c r="C57">
        <v>1</v>
      </c>
      <c r="D57">
        <v>0</v>
      </c>
      <c r="E57">
        <v>1</v>
      </c>
      <c r="F57">
        <v>10</v>
      </c>
      <c r="G57" t="b">
        <v>0</v>
      </c>
      <c r="H57">
        <v>1</v>
      </c>
      <c r="I57">
        <v>1</v>
      </c>
      <c r="J57">
        <v>0.18</v>
      </c>
      <c r="K57">
        <v>0.16669999999999999</v>
      </c>
      <c r="L57">
        <v>0.43</v>
      </c>
      <c r="M57">
        <v>0.25369999999999998</v>
      </c>
      <c r="N57">
        <v>11</v>
      </c>
      <c r="O57">
        <v>33</v>
      </c>
      <c r="P57">
        <v>44</v>
      </c>
    </row>
    <row r="58" spans="1:16">
      <c r="A58">
        <v>57</v>
      </c>
      <c r="B58" s="1">
        <v>40546</v>
      </c>
      <c r="C58">
        <v>1</v>
      </c>
      <c r="D58">
        <v>0</v>
      </c>
      <c r="E58">
        <v>1</v>
      </c>
      <c r="F58">
        <v>11</v>
      </c>
      <c r="G58" t="b">
        <v>0</v>
      </c>
      <c r="H58">
        <v>1</v>
      </c>
      <c r="I58">
        <v>1</v>
      </c>
      <c r="J58">
        <v>0.2</v>
      </c>
      <c r="K58">
        <v>0.18179999999999999</v>
      </c>
      <c r="L58">
        <v>0.4</v>
      </c>
      <c r="M58">
        <v>0.32840000000000003</v>
      </c>
      <c r="N58">
        <v>10</v>
      </c>
      <c r="O58">
        <v>41</v>
      </c>
      <c r="P58">
        <v>51</v>
      </c>
    </row>
    <row r="59" spans="1:16">
      <c r="A59">
        <v>58</v>
      </c>
      <c r="B59" s="1">
        <v>40546</v>
      </c>
      <c r="C59">
        <v>1</v>
      </c>
      <c r="D59">
        <v>0</v>
      </c>
      <c r="E59">
        <v>1</v>
      </c>
      <c r="F59">
        <v>12</v>
      </c>
      <c r="G59" t="b">
        <v>0</v>
      </c>
      <c r="H59">
        <v>1</v>
      </c>
      <c r="I59">
        <v>1</v>
      </c>
      <c r="J59">
        <v>0.22</v>
      </c>
      <c r="K59">
        <v>0.21210000000000001</v>
      </c>
      <c r="L59">
        <v>0.35</v>
      </c>
      <c r="M59">
        <v>0.29849999999999999</v>
      </c>
      <c r="N59">
        <v>13</v>
      </c>
      <c r="O59">
        <v>48</v>
      </c>
      <c r="P59">
        <v>61</v>
      </c>
    </row>
    <row r="60" spans="1:16">
      <c r="A60">
        <v>59</v>
      </c>
      <c r="B60" s="1">
        <v>40546</v>
      </c>
      <c r="C60">
        <v>1</v>
      </c>
      <c r="D60">
        <v>0</v>
      </c>
      <c r="E60">
        <v>1</v>
      </c>
      <c r="F60">
        <v>13</v>
      </c>
      <c r="G60" t="b">
        <v>0</v>
      </c>
      <c r="H60">
        <v>1</v>
      </c>
      <c r="I60">
        <v>1</v>
      </c>
      <c r="J60">
        <v>0.24</v>
      </c>
      <c r="L60">
        <v>0.35</v>
      </c>
      <c r="M60">
        <v>0.28360000000000002</v>
      </c>
      <c r="N60">
        <v>8</v>
      </c>
      <c r="O60">
        <v>53</v>
      </c>
      <c r="P60">
        <v>61</v>
      </c>
    </row>
    <row r="61" spans="1:16">
      <c r="A61">
        <v>60</v>
      </c>
      <c r="B61" s="1">
        <v>40546</v>
      </c>
      <c r="C61">
        <v>1</v>
      </c>
      <c r="D61">
        <v>0</v>
      </c>
      <c r="E61">
        <v>1</v>
      </c>
      <c r="F61">
        <v>14</v>
      </c>
      <c r="G61" t="b">
        <v>0</v>
      </c>
      <c r="H61">
        <v>1</v>
      </c>
      <c r="I61">
        <v>1</v>
      </c>
      <c r="J61">
        <v>0.26</v>
      </c>
      <c r="K61">
        <v>0.2424</v>
      </c>
      <c r="L61">
        <v>0.3</v>
      </c>
      <c r="M61">
        <v>0.28360000000000002</v>
      </c>
      <c r="N61">
        <v>11</v>
      </c>
      <c r="O61">
        <v>66</v>
      </c>
      <c r="P61">
        <v>77</v>
      </c>
    </row>
    <row r="62" spans="1:16">
      <c r="A62">
        <v>61</v>
      </c>
      <c r="B62" s="1">
        <v>40546</v>
      </c>
      <c r="C62">
        <v>1</v>
      </c>
      <c r="D62">
        <v>0</v>
      </c>
      <c r="E62">
        <v>1</v>
      </c>
      <c r="F62">
        <v>15</v>
      </c>
      <c r="G62" t="b">
        <v>0</v>
      </c>
      <c r="H62">
        <v>1</v>
      </c>
      <c r="I62">
        <v>1</v>
      </c>
      <c r="J62">
        <v>0.26</v>
      </c>
      <c r="K62">
        <v>0.2424</v>
      </c>
      <c r="L62">
        <v>0.3</v>
      </c>
      <c r="M62">
        <v>0.25369999999999998</v>
      </c>
      <c r="N62">
        <v>14</v>
      </c>
      <c r="O62">
        <v>58</v>
      </c>
      <c r="P62">
        <v>72</v>
      </c>
    </row>
    <row r="63" spans="1:16">
      <c r="A63">
        <v>62</v>
      </c>
      <c r="B63" s="1">
        <v>40546</v>
      </c>
      <c r="C63">
        <v>1</v>
      </c>
      <c r="D63">
        <v>0</v>
      </c>
      <c r="E63">
        <v>1</v>
      </c>
      <c r="F63">
        <v>16</v>
      </c>
      <c r="G63" t="b">
        <v>0</v>
      </c>
      <c r="H63">
        <v>1</v>
      </c>
      <c r="I63">
        <v>1</v>
      </c>
      <c r="J63">
        <v>0.26</v>
      </c>
      <c r="K63">
        <v>0.2424</v>
      </c>
      <c r="L63">
        <v>0.3</v>
      </c>
      <c r="M63">
        <v>0.25369999999999998</v>
      </c>
      <c r="N63">
        <v>9</v>
      </c>
      <c r="O63">
        <v>67</v>
      </c>
      <c r="P63">
        <v>76</v>
      </c>
    </row>
    <row r="64" spans="1:16">
      <c r="A64">
        <v>63</v>
      </c>
      <c r="B64" s="1">
        <v>40546</v>
      </c>
      <c r="C64">
        <v>1</v>
      </c>
      <c r="D64">
        <v>0</v>
      </c>
      <c r="E64">
        <v>1</v>
      </c>
      <c r="F64">
        <v>17</v>
      </c>
      <c r="G64" t="b">
        <v>0</v>
      </c>
      <c r="H64">
        <v>1</v>
      </c>
      <c r="I64">
        <v>1</v>
      </c>
      <c r="J64">
        <v>0.24</v>
      </c>
      <c r="K64">
        <v>0.2273</v>
      </c>
      <c r="L64">
        <v>0.3</v>
      </c>
      <c r="M64">
        <v>0.22389999999999999</v>
      </c>
      <c r="N64">
        <v>11</v>
      </c>
      <c r="O64">
        <v>146</v>
      </c>
      <c r="P64">
        <v>157</v>
      </c>
    </row>
    <row r="65" spans="1:16">
      <c r="A65">
        <v>64</v>
      </c>
      <c r="B65" s="1">
        <v>40546</v>
      </c>
      <c r="C65">
        <v>1</v>
      </c>
      <c r="D65">
        <v>0</v>
      </c>
      <c r="E65">
        <v>1</v>
      </c>
      <c r="F65">
        <v>18</v>
      </c>
      <c r="G65" t="b">
        <v>0</v>
      </c>
      <c r="H65">
        <v>1</v>
      </c>
      <c r="I65">
        <v>1</v>
      </c>
      <c r="J65">
        <v>0.24</v>
      </c>
      <c r="K65">
        <v>0.2576</v>
      </c>
      <c r="L65">
        <v>0.32</v>
      </c>
      <c r="M65">
        <v>0.1045</v>
      </c>
      <c r="N65">
        <v>9</v>
      </c>
      <c r="O65">
        <v>148</v>
      </c>
      <c r="P65">
        <v>157</v>
      </c>
    </row>
    <row r="66" spans="1:16">
      <c r="A66">
        <v>65</v>
      </c>
      <c r="B66" s="1">
        <v>40546</v>
      </c>
      <c r="C66">
        <v>1</v>
      </c>
      <c r="D66">
        <v>0</v>
      </c>
      <c r="E66">
        <v>1</v>
      </c>
      <c r="F66">
        <v>19</v>
      </c>
      <c r="G66" t="b">
        <v>0</v>
      </c>
      <c r="H66">
        <v>1</v>
      </c>
      <c r="I66">
        <v>1</v>
      </c>
      <c r="J66">
        <v>0.2</v>
      </c>
      <c r="K66">
        <v>0.2576</v>
      </c>
      <c r="L66">
        <v>0.47</v>
      </c>
      <c r="M66">
        <v>0</v>
      </c>
      <c r="N66">
        <v>8</v>
      </c>
      <c r="O66">
        <v>102</v>
      </c>
      <c r="P66">
        <v>110</v>
      </c>
    </row>
    <row r="67" spans="1:16">
      <c r="A67">
        <v>66</v>
      </c>
      <c r="B67" s="1">
        <v>40546</v>
      </c>
      <c r="C67">
        <v>1</v>
      </c>
      <c r="D67">
        <v>0</v>
      </c>
      <c r="E67">
        <v>1</v>
      </c>
      <c r="F67">
        <v>20</v>
      </c>
      <c r="G67" t="b">
        <v>0</v>
      </c>
      <c r="H67">
        <v>1</v>
      </c>
      <c r="I67">
        <v>1</v>
      </c>
      <c r="J67">
        <v>0.2</v>
      </c>
      <c r="L67">
        <v>0.47</v>
      </c>
      <c r="M67">
        <v>0.1045</v>
      </c>
      <c r="N67">
        <v>3</v>
      </c>
      <c r="O67">
        <v>49</v>
      </c>
      <c r="P67">
        <v>52</v>
      </c>
    </row>
    <row r="68" spans="1:16">
      <c r="A68">
        <v>67</v>
      </c>
      <c r="B68" s="1">
        <v>40546</v>
      </c>
      <c r="C68">
        <v>1</v>
      </c>
      <c r="D68">
        <v>0</v>
      </c>
      <c r="E68">
        <v>1</v>
      </c>
      <c r="F68">
        <v>21</v>
      </c>
      <c r="G68" t="b">
        <v>0</v>
      </c>
      <c r="H68">
        <v>1</v>
      </c>
      <c r="I68">
        <v>1</v>
      </c>
      <c r="J68">
        <v>0.18</v>
      </c>
      <c r="K68">
        <v>0.19700000000000001</v>
      </c>
      <c r="L68">
        <v>0.64</v>
      </c>
      <c r="M68">
        <v>0.1343</v>
      </c>
      <c r="N68">
        <v>3</v>
      </c>
      <c r="O68">
        <v>49</v>
      </c>
      <c r="P68">
        <v>52</v>
      </c>
    </row>
    <row r="69" spans="1:16">
      <c r="A69">
        <v>68</v>
      </c>
      <c r="B69" s="1">
        <v>40546</v>
      </c>
      <c r="C69">
        <v>1</v>
      </c>
      <c r="D69">
        <v>0</v>
      </c>
      <c r="E69">
        <v>1</v>
      </c>
      <c r="F69">
        <v>22</v>
      </c>
      <c r="G69" t="b">
        <v>0</v>
      </c>
      <c r="H69">
        <v>1</v>
      </c>
      <c r="I69">
        <v>1</v>
      </c>
      <c r="J69">
        <v>0.14000000000000001</v>
      </c>
      <c r="K69">
        <v>0.1515</v>
      </c>
      <c r="L69">
        <v>0.69</v>
      </c>
      <c r="M69">
        <v>0.1343</v>
      </c>
      <c r="N69">
        <v>0</v>
      </c>
      <c r="O69">
        <v>20</v>
      </c>
      <c r="P69">
        <v>20</v>
      </c>
    </row>
    <row r="70" spans="1:16">
      <c r="A70">
        <v>69</v>
      </c>
      <c r="B70" s="1">
        <v>40546</v>
      </c>
      <c r="C70">
        <v>1</v>
      </c>
      <c r="D70">
        <v>0</v>
      </c>
      <c r="E70">
        <v>1</v>
      </c>
      <c r="F70">
        <v>23</v>
      </c>
      <c r="G70" t="b">
        <v>0</v>
      </c>
      <c r="H70">
        <v>1</v>
      </c>
      <c r="I70">
        <v>1</v>
      </c>
      <c r="J70">
        <v>0.18</v>
      </c>
      <c r="K70">
        <v>0.21210000000000001</v>
      </c>
      <c r="L70">
        <v>0.55000000000000004</v>
      </c>
      <c r="M70">
        <v>0.1045</v>
      </c>
      <c r="N70">
        <v>1</v>
      </c>
      <c r="O70">
        <v>11</v>
      </c>
      <c r="P70">
        <v>12</v>
      </c>
    </row>
    <row r="71" spans="1:16">
      <c r="A71">
        <v>70</v>
      </c>
      <c r="B71" s="1">
        <v>40547</v>
      </c>
      <c r="C71">
        <v>1</v>
      </c>
      <c r="D71">
        <v>0</v>
      </c>
      <c r="E71">
        <v>1</v>
      </c>
      <c r="F71">
        <v>0</v>
      </c>
      <c r="G71" t="b">
        <v>0</v>
      </c>
      <c r="H71">
        <v>2</v>
      </c>
      <c r="I71">
        <v>1</v>
      </c>
      <c r="J71">
        <v>0.16</v>
      </c>
      <c r="L71">
        <v>0.55000000000000004</v>
      </c>
      <c r="M71">
        <v>0.1045</v>
      </c>
      <c r="N71">
        <v>0</v>
      </c>
      <c r="O71">
        <v>5</v>
      </c>
      <c r="P71">
        <v>5</v>
      </c>
    </row>
    <row r="72" spans="1:16">
      <c r="A72">
        <v>71</v>
      </c>
      <c r="B72" s="1">
        <v>40547</v>
      </c>
      <c r="C72">
        <v>1</v>
      </c>
      <c r="D72">
        <v>0</v>
      </c>
      <c r="E72">
        <v>1</v>
      </c>
      <c r="F72">
        <v>1</v>
      </c>
      <c r="G72" t="b">
        <v>0</v>
      </c>
      <c r="H72">
        <v>2</v>
      </c>
      <c r="I72">
        <v>1</v>
      </c>
      <c r="J72">
        <v>0.16</v>
      </c>
      <c r="K72">
        <v>0.18179999999999999</v>
      </c>
      <c r="L72">
        <v>0.59</v>
      </c>
      <c r="M72">
        <v>0.1045</v>
      </c>
      <c r="N72">
        <v>0</v>
      </c>
      <c r="O72">
        <v>2</v>
      </c>
      <c r="P72">
        <v>2</v>
      </c>
    </row>
    <row r="73" spans="1:16">
      <c r="A73">
        <v>72</v>
      </c>
      <c r="B73" s="1">
        <v>40547</v>
      </c>
      <c r="C73">
        <v>1</v>
      </c>
      <c r="D73">
        <v>0</v>
      </c>
      <c r="E73">
        <v>1</v>
      </c>
      <c r="F73">
        <v>2</v>
      </c>
      <c r="G73" t="b">
        <v>0</v>
      </c>
      <c r="H73">
        <v>2</v>
      </c>
      <c r="I73">
        <v>1</v>
      </c>
      <c r="J73">
        <v>0.14000000000000001</v>
      </c>
      <c r="K73">
        <v>0.1515</v>
      </c>
      <c r="L73">
        <v>0.63</v>
      </c>
      <c r="M73">
        <v>0.1343</v>
      </c>
      <c r="N73">
        <v>0</v>
      </c>
      <c r="O73">
        <v>1</v>
      </c>
      <c r="P73">
        <v>1</v>
      </c>
    </row>
    <row r="74" spans="1:16">
      <c r="A74">
        <v>73</v>
      </c>
      <c r="B74" s="1">
        <v>40547</v>
      </c>
      <c r="C74">
        <v>1</v>
      </c>
      <c r="D74">
        <v>0</v>
      </c>
      <c r="E74">
        <v>1</v>
      </c>
      <c r="F74">
        <v>4</v>
      </c>
      <c r="G74" t="b">
        <v>0</v>
      </c>
      <c r="H74">
        <v>2</v>
      </c>
      <c r="I74">
        <v>1</v>
      </c>
      <c r="J74">
        <v>0.14000000000000001</v>
      </c>
      <c r="K74">
        <v>0.18179999999999999</v>
      </c>
      <c r="L74">
        <v>0.63</v>
      </c>
      <c r="M74">
        <v>8.9599999999999999E-2</v>
      </c>
      <c r="N74">
        <v>0</v>
      </c>
      <c r="O74">
        <v>2</v>
      </c>
      <c r="P74">
        <v>2</v>
      </c>
    </row>
    <row r="75" spans="1:16">
      <c r="A75">
        <v>74</v>
      </c>
      <c r="B75" s="1">
        <v>40547</v>
      </c>
      <c r="C75">
        <v>1</v>
      </c>
      <c r="D75">
        <v>0</v>
      </c>
      <c r="E75">
        <v>1</v>
      </c>
      <c r="F75">
        <v>5</v>
      </c>
      <c r="G75" t="b">
        <v>0</v>
      </c>
      <c r="H75">
        <v>2</v>
      </c>
      <c r="I75">
        <v>1</v>
      </c>
      <c r="J75">
        <v>0.12</v>
      </c>
      <c r="K75">
        <v>0.1515</v>
      </c>
      <c r="L75">
        <v>0.68</v>
      </c>
      <c r="M75">
        <v>0.1045</v>
      </c>
      <c r="N75">
        <v>0</v>
      </c>
      <c r="O75">
        <v>4</v>
      </c>
      <c r="P75">
        <v>4</v>
      </c>
    </row>
    <row r="76" spans="1:16">
      <c r="A76">
        <v>75</v>
      </c>
      <c r="B76" s="1">
        <v>40547</v>
      </c>
      <c r="C76">
        <v>1</v>
      </c>
      <c r="D76">
        <v>0</v>
      </c>
      <c r="E76">
        <v>1</v>
      </c>
      <c r="F76">
        <v>6</v>
      </c>
      <c r="G76" t="b">
        <v>0</v>
      </c>
      <c r="H76">
        <v>2</v>
      </c>
      <c r="I76">
        <v>1</v>
      </c>
      <c r="J76">
        <v>0.12</v>
      </c>
      <c r="K76">
        <v>0.1515</v>
      </c>
      <c r="L76">
        <v>0.74</v>
      </c>
      <c r="M76">
        <v>0.1045</v>
      </c>
      <c r="N76">
        <v>0</v>
      </c>
      <c r="O76">
        <v>36</v>
      </c>
      <c r="P76">
        <v>36</v>
      </c>
    </row>
    <row r="77" spans="1:16">
      <c r="A77">
        <v>76</v>
      </c>
      <c r="B77" s="1">
        <v>40547</v>
      </c>
      <c r="C77">
        <v>1</v>
      </c>
      <c r="D77">
        <v>0</v>
      </c>
      <c r="E77">
        <v>1</v>
      </c>
      <c r="F77">
        <v>7</v>
      </c>
      <c r="G77" t="b">
        <v>0</v>
      </c>
      <c r="H77">
        <v>2</v>
      </c>
      <c r="I77">
        <v>1</v>
      </c>
      <c r="J77">
        <v>0.12</v>
      </c>
      <c r="K77">
        <v>0.1515</v>
      </c>
      <c r="L77">
        <v>0.74</v>
      </c>
      <c r="M77">
        <v>0.1343</v>
      </c>
      <c r="N77">
        <v>2</v>
      </c>
      <c r="O77">
        <v>92</v>
      </c>
      <c r="P77">
        <v>94</v>
      </c>
    </row>
    <row r="78" spans="1:16">
      <c r="A78">
        <v>77</v>
      </c>
      <c r="B78" s="1">
        <v>40547</v>
      </c>
      <c r="C78">
        <v>1</v>
      </c>
      <c r="D78">
        <v>0</v>
      </c>
      <c r="E78">
        <v>1</v>
      </c>
      <c r="F78">
        <v>8</v>
      </c>
      <c r="G78" t="b">
        <v>0</v>
      </c>
      <c r="H78">
        <v>2</v>
      </c>
      <c r="I78">
        <v>1</v>
      </c>
      <c r="J78">
        <v>0.14000000000000001</v>
      </c>
      <c r="K78">
        <v>0.1515</v>
      </c>
      <c r="L78">
        <v>0.69</v>
      </c>
      <c r="M78">
        <v>0.16420000000000001</v>
      </c>
      <c r="N78">
        <v>2</v>
      </c>
      <c r="O78">
        <v>177</v>
      </c>
      <c r="P78">
        <v>179</v>
      </c>
    </row>
    <row r="79" spans="1:16">
      <c r="A79">
        <v>78</v>
      </c>
      <c r="B79" s="1">
        <v>40547</v>
      </c>
      <c r="C79">
        <v>1</v>
      </c>
      <c r="D79">
        <v>0</v>
      </c>
      <c r="E79">
        <v>1</v>
      </c>
      <c r="F79">
        <v>9</v>
      </c>
      <c r="G79" t="b">
        <v>0</v>
      </c>
      <c r="H79">
        <v>2</v>
      </c>
      <c r="I79">
        <v>1</v>
      </c>
      <c r="J79">
        <v>0.16</v>
      </c>
      <c r="K79">
        <v>0.1515</v>
      </c>
      <c r="L79">
        <v>0.64</v>
      </c>
      <c r="M79">
        <v>0.22389999999999999</v>
      </c>
      <c r="N79">
        <v>2</v>
      </c>
      <c r="O79">
        <v>98</v>
      </c>
      <c r="P79">
        <v>100</v>
      </c>
    </row>
    <row r="80" spans="1:16">
      <c r="A80">
        <v>79</v>
      </c>
      <c r="B80" s="1">
        <v>40547</v>
      </c>
      <c r="C80">
        <v>1</v>
      </c>
      <c r="D80">
        <v>0</v>
      </c>
      <c r="E80">
        <v>1</v>
      </c>
      <c r="F80">
        <v>10</v>
      </c>
      <c r="G80" t="b">
        <v>0</v>
      </c>
      <c r="H80">
        <v>2</v>
      </c>
      <c r="I80">
        <v>2</v>
      </c>
      <c r="J80">
        <v>0.16</v>
      </c>
      <c r="K80">
        <v>0.13639999999999999</v>
      </c>
      <c r="L80">
        <v>0.69</v>
      </c>
      <c r="M80">
        <v>0.32840000000000003</v>
      </c>
      <c r="N80">
        <v>5</v>
      </c>
      <c r="O80">
        <v>37</v>
      </c>
      <c r="P80">
        <v>42</v>
      </c>
    </row>
    <row r="81" spans="1:16">
      <c r="A81">
        <v>80</v>
      </c>
      <c r="B81" s="1">
        <v>40547</v>
      </c>
      <c r="C81">
        <v>1</v>
      </c>
      <c r="D81">
        <v>0</v>
      </c>
      <c r="E81">
        <v>1</v>
      </c>
      <c r="F81">
        <v>11</v>
      </c>
      <c r="G81" t="b">
        <v>0</v>
      </c>
      <c r="H81">
        <v>2</v>
      </c>
      <c r="I81">
        <v>1</v>
      </c>
      <c r="J81">
        <v>0.22</v>
      </c>
      <c r="K81">
        <v>0.21210000000000001</v>
      </c>
      <c r="L81">
        <v>0.51</v>
      </c>
      <c r="M81">
        <v>0.29849999999999999</v>
      </c>
      <c r="N81">
        <v>7</v>
      </c>
      <c r="O81">
        <v>50</v>
      </c>
      <c r="P81">
        <v>57</v>
      </c>
    </row>
    <row r="82" spans="1:16">
      <c r="A82">
        <v>81</v>
      </c>
      <c r="B82" s="1">
        <v>40547</v>
      </c>
      <c r="C82">
        <v>1</v>
      </c>
      <c r="D82">
        <v>0</v>
      </c>
      <c r="E82">
        <v>1</v>
      </c>
      <c r="F82">
        <v>12</v>
      </c>
      <c r="G82" t="b">
        <v>0</v>
      </c>
      <c r="H82">
        <v>2</v>
      </c>
      <c r="I82">
        <v>1</v>
      </c>
      <c r="J82">
        <v>0.22</v>
      </c>
      <c r="K82">
        <v>0.2273</v>
      </c>
      <c r="L82">
        <v>0.51</v>
      </c>
      <c r="M82">
        <v>0.16420000000000001</v>
      </c>
      <c r="N82">
        <v>12</v>
      </c>
      <c r="O82">
        <v>66</v>
      </c>
      <c r="P82">
        <v>78</v>
      </c>
    </row>
    <row r="83" spans="1:16">
      <c r="A83">
        <v>82</v>
      </c>
      <c r="B83" s="1">
        <v>40547</v>
      </c>
      <c r="C83">
        <v>1</v>
      </c>
      <c r="D83">
        <v>0</v>
      </c>
      <c r="E83">
        <v>1</v>
      </c>
      <c r="F83">
        <v>13</v>
      </c>
      <c r="G83" t="b">
        <v>0</v>
      </c>
      <c r="H83">
        <v>2</v>
      </c>
      <c r="I83">
        <v>1</v>
      </c>
      <c r="J83">
        <v>0.24</v>
      </c>
      <c r="K83">
        <v>0.2273</v>
      </c>
      <c r="L83">
        <v>0.56000000000000005</v>
      </c>
      <c r="M83">
        <v>0.19400000000000001</v>
      </c>
      <c r="N83">
        <v>18</v>
      </c>
      <c r="O83">
        <v>79</v>
      </c>
      <c r="P83">
        <v>97</v>
      </c>
    </row>
    <row r="84" spans="1:16">
      <c r="A84">
        <v>83</v>
      </c>
      <c r="B84" s="1">
        <v>40547</v>
      </c>
      <c r="C84">
        <v>1</v>
      </c>
      <c r="D84">
        <v>0</v>
      </c>
      <c r="E84">
        <v>1</v>
      </c>
      <c r="F84">
        <v>14</v>
      </c>
      <c r="G84" t="b">
        <v>0</v>
      </c>
      <c r="H84">
        <v>2</v>
      </c>
      <c r="I84">
        <v>1</v>
      </c>
      <c r="J84">
        <v>0.26</v>
      </c>
      <c r="K84">
        <v>0.2576</v>
      </c>
      <c r="L84">
        <v>0.52</v>
      </c>
      <c r="M84">
        <v>0.22389999999999999</v>
      </c>
      <c r="N84">
        <v>9</v>
      </c>
      <c r="O84">
        <v>54</v>
      </c>
      <c r="P84">
        <v>63</v>
      </c>
    </row>
    <row r="85" spans="1:16">
      <c r="A85">
        <v>84</v>
      </c>
      <c r="B85" s="1">
        <v>40547</v>
      </c>
      <c r="C85">
        <v>1</v>
      </c>
      <c r="D85">
        <v>0</v>
      </c>
      <c r="E85">
        <v>1</v>
      </c>
      <c r="F85">
        <v>15</v>
      </c>
      <c r="G85" t="b">
        <v>0</v>
      </c>
      <c r="H85">
        <v>2</v>
      </c>
      <c r="I85">
        <v>1</v>
      </c>
      <c r="J85">
        <v>0.28000000000000003</v>
      </c>
      <c r="K85">
        <v>0.2727</v>
      </c>
      <c r="L85">
        <v>0.52</v>
      </c>
      <c r="M85">
        <v>0.25369999999999998</v>
      </c>
      <c r="N85">
        <v>17</v>
      </c>
      <c r="O85">
        <v>48</v>
      </c>
      <c r="P85">
        <v>65</v>
      </c>
    </row>
    <row r="86" spans="1:16">
      <c r="A86">
        <v>85</v>
      </c>
      <c r="B86" s="1">
        <v>40547</v>
      </c>
      <c r="C86">
        <v>1</v>
      </c>
      <c r="D86">
        <v>0</v>
      </c>
      <c r="E86">
        <v>1</v>
      </c>
      <c r="F86">
        <v>16</v>
      </c>
      <c r="G86" t="b">
        <v>0</v>
      </c>
      <c r="H86">
        <v>2</v>
      </c>
      <c r="I86">
        <v>1</v>
      </c>
      <c r="J86">
        <v>0.3</v>
      </c>
      <c r="K86">
        <v>0.28789999999999999</v>
      </c>
      <c r="L86">
        <v>0.49</v>
      </c>
      <c r="M86">
        <v>0.25369999999999998</v>
      </c>
      <c r="N86">
        <v>15</v>
      </c>
      <c r="O86">
        <v>68</v>
      </c>
      <c r="P86">
        <v>83</v>
      </c>
    </row>
    <row r="87" spans="1:16">
      <c r="A87">
        <v>86</v>
      </c>
      <c r="B87" s="1">
        <v>40547</v>
      </c>
      <c r="C87">
        <v>1</v>
      </c>
      <c r="D87">
        <v>0</v>
      </c>
      <c r="E87">
        <v>1</v>
      </c>
      <c r="F87">
        <v>17</v>
      </c>
      <c r="G87" t="b">
        <v>0</v>
      </c>
      <c r="H87">
        <v>2</v>
      </c>
      <c r="I87">
        <v>1</v>
      </c>
      <c r="J87">
        <v>0.28000000000000003</v>
      </c>
      <c r="K87">
        <v>0.2727</v>
      </c>
      <c r="L87">
        <v>0.48</v>
      </c>
      <c r="M87">
        <v>0.22389999999999999</v>
      </c>
      <c r="N87">
        <v>10</v>
      </c>
      <c r="O87">
        <v>202</v>
      </c>
      <c r="P87">
        <v>212</v>
      </c>
    </row>
    <row r="88" spans="1:16">
      <c r="A88">
        <v>87</v>
      </c>
      <c r="B88" s="1">
        <v>40547</v>
      </c>
      <c r="C88">
        <v>1</v>
      </c>
      <c r="D88">
        <v>0</v>
      </c>
      <c r="E88">
        <v>1</v>
      </c>
      <c r="F88">
        <v>18</v>
      </c>
      <c r="G88" t="b">
        <v>0</v>
      </c>
      <c r="H88">
        <v>2</v>
      </c>
      <c r="I88">
        <v>1</v>
      </c>
      <c r="J88">
        <v>0.26</v>
      </c>
      <c r="K88">
        <v>0.2576</v>
      </c>
      <c r="L88">
        <v>0.48</v>
      </c>
      <c r="M88">
        <v>0.19400000000000001</v>
      </c>
      <c r="N88">
        <v>3</v>
      </c>
      <c r="O88">
        <v>179</v>
      </c>
      <c r="P88">
        <v>182</v>
      </c>
    </row>
    <row r="89" spans="1:16">
      <c r="A89">
        <v>88</v>
      </c>
      <c r="B89" s="1">
        <v>40547</v>
      </c>
      <c r="C89">
        <v>1</v>
      </c>
      <c r="D89">
        <v>0</v>
      </c>
      <c r="E89">
        <v>1</v>
      </c>
      <c r="F89">
        <v>19</v>
      </c>
      <c r="G89" t="b">
        <v>0</v>
      </c>
      <c r="H89">
        <v>2</v>
      </c>
      <c r="I89">
        <v>1</v>
      </c>
      <c r="J89">
        <v>0.24</v>
      </c>
      <c r="K89">
        <v>0.2576</v>
      </c>
      <c r="L89">
        <v>0.48</v>
      </c>
      <c r="M89">
        <v>0.1045</v>
      </c>
      <c r="N89">
        <v>2</v>
      </c>
      <c r="O89">
        <v>110</v>
      </c>
      <c r="P89">
        <v>112</v>
      </c>
    </row>
    <row r="90" spans="1:16">
      <c r="A90">
        <v>89</v>
      </c>
      <c r="B90" s="1">
        <v>40547</v>
      </c>
      <c r="C90">
        <v>1</v>
      </c>
      <c r="D90">
        <v>0</v>
      </c>
      <c r="E90">
        <v>1</v>
      </c>
      <c r="F90">
        <v>20</v>
      </c>
      <c r="G90" t="b">
        <v>0</v>
      </c>
      <c r="H90">
        <v>2</v>
      </c>
      <c r="I90">
        <v>1</v>
      </c>
      <c r="J90">
        <v>0.24</v>
      </c>
      <c r="K90">
        <v>0.2576</v>
      </c>
      <c r="L90">
        <v>0.48</v>
      </c>
      <c r="M90">
        <v>0.1045</v>
      </c>
      <c r="N90">
        <v>1</v>
      </c>
      <c r="O90">
        <v>53</v>
      </c>
      <c r="P90">
        <v>54</v>
      </c>
    </row>
    <row r="91" spans="1:16">
      <c r="A91">
        <v>90</v>
      </c>
      <c r="B91" s="1">
        <v>40547</v>
      </c>
      <c r="C91">
        <v>1</v>
      </c>
      <c r="D91">
        <v>0</v>
      </c>
      <c r="E91">
        <v>1</v>
      </c>
      <c r="F91">
        <v>21</v>
      </c>
      <c r="G91" t="b">
        <v>0</v>
      </c>
      <c r="H91">
        <v>2</v>
      </c>
      <c r="I91">
        <v>1</v>
      </c>
      <c r="J91">
        <v>0.22</v>
      </c>
      <c r="K91">
        <v>0.2727</v>
      </c>
      <c r="L91">
        <v>0.64</v>
      </c>
      <c r="M91">
        <v>0</v>
      </c>
      <c r="N91">
        <v>0</v>
      </c>
      <c r="O91">
        <v>48</v>
      </c>
      <c r="P91">
        <v>48</v>
      </c>
    </row>
    <row r="92" spans="1:16">
      <c r="A92">
        <v>91</v>
      </c>
      <c r="B92" s="1">
        <v>40547</v>
      </c>
      <c r="C92">
        <v>1</v>
      </c>
      <c r="D92">
        <v>0</v>
      </c>
      <c r="E92">
        <v>1</v>
      </c>
      <c r="F92">
        <v>22</v>
      </c>
      <c r="G92" t="b">
        <v>0</v>
      </c>
      <c r="H92">
        <v>2</v>
      </c>
      <c r="I92">
        <v>1</v>
      </c>
      <c r="J92">
        <v>0.22</v>
      </c>
      <c r="K92">
        <v>0.2576</v>
      </c>
      <c r="L92">
        <v>0.64</v>
      </c>
      <c r="M92">
        <v>8.9599999999999999E-2</v>
      </c>
      <c r="N92">
        <v>1</v>
      </c>
      <c r="O92">
        <v>34</v>
      </c>
      <c r="P92">
        <v>35</v>
      </c>
    </row>
    <row r="93" spans="1:16">
      <c r="A93">
        <v>92</v>
      </c>
      <c r="B93" s="1">
        <v>40547</v>
      </c>
      <c r="C93">
        <v>1</v>
      </c>
      <c r="D93">
        <v>0</v>
      </c>
      <c r="E93">
        <v>1</v>
      </c>
      <c r="F93">
        <v>23</v>
      </c>
      <c r="G93" t="b">
        <v>0</v>
      </c>
      <c r="H93">
        <v>2</v>
      </c>
      <c r="I93">
        <v>1</v>
      </c>
      <c r="J93">
        <v>0.2</v>
      </c>
      <c r="K93">
        <v>0.2273</v>
      </c>
      <c r="L93">
        <v>0.69</v>
      </c>
      <c r="M93">
        <v>8.9599999999999999E-2</v>
      </c>
      <c r="N93">
        <v>2</v>
      </c>
      <c r="O93">
        <v>9</v>
      </c>
      <c r="P93">
        <v>11</v>
      </c>
    </row>
    <row r="94" spans="1:16">
      <c r="A94">
        <v>93</v>
      </c>
      <c r="B94" s="1">
        <v>40548</v>
      </c>
      <c r="C94">
        <v>1</v>
      </c>
      <c r="D94">
        <v>0</v>
      </c>
      <c r="E94">
        <v>1</v>
      </c>
      <c r="F94">
        <v>0</v>
      </c>
      <c r="G94" t="b">
        <v>0</v>
      </c>
      <c r="H94">
        <v>3</v>
      </c>
      <c r="I94">
        <v>1</v>
      </c>
      <c r="J94">
        <v>0.2</v>
      </c>
      <c r="K94">
        <v>0.2576</v>
      </c>
      <c r="L94">
        <v>0.64</v>
      </c>
      <c r="M94">
        <v>0</v>
      </c>
      <c r="N94">
        <v>0</v>
      </c>
      <c r="O94">
        <v>6</v>
      </c>
      <c r="P94">
        <v>6</v>
      </c>
    </row>
    <row r="95" spans="1:16">
      <c r="A95">
        <v>94</v>
      </c>
      <c r="B95" s="1">
        <v>40548</v>
      </c>
      <c r="C95">
        <v>1</v>
      </c>
      <c r="D95">
        <v>0</v>
      </c>
      <c r="E95">
        <v>1</v>
      </c>
      <c r="F95">
        <v>1</v>
      </c>
      <c r="G95" t="b">
        <v>0</v>
      </c>
      <c r="H95">
        <v>3</v>
      </c>
      <c r="I95">
        <v>1</v>
      </c>
      <c r="J95">
        <v>0.16</v>
      </c>
      <c r="K95">
        <v>0.19700000000000001</v>
      </c>
      <c r="L95">
        <v>0.74</v>
      </c>
      <c r="M95">
        <v>8.9599999999999999E-2</v>
      </c>
      <c r="N95">
        <v>0</v>
      </c>
      <c r="O95">
        <v>6</v>
      </c>
      <c r="P95">
        <v>6</v>
      </c>
    </row>
    <row r="96" spans="1:16">
      <c r="A96">
        <v>95</v>
      </c>
      <c r="B96" s="1">
        <v>40548</v>
      </c>
      <c r="C96">
        <v>1</v>
      </c>
      <c r="D96">
        <v>0</v>
      </c>
      <c r="E96">
        <v>1</v>
      </c>
      <c r="F96">
        <v>2</v>
      </c>
      <c r="G96" t="b">
        <v>0</v>
      </c>
      <c r="H96">
        <v>3</v>
      </c>
      <c r="I96">
        <v>1</v>
      </c>
      <c r="J96">
        <v>0.16</v>
      </c>
      <c r="K96">
        <v>0.19700000000000001</v>
      </c>
      <c r="L96">
        <v>0.74</v>
      </c>
      <c r="M96">
        <v>8.9599999999999999E-2</v>
      </c>
      <c r="N96">
        <v>0</v>
      </c>
      <c r="O96">
        <v>2</v>
      </c>
      <c r="P96">
        <v>2</v>
      </c>
    </row>
    <row r="97" spans="1:16">
      <c r="A97">
        <v>96</v>
      </c>
      <c r="B97" s="1">
        <v>40548</v>
      </c>
      <c r="C97">
        <v>1</v>
      </c>
      <c r="D97">
        <v>0</v>
      </c>
      <c r="E97">
        <v>1</v>
      </c>
      <c r="F97">
        <v>4</v>
      </c>
      <c r="G97" t="b">
        <v>0</v>
      </c>
      <c r="H97">
        <v>3</v>
      </c>
      <c r="I97">
        <v>1</v>
      </c>
      <c r="J97">
        <v>0.24</v>
      </c>
      <c r="K97">
        <v>0.2273</v>
      </c>
      <c r="L97">
        <v>0.48</v>
      </c>
      <c r="M97">
        <v>0.22389999999999999</v>
      </c>
      <c r="N97">
        <v>0</v>
      </c>
      <c r="O97">
        <v>2</v>
      </c>
      <c r="P97">
        <v>2</v>
      </c>
    </row>
    <row r="98" spans="1:16">
      <c r="A98">
        <v>97</v>
      </c>
      <c r="B98" s="1">
        <v>40548</v>
      </c>
      <c r="C98">
        <v>1</v>
      </c>
      <c r="D98">
        <v>0</v>
      </c>
      <c r="E98">
        <v>1</v>
      </c>
      <c r="F98">
        <v>5</v>
      </c>
      <c r="G98" t="b">
        <v>0</v>
      </c>
      <c r="H98">
        <v>3</v>
      </c>
      <c r="I98">
        <v>1</v>
      </c>
      <c r="J98">
        <v>0.22</v>
      </c>
      <c r="K98">
        <v>0.2273</v>
      </c>
      <c r="L98">
        <v>0.47</v>
      </c>
      <c r="M98">
        <v>0.16420000000000001</v>
      </c>
      <c r="N98">
        <v>0</v>
      </c>
      <c r="O98">
        <v>3</v>
      </c>
      <c r="P98">
        <v>3</v>
      </c>
    </row>
    <row r="99" spans="1:16">
      <c r="A99">
        <v>98</v>
      </c>
      <c r="B99" s="1">
        <v>40548</v>
      </c>
      <c r="C99">
        <v>1</v>
      </c>
      <c r="D99">
        <v>0</v>
      </c>
      <c r="E99">
        <v>1</v>
      </c>
      <c r="F99">
        <v>6</v>
      </c>
      <c r="G99" t="b">
        <v>0</v>
      </c>
      <c r="H99">
        <v>3</v>
      </c>
      <c r="I99">
        <v>1</v>
      </c>
      <c r="J99">
        <v>0.2</v>
      </c>
      <c r="K99">
        <v>0.19700000000000001</v>
      </c>
      <c r="L99">
        <v>0.47</v>
      </c>
      <c r="M99">
        <v>0.22389999999999999</v>
      </c>
      <c r="N99">
        <v>0</v>
      </c>
      <c r="O99">
        <v>33</v>
      </c>
      <c r="P99">
        <v>33</v>
      </c>
    </row>
    <row r="100" spans="1:16">
      <c r="A100">
        <v>99</v>
      </c>
      <c r="B100" s="1">
        <v>40548</v>
      </c>
      <c r="C100">
        <v>1</v>
      </c>
      <c r="D100">
        <v>0</v>
      </c>
      <c r="E100">
        <v>1</v>
      </c>
      <c r="F100">
        <v>7</v>
      </c>
      <c r="G100" t="b">
        <v>0</v>
      </c>
      <c r="H100">
        <v>3</v>
      </c>
      <c r="I100">
        <v>1</v>
      </c>
      <c r="J100">
        <v>0.18</v>
      </c>
      <c r="K100">
        <v>0.18179999999999999</v>
      </c>
      <c r="L100">
        <v>0.43</v>
      </c>
      <c r="M100">
        <v>0.19400000000000001</v>
      </c>
      <c r="N100">
        <v>1</v>
      </c>
      <c r="O100">
        <v>87</v>
      </c>
      <c r="P100">
        <v>88</v>
      </c>
    </row>
    <row r="101" spans="1:16">
      <c r="A101">
        <v>100</v>
      </c>
      <c r="B101" s="1">
        <v>40548</v>
      </c>
      <c r="C101">
        <v>1</v>
      </c>
      <c r="D101">
        <v>0</v>
      </c>
      <c r="E101">
        <v>1</v>
      </c>
      <c r="F101">
        <v>8</v>
      </c>
      <c r="G101" t="b">
        <v>0</v>
      </c>
      <c r="H101">
        <v>3</v>
      </c>
      <c r="I101">
        <v>1</v>
      </c>
      <c r="J101">
        <v>0.2</v>
      </c>
      <c r="K101">
        <v>0.18179999999999999</v>
      </c>
      <c r="L101">
        <v>0.4</v>
      </c>
      <c r="M101">
        <v>0.29849999999999999</v>
      </c>
      <c r="N101">
        <v>3</v>
      </c>
      <c r="O101">
        <v>192</v>
      </c>
      <c r="P101">
        <v>195</v>
      </c>
    </row>
    <row r="102" spans="1:16">
      <c r="A102">
        <v>101</v>
      </c>
      <c r="B102" s="1">
        <v>40548</v>
      </c>
      <c r="C102">
        <v>1</v>
      </c>
      <c r="D102">
        <v>0</v>
      </c>
      <c r="E102">
        <v>1</v>
      </c>
      <c r="F102">
        <v>9</v>
      </c>
      <c r="G102" t="b">
        <v>0</v>
      </c>
      <c r="H102">
        <v>3</v>
      </c>
      <c r="I102">
        <v>1</v>
      </c>
      <c r="J102">
        <v>0.22</v>
      </c>
      <c r="K102">
        <v>0.19700000000000001</v>
      </c>
      <c r="L102">
        <v>0.37</v>
      </c>
      <c r="M102">
        <v>0.32840000000000003</v>
      </c>
      <c r="N102">
        <v>6</v>
      </c>
      <c r="O102">
        <v>109</v>
      </c>
      <c r="P102">
        <v>115</v>
      </c>
    </row>
    <row r="103" spans="1:16">
      <c r="A103">
        <v>102</v>
      </c>
      <c r="B103" s="1">
        <v>40548</v>
      </c>
      <c r="C103">
        <v>1</v>
      </c>
      <c r="D103">
        <v>0</v>
      </c>
      <c r="E103">
        <v>1</v>
      </c>
      <c r="F103">
        <v>10</v>
      </c>
      <c r="G103" t="b">
        <v>0</v>
      </c>
      <c r="H103">
        <v>3</v>
      </c>
      <c r="I103">
        <v>1</v>
      </c>
      <c r="J103">
        <v>0.22</v>
      </c>
      <c r="K103">
        <v>0.19700000000000001</v>
      </c>
      <c r="L103">
        <v>0.37</v>
      </c>
      <c r="M103">
        <v>0.32840000000000003</v>
      </c>
      <c r="N103">
        <v>4</v>
      </c>
      <c r="O103">
        <v>53</v>
      </c>
      <c r="P103">
        <v>57</v>
      </c>
    </row>
    <row r="104" spans="1:16">
      <c r="A104">
        <v>103</v>
      </c>
      <c r="B104" s="1">
        <v>40548</v>
      </c>
      <c r="C104">
        <v>1</v>
      </c>
      <c r="D104">
        <v>0</v>
      </c>
      <c r="E104">
        <v>1</v>
      </c>
      <c r="F104">
        <v>11</v>
      </c>
      <c r="G104" t="b">
        <v>0</v>
      </c>
      <c r="H104">
        <v>3</v>
      </c>
      <c r="I104">
        <v>1</v>
      </c>
      <c r="J104">
        <v>0.26</v>
      </c>
      <c r="K104">
        <v>0.2273</v>
      </c>
      <c r="L104">
        <v>0.33</v>
      </c>
      <c r="M104">
        <v>0.32840000000000003</v>
      </c>
      <c r="N104">
        <v>12</v>
      </c>
      <c r="O104">
        <v>34</v>
      </c>
      <c r="P104">
        <v>46</v>
      </c>
    </row>
    <row r="105" spans="1:16">
      <c r="A105">
        <v>104</v>
      </c>
      <c r="B105" s="1">
        <v>40548</v>
      </c>
      <c r="C105">
        <v>1</v>
      </c>
      <c r="D105">
        <v>0</v>
      </c>
      <c r="E105">
        <v>1</v>
      </c>
      <c r="F105">
        <v>12</v>
      </c>
      <c r="G105" t="b">
        <v>0</v>
      </c>
      <c r="H105">
        <v>3</v>
      </c>
      <c r="I105">
        <v>1</v>
      </c>
      <c r="J105">
        <v>0.26</v>
      </c>
      <c r="K105">
        <v>0.2273</v>
      </c>
      <c r="L105">
        <v>0.33</v>
      </c>
      <c r="M105">
        <v>0.32840000000000003</v>
      </c>
      <c r="N105">
        <v>5</v>
      </c>
      <c r="O105">
        <v>74</v>
      </c>
      <c r="P105">
        <v>79</v>
      </c>
    </row>
    <row r="106" spans="1:16">
      <c r="A106">
        <v>105</v>
      </c>
      <c r="B106" s="1">
        <v>40548</v>
      </c>
      <c r="C106">
        <v>1</v>
      </c>
      <c r="D106">
        <v>0</v>
      </c>
      <c r="E106">
        <v>1</v>
      </c>
      <c r="F106">
        <v>13</v>
      </c>
      <c r="G106" t="b">
        <v>0</v>
      </c>
      <c r="H106">
        <v>3</v>
      </c>
      <c r="I106">
        <v>1</v>
      </c>
      <c r="J106">
        <v>0.28000000000000003</v>
      </c>
      <c r="K106">
        <v>0.2576</v>
      </c>
      <c r="L106">
        <v>0.3</v>
      </c>
      <c r="M106">
        <v>0.29849999999999999</v>
      </c>
      <c r="N106">
        <v>6</v>
      </c>
      <c r="O106">
        <v>65</v>
      </c>
      <c r="P106">
        <v>71</v>
      </c>
    </row>
    <row r="107" spans="1:16">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c r="A110">
        <v>109</v>
      </c>
      <c r="B110" s="1">
        <v>40548</v>
      </c>
      <c r="C110">
        <v>1</v>
      </c>
      <c r="D110">
        <v>0</v>
      </c>
      <c r="E110">
        <v>1</v>
      </c>
      <c r="F110">
        <v>17</v>
      </c>
      <c r="G110" t="b">
        <v>0</v>
      </c>
      <c r="H110">
        <v>3</v>
      </c>
      <c r="I110">
        <v>1</v>
      </c>
      <c r="J110">
        <v>0.24</v>
      </c>
      <c r="K110">
        <v>0.2273</v>
      </c>
      <c r="L110">
        <v>0.38</v>
      </c>
      <c r="M110">
        <v>0.19400000000000001</v>
      </c>
      <c r="N110">
        <v>4</v>
      </c>
      <c r="O110">
        <v>186</v>
      </c>
      <c r="P110">
        <v>190</v>
      </c>
    </row>
    <row r="111" spans="1:16">
      <c r="A111">
        <v>110</v>
      </c>
      <c r="B111" s="1">
        <v>40548</v>
      </c>
      <c r="C111">
        <v>1</v>
      </c>
      <c r="D111">
        <v>0</v>
      </c>
      <c r="E111">
        <v>1</v>
      </c>
      <c r="F111">
        <v>18</v>
      </c>
      <c r="G111" t="b">
        <v>0</v>
      </c>
      <c r="H111">
        <v>3</v>
      </c>
      <c r="I111">
        <v>1</v>
      </c>
      <c r="J111">
        <v>0.24</v>
      </c>
      <c r="K111">
        <v>0.2424</v>
      </c>
      <c r="L111">
        <v>0.38</v>
      </c>
      <c r="M111">
        <v>0.1343</v>
      </c>
      <c r="N111">
        <v>3</v>
      </c>
      <c r="O111">
        <v>166</v>
      </c>
      <c r="P111">
        <v>169</v>
      </c>
    </row>
    <row r="112" spans="1:16">
      <c r="A112">
        <v>111</v>
      </c>
      <c r="B112" s="1">
        <v>40548</v>
      </c>
      <c r="C112">
        <v>1</v>
      </c>
      <c r="D112">
        <v>0</v>
      </c>
      <c r="E112">
        <v>1</v>
      </c>
      <c r="F112">
        <v>19</v>
      </c>
      <c r="G112" t="b">
        <v>0</v>
      </c>
      <c r="H112">
        <v>3</v>
      </c>
      <c r="I112">
        <v>1</v>
      </c>
      <c r="J112">
        <v>0.24</v>
      </c>
      <c r="K112">
        <v>0.2576</v>
      </c>
      <c r="L112">
        <v>0.38</v>
      </c>
      <c r="M112">
        <v>0.1045</v>
      </c>
      <c r="N112">
        <v>5</v>
      </c>
      <c r="O112">
        <v>127</v>
      </c>
      <c r="P112">
        <v>132</v>
      </c>
    </row>
    <row r="113" spans="1:16">
      <c r="A113">
        <v>112</v>
      </c>
      <c r="B113" s="1">
        <v>40548</v>
      </c>
      <c r="C113">
        <v>1</v>
      </c>
      <c r="D113">
        <v>0</v>
      </c>
      <c r="E113">
        <v>1</v>
      </c>
      <c r="F113">
        <v>20</v>
      </c>
      <c r="G113" t="b">
        <v>0</v>
      </c>
      <c r="H113">
        <v>3</v>
      </c>
      <c r="I113">
        <v>1</v>
      </c>
      <c r="J113">
        <v>0.22</v>
      </c>
      <c r="K113">
        <v>0.2273</v>
      </c>
      <c r="L113">
        <v>0.47</v>
      </c>
      <c r="M113">
        <v>0.16420000000000001</v>
      </c>
      <c r="N113">
        <v>7</v>
      </c>
      <c r="O113">
        <v>82</v>
      </c>
      <c r="P113">
        <v>89</v>
      </c>
    </row>
    <row r="114" spans="1:16">
      <c r="A114">
        <v>113</v>
      </c>
      <c r="B114" s="1">
        <v>40548</v>
      </c>
      <c r="C114">
        <v>1</v>
      </c>
      <c r="D114">
        <v>0</v>
      </c>
      <c r="E114">
        <v>1</v>
      </c>
      <c r="F114">
        <v>21</v>
      </c>
      <c r="G114" t="b">
        <v>0</v>
      </c>
      <c r="H114">
        <v>3</v>
      </c>
      <c r="I114">
        <v>1</v>
      </c>
      <c r="J114">
        <v>0.2</v>
      </c>
      <c r="K114">
        <v>0.19700000000000001</v>
      </c>
      <c r="L114">
        <v>0.51</v>
      </c>
      <c r="M114">
        <v>0.19400000000000001</v>
      </c>
      <c r="N114">
        <v>3</v>
      </c>
      <c r="O114">
        <v>40</v>
      </c>
      <c r="P114">
        <v>43</v>
      </c>
    </row>
    <row r="115" spans="1:16">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row>
    <row r="116" spans="1:16">
      <c r="A116">
        <v>115</v>
      </c>
      <c r="B116" s="1">
        <v>40548</v>
      </c>
      <c r="C116">
        <v>1</v>
      </c>
      <c r="D116">
        <v>0</v>
      </c>
      <c r="E116">
        <v>1</v>
      </c>
      <c r="F116">
        <v>23</v>
      </c>
      <c r="G116" t="b">
        <v>0</v>
      </c>
      <c r="H116">
        <v>3</v>
      </c>
      <c r="I116">
        <v>1</v>
      </c>
      <c r="J116">
        <v>0.2</v>
      </c>
      <c r="K116">
        <v>0.2576</v>
      </c>
      <c r="L116">
        <v>0.47</v>
      </c>
      <c r="M116">
        <v>0</v>
      </c>
      <c r="N116">
        <v>1</v>
      </c>
      <c r="O116">
        <v>18</v>
      </c>
      <c r="P116">
        <v>19</v>
      </c>
    </row>
    <row r="117" spans="1:16">
      <c r="A117">
        <v>116</v>
      </c>
      <c r="B117" s="1">
        <v>40549</v>
      </c>
      <c r="C117">
        <v>1</v>
      </c>
      <c r="D117">
        <v>0</v>
      </c>
      <c r="E117">
        <v>1</v>
      </c>
      <c r="F117">
        <v>0</v>
      </c>
      <c r="G117" t="b">
        <v>0</v>
      </c>
      <c r="H117">
        <v>4</v>
      </c>
      <c r="I117">
        <v>1</v>
      </c>
      <c r="J117">
        <v>0.18</v>
      </c>
      <c r="K117">
        <v>0.2424</v>
      </c>
      <c r="L117">
        <v>0.55000000000000004</v>
      </c>
      <c r="M117">
        <v>0</v>
      </c>
      <c r="N117">
        <v>0</v>
      </c>
      <c r="O117">
        <v>11</v>
      </c>
      <c r="P117">
        <v>11</v>
      </c>
    </row>
    <row r="118" spans="1:16">
      <c r="A118">
        <v>117</v>
      </c>
      <c r="B118" s="1">
        <v>40549</v>
      </c>
      <c r="C118">
        <v>1</v>
      </c>
      <c r="D118">
        <v>0</v>
      </c>
      <c r="E118">
        <v>1</v>
      </c>
      <c r="F118">
        <v>1</v>
      </c>
      <c r="G118" t="b">
        <v>0</v>
      </c>
      <c r="H118">
        <v>4</v>
      </c>
      <c r="I118">
        <v>1</v>
      </c>
      <c r="J118">
        <v>0.16</v>
      </c>
      <c r="K118">
        <v>0.2273</v>
      </c>
      <c r="L118">
        <v>0.64</v>
      </c>
      <c r="M118">
        <v>0</v>
      </c>
      <c r="N118">
        <v>0</v>
      </c>
      <c r="O118">
        <v>4</v>
      </c>
      <c r="P118">
        <v>4</v>
      </c>
    </row>
    <row r="119" spans="1:16">
      <c r="A119">
        <v>118</v>
      </c>
      <c r="B119" s="1">
        <v>40549</v>
      </c>
      <c r="C119">
        <v>1</v>
      </c>
      <c r="D119">
        <v>0</v>
      </c>
      <c r="E119">
        <v>1</v>
      </c>
      <c r="F119">
        <v>2</v>
      </c>
      <c r="G119" t="b">
        <v>0</v>
      </c>
      <c r="H119">
        <v>4</v>
      </c>
      <c r="I119">
        <v>1</v>
      </c>
      <c r="J119">
        <v>0.16</v>
      </c>
      <c r="K119">
        <v>0.2273</v>
      </c>
      <c r="L119">
        <v>0.64</v>
      </c>
      <c r="M119">
        <v>0</v>
      </c>
      <c r="N119">
        <v>0</v>
      </c>
      <c r="O119">
        <v>2</v>
      </c>
      <c r="P119">
        <v>2</v>
      </c>
    </row>
    <row r="120" spans="1:16">
      <c r="A120">
        <v>119</v>
      </c>
      <c r="B120" s="1">
        <v>40549</v>
      </c>
      <c r="C120">
        <v>1</v>
      </c>
      <c r="D120">
        <v>0</v>
      </c>
      <c r="E120">
        <v>1</v>
      </c>
      <c r="F120">
        <v>4</v>
      </c>
      <c r="G120" t="b">
        <v>0</v>
      </c>
      <c r="H120">
        <v>4</v>
      </c>
      <c r="I120">
        <v>2</v>
      </c>
      <c r="J120">
        <v>0.16</v>
      </c>
      <c r="K120">
        <v>0.19700000000000001</v>
      </c>
      <c r="L120">
        <v>0.64</v>
      </c>
      <c r="M120">
        <v>8.9599999999999999E-2</v>
      </c>
      <c r="N120">
        <v>0</v>
      </c>
      <c r="O120">
        <v>1</v>
      </c>
      <c r="P120">
        <v>1</v>
      </c>
    </row>
    <row r="121" spans="1:16">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c r="A122">
        <v>121</v>
      </c>
      <c r="B122" s="1">
        <v>40549</v>
      </c>
      <c r="C122">
        <v>1</v>
      </c>
      <c r="D122">
        <v>0</v>
      </c>
      <c r="E122">
        <v>1</v>
      </c>
      <c r="F122">
        <v>6</v>
      </c>
      <c r="G122" t="b">
        <v>0</v>
      </c>
      <c r="H122">
        <v>4</v>
      </c>
      <c r="I122">
        <v>2</v>
      </c>
      <c r="J122">
        <v>0.14000000000000001</v>
      </c>
      <c r="K122">
        <v>0.16669999999999999</v>
      </c>
      <c r="L122">
        <v>0.63</v>
      </c>
      <c r="M122">
        <v>0.1045</v>
      </c>
      <c r="N122">
        <v>0</v>
      </c>
      <c r="O122">
        <v>36</v>
      </c>
      <c r="P122">
        <v>36</v>
      </c>
    </row>
    <row r="123" spans="1:16">
      <c r="A123">
        <v>122</v>
      </c>
      <c r="B123" s="1">
        <v>40549</v>
      </c>
      <c r="C123">
        <v>1</v>
      </c>
      <c r="D123">
        <v>0</v>
      </c>
      <c r="E123">
        <v>1</v>
      </c>
      <c r="F123">
        <v>7</v>
      </c>
      <c r="G123" t="b">
        <v>0</v>
      </c>
      <c r="H123">
        <v>4</v>
      </c>
      <c r="I123">
        <v>2</v>
      </c>
      <c r="J123">
        <v>0.16</v>
      </c>
      <c r="K123">
        <v>0.2273</v>
      </c>
      <c r="L123">
        <v>0.59</v>
      </c>
      <c r="M123">
        <v>0</v>
      </c>
      <c r="N123">
        <v>0</v>
      </c>
      <c r="O123">
        <v>95</v>
      </c>
      <c r="P123">
        <v>95</v>
      </c>
    </row>
    <row r="124" spans="1:16">
      <c r="A124">
        <v>123</v>
      </c>
      <c r="B124" s="1">
        <v>40549</v>
      </c>
      <c r="C124">
        <v>1</v>
      </c>
      <c r="D124">
        <v>0</v>
      </c>
      <c r="E124">
        <v>1</v>
      </c>
      <c r="F124">
        <v>8</v>
      </c>
      <c r="G124" t="b">
        <v>0</v>
      </c>
      <c r="H124">
        <v>4</v>
      </c>
      <c r="I124">
        <v>1</v>
      </c>
      <c r="J124">
        <v>0.16</v>
      </c>
      <c r="K124">
        <v>0.2273</v>
      </c>
      <c r="L124">
        <v>0.59</v>
      </c>
      <c r="M124">
        <v>0</v>
      </c>
      <c r="N124">
        <v>3</v>
      </c>
      <c r="O124">
        <v>216</v>
      </c>
      <c r="P124">
        <v>219</v>
      </c>
    </row>
    <row r="125" spans="1:16">
      <c r="A125">
        <v>124</v>
      </c>
      <c r="B125" s="1">
        <v>40549</v>
      </c>
      <c r="C125">
        <v>1</v>
      </c>
      <c r="D125">
        <v>0</v>
      </c>
      <c r="E125">
        <v>1</v>
      </c>
      <c r="F125">
        <v>9</v>
      </c>
      <c r="G125" t="b">
        <v>0</v>
      </c>
      <c r="H125">
        <v>4</v>
      </c>
      <c r="I125">
        <v>2</v>
      </c>
      <c r="J125">
        <v>0.18</v>
      </c>
      <c r="K125">
        <v>0.2424</v>
      </c>
      <c r="L125">
        <v>0.51</v>
      </c>
      <c r="M125">
        <v>0</v>
      </c>
      <c r="N125">
        <v>6</v>
      </c>
      <c r="O125">
        <v>116</v>
      </c>
      <c r="P125">
        <v>122</v>
      </c>
    </row>
    <row r="126" spans="1:16">
      <c r="A126">
        <v>125</v>
      </c>
      <c r="B126" s="1">
        <v>40549</v>
      </c>
      <c r="C126">
        <v>1</v>
      </c>
      <c r="D126">
        <v>0</v>
      </c>
      <c r="E126">
        <v>1</v>
      </c>
      <c r="F126">
        <v>10</v>
      </c>
      <c r="G126" t="b">
        <v>0</v>
      </c>
      <c r="H126">
        <v>4</v>
      </c>
      <c r="I126">
        <v>1</v>
      </c>
      <c r="J126">
        <v>0.2</v>
      </c>
      <c r="K126">
        <v>0.2576</v>
      </c>
      <c r="L126">
        <v>0.47</v>
      </c>
      <c r="M126">
        <v>0</v>
      </c>
      <c r="N126">
        <v>3</v>
      </c>
      <c r="O126">
        <v>42</v>
      </c>
      <c r="P126">
        <v>45</v>
      </c>
    </row>
    <row r="127" spans="1:16">
      <c r="A127">
        <v>126</v>
      </c>
      <c r="B127" s="1">
        <v>40549</v>
      </c>
      <c r="C127">
        <v>1</v>
      </c>
      <c r="D127">
        <v>0</v>
      </c>
      <c r="E127">
        <v>1</v>
      </c>
      <c r="F127">
        <v>11</v>
      </c>
      <c r="G127" t="b">
        <v>0</v>
      </c>
      <c r="H127">
        <v>4</v>
      </c>
      <c r="I127">
        <v>1</v>
      </c>
      <c r="J127">
        <v>0.22</v>
      </c>
      <c r="K127">
        <v>0.2576</v>
      </c>
      <c r="L127">
        <v>0.44</v>
      </c>
      <c r="M127">
        <v>8.9599999999999999E-2</v>
      </c>
      <c r="N127">
        <v>2</v>
      </c>
      <c r="O127">
        <v>57</v>
      </c>
      <c r="P127">
        <v>59</v>
      </c>
    </row>
    <row r="128" spans="1:16">
      <c r="A128">
        <v>127</v>
      </c>
      <c r="B128" s="1">
        <v>40549</v>
      </c>
      <c r="C128">
        <v>1</v>
      </c>
      <c r="D128">
        <v>0</v>
      </c>
      <c r="E128">
        <v>1</v>
      </c>
      <c r="F128">
        <v>12</v>
      </c>
      <c r="G128" t="b">
        <v>0</v>
      </c>
      <c r="H128">
        <v>4</v>
      </c>
      <c r="I128">
        <v>1</v>
      </c>
      <c r="J128">
        <v>0.26</v>
      </c>
      <c r="K128">
        <v>0.28789999999999999</v>
      </c>
      <c r="L128">
        <v>0.35</v>
      </c>
      <c r="M128">
        <v>0</v>
      </c>
      <c r="N128">
        <v>6</v>
      </c>
      <c r="O128">
        <v>78</v>
      </c>
      <c r="P128">
        <v>84</v>
      </c>
    </row>
    <row r="129" spans="1:16">
      <c r="A129">
        <v>128</v>
      </c>
      <c r="B129" s="1">
        <v>40549</v>
      </c>
      <c r="C129">
        <v>1</v>
      </c>
      <c r="D129">
        <v>0</v>
      </c>
      <c r="E129">
        <v>1</v>
      </c>
      <c r="F129">
        <v>13</v>
      </c>
      <c r="G129" t="b">
        <v>0</v>
      </c>
      <c r="H129">
        <v>4</v>
      </c>
      <c r="I129">
        <v>1</v>
      </c>
      <c r="J129">
        <v>0.26</v>
      </c>
      <c r="K129">
        <v>0.2727</v>
      </c>
      <c r="L129">
        <v>0.35</v>
      </c>
      <c r="M129">
        <v>0.1045</v>
      </c>
      <c r="N129">
        <v>12</v>
      </c>
      <c r="O129">
        <v>55</v>
      </c>
      <c r="P129">
        <v>67</v>
      </c>
    </row>
    <row r="130" spans="1:16">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row>
    <row r="131" spans="1:16">
      <c r="A131">
        <v>130</v>
      </c>
      <c r="B131" s="1">
        <v>40549</v>
      </c>
      <c r="C131">
        <v>1</v>
      </c>
      <c r="D131">
        <v>0</v>
      </c>
      <c r="E131">
        <v>1</v>
      </c>
      <c r="F131">
        <v>15</v>
      </c>
      <c r="G131" t="b">
        <v>0</v>
      </c>
      <c r="H131">
        <v>4</v>
      </c>
      <c r="I131">
        <v>1</v>
      </c>
      <c r="J131">
        <v>0.28000000000000003</v>
      </c>
      <c r="K131">
        <v>0.2727</v>
      </c>
      <c r="L131">
        <v>0.36</v>
      </c>
      <c r="M131">
        <v>0</v>
      </c>
      <c r="N131">
        <v>8</v>
      </c>
      <c r="O131">
        <v>54</v>
      </c>
      <c r="P131">
        <v>62</v>
      </c>
    </row>
    <row r="132" spans="1:16">
      <c r="A132">
        <v>131</v>
      </c>
      <c r="B132" s="1">
        <v>40549</v>
      </c>
      <c r="C132">
        <v>1</v>
      </c>
      <c r="D132">
        <v>0</v>
      </c>
      <c r="E132">
        <v>1</v>
      </c>
      <c r="F132">
        <v>16</v>
      </c>
      <c r="G132" t="b">
        <v>0</v>
      </c>
      <c r="H132">
        <v>4</v>
      </c>
      <c r="I132">
        <v>1</v>
      </c>
      <c r="J132">
        <v>0.26</v>
      </c>
      <c r="K132">
        <v>0.2576</v>
      </c>
      <c r="L132">
        <v>0.38</v>
      </c>
      <c r="M132">
        <v>0.16420000000000001</v>
      </c>
      <c r="N132">
        <v>12</v>
      </c>
      <c r="O132">
        <v>74</v>
      </c>
      <c r="P132">
        <v>86</v>
      </c>
    </row>
    <row r="133" spans="1:16">
      <c r="A133">
        <v>132</v>
      </c>
      <c r="B133" s="1">
        <v>40549</v>
      </c>
      <c r="C133">
        <v>1</v>
      </c>
      <c r="D133">
        <v>0</v>
      </c>
      <c r="E133">
        <v>1</v>
      </c>
      <c r="F133">
        <v>17</v>
      </c>
      <c r="G133" t="b">
        <v>0</v>
      </c>
      <c r="H133">
        <v>4</v>
      </c>
      <c r="I133">
        <v>1</v>
      </c>
      <c r="J133">
        <v>0.22</v>
      </c>
      <c r="K133">
        <v>0.2273</v>
      </c>
      <c r="L133">
        <v>0.51</v>
      </c>
      <c r="M133">
        <v>0.16420000000000001</v>
      </c>
      <c r="N133">
        <v>9</v>
      </c>
      <c r="O133">
        <v>163</v>
      </c>
      <c r="P133">
        <v>172</v>
      </c>
    </row>
    <row r="134" spans="1:16">
      <c r="A134">
        <v>133</v>
      </c>
      <c r="B134" s="1">
        <v>40549</v>
      </c>
      <c r="C134">
        <v>1</v>
      </c>
      <c r="D134">
        <v>0</v>
      </c>
      <c r="E134">
        <v>1</v>
      </c>
      <c r="F134">
        <v>18</v>
      </c>
      <c r="G134" t="b">
        <v>0</v>
      </c>
      <c r="H134">
        <v>4</v>
      </c>
      <c r="I134">
        <v>1</v>
      </c>
      <c r="J134">
        <v>0.22</v>
      </c>
      <c r="K134">
        <v>0.2273</v>
      </c>
      <c r="L134">
        <v>0.51</v>
      </c>
      <c r="M134">
        <v>0.1343</v>
      </c>
      <c r="N134">
        <v>5</v>
      </c>
      <c r="O134">
        <v>158</v>
      </c>
      <c r="P134">
        <v>163</v>
      </c>
    </row>
    <row r="135" spans="1:16">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row>
    <row r="136" spans="1:16">
      <c r="A136">
        <v>135</v>
      </c>
      <c r="B136" s="1">
        <v>40549</v>
      </c>
      <c r="C136">
        <v>1</v>
      </c>
      <c r="D136">
        <v>0</v>
      </c>
      <c r="E136">
        <v>1</v>
      </c>
      <c r="F136">
        <v>20</v>
      </c>
      <c r="G136" t="b">
        <v>0</v>
      </c>
      <c r="H136">
        <v>4</v>
      </c>
      <c r="I136">
        <v>1</v>
      </c>
      <c r="J136">
        <v>0.2</v>
      </c>
      <c r="K136">
        <v>0.21210000000000001</v>
      </c>
      <c r="L136">
        <v>0.51</v>
      </c>
      <c r="M136">
        <v>0.16420000000000001</v>
      </c>
      <c r="N136">
        <v>3</v>
      </c>
      <c r="O136">
        <v>66</v>
      </c>
      <c r="P136">
        <v>69</v>
      </c>
    </row>
    <row r="137" spans="1:16">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c r="A138">
        <v>137</v>
      </c>
      <c r="B138" s="1">
        <v>40549</v>
      </c>
      <c r="C138">
        <v>1</v>
      </c>
      <c r="D138">
        <v>0</v>
      </c>
      <c r="E138">
        <v>1</v>
      </c>
      <c r="F138">
        <v>22</v>
      </c>
      <c r="G138" t="b">
        <v>0</v>
      </c>
      <c r="H138">
        <v>4</v>
      </c>
      <c r="I138">
        <v>2</v>
      </c>
      <c r="J138">
        <v>0.22</v>
      </c>
      <c r="K138">
        <v>0.21210000000000001</v>
      </c>
      <c r="L138">
        <v>0.51</v>
      </c>
      <c r="M138">
        <v>0.28360000000000002</v>
      </c>
      <c r="N138">
        <v>1</v>
      </c>
      <c r="O138">
        <v>51</v>
      </c>
      <c r="P138">
        <v>52</v>
      </c>
    </row>
    <row r="139" spans="1:16">
      <c r="A139">
        <v>138</v>
      </c>
      <c r="B139" s="1">
        <v>40549</v>
      </c>
      <c r="C139">
        <v>1</v>
      </c>
      <c r="D139">
        <v>0</v>
      </c>
      <c r="E139">
        <v>1</v>
      </c>
      <c r="F139">
        <v>23</v>
      </c>
      <c r="G139" t="b">
        <v>0</v>
      </c>
      <c r="H139">
        <v>4</v>
      </c>
      <c r="I139">
        <v>2</v>
      </c>
      <c r="J139">
        <v>0.2</v>
      </c>
      <c r="K139">
        <v>0.19700000000000001</v>
      </c>
      <c r="L139">
        <v>0.59</v>
      </c>
      <c r="M139">
        <v>0.19400000000000001</v>
      </c>
      <c r="N139">
        <v>4</v>
      </c>
      <c r="O139">
        <v>19</v>
      </c>
      <c r="P139">
        <v>23</v>
      </c>
    </row>
    <row r="140" spans="1:16">
      <c r="A140">
        <v>139</v>
      </c>
      <c r="B140" s="1">
        <v>40550</v>
      </c>
      <c r="C140">
        <v>1</v>
      </c>
      <c r="D140">
        <v>0</v>
      </c>
      <c r="E140">
        <v>1</v>
      </c>
      <c r="F140">
        <v>0</v>
      </c>
      <c r="G140" t="b">
        <v>0</v>
      </c>
      <c r="H140">
        <v>5</v>
      </c>
      <c r="I140">
        <v>2</v>
      </c>
      <c r="J140">
        <v>0.2</v>
      </c>
      <c r="K140">
        <v>0.19700000000000001</v>
      </c>
      <c r="L140">
        <v>0.64</v>
      </c>
      <c r="M140">
        <v>0.19400000000000001</v>
      </c>
      <c r="N140">
        <v>4</v>
      </c>
      <c r="O140">
        <v>13</v>
      </c>
      <c r="P140">
        <v>17</v>
      </c>
    </row>
    <row r="141" spans="1:16">
      <c r="A141">
        <v>140</v>
      </c>
      <c r="B141" s="1">
        <v>40550</v>
      </c>
      <c r="C141">
        <v>1</v>
      </c>
      <c r="D141">
        <v>0</v>
      </c>
      <c r="E141">
        <v>1</v>
      </c>
      <c r="F141">
        <v>1</v>
      </c>
      <c r="G141" t="b">
        <v>0</v>
      </c>
      <c r="H141">
        <v>5</v>
      </c>
      <c r="I141">
        <v>2</v>
      </c>
      <c r="J141">
        <v>0.2</v>
      </c>
      <c r="K141">
        <v>0.19700000000000001</v>
      </c>
      <c r="L141">
        <v>0.69</v>
      </c>
      <c r="M141">
        <v>0.22389999999999999</v>
      </c>
      <c r="N141">
        <v>2</v>
      </c>
      <c r="O141">
        <v>5</v>
      </c>
      <c r="P141">
        <v>7</v>
      </c>
    </row>
    <row r="142" spans="1:16">
      <c r="A142">
        <v>141</v>
      </c>
      <c r="B142" s="1">
        <v>40550</v>
      </c>
      <c r="C142">
        <v>1</v>
      </c>
      <c r="D142">
        <v>0</v>
      </c>
      <c r="E142">
        <v>1</v>
      </c>
      <c r="F142">
        <v>2</v>
      </c>
      <c r="G142" t="b">
        <v>0</v>
      </c>
      <c r="H142">
        <v>5</v>
      </c>
      <c r="I142">
        <v>2</v>
      </c>
      <c r="J142">
        <v>0.2</v>
      </c>
      <c r="K142">
        <v>0.19700000000000001</v>
      </c>
      <c r="L142">
        <v>0.69</v>
      </c>
      <c r="M142">
        <v>0.22389999999999999</v>
      </c>
      <c r="N142">
        <v>0</v>
      </c>
      <c r="O142">
        <v>1</v>
      </c>
      <c r="P142">
        <v>1</v>
      </c>
    </row>
    <row r="143" spans="1:16">
      <c r="A143">
        <v>142</v>
      </c>
      <c r="B143" s="1">
        <v>40550</v>
      </c>
      <c r="C143">
        <v>1</v>
      </c>
      <c r="D143">
        <v>0</v>
      </c>
      <c r="E143">
        <v>1</v>
      </c>
      <c r="F143">
        <v>4</v>
      </c>
      <c r="G143" t="b">
        <v>0</v>
      </c>
      <c r="H143">
        <v>5</v>
      </c>
      <c r="I143">
        <v>2</v>
      </c>
      <c r="J143">
        <v>0.2</v>
      </c>
      <c r="K143">
        <v>0.21210000000000001</v>
      </c>
      <c r="L143">
        <v>0.69</v>
      </c>
      <c r="M143">
        <v>0.1343</v>
      </c>
      <c r="N143">
        <v>0</v>
      </c>
      <c r="O143">
        <v>1</v>
      </c>
      <c r="P143">
        <v>1</v>
      </c>
    </row>
    <row r="144" spans="1:16">
      <c r="A144">
        <v>143</v>
      </c>
      <c r="B144" s="1">
        <v>40550</v>
      </c>
      <c r="C144">
        <v>1</v>
      </c>
      <c r="D144">
        <v>0</v>
      </c>
      <c r="E144">
        <v>1</v>
      </c>
      <c r="F144">
        <v>5</v>
      </c>
      <c r="G144" t="b">
        <v>0</v>
      </c>
      <c r="H144">
        <v>5</v>
      </c>
      <c r="I144">
        <v>3</v>
      </c>
      <c r="J144">
        <v>0.22</v>
      </c>
      <c r="K144">
        <v>0.2727</v>
      </c>
      <c r="L144">
        <v>0.55000000000000004</v>
      </c>
      <c r="M144">
        <v>0</v>
      </c>
      <c r="N144">
        <v>0</v>
      </c>
      <c r="O144">
        <v>5</v>
      </c>
      <c r="P144">
        <v>5</v>
      </c>
    </row>
    <row r="145" spans="1:16">
      <c r="A145">
        <v>144</v>
      </c>
      <c r="B145" s="1">
        <v>40550</v>
      </c>
      <c r="C145">
        <v>1</v>
      </c>
      <c r="D145">
        <v>0</v>
      </c>
      <c r="E145">
        <v>1</v>
      </c>
      <c r="F145">
        <v>6</v>
      </c>
      <c r="G145" t="b">
        <v>0</v>
      </c>
      <c r="H145">
        <v>5</v>
      </c>
      <c r="I145">
        <v>2</v>
      </c>
      <c r="J145">
        <v>0.2</v>
      </c>
      <c r="K145">
        <v>0.2576</v>
      </c>
      <c r="L145">
        <v>0.69</v>
      </c>
      <c r="M145">
        <v>0</v>
      </c>
      <c r="N145">
        <v>8</v>
      </c>
      <c r="O145">
        <v>26</v>
      </c>
      <c r="P145">
        <v>34</v>
      </c>
    </row>
    <row r="146" spans="1:16">
      <c r="A146">
        <v>145</v>
      </c>
      <c r="B146" s="1">
        <v>40550</v>
      </c>
      <c r="C146">
        <v>1</v>
      </c>
      <c r="D146">
        <v>0</v>
      </c>
      <c r="E146">
        <v>1</v>
      </c>
      <c r="F146">
        <v>7</v>
      </c>
      <c r="G146" t="b">
        <v>0</v>
      </c>
      <c r="H146">
        <v>5</v>
      </c>
      <c r="I146">
        <v>1</v>
      </c>
      <c r="J146">
        <v>0.2</v>
      </c>
      <c r="K146">
        <v>0.21210000000000001</v>
      </c>
      <c r="L146">
        <v>0.69</v>
      </c>
      <c r="M146">
        <v>0.1343</v>
      </c>
      <c r="N146">
        <v>8</v>
      </c>
      <c r="O146">
        <v>76</v>
      </c>
      <c r="P146">
        <v>84</v>
      </c>
    </row>
    <row r="147" spans="1:16">
      <c r="A147">
        <v>146</v>
      </c>
      <c r="B147" s="1">
        <v>40550</v>
      </c>
      <c r="C147">
        <v>1</v>
      </c>
      <c r="D147">
        <v>0</v>
      </c>
      <c r="E147">
        <v>1</v>
      </c>
      <c r="F147">
        <v>8</v>
      </c>
      <c r="G147" t="b">
        <v>0</v>
      </c>
      <c r="H147">
        <v>5</v>
      </c>
      <c r="I147">
        <v>1</v>
      </c>
      <c r="J147">
        <v>0.2</v>
      </c>
      <c r="K147">
        <v>0.19700000000000001</v>
      </c>
      <c r="L147">
        <v>0.51</v>
      </c>
      <c r="M147">
        <v>0.25369999999999998</v>
      </c>
      <c r="N147">
        <v>20</v>
      </c>
      <c r="O147">
        <v>190</v>
      </c>
      <c r="P147">
        <v>210</v>
      </c>
    </row>
    <row r="148" spans="1:16">
      <c r="A148">
        <v>147</v>
      </c>
      <c r="B148" s="1">
        <v>40550</v>
      </c>
      <c r="C148">
        <v>1</v>
      </c>
      <c r="D148">
        <v>0</v>
      </c>
      <c r="E148">
        <v>1</v>
      </c>
      <c r="F148">
        <v>9</v>
      </c>
      <c r="G148" t="b">
        <v>0</v>
      </c>
      <c r="H148">
        <v>5</v>
      </c>
      <c r="I148">
        <v>1</v>
      </c>
      <c r="J148">
        <v>0.2</v>
      </c>
      <c r="K148">
        <v>0.18179999999999999</v>
      </c>
      <c r="L148">
        <v>0.47</v>
      </c>
      <c r="M148">
        <v>0.29849999999999999</v>
      </c>
      <c r="N148">
        <v>9</v>
      </c>
      <c r="O148">
        <v>125</v>
      </c>
      <c r="P148">
        <v>134</v>
      </c>
    </row>
    <row r="149" spans="1:16">
      <c r="A149">
        <v>148</v>
      </c>
      <c r="B149" s="1">
        <v>40550</v>
      </c>
      <c r="C149">
        <v>1</v>
      </c>
      <c r="D149">
        <v>0</v>
      </c>
      <c r="E149">
        <v>1</v>
      </c>
      <c r="F149">
        <v>10</v>
      </c>
      <c r="G149" t="b">
        <v>0</v>
      </c>
      <c r="H149">
        <v>5</v>
      </c>
      <c r="I149">
        <v>1</v>
      </c>
      <c r="J149">
        <v>0.22</v>
      </c>
      <c r="K149">
        <v>0.19700000000000001</v>
      </c>
      <c r="L149">
        <v>0.37</v>
      </c>
      <c r="M149">
        <v>0.32840000000000003</v>
      </c>
      <c r="N149">
        <v>16</v>
      </c>
      <c r="O149">
        <v>47</v>
      </c>
      <c r="P149">
        <v>63</v>
      </c>
    </row>
    <row r="150" spans="1:16">
      <c r="A150">
        <v>149</v>
      </c>
      <c r="B150" s="1">
        <v>40550</v>
      </c>
      <c r="C150">
        <v>1</v>
      </c>
      <c r="D150">
        <v>0</v>
      </c>
      <c r="E150">
        <v>1</v>
      </c>
      <c r="F150">
        <v>11</v>
      </c>
      <c r="G150" t="b">
        <v>0</v>
      </c>
      <c r="H150">
        <v>5</v>
      </c>
      <c r="I150">
        <v>2</v>
      </c>
      <c r="J150">
        <v>0.2</v>
      </c>
      <c r="K150">
        <v>0.19700000000000001</v>
      </c>
      <c r="L150">
        <v>0.4</v>
      </c>
      <c r="M150">
        <v>0.22389999999999999</v>
      </c>
      <c r="N150">
        <v>19</v>
      </c>
      <c r="O150">
        <v>48</v>
      </c>
      <c r="P150">
        <v>67</v>
      </c>
    </row>
    <row r="151" spans="1:16">
      <c r="A151">
        <v>150</v>
      </c>
      <c r="B151" s="1">
        <v>40550</v>
      </c>
      <c r="C151">
        <v>1</v>
      </c>
      <c r="D151">
        <v>0</v>
      </c>
      <c r="E151">
        <v>1</v>
      </c>
      <c r="F151">
        <v>12</v>
      </c>
      <c r="G151" t="b">
        <v>0</v>
      </c>
      <c r="H151">
        <v>5</v>
      </c>
      <c r="I151">
        <v>2</v>
      </c>
      <c r="J151">
        <v>0.2</v>
      </c>
      <c r="K151">
        <v>0.19700000000000001</v>
      </c>
      <c r="L151">
        <v>0.37</v>
      </c>
      <c r="M151">
        <v>0.25369999999999998</v>
      </c>
      <c r="N151">
        <v>9</v>
      </c>
      <c r="O151">
        <v>50</v>
      </c>
      <c r="P151">
        <v>59</v>
      </c>
    </row>
    <row r="152" spans="1:16">
      <c r="A152">
        <v>151</v>
      </c>
      <c r="B152" s="1">
        <v>40550</v>
      </c>
      <c r="C152">
        <v>1</v>
      </c>
      <c r="D152">
        <v>0</v>
      </c>
      <c r="E152">
        <v>1</v>
      </c>
      <c r="F152">
        <v>13</v>
      </c>
      <c r="G152" t="b">
        <v>0</v>
      </c>
      <c r="H152">
        <v>5</v>
      </c>
      <c r="I152">
        <v>2</v>
      </c>
      <c r="J152">
        <v>0.2</v>
      </c>
      <c r="K152">
        <v>0.18179999999999999</v>
      </c>
      <c r="L152">
        <v>0.37</v>
      </c>
      <c r="M152">
        <v>0.28360000000000002</v>
      </c>
      <c r="N152">
        <v>9</v>
      </c>
      <c r="O152">
        <v>64</v>
      </c>
      <c r="P152">
        <v>73</v>
      </c>
    </row>
    <row r="153" spans="1:16">
      <c r="A153">
        <v>152</v>
      </c>
      <c r="B153" s="1">
        <v>40550</v>
      </c>
      <c r="C153">
        <v>1</v>
      </c>
      <c r="D153">
        <v>0</v>
      </c>
      <c r="E153">
        <v>1</v>
      </c>
      <c r="F153">
        <v>14</v>
      </c>
      <c r="G153" t="b">
        <v>0</v>
      </c>
      <c r="H153">
        <v>5</v>
      </c>
      <c r="I153">
        <v>2</v>
      </c>
      <c r="J153">
        <v>0.2</v>
      </c>
      <c r="K153">
        <v>0.19700000000000001</v>
      </c>
      <c r="L153">
        <v>0.4</v>
      </c>
      <c r="M153">
        <v>0.25369999999999998</v>
      </c>
      <c r="N153">
        <v>7</v>
      </c>
      <c r="O153">
        <v>43</v>
      </c>
      <c r="P153">
        <v>50</v>
      </c>
    </row>
    <row r="154" spans="1:16">
      <c r="A154">
        <v>153</v>
      </c>
      <c r="B154" s="1">
        <v>40550</v>
      </c>
      <c r="C154">
        <v>1</v>
      </c>
      <c r="D154">
        <v>0</v>
      </c>
      <c r="E154">
        <v>1</v>
      </c>
      <c r="F154">
        <v>15</v>
      </c>
      <c r="G154" t="b">
        <v>0</v>
      </c>
      <c r="H154">
        <v>5</v>
      </c>
      <c r="I154">
        <v>2</v>
      </c>
      <c r="J154">
        <v>0.2</v>
      </c>
      <c r="K154">
        <v>0.21210000000000001</v>
      </c>
      <c r="L154">
        <v>0.37</v>
      </c>
      <c r="M154">
        <v>0.16420000000000001</v>
      </c>
      <c r="N154">
        <v>9</v>
      </c>
      <c r="O154">
        <v>63</v>
      </c>
      <c r="P154">
        <v>72</v>
      </c>
    </row>
    <row r="155" spans="1:16">
      <c r="A155">
        <v>154</v>
      </c>
      <c r="B155" s="1">
        <v>40550</v>
      </c>
      <c r="C155">
        <v>1</v>
      </c>
      <c r="D155">
        <v>0</v>
      </c>
      <c r="E155">
        <v>1</v>
      </c>
      <c r="F155">
        <v>16</v>
      </c>
      <c r="G155" t="b">
        <v>0</v>
      </c>
      <c r="H155">
        <v>5</v>
      </c>
      <c r="I155">
        <v>2</v>
      </c>
      <c r="J155">
        <v>0.2</v>
      </c>
      <c r="K155">
        <v>0.21210000000000001</v>
      </c>
      <c r="L155">
        <v>0.37</v>
      </c>
      <c r="M155">
        <v>0.16420000000000001</v>
      </c>
      <c r="N155">
        <v>5</v>
      </c>
      <c r="O155">
        <v>82</v>
      </c>
      <c r="P155">
        <v>87</v>
      </c>
    </row>
    <row r="156" spans="1:16">
      <c r="A156">
        <v>155</v>
      </c>
      <c r="B156" s="1">
        <v>40550</v>
      </c>
      <c r="C156">
        <v>1</v>
      </c>
      <c r="D156">
        <v>0</v>
      </c>
      <c r="E156">
        <v>1</v>
      </c>
      <c r="F156">
        <v>17</v>
      </c>
      <c r="G156" t="b">
        <v>0</v>
      </c>
      <c r="H156">
        <v>5</v>
      </c>
      <c r="I156">
        <v>2</v>
      </c>
      <c r="J156">
        <v>0.2</v>
      </c>
      <c r="K156">
        <v>0.2576</v>
      </c>
      <c r="L156">
        <v>0.37</v>
      </c>
      <c r="M156">
        <v>0</v>
      </c>
      <c r="N156">
        <v>9</v>
      </c>
      <c r="O156">
        <v>178</v>
      </c>
      <c r="P156">
        <v>187</v>
      </c>
    </row>
    <row r="157" spans="1:16">
      <c r="A157">
        <v>156</v>
      </c>
      <c r="B157" s="1">
        <v>40550</v>
      </c>
      <c r="C157">
        <v>1</v>
      </c>
      <c r="D157">
        <v>0</v>
      </c>
      <c r="E157">
        <v>1</v>
      </c>
      <c r="F157">
        <v>18</v>
      </c>
      <c r="G157" t="b">
        <v>0</v>
      </c>
      <c r="H157">
        <v>5</v>
      </c>
      <c r="I157">
        <v>1</v>
      </c>
      <c r="J157">
        <v>0.2</v>
      </c>
      <c r="K157">
        <v>0.2273</v>
      </c>
      <c r="L157">
        <v>0.4</v>
      </c>
      <c r="M157">
        <v>8.9599999999999999E-2</v>
      </c>
      <c r="N157">
        <v>7</v>
      </c>
      <c r="O157">
        <v>116</v>
      </c>
      <c r="P157">
        <v>123</v>
      </c>
    </row>
    <row r="158" spans="1:16">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c r="A159">
        <v>158</v>
      </c>
      <c r="B159" s="1">
        <v>40550</v>
      </c>
      <c r="C159">
        <v>1</v>
      </c>
      <c r="D159">
        <v>0</v>
      </c>
      <c r="E159">
        <v>1</v>
      </c>
      <c r="F159">
        <v>20</v>
      </c>
      <c r="G159" t="b">
        <v>0</v>
      </c>
      <c r="H159">
        <v>5</v>
      </c>
      <c r="I159">
        <v>1</v>
      </c>
      <c r="J159">
        <v>0.18</v>
      </c>
      <c r="K159">
        <v>0.21210000000000001</v>
      </c>
      <c r="L159">
        <v>0.47</v>
      </c>
      <c r="M159">
        <v>0.1045</v>
      </c>
      <c r="N159">
        <v>1</v>
      </c>
      <c r="O159">
        <v>50</v>
      </c>
      <c r="P159">
        <v>51</v>
      </c>
    </row>
    <row r="160" spans="1:16">
      <c r="A160">
        <v>159</v>
      </c>
      <c r="B160" s="1">
        <v>40550</v>
      </c>
      <c r="C160">
        <v>1</v>
      </c>
      <c r="D160">
        <v>0</v>
      </c>
      <c r="E160">
        <v>1</v>
      </c>
      <c r="F160">
        <v>21</v>
      </c>
      <c r="G160" t="b">
        <v>0</v>
      </c>
      <c r="H160">
        <v>5</v>
      </c>
      <c r="I160">
        <v>1</v>
      </c>
      <c r="J160">
        <v>0.18</v>
      </c>
      <c r="K160">
        <v>0.19700000000000001</v>
      </c>
      <c r="L160">
        <v>0.47</v>
      </c>
      <c r="M160">
        <v>0.1343</v>
      </c>
      <c r="N160">
        <v>0</v>
      </c>
      <c r="O160">
        <v>39</v>
      </c>
      <c r="P160">
        <v>39</v>
      </c>
    </row>
    <row r="161" spans="1:16">
      <c r="A161">
        <v>160</v>
      </c>
      <c r="B161" s="1">
        <v>40550</v>
      </c>
      <c r="C161">
        <v>1</v>
      </c>
      <c r="D161">
        <v>0</v>
      </c>
      <c r="E161">
        <v>1</v>
      </c>
      <c r="F161">
        <v>22</v>
      </c>
      <c r="G161" t="b">
        <v>0</v>
      </c>
      <c r="H161">
        <v>5</v>
      </c>
      <c r="I161">
        <v>2</v>
      </c>
      <c r="J161">
        <v>0.18</v>
      </c>
      <c r="K161">
        <v>0.19700000000000001</v>
      </c>
      <c r="L161">
        <v>0.43</v>
      </c>
      <c r="M161">
        <v>0.16420000000000001</v>
      </c>
      <c r="N161">
        <v>2</v>
      </c>
      <c r="O161">
        <v>34</v>
      </c>
      <c r="P161">
        <v>36</v>
      </c>
    </row>
    <row r="162" spans="1:16">
      <c r="A162">
        <v>161</v>
      </c>
      <c r="B162" s="1">
        <v>40550</v>
      </c>
      <c r="C162">
        <v>1</v>
      </c>
      <c r="D162">
        <v>0</v>
      </c>
      <c r="E162">
        <v>1</v>
      </c>
      <c r="F162">
        <v>23</v>
      </c>
      <c r="G162" t="b">
        <v>0</v>
      </c>
      <c r="H162">
        <v>5</v>
      </c>
      <c r="I162">
        <v>2</v>
      </c>
      <c r="J162">
        <v>0.18</v>
      </c>
      <c r="K162">
        <v>0.19700000000000001</v>
      </c>
      <c r="L162">
        <v>0.51</v>
      </c>
      <c r="M162">
        <v>0.16420000000000001</v>
      </c>
      <c r="N162">
        <v>1</v>
      </c>
      <c r="O162">
        <v>14</v>
      </c>
      <c r="P162">
        <v>15</v>
      </c>
    </row>
    <row r="163" spans="1:16">
      <c r="A163">
        <v>162</v>
      </c>
      <c r="B163" s="1">
        <v>40551</v>
      </c>
      <c r="C163">
        <v>1</v>
      </c>
      <c r="D163">
        <v>0</v>
      </c>
      <c r="E163">
        <v>1</v>
      </c>
      <c r="F163">
        <v>0</v>
      </c>
      <c r="G163" t="b">
        <v>0</v>
      </c>
      <c r="H163">
        <v>6</v>
      </c>
      <c r="I163">
        <v>2</v>
      </c>
      <c r="J163">
        <v>0.18</v>
      </c>
      <c r="K163">
        <v>0.19700000000000001</v>
      </c>
      <c r="L163">
        <v>0.51</v>
      </c>
      <c r="M163">
        <v>0.16420000000000001</v>
      </c>
      <c r="N163">
        <v>1</v>
      </c>
      <c r="O163">
        <v>24</v>
      </c>
      <c r="P163">
        <v>25</v>
      </c>
    </row>
    <row r="164" spans="1:16">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c r="A165">
        <v>164</v>
      </c>
      <c r="B165" s="1">
        <v>40551</v>
      </c>
      <c r="C165">
        <v>1</v>
      </c>
      <c r="D165">
        <v>0</v>
      </c>
      <c r="E165">
        <v>1</v>
      </c>
      <c r="F165">
        <v>2</v>
      </c>
      <c r="G165" t="b">
        <v>0</v>
      </c>
      <c r="H165">
        <v>6</v>
      </c>
      <c r="I165">
        <v>2</v>
      </c>
      <c r="J165">
        <v>0.18</v>
      </c>
      <c r="K165">
        <v>0.2424</v>
      </c>
      <c r="L165">
        <v>0.55000000000000004</v>
      </c>
      <c r="M165">
        <v>0</v>
      </c>
      <c r="N165">
        <v>3</v>
      </c>
      <c r="O165">
        <v>13</v>
      </c>
      <c r="P165">
        <v>16</v>
      </c>
    </row>
    <row r="166" spans="1:16">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c r="A168">
        <v>167</v>
      </c>
      <c r="B168" s="1">
        <v>40551</v>
      </c>
      <c r="C168">
        <v>1</v>
      </c>
      <c r="D168">
        <v>0</v>
      </c>
      <c r="E168">
        <v>1</v>
      </c>
      <c r="F168">
        <v>5</v>
      </c>
      <c r="G168" t="b">
        <v>0</v>
      </c>
      <c r="H168">
        <v>6</v>
      </c>
      <c r="I168">
        <v>2</v>
      </c>
      <c r="J168">
        <v>0.16</v>
      </c>
      <c r="K168">
        <v>0.16669999999999999</v>
      </c>
      <c r="L168">
        <v>0.74</v>
      </c>
      <c r="M168">
        <v>0.16420000000000001</v>
      </c>
      <c r="N168">
        <v>0</v>
      </c>
      <c r="O168">
        <v>5</v>
      </c>
      <c r="P168">
        <v>5</v>
      </c>
    </row>
    <row r="169" spans="1:16">
      <c r="A169">
        <v>168</v>
      </c>
      <c r="B169" s="1">
        <v>40551</v>
      </c>
      <c r="C169">
        <v>1</v>
      </c>
      <c r="D169">
        <v>0</v>
      </c>
      <c r="E169">
        <v>1</v>
      </c>
      <c r="F169">
        <v>6</v>
      </c>
      <c r="G169" t="b">
        <v>0</v>
      </c>
      <c r="H169">
        <v>6</v>
      </c>
      <c r="I169">
        <v>2</v>
      </c>
      <c r="J169">
        <v>0.16</v>
      </c>
      <c r="K169">
        <v>0.16669999999999999</v>
      </c>
      <c r="L169">
        <v>0.74</v>
      </c>
      <c r="M169">
        <v>0.16420000000000001</v>
      </c>
      <c r="N169">
        <v>0</v>
      </c>
      <c r="O169">
        <v>2</v>
      </c>
      <c r="P169">
        <v>2</v>
      </c>
    </row>
    <row r="170" spans="1:16">
      <c r="A170">
        <v>169</v>
      </c>
      <c r="B170" s="1">
        <v>40551</v>
      </c>
      <c r="C170">
        <v>1</v>
      </c>
      <c r="D170">
        <v>0</v>
      </c>
      <c r="E170">
        <v>1</v>
      </c>
      <c r="F170">
        <v>7</v>
      </c>
      <c r="G170" t="b">
        <v>0</v>
      </c>
      <c r="H170">
        <v>6</v>
      </c>
      <c r="I170">
        <v>2</v>
      </c>
      <c r="J170">
        <v>0.16</v>
      </c>
      <c r="K170">
        <v>0.18179999999999999</v>
      </c>
      <c r="L170">
        <v>0.74</v>
      </c>
      <c r="M170">
        <v>0.1045</v>
      </c>
      <c r="N170">
        <v>1</v>
      </c>
      <c r="O170">
        <v>8</v>
      </c>
      <c r="P170">
        <v>9</v>
      </c>
    </row>
    <row r="171" spans="1:16">
      <c r="A171">
        <v>170</v>
      </c>
      <c r="B171" s="1">
        <v>40551</v>
      </c>
      <c r="C171">
        <v>1</v>
      </c>
      <c r="D171">
        <v>0</v>
      </c>
      <c r="E171">
        <v>1</v>
      </c>
      <c r="F171">
        <v>8</v>
      </c>
      <c r="G171" t="b">
        <v>0</v>
      </c>
      <c r="H171">
        <v>6</v>
      </c>
      <c r="I171">
        <v>3</v>
      </c>
      <c r="J171">
        <v>0.16</v>
      </c>
      <c r="K171">
        <v>0.18179999999999999</v>
      </c>
      <c r="L171">
        <v>0.93</v>
      </c>
      <c r="M171">
        <v>0.1045</v>
      </c>
      <c r="N171">
        <v>0</v>
      </c>
      <c r="O171">
        <v>15</v>
      </c>
      <c r="P171">
        <v>15</v>
      </c>
    </row>
    <row r="172" spans="1:16">
      <c r="A172">
        <v>171</v>
      </c>
      <c r="B172" s="1">
        <v>40551</v>
      </c>
      <c r="C172">
        <v>1</v>
      </c>
      <c r="D172">
        <v>0</v>
      </c>
      <c r="E172">
        <v>1</v>
      </c>
      <c r="F172">
        <v>9</v>
      </c>
      <c r="G172" t="b">
        <v>0</v>
      </c>
      <c r="H172">
        <v>6</v>
      </c>
      <c r="I172">
        <v>3</v>
      </c>
      <c r="J172">
        <v>0.16</v>
      </c>
      <c r="K172">
        <v>0.18179999999999999</v>
      </c>
      <c r="L172">
        <v>0.93</v>
      </c>
      <c r="M172">
        <v>0.1045</v>
      </c>
      <c r="N172">
        <v>0</v>
      </c>
      <c r="O172">
        <v>20</v>
      </c>
      <c r="P172">
        <v>20</v>
      </c>
    </row>
    <row r="173" spans="1:16">
      <c r="A173">
        <v>172</v>
      </c>
      <c r="B173" s="1">
        <v>40551</v>
      </c>
      <c r="C173">
        <v>1</v>
      </c>
      <c r="D173">
        <v>0</v>
      </c>
      <c r="E173">
        <v>1</v>
      </c>
      <c r="F173">
        <v>10</v>
      </c>
      <c r="G173" t="b">
        <v>0</v>
      </c>
      <c r="H173">
        <v>6</v>
      </c>
      <c r="I173">
        <v>2</v>
      </c>
      <c r="J173">
        <v>0.18</v>
      </c>
      <c r="K173">
        <v>0.19700000000000001</v>
      </c>
      <c r="L173">
        <v>0.8</v>
      </c>
      <c r="M173">
        <v>0.16420000000000001</v>
      </c>
      <c r="N173">
        <v>5</v>
      </c>
      <c r="O173">
        <v>56</v>
      </c>
      <c r="P173">
        <v>61</v>
      </c>
    </row>
    <row r="174" spans="1:16">
      <c r="A174">
        <v>173</v>
      </c>
      <c r="B174" s="1">
        <v>40551</v>
      </c>
      <c r="C174">
        <v>1</v>
      </c>
      <c r="D174">
        <v>0</v>
      </c>
      <c r="E174">
        <v>1</v>
      </c>
      <c r="F174">
        <v>11</v>
      </c>
      <c r="G174" t="b">
        <v>0</v>
      </c>
      <c r="H174">
        <v>6</v>
      </c>
      <c r="I174">
        <v>2</v>
      </c>
      <c r="J174">
        <v>0.2</v>
      </c>
      <c r="K174">
        <v>0.18179999999999999</v>
      </c>
      <c r="L174">
        <v>0.69</v>
      </c>
      <c r="M174">
        <v>0.3881</v>
      </c>
      <c r="N174">
        <v>2</v>
      </c>
      <c r="O174">
        <v>60</v>
      </c>
      <c r="P174">
        <v>62</v>
      </c>
    </row>
    <row r="175" spans="1:16">
      <c r="A175">
        <v>174</v>
      </c>
      <c r="B175" s="1">
        <v>40551</v>
      </c>
      <c r="C175">
        <v>1</v>
      </c>
      <c r="D175">
        <v>0</v>
      </c>
      <c r="E175">
        <v>1</v>
      </c>
      <c r="F175">
        <v>12</v>
      </c>
      <c r="G175" t="b">
        <v>0</v>
      </c>
      <c r="H175">
        <v>6</v>
      </c>
      <c r="I175">
        <v>2</v>
      </c>
      <c r="J175">
        <v>0.2</v>
      </c>
      <c r="K175">
        <v>0.18179999999999999</v>
      </c>
      <c r="L175">
        <v>0.59</v>
      </c>
      <c r="M175">
        <v>0.35820000000000002</v>
      </c>
      <c r="N175">
        <v>8</v>
      </c>
      <c r="O175">
        <v>90</v>
      </c>
      <c r="P175">
        <v>98</v>
      </c>
    </row>
    <row r="176" spans="1:16">
      <c r="A176">
        <v>175</v>
      </c>
      <c r="B176" s="1">
        <v>40551</v>
      </c>
      <c r="C176">
        <v>1</v>
      </c>
      <c r="D176">
        <v>0</v>
      </c>
      <c r="E176">
        <v>1</v>
      </c>
      <c r="F176">
        <v>13</v>
      </c>
      <c r="G176" t="b">
        <v>0</v>
      </c>
      <c r="H176">
        <v>6</v>
      </c>
      <c r="I176">
        <v>1</v>
      </c>
      <c r="J176">
        <v>0.2</v>
      </c>
      <c r="K176">
        <v>0.18179999999999999</v>
      </c>
      <c r="L176">
        <v>0.44</v>
      </c>
      <c r="M176">
        <v>0.32840000000000003</v>
      </c>
      <c r="N176">
        <v>7</v>
      </c>
      <c r="O176">
        <v>95</v>
      </c>
      <c r="P176">
        <v>102</v>
      </c>
    </row>
    <row r="177" spans="1:16">
      <c r="A177">
        <v>176</v>
      </c>
      <c r="B177" s="1">
        <v>40551</v>
      </c>
      <c r="C177">
        <v>1</v>
      </c>
      <c r="D177">
        <v>0</v>
      </c>
      <c r="E177">
        <v>1</v>
      </c>
      <c r="F177">
        <v>14</v>
      </c>
      <c r="G177" t="b">
        <v>0</v>
      </c>
      <c r="H177">
        <v>6</v>
      </c>
      <c r="I177">
        <v>1</v>
      </c>
      <c r="J177">
        <v>0.2</v>
      </c>
      <c r="K177">
        <v>0.16669999999999999</v>
      </c>
      <c r="L177">
        <v>0.32</v>
      </c>
      <c r="M177">
        <v>0.49249999999999999</v>
      </c>
      <c r="N177">
        <v>12</v>
      </c>
      <c r="O177">
        <v>83</v>
      </c>
      <c r="P177">
        <v>95</v>
      </c>
    </row>
    <row r="178" spans="1:16">
      <c r="A178">
        <v>177</v>
      </c>
      <c r="B178" s="1">
        <v>40551</v>
      </c>
      <c r="C178">
        <v>1</v>
      </c>
      <c r="D178">
        <v>0</v>
      </c>
      <c r="E178">
        <v>1</v>
      </c>
      <c r="F178">
        <v>15</v>
      </c>
      <c r="G178" t="b">
        <v>0</v>
      </c>
      <c r="H178">
        <v>6</v>
      </c>
      <c r="I178">
        <v>1</v>
      </c>
      <c r="J178">
        <v>0.2</v>
      </c>
      <c r="K178">
        <v>0.16669999999999999</v>
      </c>
      <c r="L178">
        <v>0.32</v>
      </c>
      <c r="M178">
        <v>0.44779999999999998</v>
      </c>
      <c r="N178">
        <v>5</v>
      </c>
      <c r="O178">
        <v>69</v>
      </c>
      <c r="P178">
        <v>74</v>
      </c>
    </row>
    <row r="179" spans="1:16">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c r="A180">
        <v>179</v>
      </c>
      <c r="B180" s="1">
        <v>40551</v>
      </c>
      <c r="C180">
        <v>1</v>
      </c>
      <c r="D180">
        <v>0</v>
      </c>
      <c r="E180">
        <v>1</v>
      </c>
      <c r="F180">
        <v>17</v>
      </c>
      <c r="G180" t="b">
        <v>0</v>
      </c>
      <c r="H180">
        <v>6</v>
      </c>
      <c r="I180">
        <v>1</v>
      </c>
      <c r="J180">
        <v>0.16</v>
      </c>
      <c r="K180">
        <v>0.1212</v>
      </c>
      <c r="L180">
        <v>0.37</v>
      </c>
      <c r="M180">
        <v>0.55220000000000002</v>
      </c>
      <c r="N180">
        <v>5</v>
      </c>
      <c r="O180">
        <v>64</v>
      </c>
      <c r="P180">
        <v>69</v>
      </c>
    </row>
    <row r="181" spans="1:16">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row>
    <row r="182" spans="1:16">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row>
    <row r="183" spans="1:16">
      <c r="A183">
        <v>182</v>
      </c>
      <c r="B183" s="1">
        <v>40551</v>
      </c>
      <c r="C183">
        <v>1</v>
      </c>
      <c r="D183">
        <v>0</v>
      </c>
      <c r="E183">
        <v>1</v>
      </c>
      <c r="F183">
        <v>20</v>
      </c>
      <c r="G183" t="b">
        <v>0</v>
      </c>
      <c r="H183">
        <v>6</v>
      </c>
      <c r="I183">
        <v>1</v>
      </c>
      <c r="J183">
        <v>0.12</v>
      </c>
      <c r="K183">
        <v>0.1212</v>
      </c>
      <c r="L183">
        <v>0.36</v>
      </c>
      <c r="M183">
        <v>0.25369999999999998</v>
      </c>
      <c r="N183">
        <v>0</v>
      </c>
      <c r="O183">
        <v>28</v>
      </c>
      <c r="P183">
        <v>28</v>
      </c>
    </row>
    <row r="184" spans="1:16">
      <c r="A184">
        <v>183</v>
      </c>
      <c r="B184" s="1">
        <v>40551</v>
      </c>
      <c r="C184">
        <v>1</v>
      </c>
      <c r="D184">
        <v>0</v>
      </c>
      <c r="E184">
        <v>1</v>
      </c>
      <c r="F184">
        <v>21</v>
      </c>
      <c r="G184" t="b">
        <v>0</v>
      </c>
      <c r="H184">
        <v>6</v>
      </c>
      <c r="I184">
        <v>1</v>
      </c>
      <c r="J184">
        <v>0.12</v>
      </c>
      <c r="K184">
        <v>0.1061</v>
      </c>
      <c r="L184">
        <v>0.39</v>
      </c>
      <c r="M184">
        <v>0.35820000000000002</v>
      </c>
      <c r="N184">
        <v>2</v>
      </c>
      <c r="O184">
        <v>35</v>
      </c>
      <c r="P184">
        <v>37</v>
      </c>
    </row>
    <row r="185" spans="1:16">
      <c r="A185">
        <v>184</v>
      </c>
      <c r="B185" s="1">
        <v>40551</v>
      </c>
      <c r="C185">
        <v>1</v>
      </c>
      <c r="D185">
        <v>0</v>
      </c>
      <c r="E185">
        <v>1</v>
      </c>
      <c r="F185">
        <v>22</v>
      </c>
      <c r="G185" t="b">
        <v>0</v>
      </c>
      <c r="H185">
        <v>6</v>
      </c>
      <c r="I185">
        <v>1</v>
      </c>
      <c r="J185">
        <v>0.12</v>
      </c>
      <c r="K185">
        <v>0.1061</v>
      </c>
      <c r="L185">
        <v>0.36</v>
      </c>
      <c r="M185">
        <v>0.3881</v>
      </c>
      <c r="N185">
        <v>1</v>
      </c>
      <c r="O185">
        <v>33</v>
      </c>
      <c r="P185">
        <v>34</v>
      </c>
    </row>
    <row r="186" spans="1:16">
      <c r="A186">
        <v>185</v>
      </c>
      <c r="B186" s="1">
        <v>40551</v>
      </c>
      <c r="C186">
        <v>1</v>
      </c>
      <c r="D186">
        <v>0</v>
      </c>
      <c r="E186">
        <v>1</v>
      </c>
      <c r="F186">
        <v>23</v>
      </c>
      <c r="G186" t="b">
        <v>0</v>
      </c>
      <c r="H186">
        <v>6</v>
      </c>
      <c r="I186">
        <v>1</v>
      </c>
      <c r="J186">
        <v>0.1</v>
      </c>
      <c r="K186">
        <v>6.0600000000000001E-2</v>
      </c>
      <c r="L186">
        <v>0.39</v>
      </c>
      <c r="M186">
        <v>0.44779999999999998</v>
      </c>
      <c r="N186">
        <v>0</v>
      </c>
      <c r="O186">
        <v>22</v>
      </c>
      <c r="P186">
        <v>22</v>
      </c>
    </row>
    <row r="187" spans="1:16">
      <c r="A187">
        <v>186</v>
      </c>
      <c r="B187" s="1">
        <v>40552</v>
      </c>
      <c r="C187">
        <v>1</v>
      </c>
      <c r="D187">
        <v>0</v>
      </c>
      <c r="E187">
        <v>1</v>
      </c>
      <c r="F187">
        <v>0</v>
      </c>
      <c r="G187" t="b">
        <v>0</v>
      </c>
      <c r="H187">
        <v>0</v>
      </c>
      <c r="I187">
        <v>1</v>
      </c>
      <c r="J187">
        <v>0.1</v>
      </c>
      <c r="K187">
        <v>7.5800000000000006E-2</v>
      </c>
      <c r="L187">
        <v>0.42</v>
      </c>
      <c r="M187">
        <v>0.3881</v>
      </c>
      <c r="N187">
        <v>1</v>
      </c>
      <c r="O187">
        <v>24</v>
      </c>
      <c r="P187">
        <v>25</v>
      </c>
    </row>
    <row r="188" spans="1:16">
      <c r="A188">
        <v>187</v>
      </c>
      <c r="B188" s="1">
        <v>40552</v>
      </c>
      <c r="C188">
        <v>1</v>
      </c>
      <c r="D188">
        <v>0</v>
      </c>
      <c r="E188">
        <v>1</v>
      </c>
      <c r="F188">
        <v>1</v>
      </c>
      <c r="G188" t="b">
        <v>0</v>
      </c>
      <c r="H188">
        <v>0</v>
      </c>
      <c r="I188">
        <v>1</v>
      </c>
      <c r="J188">
        <v>0.1</v>
      </c>
      <c r="K188">
        <v>6.0600000000000001E-2</v>
      </c>
      <c r="L188">
        <v>0.42</v>
      </c>
      <c r="M188">
        <v>0.4627</v>
      </c>
      <c r="N188">
        <v>0</v>
      </c>
      <c r="O188">
        <v>12</v>
      </c>
      <c r="P188">
        <v>12</v>
      </c>
    </row>
    <row r="189" spans="1:16">
      <c r="A189">
        <v>188</v>
      </c>
      <c r="B189" s="1">
        <v>40552</v>
      </c>
      <c r="C189">
        <v>1</v>
      </c>
      <c r="D189">
        <v>0</v>
      </c>
      <c r="E189">
        <v>1</v>
      </c>
      <c r="F189">
        <v>2</v>
      </c>
      <c r="G189" t="b">
        <v>0</v>
      </c>
      <c r="H189">
        <v>0</v>
      </c>
      <c r="I189">
        <v>1</v>
      </c>
      <c r="J189">
        <v>0.1</v>
      </c>
      <c r="K189">
        <v>6.0600000000000001E-2</v>
      </c>
      <c r="L189">
        <v>0.46</v>
      </c>
      <c r="M189">
        <v>0.4627</v>
      </c>
      <c r="N189">
        <v>0</v>
      </c>
      <c r="O189">
        <v>11</v>
      </c>
      <c r="P189">
        <v>11</v>
      </c>
    </row>
    <row r="190" spans="1:16">
      <c r="A190">
        <v>189</v>
      </c>
      <c r="B190" s="1">
        <v>40552</v>
      </c>
      <c r="C190">
        <v>1</v>
      </c>
      <c r="D190">
        <v>0</v>
      </c>
      <c r="E190">
        <v>1</v>
      </c>
      <c r="F190">
        <v>3</v>
      </c>
      <c r="G190" t="b">
        <v>0</v>
      </c>
      <c r="H190">
        <v>0</v>
      </c>
      <c r="I190">
        <v>1</v>
      </c>
      <c r="J190">
        <v>0.1</v>
      </c>
      <c r="K190">
        <v>7.5800000000000006E-2</v>
      </c>
      <c r="L190">
        <v>0.46</v>
      </c>
      <c r="M190">
        <v>0.41789999999999999</v>
      </c>
      <c r="N190">
        <v>0</v>
      </c>
      <c r="O190">
        <v>4</v>
      </c>
      <c r="P190">
        <v>4</v>
      </c>
    </row>
    <row r="191" spans="1:16">
      <c r="A191">
        <v>190</v>
      </c>
      <c r="B191" s="1">
        <v>40552</v>
      </c>
      <c r="C191">
        <v>1</v>
      </c>
      <c r="D191">
        <v>0</v>
      </c>
      <c r="E191">
        <v>1</v>
      </c>
      <c r="F191">
        <v>4</v>
      </c>
      <c r="G191" t="b">
        <v>0</v>
      </c>
      <c r="H191">
        <v>0</v>
      </c>
      <c r="I191">
        <v>1</v>
      </c>
      <c r="J191">
        <v>0.08</v>
      </c>
      <c r="K191">
        <v>9.0899999999999995E-2</v>
      </c>
      <c r="L191">
        <v>0.53</v>
      </c>
      <c r="M191">
        <v>0.19400000000000001</v>
      </c>
      <c r="N191">
        <v>0</v>
      </c>
      <c r="O191">
        <v>1</v>
      </c>
      <c r="P191">
        <v>1</v>
      </c>
    </row>
    <row r="192" spans="1:16">
      <c r="A192">
        <v>191</v>
      </c>
      <c r="B192" s="1">
        <v>40552</v>
      </c>
      <c r="C192">
        <v>1</v>
      </c>
      <c r="D192">
        <v>0</v>
      </c>
      <c r="E192">
        <v>1</v>
      </c>
      <c r="F192">
        <v>5</v>
      </c>
      <c r="G192" t="b">
        <v>0</v>
      </c>
      <c r="H192">
        <v>0</v>
      </c>
      <c r="I192">
        <v>1</v>
      </c>
      <c r="J192">
        <v>0.08</v>
      </c>
      <c r="K192">
        <v>9.0899999999999995E-2</v>
      </c>
      <c r="L192">
        <v>0.53</v>
      </c>
      <c r="M192">
        <v>0.19400000000000001</v>
      </c>
      <c r="N192">
        <v>0</v>
      </c>
      <c r="O192">
        <v>1</v>
      </c>
      <c r="P192">
        <v>1</v>
      </c>
    </row>
    <row r="193" spans="1:16">
      <c r="A193">
        <v>192</v>
      </c>
      <c r="B193" s="1">
        <v>40552</v>
      </c>
      <c r="C193">
        <v>1</v>
      </c>
      <c r="D193">
        <v>0</v>
      </c>
      <c r="E193">
        <v>1</v>
      </c>
      <c r="F193">
        <v>6</v>
      </c>
      <c r="G193" t="b">
        <v>0</v>
      </c>
      <c r="H193">
        <v>0</v>
      </c>
      <c r="I193">
        <v>1</v>
      </c>
      <c r="J193">
        <v>0.1</v>
      </c>
      <c r="K193">
        <v>9.0899999999999995E-2</v>
      </c>
      <c r="L193">
        <v>0.49</v>
      </c>
      <c r="M193">
        <v>0.28360000000000002</v>
      </c>
      <c r="N193">
        <v>0</v>
      </c>
      <c r="O193">
        <v>1</v>
      </c>
      <c r="P193">
        <v>1</v>
      </c>
    </row>
    <row r="194" spans="1:16">
      <c r="A194">
        <v>193</v>
      </c>
      <c r="B194" s="1">
        <v>40552</v>
      </c>
      <c r="C194">
        <v>1</v>
      </c>
      <c r="D194">
        <v>0</v>
      </c>
      <c r="E194">
        <v>1</v>
      </c>
      <c r="F194">
        <v>7</v>
      </c>
      <c r="G194" t="b">
        <v>0</v>
      </c>
      <c r="H194">
        <v>0</v>
      </c>
      <c r="I194">
        <v>1</v>
      </c>
      <c r="J194">
        <v>0.08</v>
      </c>
      <c r="K194">
        <v>9.0899999999999995E-2</v>
      </c>
      <c r="L194">
        <v>0.53</v>
      </c>
      <c r="M194">
        <v>0.19400000000000001</v>
      </c>
      <c r="N194">
        <v>1</v>
      </c>
      <c r="O194">
        <v>5</v>
      </c>
      <c r="P194">
        <v>6</v>
      </c>
    </row>
    <row r="195" spans="1:16">
      <c r="A195">
        <v>194</v>
      </c>
      <c r="B195" s="1">
        <v>40552</v>
      </c>
      <c r="C195">
        <v>1</v>
      </c>
      <c r="D195">
        <v>0</v>
      </c>
      <c r="E195">
        <v>1</v>
      </c>
      <c r="F195">
        <v>8</v>
      </c>
      <c r="G195" t="b">
        <v>0</v>
      </c>
      <c r="H195">
        <v>0</v>
      </c>
      <c r="I195">
        <v>1</v>
      </c>
      <c r="J195">
        <v>0.1</v>
      </c>
      <c r="K195">
        <v>9.0899999999999995E-2</v>
      </c>
      <c r="L195">
        <v>0.49</v>
      </c>
      <c r="M195">
        <v>0.28360000000000002</v>
      </c>
      <c r="N195">
        <v>0</v>
      </c>
      <c r="O195">
        <v>10</v>
      </c>
      <c r="P195">
        <v>10</v>
      </c>
    </row>
    <row r="196" spans="1:16">
      <c r="A196">
        <v>195</v>
      </c>
      <c r="B196" s="1">
        <v>40552</v>
      </c>
      <c r="C196">
        <v>1</v>
      </c>
      <c r="D196">
        <v>0</v>
      </c>
      <c r="E196">
        <v>1</v>
      </c>
      <c r="F196">
        <v>9</v>
      </c>
      <c r="G196" t="b">
        <v>0</v>
      </c>
      <c r="H196">
        <v>0</v>
      </c>
      <c r="I196">
        <v>1</v>
      </c>
      <c r="J196">
        <v>0.12</v>
      </c>
      <c r="K196">
        <v>7.5800000000000006E-2</v>
      </c>
      <c r="L196">
        <v>0.46</v>
      </c>
      <c r="M196">
        <v>0.52239999999999998</v>
      </c>
      <c r="N196">
        <v>0</v>
      </c>
      <c r="O196">
        <v>19</v>
      </c>
      <c r="P196">
        <v>19</v>
      </c>
    </row>
    <row r="197" spans="1:16">
      <c r="A197">
        <v>196</v>
      </c>
      <c r="B197" s="1">
        <v>40552</v>
      </c>
      <c r="C197">
        <v>1</v>
      </c>
      <c r="D197">
        <v>0</v>
      </c>
      <c r="E197">
        <v>1</v>
      </c>
      <c r="F197">
        <v>10</v>
      </c>
      <c r="G197" t="b">
        <v>0</v>
      </c>
      <c r="H197">
        <v>0</v>
      </c>
      <c r="I197">
        <v>1</v>
      </c>
      <c r="J197">
        <v>0.14000000000000001</v>
      </c>
      <c r="K197">
        <v>0.1061</v>
      </c>
      <c r="L197">
        <v>0.43</v>
      </c>
      <c r="M197">
        <v>0.3881</v>
      </c>
      <c r="N197">
        <v>0</v>
      </c>
      <c r="O197">
        <v>49</v>
      </c>
      <c r="P197">
        <v>49</v>
      </c>
    </row>
    <row r="198" spans="1:16">
      <c r="A198">
        <v>197</v>
      </c>
      <c r="B198" s="1">
        <v>40552</v>
      </c>
      <c r="C198">
        <v>1</v>
      </c>
      <c r="D198">
        <v>0</v>
      </c>
      <c r="E198">
        <v>1</v>
      </c>
      <c r="F198">
        <v>11</v>
      </c>
      <c r="G198" t="b">
        <v>0</v>
      </c>
      <c r="H198">
        <v>0</v>
      </c>
      <c r="I198">
        <v>1</v>
      </c>
      <c r="J198">
        <v>0.16</v>
      </c>
      <c r="K198">
        <v>0.1212</v>
      </c>
      <c r="L198">
        <v>0.4</v>
      </c>
      <c r="M198">
        <v>0.52239999999999998</v>
      </c>
      <c r="N198">
        <v>2</v>
      </c>
      <c r="O198">
        <v>47</v>
      </c>
      <c r="P198">
        <v>49</v>
      </c>
    </row>
    <row r="199" spans="1:16">
      <c r="A199">
        <v>198</v>
      </c>
      <c r="B199" s="1">
        <v>40552</v>
      </c>
      <c r="C199">
        <v>1</v>
      </c>
      <c r="D199">
        <v>0</v>
      </c>
      <c r="E199">
        <v>1</v>
      </c>
      <c r="F199">
        <v>12</v>
      </c>
      <c r="G199" t="b">
        <v>0</v>
      </c>
      <c r="H199">
        <v>0</v>
      </c>
      <c r="I199">
        <v>1</v>
      </c>
      <c r="J199">
        <v>0.18</v>
      </c>
      <c r="K199">
        <v>0.13639999999999999</v>
      </c>
      <c r="L199">
        <v>0.37</v>
      </c>
      <c r="M199">
        <v>0.44779999999999998</v>
      </c>
      <c r="N199">
        <v>4</v>
      </c>
      <c r="O199">
        <v>79</v>
      </c>
      <c r="P199">
        <v>83</v>
      </c>
    </row>
    <row r="200" spans="1:16">
      <c r="A200">
        <v>199</v>
      </c>
      <c r="B200" s="1">
        <v>40552</v>
      </c>
      <c r="C200">
        <v>1</v>
      </c>
      <c r="D200">
        <v>0</v>
      </c>
      <c r="E200">
        <v>1</v>
      </c>
      <c r="F200">
        <v>13</v>
      </c>
      <c r="G200" t="b">
        <v>0</v>
      </c>
      <c r="H200">
        <v>0</v>
      </c>
      <c r="I200">
        <v>1</v>
      </c>
      <c r="J200">
        <v>0.2</v>
      </c>
      <c r="K200">
        <v>0.16669999999999999</v>
      </c>
      <c r="L200">
        <v>0.34</v>
      </c>
      <c r="M200">
        <v>0.44779999999999998</v>
      </c>
      <c r="N200">
        <v>6</v>
      </c>
      <c r="O200">
        <v>69</v>
      </c>
      <c r="P200">
        <v>75</v>
      </c>
    </row>
    <row r="201" spans="1:16">
      <c r="A201">
        <v>200</v>
      </c>
      <c r="B201" s="1">
        <v>40552</v>
      </c>
      <c r="C201">
        <v>1</v>
      </c>
      <c r="D201">
        <v>0</v>
      </c>
      <c r="E201">
        <v>1</v>
      </c>
      <c r="F201">
        <v>14</v>
      </c>
      <c r="G201" t="b">
        <v>0</v>
      </c>
      <c r="H201">
        <v>0</v>
      </c>
      <c r="I201">
        <v>1</v>
      </c>
      <c r="J201">
        <v>0.22</v>
      </c>
      <c r="K201">
        <v>0.18179999999999999</v>
      </c>
      <c r="L201">
        <v>0.32</v>
      </c>
      <c r="M201">
        <v>0.4627</v>
      </c>
      <c r="N201">
        <v>8</v>
      </c>
      <c r="O201">
        <v>64</v>
      </c>
      <c r="P201">
        <v>72</v>
      </c>
    </row>
    <row r="202" spans="1:16">
      <c r="A202">
        <v>201</v>
      </c>
      <c r="B202" s="1">
        <v>40552</v>
      </c>
      <c r="C202">
        <v>1</v>
      </c>
      <c r="D202">
        <v>0</v>
      </c>
      <c r="E202">
        <v>1</v>
      </c>
      <c r="F202">
        <v>15</v>
      </c>
      <c r="G202" t="b">
        <v>0</v>
      </c>
      <c r="H202">
        <v>0</v>
      </c>
      <c r="I202">
        <v>1</v>
      </c>
      <c r="J202">
        <v>0.22</v>
      </c>
      <c r="K202">
        <v>0.19700000000000001</v>
      </c>
      <c r="L202">
        <v>0.35</v>
      </c>
      <c r="M202">
        <v>0.35820000000000002</v>
      </c>
      <c r="N202">
        <v>5</v>
      </c>
      <c r="O202">
        <v>77</v>
      </c>
      <c r="P202">
        <v>82</v>
      </c>
    </row>
    <row r="203" spans="1:16">
      <c r="A203">
        <v>202</v>
      </c>
      <c r="B203" s="1">
        <v>40552</v>
      </c>
      <c r="C203">
        <v>1</v>
      </c>
      <c r="D203">
        <v>0</v>
      </c>
      <c r="E203">
        <v>1</v>
      </c>
      <c r="F203">
        <v>16</v>
      </c>
      <c r="G203" t="b">
        <v>0</v>
      </c>
      <c r="H203">
        <v>0</v>
      </c>
      <c r="I203">
        <v>1</v>
      </c>
      <c r="J203">
        <v>0.2</v>
      </c>
      <c r="K203">
        <v>0.16669999999999999</v>
      </c>
      <c r="L203">
        <v>0.34</v>
      </c>
      <c r="M203">
        <v>0.44779999999999998</v>
      </c>
      <c r="N203">
        <v>13</v>
      </c>
      <c r="O203">
        <v>79</v>
      </c>
      <c r="P203">
        <v>92</v>
      </c>
    </row>
    <row r="204" spans="1:16">
      <c r="A204">
        <v>203</v>
      </c>
      <c r="B204" s="1">
        <v>40552</v>
      </c>
      <c r="C204">
        <v>1</v>
      </c>
      <c r="D204">
        <v>0</v>
      </c>
      <c r="E204">
        <v>1</v>
      </c>
      <c r="F204">
        <v>17</v>
      </c>
      <c r="G204" t="b">
        <v>0</v>
      </c>
      <c r="H204">
        <v>0</v>
      </c>
      <c r="I204">
        <v>1</v>
      </c>
      <c r="J204">
        <v>0.18</v>
      </c>
      <c r="K204">
        <v>0.1515</v>
      </c>
      <c r="L204">
        <v>0.37</v>
      </c>
      <c r="M204">
        <v>0.3881</v>
      </c>
      <c r="N204">
        <v>3</v>
      </c>
      <c r="O204">
        <v>59</v>
      </c>
      <c r="P204">
        <v>62</v>
      </c>
    </row>
    <row r="205" spans="1:16">
      <c r="A205">
        <v>204</v>
      </c>
      <c r="B205" s="1">
        <v>40552</v>
      </c>
      <c r="C205">
        <v>1</v>
      </c>
      <c r="D205">
        <v>0</v>
      </c>
      <c r="E205">
        <v>1</v>
      </c>
      <c r="F205">
        <v>18</v>
      </c>
      <c r="G205" t="b">
        <v>0</v>
      </c>
      <c r="H205">
        <v>0</v>
      </c>
      <c r="I205">
        <v>1</v>
      </c>
      <c r="J205">
        <v>0.16</v>
      </c>
      <c r="K205">
        <v>0.13639999999999999</v>
      </c>
      <c r="L205">
        <v>0.4</v>
      </c>
      <c r="M205">
        <v>0.32840000000000003</v>
      </c>
      <c r="N205">
        <v>4</v>
      </c>
      <c r="O205">
        <v>44</v>
      </c>
      <c r="P205">
        <v>48</v>
      </c>
    </row>
    <row r="206" spans="1:16">
      <c r="A206">
        <v>205</v>
      </c>
      <c r="B206" s="1">
        <v>40552</v>
      </c>
      <c r="C206">
        <v>1</v>
      </c>
      <c r="D206">
        <v>0</v>
      </c>
      <c r="E206">
        <v>1</v>
      </c>
      <c r="F206">
        <v>19</v>
      </c>
      <c r="G206" t="b">
        <v>0</v>
      </c>
      <c r="H206">
        <v>0</v>
      </c>
      <c r="I206">
        <v>1</v>
      </c>
      <c r="J206">
        <v>0.16</v>
      </c>
      <c r="K206">
        <v>0.13639999999999999</v>
      </c>
      <c r="L206">
        <v>0.43</v>
      </c>
      <c r="M206">
        <v>0.32840000000000003</v>
      </c>
      <c r="N206">
        <v>1</v>
      </c>
      <c r="O206">
        <v>40</v>
      </c>
      <c r="P206">
        <v>41</v>
      </c>
    </row>
    <row r="207" spans="1:16">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row>
    <row r="208" spans="1:16">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row>
    <row r="209" spans="1:16">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row>
    <row r="210" spans="1:16">
      <c r="A210">
        <v>209</v>
      </c>
      <c r="B210" s="1">
        <v>40552</v>
      </c>
      <c r="C210">
        <v>1</v>
      </c>
      <c r="D210">
        <v>0</v>
      </c>
      <c r="E210">
        <v>1</v>
      </c>
      <c r="F210">
        <v>23</v>
      </c>
      <c r="G210" t="b">
        <v>0</v>
      </c>
      <c r="H210">
        <v>0</v>
      </c>
      <c r="I210">
        <v>1</v>
      </c>
      <c r="J210">
        <v>0.12</v>
      </c>
      <c r="K210">
        <v>0.13639999999999999</v>
      </c>
      <c r="L210">
        <v>0.5</v>
      </c>
      <c r="M210">
        <v>0.19400000000000001</v>
      </c>
      <c r="N210">
        <v>0</v>
      </c>
      <c r="O210">
        <v>6</v>
      </c>
      <c r="P210">
        <v>6</v>
      </c>
    </row>
    <row r="211" spans="1:16">
      <c r="A211">
        <v>210</v>
      </c>
      <c r="B211" s="1">
        <v>40553</v>
      </c>
      <c r="C211">
        <v>1</v>
      </c>
      <c r="D211">
        <v>0</v>
      </c>
      <c r="E211">
        <v>1</v>
      </c>
      <c r="F211">
        <v>0</v>
      </c>
      <c r="G211" t="b">
        <v>0</v>
      </c>
      <c r="H211">
        <v>1</v>
      </c>
      <c r="I211">
        <v>1</v>
      </c>
      <c r="J211">
        <v>0.12</v>
      </c>
      <c r="K211">
        <v>0.1212</v>
      </c>
      <c r="L211">
        <v>0.5</v>
      </c>
      <c r="M211">
        <v>0.28360000000000002</v>
      </c>
      <c r="N211">
        <v>2</v>
      </c>
      <c r="O211">
        <v>3</v>
      </c>
      <c r="P211">
        <v>5</v>
      </c>
    </row>
    <row r="212" spans="1:16">
      <c r="A212">
        <v>211</v>
      </c>
      <c r="B212" s="1">
        <v>40553</v>
      </c>
      <c r="C212">
        <v>1</v>
      </c>
      <c r="D212">
        <v>0</v>
      </c>
      <c r="E212">
        <v>1</v>
      </c>
      <c r="F212">
        <v>1</v>
      </c>
      <c r="G212" t="b">
        <v>0</v>
      </c>
      <c r="H212">
        <v>1</v>
      </c>
      <c r="I212">
        <v>1</v>
      </c>
      <c r="J212">
        <v>0.12</v>
      </c>
      <c r="K212">
        <v>0.1212</v>
      </c>
      <c r="L212">
        <v>0.5</v>
      </c>
      <c r="M212">
        <v>0.28360000000000002</v>
      </c>
      <c r="N212">
        <v>1</v>
      </c>
      <c r="O212">
        <v>0</v>
      </c>
      <c r="P212">
        <v>1</v>
      </c>
    </row>
    <row r="213" spans="1:16">
      <c r="A213">
        <v>212</v>
      </c>
      <c r="B213" s="1">
        <v>40553</v>
      </c>
      <c r="C213">
        <v>1</v>
      </c>
      <c r="D213">
        <v>0</v>
      </c>
      <c r="E213">
        <v>1</v>
      </c>
      <c r="F213">
        <v>2</v>
      </c>
      <c r="G213" t="b">
        <v>0</v>
      </c>
      <c r="H213">
        <v>1</v>
      </c>
      <c r="I213">
        <v>1</v>
      </c>
      <c r="J213">
        <v>0.12</v>
      </c>
      <c r="K213">
        <v>0.1212</v>
      </c>
      <c r="L213">
        <v>0.5</v>
      </c>
      <c r="M213">
        <v>0.22389999999999999</v>
      </c>
      <c r="N213">
        <v>0</v>
      </c>
      <c r="O213">
        <v>3</v>
      </c>
      <c r="P213">
        <v>3</v>
      </c>
    </row>
    <row r="214" spans="1:16">
      <c r="A214">
        <v>213</v>
      </c>
      <c r="B214" s="1">
        <v>40553</v>
      </c>
      <c r="C214">
        <v>1</v>
      </c>
      <c r="D214">
        <v>0</v>
      </c>
      <c r="E214">
        <v>1</v>
      </c>
      <c r="F214">
        <v>3</v>
      </c>
      <c r="G214" t="b">
        <v>0</v>
      </c>
      <c r="H214">
        <v>1</v>
      </c>
      <c r="I214">
        <v>1</v>
      </c>
      <c r="J214">
        <v>0.12</v>
      </c>
      <c r="K214">
        <v>0.1212</v>
      </c>
      <c r="L214">
        <v>0.5</v>
      </c>
      <c r="M214">
        <v>0.22389999999999999</v>
      </c>
      <c r="N214">
        <v>0</v>
      </c>
      <c r="O214">
        <v>1</v>
      </c>
      <c r="P214">
        <v>1</v>
      </c>
    </row>
    <row r="215" spans="1:16">
      <c r="A215">
        <v>214</v>
      </c>
      <c r="B215" s="1">
        <v>40553</v>
      </c>
      <c r="C215">
        <v>1</v>
      </c>
      <c r="D215">
        <v>0</v>
      </c>
      <c r="E215">
        <v>1</v>
      </c>
      <c r="F215">
        <v>4</v>
      </c>
      <c r="G215" t="b">
        <v>0</v>
      </c>
      <c r="H215">
        <v>1</v>
      </c>
      <c r="I215">
        <v>1</v>
      </c>
      <c r="J215">
        <v>0.1</v>
      </c>
      <c r="K215">
        <v>0.1212</v>
      </c>
      <c r="L215">
        <v>0.54</v>
      </c>
      <c r="M215">
        <v>0.1343</v>
      </c>
      <c r="N215">
        <v>1</v>
      </c>
      <c r="O215">
        <v>2</v>
      </c>
      <c r="P215">
        <v>3</v>
      </c>
    </row>
    <row r="216" spans="1:16">
      <c r="A216">
        <v>215</v>
      </c>
      <c r="B216" s="1">
        <v>40553</v>
      </c>
      <c r="C216">
        <v>1</v>
      </c>
      <c r="D216">
        <v>0</v>
      </c>
      <c r="E216">
        <v>1</v>
      </c>
      <c r="F216">
        <v>5</v>
      </c>
      <c r="G216" t="b">
        <v>0</v>
      </c>
      <c r="H216">
        <v>1</v>
      </c>
      <c r="I216">
        <v>1</v>
      </c>
      <c r="J216">
        <v>0.1</v>
      </c>
      <c r="K216">
        <v>0.1061</v>
      </c>
      <c r="L216">
        <v>0.54</v>
      </c>
      <c r="M216">
        <v>0.25369999999999998</v>
      </c>
      <c r="N216">
        <v>0</v>
      </c>
      <c r="O216">
        <v>3</v>
      </c>
      <c r="P216">
        <v>3</v>
      </c>
    </row>
    <row r="217" spans="1:16">
      <c r="A217">
        <v>216</v>
      </c>
      <c r="B217" s="1">
        <v>40553</v>
      </c>
      <c r="C217">
        <v>1</v>
      </c>
      <c r="D217">
        <v>0</v>
      </c>
      <c r="E217">
        <v>1</v>
      </c>
      <c r="F217">
        <v>6</v>
      </c>
      <c r="G217" t="b">
        <v>0</v>
      </c>
      <c r="H217">
        <v>1</v>
      </c>
      <c r="I217">
        <v>1</v>
      </c>
      <c r="J217">
        <v>0.12</v>
      </c>
      <c r="K217">
        <v>0.1212</v>
      </c>
      <c r="L217">
        <v>0.5</v>
      </c>
      <c r="M217">
        <v>0.28360000000000002</v>
      </c>
      <c r="N217">
        <v>0</v>
      </c>
      <c r="O217">
        <v>31</v>
      </c>
      <c r="P217">
        <v>31</v>
      </c>
    </row>
    <row r="218" spans="1:16">
      <c r="A218">
        <v>217</v>
      </c>
      <c r="B218" s="1">
        <v>40553</v>
      </c>
      <c r="C218">
        <v>1</v>
      </c>
      <c r="D218">
        <v>0</v>
      </c>
      <c r="E218">
        <v>1</v>
      </c>
      <c r="F218">
        <v>7</v>
      </c>
      <c r="G218" t="b">
        <v>0</v>
      </c>
      <c r="H218">
        <v>1</v>
      </c>
      <c r="I218">
        <v>1</v>
      </c>
      <c r="J218">
        <v>0.12</v>
      </c>
      <c r="K218">
        <v>0.1212</v>
      </c>
      <c r="L218">
        <v>0.5</v>
      </c>
      <c r="M218">
        <v>0.22389999999999999</v>
      </c>
      <c r="N218">
        <v>2</v>
      </c>
      <c r="O218">
        <v>75</v>
      </c>
      <c r="P218">
        <v>77</v>
      </c>
    </row>
    <row r="219" spans="1:16">
      <c r="A219">
        <v>218</v>
      </c>
      <c r="B219" s="1">
        <v>40553</v>
      </c>
      <c r="C219">
        <v>1</v>
      </c>
      <c r="D219">
        <v>0</v>
      </c>
      <c r="E219">
        <v>1</v>
      </c>
      <c r="F219">
        <v>8</v>
      </c>
      <c r="G219" t="b">
        <v>0</v>
      </c>
      <c r="H219">
        <v>1</v>
      </c>
      <c r="I219">
        <v>2</v>
      </c>
      <c r="J219">
        <v>0.12</v>
      </c>
      <c r="K219">
        <v>0.1212</v>
      </c>
      <c r="L219">
        <v>0.5</v>
      </c>
      <c r="M219">
        <v>0.28360000000000002</v>
      </c>
      <c r="N219">
        <v>4</v>
      </c>
      <c r="O219">
        <v>184</v>
      </c>
      <c r="P219">
        <v>188</v>
      </c>
    </row>
    <row r="220" spans="1:16">
      <c r="A220">
        <v>219</v>
      </c>
      <c r="B220" s="1">
        <v>40553</v>
      </c>
      <c r="C220">
        <v>1</v>
      </c>
      <c r="D220">
        <v>0</v>
      </c>
      <c r="E220">
        <v>1</v>
      </c>
      <c r="F220">
        <v>9</v>
      </c>
      <c r="G220" t="b">
        <v>0</v>
      </c>
      <c r="H220">
        <v>1</v>
      </c>
      <c r="I220">
        <v>2</v>
      </c>
      <c r="J220">
        <v>0.14000000000000001</v>
      </c>
      <c r="K220">
        <v>0.1212</v>
      </c>
      <c r="L220">
        <v>0.5</v>
      </c>
      <c r="M220">
        <v>0.25369999999999998</v>
      </c>
      <c r="N220">
        <v>2</v>
      </c>
      <c r="O220">
        <v>92</v>
      </c>
      <c r="P220">
        <v>94</v>
      </c>
    </row>
    <row r="221" spans="1:16">
      <c r="A221">
        <v>220</v>
      </c>
      <c r="B221" s="1">
        <v>40553</v>
      </c>
      <c r="C221">
        <v>1</v>
      </c>
      <c r="D221">
        <v>0</v>
      </c>
      <c r="E221">
        <v>1</v>
      </c>
      <c r="F221">
        <v>10</v>
      </c>
      <c r="G221" t="b">
        <v>0</v>
      </c>
      <c r="H221">
        <v>1</v>
      </c>
      <c r="I221">
        <v>2</v>
      </c>
      <c r="J221">
        <v>0.14000000000000001</v>
      </c>
      <c r="K221">
        <v>0.1212</v>
      </c>
      <c r="L221">
        <v>0.5</v>
      </c>
      <c r="M221">
        <v>0.29849999999999999</v>
      </c>
      <c r="N221">
        <v>0</v>
      </c>
      <c r="O221">
        <v>31</v>
      </c>
      <c r="P221">
        <v>31</v>
      </c>
    </row>
    <row r="222" spans="1:16">
      <c r="A222">
        <v>221</v>
      </c>
      <c r="B222" s="1">
        <v>40553</v>
      </c>
      <c r="C222">
        <v>1</v>
      </c>
      <c r="D222">
        <v>0</v>
      </c>
      <c r="E222">
        <v>1</v>
      </c>
      <c r="F222">
        <v>11</v>
      </c>
      <c r="G222" t="b">
        <v>0</v>
      </c>
      <c r="H222">
        <v>1</v>
      </c>
      <c r="I222">
        <v>2</v>
      </c>
      <c r="J222">
        <v>0.16</v>
      </c>
      <c r="K222">
        <v>0.13639999999999999</v>
      </c>
      <c r="L222">
        <v>0.47</v>
      </c>
      <c r="M222">
        <v>0.28360000000000002</v>
      </c>
      <c r="N222">
        <v>2</v>
      </c>
      <c r="O222">
        <v>28</v>
      </c>
      <c r="P222">
        <v>30</v>
      </c>
    </row>
    <row r="223" spans="1:16">
      <c r="A223">
        <v>222</v>
      </c>
      <c r="B223" s="1">
        <v>40553</v>
      </c>
      <c r="C223">
        <v>1</v>
      </c>
      <c r="D223">
        <v>0</v>
      </c>
      <c r="E223">
        <v>1</v>
      </c>
      <c r="F223">
        <v>12</v>
      </c>
      <c r="G223" t="b">
        <v>0</v>
      </c>
      <c r="H223">
        <v>1</v>
      </c>
      <c r="I223">
        <v>2</v>
      </c>
      <c r="J223">
        <v>0.2</v>
      </c>
      <c r="K223">
        <v>0.18179999999999999</v>
      </c>
      <c r="L223">
        <v>0.4</v>
      </c>
      <c r="M223">
        <v>0.28360000000000002</v>
      </c>
      <c r="N223">
        <v>5</v>
      </c>
      <c r="O223">
        <v>47</v>
      </c>
      <c r="P223">
        <v>52</v>
      </c>
    </row>
    <row r="224" spans="1:16">
      <c r="A224">
        <v>223</v>
      </c>
      <c r="B224" s="1">
        <v>40553</v>
      </c>
      <c r="C224">
        <v>1</v>
      </c>
      <c r="D224">
        <v>0</v>
      </c>
      <c r="E224">
        <v>1</v>
      </c>
      <c r="F224">
        <v>13</v>
      </c>
      <c r="G224" t="b">
        <v>0</v>
      </c>
      <c r="H224">
        <v>1</v>
      </c>
      <c r="I224">
        <v>2</v>
      </c>
      <c r="J224">
        <v>0.2</v>
      </c>
      <c r="K224">
        <v>0.18179999999999999</v>
      </c>
      <c r="L224">
        <v>0.4</v>
      </c>
      <c r="M224">
        <v>0.28360000000000002</v>
      </c>
      <c r="N224">
        <v>4</v>
      </c>
      <c r="O224">
        <v>50</v>
      </c>
      <c r="P224">
        <v>54</v>
      </c>
    </row>
    <row r="225" spans="1:16">
      <c r="A225">
        <v>224</v>
      </c>
      <c r="B225" s="1">
        <v>40553</v>
      </c>
      <c r="C225">
        <v>1</v>
      </c>
      <c r="D225">
        <v>0</v>
      </c>
      <c r="E225">
        <v>1</v>
      </c>
      <c r="F225">
        <v>14</v>
      </c>
      <c r="G225" t="b">
        <v>0</v>
      </c>
      <c r="H225">
        <v>1</v>
      </c>
      <c r="I225">
        <v>2</v>
      </c>
      <c r="J225">
        <v>0.2</v>
      </c>
      <c r="K225">
        <v>0.19700000000000001</v>
      </c>
      <c r="L225">
        <v>0.4</v>
      </c>
      <c r="M225">
        <v>0.22389999999999999</v>
      </c>
      <c r="N225">
        <v>0</v>
      </c>
      <c r="O225">
        <v>47</v>
      </c>
      <c r="P225">
        <v>47</v>
      </c>
    </row>
    <row r="226" spans="1:16">
      <c r="A226">
        <v>225</v>
      </c>
      <c r="B226" s="1">
        <v>40553</v>
      </c>
      <c r="C226">
        <v>1</v>
      </c>
      <c r="D226">
        <v>0</v>
      </c>
      <c r="E226">
        <v>1</v>
      </c>
      <c r="F226">
        <v>15</v>
      </c>
      <c r="G226" t="b">
        <v>0</v>
      </c>
      <c r="H226">
        <v>1</v>
      </c>
      <c r="I226">
        <v>2</v>
      </c>
      <c r="J226">
        <v>0.2</v>
      </c>
      <c r="K226">
        <v>0.19700000000000001</v>
      </c>
      <c r="L226">
        <v>0.4</v>
      </c>
      <c r="M226">
        <v>0.22389999999999999</v>
      </c>
      <c r="N226">
        <v>2</v>
      </c>
      <c r="O226">
        <v>43</v>
      </c>
      <c r="P226">
        <v>45</v>
      </c>
    </row>
    <row r="227" spans="1:16">
      <c r="A227">
        <v>226</v>
      </c>
      <c r="B227" s="1">
        <v>40553</v>
      </c>
      <c r="C227">
        <v>1</v>
      </c>
      <c r="D227">
        <v>0</v>
      </c>
      <c r="E227">
        <v>1</v>
      </c>
      <c r="F227">
        <v>16</v>
      </c>
      <c r="G227" t="b">
        <v>0</v>
      </c>
      <c r="H227">
        <v>1</v>
      </c>
      <c r="I227">
        <v>1</v>
      </c>
      <c r="J227">
        <v>0.2</v>
      </c>
      <c r="K227">
        <v>0.21210000000000001</v>
      </c>
      <c r="L227">
        <v>0.4</v>
      </c>
      <c r="M227">
        <v>0.1343</v>
      </c>
      <c r="N227">
        <v>4</v>
      </c>
      <c r="O227">
        <v>70</v>
      </c>
      <c r="P227">
        <v>74</v>
      </c>
    </row>
    <row r="228" spans="1:16">
      <c r="A228">
        <v>227</v>
      </c>
      <c r="B228" s="1">
        <v>40553</v>
      </c>
      <c r="C228">
        <v>1</v>
      </c>
      <c r="D228">
        <v>0</v>
      </c>
      <c r="E228">
        <v>1</v>
      </c>
      <c r="F228">
        <v>17</v>
      </c>
      <c r="G228" t="b">
        <v>0</v>
      </c>
      <c r="H228">
        <v>1</v>
      </c>
      <c r="I228">
        <v>1</v>
      </c>
      <c r="J228">
        <v>0.2</v>
      </c>
      <c r="K228">
        <v>0.2273</v>
      </c>
      <c r="L228">
        <v>0.4</v>
      </c>
      <c r="M228">
        <v>0.1045</v>
      </c>
      <c r="N228">
        <v>4</v>
      </c>
      <c r="O228">
        <v>174</v>
      </c>
      <c r="P228">
        <v>178</v>
      </c>
    </row>
    <row r="229" spans="1:16">
      <c r="A229">
        <v>228</v>
      </c>
      <c r="B229" s="1">
        <v>40553</v>
      </c>
      <c r="C229">
        <v>1</v>
      </c>
      <c r="D229">
        <v>0</v>
      </c>
      <c r="E229">
        <v>1</v>
      </c>
      <c r="F229">
        <v>18</v>
      </c>
      <c r="G229" t="b">
        <v>0</v>
      </c>
      <c r="H229">
        <v>1</v>
      </c>
      <c r="I229">
        <v>1</v>
      </c>
      <c r="J229">
        <v>0.2</v>
      </c>
      <c r="K229">
        <v>0.19700000000000001</v>
      </c>
      <c r="L229">
        <v>0.4</v>
      </c>
      <c r="M229">
        <v>0.22389999999999999</v>
      </c>
      <c r="N229">
        <v>1</v>
      </c>
      <c r="O229">
        <v>154</v>
      </c>
      <c r="P229">
        <v>155</v>
      </c>
    </row>
    <row r="230" spans="1:16">
      <c r="A230">
        <v>229</v>
      </c>
      <c r="B230" s="1">
        <v>40553</v>
      </c>
      <c r="C230">
        <v>1</v>
      </c>
      <c r="D230">
        <v>0</v>
      </c>
      <c r="E230">
        <v>1</v>
      </c>
      <c r="F230">
        <v>19</v>
      </c>
      <c r="G230" t="b">
        <v>0</v>
      </c>
      <c r="H230">
        <v>1</v>
      </c>
      <c r="I230">
        <v>1</v>
      </c>
      <c r="J230">
        <v>0.16</v>
      </c>
      <c r="K230">
        <v>0.16669999999999999</v>
      </c>
      <c r="L230">
        <v>0.47</v>
      </c>
      <c r="M230">
        <v>0.16420000000000001</v>
      </c>
      <c r="N230">
        <v>3</v>
      </c>
      <c r="O230">
        <v>92</v>
      </c>
      <c r="P230">
        <v>95</v>
      </c>
    </row>
    <row r="231" spans="1:16">
      <c r="A231">
        <v>230</v>
      </c>
      <c r="B231" s="1">
        <v>40553</v>
      </c>
      <c r="C231">
        <v>1</v>
      </c>
      <c r="D231">
        <v>0</v>
      </c>
      <c r="E231">
        <v>1</v>
      </c>
      <c r="F231">
        <v>20</v>
      </c>
      <c r="G231" t="b">
        <v>0</v>
      </c>
      <c r="H231">
        <v>1</v>
      </c>
      <c r="I231">
        <v>1</v>
      </c>
      <c r="J231">
        <v>0.16</v>
      </c>
      <c r="K231">
        <v>0.16669999999999999</v>
      </c>
      <c r="L231">
        <v>0.5</v>
      </c>
      <c r="M231">
        <v>0.16420000000000001</v>
      </c>
      <c r="N231">
        <v>1</v>
      </c>
      <c r="O231">
        <v>73</v>
      </c>
      <c r="P231">
        <v>74</v>
      </c>
    </row>
    <row r="232" spans="1:16">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row>
    <row r="234" spans="1:16">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row>
    <row r="235" spans="1:16">
      <c r="A235">
        <v>234</v>
      </c>
      <c r="B235" s="1">
        <v>40554</v>
      </c>
      <c r="C235">
        <v>1</v>
      </c>
      <c r="D235">
        <v>0</v>
      </c>
      <c r="E235">
        <v>1</v>
      </c>
      <c r="F235">
        <v>0</v>
      </c>
      <c r="G235" t="b">
        <v>0</v>
      </c>
      <c r="H235">
        <v>2</v>
      </c>
      <c r="I235">
        <v>1</v>
      </c>
      <c r="J235">
        <v>0.14000000000000001</v>
      </c>
      <c r="K235">
        <v>0.16669999999999999</v>
      </c>
      <c r="L235">
        <v>0.59</v>
      </c>
      <c r="M235">
        <v>0.1045</v>
      </c>
      <c r="N235">
        <v>2</v>
      </c>
      <c r="O235">
        <v>10</v>
      </c>
      <c r="P235">
        <v>12</v>
      </c>
    </row>
    <row r="236" spans="1:16">
      <c r="A236">
        <v>235</v>
      </c>
      <c r="B236" s="1">
        <v>40554</v>
      </c>
      <c r="C236">
        <v>1</v>
      </c>
      <c r="D236">
        <v>0</v>
      </c>
      <c r="E236">
        <v>1</v>
      </c>
      <c r="F236">
        <v>1</v>
      </c>
      <c r="G236" t="b">
        <v>0</v>
      </c>
      <c r="H236">
        <v>2</v>
      </c>
      <c r="I236">
        <v>1</v>
      </c>
      <c r="J236">
        <v>0.14000000000000001</v>
      </c>
      <c r="K236">
        <v>0.1515</v>
      </c>
      <c r="L236">
        <v>0.59</v>
      </c>
      <c r="M236">
        <v>0.16420000000000001</v>
      </c>
      <c r="N236">
        <v>0</v>
      </c>
      <c r="O236">
        <v>3</v>
      </c>
      <c r="P236">
        <v>3</v>
      </c>
    </row>
    <row r="237" spans="1:16">
      <c r="A237">
        <v>236</v>
      </c>
      <c r="B237" s="1">
        <v>40554</v>
      </c>
      <c r="C237">
        <v>1</v>
      </c>
      <c r="D237">
        <v>0</v>
      </c>
      <c r="E237">
        <v>1</v>
      </c>
      <c r="F237">
        <v>2</v>
      </c>
      <c r="G237" t="b">
        <v>0</v>
      </c>
      <c r="H237">
        <v>2</v>
      </c>
      <c r="I237">
        <v>2</v>
      </c>
      <c r="J237">
        <v>0.16</v>
      </c>
      <c r="K237">
        <v>0.1515</v>
      </c>
      <c r="L237">
        <v>0.55000000000000004</v>
      </c>
      <c r="M237">
        <v>0.19400000000000001</v>
      </c>
      <c r="N237">
        <v>0</v>
      </c>
      <c r="O237">
        <v>3</v>
      </c>
      <c r="P237">
        <v>3</v>
      </c>
    </row>
    <row r="238" spans="1:16">
      <c r="A238">
        <v>237</v>
      </c>
      <c r="B238" s="1">
        <v>40554</v>
      </c>
      <c r="C238">
        <v>1</v>
      </c>
      <c r="D238">
        <v>0</v>
      </c>
      <c r="E238">
        <v>1</v>
      </c>
      <c r="F238">
        <v>5</v>
      </c>
      <c r="G238" t="b">
        <v>0</v>
      </c>
      <c r="H238">
        <v>2</v>
      </c>
      <c r="I238">
        <v>2</v>
      </c>
      <c r="J238">
        <v>0.16</v>
      </c>
      <c r="K238">
        <v>0.18179999999999999</v>
      </c>
      <c r="L238">
        <v>0.55000000000000004</v>
      </c>
      <c r="M238">
        <v>0.1343</v>
      </c>
      <c r="N238">
        <v>0</v>
      </c>
      <c r="O238">
        <v>6</v>
      </c>
      <c r="P238">
        <v>6</v>
      </c>
    </row>
    <row r="239" spans="1:16">
      <c r="A239">
        <v>238</v>
      </c>
      <c r="B239" s="1">
        <v>40554</v>
      </c>
      <c r="C239">
        <v>1</v>
      </c>
      <c r="D239">
        <v>0</v>
      </c>
      <c r="E239">
        <v>1</v>
      </c>
      <c r="F239">
        <v>6</v>
      </c>
      <c r="G239" t="b">
        <v>0</v>
      </c>
      <c r="H239">
        <v>2</v>
      </c>
      <c r="I239">
        <v>2</v>
      </c>
      <c r="J239">
        <v>0.16</v>
      </c>
      <c r="K239">
        <v>0.18179999999999999</v>
      </c>
      <c r="L239">
        <v>0.55000000000000004</v>
      </c>
      <c r="M239">
        <v>0.1343</v>
      </c>
      <c r="N239">
        <v>0</v>
      </c>
      <c r="O239">
        <v>27</v>
      </c>
      <c r="P239">
        <v>27</v>
      </c>
    </row>
    <row r="240" spans="1:16">
      <c r="A240">
        <v>239</v>
      </c>
      <c r="B240" s="1">
        <v>40554</v>
      </c>
      <c r="C240">
        <v>1</v>
      </c>
      <c r="D240">
        <v>0</v>
      </c>
      <c r="E240">
        <v>1</v>
      </c>
      <c r="F240">
        <v>7</v>
      </c>
      <c r="G240" t="b">
        <v>0</v>
      </c>
      <c r="H240">
        <v>2</v>
      </c>
      <c r="I240">
        <v>2</v>
      </c>
      <c r="J240">
        <v>0.16</v>
      </c>
      <c r="K240">
        <v>0.2273</v>
      </c>
      <c r="L240">
        <v>0.55000000000000004</v>
      </c>
      <c r="M240">
        <v>0</v>
      </c>
      <c r="N240">
        <v>2</v>
      </c>
      <c r="O240">
        <v>97</v>
      </c>
      <c r="P240">
        <v>99</v>
      </c>
    </row>
    <row r="241" spans="1:16">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row>
    <row r="242" spans="1:16">
      <c r="A242">
        <v>241</v>
      </c>
      <c r="B242" s="1">
        <v>40554</v>
      </c>
      <c r="C242">
        <v>1</v>
      </c>
      <c r="D242">
        <v>0</v>
      </c>
      <c r="E242">
        <v>1</v>
      </c>
      <c r="F242">
        <v>9</v>
      </c>
      <c r="G242" t="b">
        <v>0</v>
      </c>
      <c r="H242">
        <v>2</v>
      </c>
      <c r="I242">
        <v>2</v>
      </c>
      <c r="J242">
        <v>0.18</v>
      </c>
      <c r="K242">
        <v>0.19700000000000001</v>
      </c>
      <c r="L242">
        <v>0.51</v>
      </c>
      <c r="M242">
        <v>0.16420000000000001</v>
      </c>
      <c r="N242">
        <v>3</v>
      </c>
      <c r="O242">
        <v>127</v>
      </c>
      <c r="P242">
        <v>130</v>
      </c>
    </row>
    <row r="243" spans="1:16">
      <c r="A243">
        <v>242</v>
      </c>
      <c r="B243" s="1">
        <v>40554</v>
      </c>
      <c r="C243">
        <v>1</v>
      </c>
      <c r="D243">
        <v>0</v>
      </c>
      <c r="E243">
        <v>1</v>
      </c>
      <c r="F243">
        <v>10</v>
      </c>
      <c r="G243" t="b">
        <v>0</v>
      </c>
      <c r="H243">
        <v>2</v>
      </c>
      <c r="I243">
        <v>2</v>
      </c>
      <c r="J243">
        <v>0.2</v>
      </c>
      <c r="K243">
        <v>0.21210000000000001</v>
      </c>
      <c r="L243">
        <v>0.51</v>
      </c>
      <c r="M243">
        <v>0.16420000000000001</v>
      </c>
      <c r="N243">
        <v>3</v>
      </c>
      <c r="O243">
        <v>51</v>
      </c>
      <c r="P243">
        <v>54</v>
      </c>
    </row>
    <row r="244" spans="1:16">
      <c r="A244">
        <v>243</v>
      </c>
      <c r="B244" s="1">
        <v>40554</v>
      </c>
      <c r="C244">
        <v>1</v>
      </c>
      <c r="D244">
        <v>0</v>
      </c>
      <c r="E244">
        <v>1</v>
      </c>
      <c r="F244">
        <v>11</v>
      </c>
      <c r="G244" t="b">
        <v>0</v>
      </c>
      <c r="H244">
        <v>2</v>
      </c>
      <c r="I244">
        <v>2</v>
      </c>
      <c r="J244">
        <v>0.2</v>
      </c>
      <c r="K244">
        <v>0.21210000000000001</v>
      </c>
      <c r="L244">
        <v>0.47</v>
      </c>
      <c r="M244">
        <v>0.1343</v>
      </c>
      <c r="N244">
        <v>4</v>
      </c>
      <c r="O244">
        <v>31</v>
      </c>
      <c r="P244">
        <v>35</v>
      </c>
    </row>
    <row r="245" spans="1:16">
      <c r="A245">
        <v>244</v>
      </c>
      <c r="B245" s="1">
        <v>40554</v>
      </c>
      <c r="C245">
        <v>1</v>
      </c>
      <c r="D245">
        <v>0</v>
      </c>
      <c r="E245">
        <v>1</v>
      </c>
      <c r="F245">
        <v>12</v>
      </c>
      <c r="G245" t="b">
        <v>0</v>
      </c>
      <c r="H245">
        <v>2</v>
      </c>
      <c r="I245">
        <v>2</v>
      </c>
      <c r="J245">
        <v>0.2</v>
      </c>
      <c r="K245">
        <v>0.2273</v>
      </c>
      <c r="L245">
        <v>0.51</v>
      </c>
      <c r="M245">
        <v>0.1045</v>
      </c>
      <c r="N245">
        <v>2</v>
      </c>
      <c r="O245">
        <v>55</v>
      </c>
      <c r="P245">
        <v>57</v>
      </c>
    </row>
    <row r="246" spans="1:16">
      <c r="A246">
        <v>245</v>
      </c>
      <c r="B246" s="1">
        <v>40554</v>
      </c>
      <c r="C246">
        <v>1</v>
      </c>
      <c r="D246">
        <v>0</v>
      </c>
      <c r="E246">
        <v>1</v>
      </c>
      <c r="F246">
        <v>13</v>
      </c>
      <c r="G246" t="b">
        <v>0</v>
      </c>
      <c r="H246">
        <v>2</v>
      </c>
      <c r="I246">
        <v>2</v>
      </c>
      <c r="J246">
        <v>0.2</v>
      </c>
      <c r="K246">
        <v>0.2273</v>
      </c>
      <c r="L246">
        <v>0.59</v>
      </c>
      <c r="M246">
        <v>8.9599999999999999E-2</v>
      </c>
      <c r="N246">
        <v>6</v>
      </c>
      <c r="O246">
        <v>46</v>
      </c>
      <c r="P246">
        <v>52</v>
      </c>
    </row>
    <row r="247" spans="1:16">
      <c r="A247">
        <v>246</v>
      </c>
      <c r="B247" s="1">
        <v>40554</v>
      </c>
      <c r="C247">
        <v>1</v>
      </c>
      <c r="D247">
        <v>0</v>
      </c>
      <c r="E247">
        <v>1</v>
      </c>
      <c r="F247">
        <v>14</v>
      </c>
      <c r="G247" t="b">
        <v>0</v>
      </c>
      <c r="H247">
        <v>2</v>
      </c>
      <c r="I247">
        <v>2</v>
      </c>
      <c r="J247">
        <v>0.2</v>
      </c>
      <c r="K247">
        <v>0.2273</v>
      </c>
      <c r="L247">
        <v>0.59</v>
      </c>
      <c r="M247">
        <v>8.9599999999999999E-2</v>
      </c>
      <c r="N247">
        <v>3</v>
      </c>
      <c r="O247">
        <v>60</v>
      </c>
      <c r="P247">
        <v>63</v>
      </c>
    </row>
    <row r="248" spans="1:16">
      <c r="A248">
        <v>247</v>
      </c>
      <c r="B248" s="1">
        <v>40554</v>
      </c>
      <c r="C248">
        <v>1</v>
      </c>
      <c r="D248">
        <v>0</v>
      </c>
      <c r="E248">
        <v>1</v>
      </c>
      <c r="F248">
        <v>15</v>
      </c>
      <c r="G248" t="b">
        <v>0</v>
      </c>
      <c r="H248">
        <v>2</v>
      </c>
      <c r="I248">
        <v>2</v>
      </c>
      <c r="J248">
        <v>0.16</v>
      </c>
      <c r="K248">
        <v>0.19700000000000001</v>
      </c>
      <c r="L248">
        <v>0.8</v>
      </c>
      <c r="M248">
        <v>8.9599999999999999E-2</v>
      </c>
      <c r="N248">
        <v>2</v>
      </c>
      <c r="O248">
        <v>45</v>
      </c>
      <c r="P248">
        <v>47</v>
      </c>
    </row>
    <row r="249" spans="1:16">
      <c r="A249">
        <v>248</v>
      </c>
      <c r="B249" s="1">
        <v>40554</v>
      </c>
      <c r="C249">
        <v>1</v>
      </c>
      <c r="D249">
        <v>0</v>
      </c>
      <c r="E249">
        <v>1</v>
      </c>
      <c r="F249">
        <v>16</v>
      </c>
      <c r="G249" t="b">
        <v>0</v>
      </c>
      <c r="H249">
        <v>2</v>
      </c>
      <c r="I249">
        <v>2</v>
      </c>
      <c r="J249">
        <v>0.16</v>
      </c>
      <c r="K249">
        <v>0.1515</v>
      </c>
      <c r="L249">
        <v>0.86</v>
      </c>
      <c r="M249">
        <v>0.22389999999999999</v>
      </c>
      <c r="N249">
        <v>4</v>
      </c>
      <c r="O249">
        <v>72</v>
      </c>
      <c r="P249">
        <v>76</v>
      </c>
    </row>
    <row r="250" spans="1:16">
      <c r="A250">
        <v>249</v>
      </c>
      <c r="B250" s="1">
        <v>40554</v>
      </c>
      <c r="C250">
        <v>1</v>
      </c>
      <c r="D250">
        <v>0</v>
      </c>
      <c r="E250">
        <v>1</v>
      </c>
      <c r="F250">
        <v>17</v>
      </c>
      <c r="G250" t="b">
        <v>0</v>
      </c>
      <c r="H250">
        <v>2</v>
      </c>
      <c r="I250">
        <v>2</v>
      </c>
      <c r="J250">
        <v>0.16</v>
      </c>
      <c r="K250">
        <v>0.1515</v>
      </c>
      <c r="L250">
        <v>0.86</v>
      </c>
      <c r="M250">
        <v>0.22389999999999999</v>
      </c>
      <c r="N250">
        <v>6</v>
      </c>
      <c r="O250">
        <v>130</v>
      </c>
      <c r="P250">
        <v>136</v>
      </c>
    </row>
    <row r="251" spans="1:16">
      <c r="A251">
        <v>250</v>
      </c>
      <c r="B251" s="1">
        <v>40554</v>
      </c>
      <c r="C251">
        <v>1</v>
      </c>
      <c r="D251">
        <v>0</v>
      </c>
      <c r="E251">
        <v>1</v>
      </c>
      <c r="F251">
        <v>18</v>
      </c>
      <c r="G251" t="b">
        <v>0</v>
      </c>
      <c r="H251">
        <v>2</v>
      </c>
      <c r="I251">
        <v>3</v>
      </c>
      <c r="J251">
        <v>0.16</v>
      </c>
      <c r="K251">
        <v>0.18179999999999999</v>
      </c>
      <c r="L251">
        <v>0.93</v>
      </c>
      <c r="M251">
        <v>0.1045</v>
      </c>
      <c r="N251">
        <v>1</v>
      </c>
      <c r="O251">
        <v>94</v>
      </c>
      <c r="P251">
        <v>95</v>
      </c>
    </row>
    <row r="252" spans="1:16">
      <c r="A252">
        <v>251</v>
      </c>
      <c r="B252" s="1">
        <v>40554</v>
      </c>
      <c r="C252">
        <v>1</v>
      </c>
      <c r="D252">
        <v>0</v>
      </c>
      <c r="E252">
        <v>1</v>
      </c>
      <c r="F252">
        <v>19</v>
      </c>
      <c r="G252" t="b">
        <v>0</v>
      </c>
      <c r="H252">
        <v>2</v>
      </c>
      <c r="I252">
        <v>3</v>
      </c>
      <c r="J252">
        <v>0.16</v>
      </c>
      <c r="K252">
        <v>0.2273</v>
      </c>
      <c r="L252">
        <v>0.93</v>
      </c>
      <c r="M252">
        <v>0</v>
      </c>
      <c r="N252">
        <v>0</v>
      </c>
      <c r="O252">
        <v>51</v>
      </c>
      <c r="P252">
        <v>51</v>
      </c>
    </row>
    <row r="253" spans="1:16">
      <c r="A253">
        <v>252</v>
      </c>
      <c r="B253" s="1">
        <v>40554</v>
      </c>
      <c r="C253">
        <v>1</v>
      </c>
      <c r="D253">
        <v>0</v>
      </c>
      <c r="E253">
        <v>1</v>
      </c>
      <c r="F253">
        <v>20</v>
      </c>
      <c r="G253" t="b">
        <v>0</v>
      </c>
      <c r="H253">
        <v>2</v>
      </c>
      <c r="I253">
        <v>3</v>
      </c>
      <c r="J253">
        <v>0.16</v>
      </c>
      <c r="K253">
        <v>0.1515</v>
      </c>
      <c r="L253">
        <v>0.93</v>
      </c>
      <c r="M253">
        <v>0.19400000000000001</v>
      </c>
      <c r="N253">
        <v>0</v>
      </c>
      <c r="O253">
        <v>32</v>
      </c>
      <c r="P253">
        <v>32</v>
      </c>
    </row>
    <row r="254" spans="1:16">
      <c r="A254">
        <v>253</v>
      </c>
      <c r="B254" s="1">
        <v>40554</v>
      </c>
      <c r="C254">
        <v>1</v>
      </c>
      <c r="D254">
        <v>0</v>
      </c>
      <c r="E254">
        <v>1</v>
      </c>
      <c r="F254">
        <v>21</v>
      </c>
      <c r="G254" t="b">
        <v>0</v>
      </c>
      <c r="H254">
        <v>2</v>
      </c>
      <c r="I254">
        <v>3</v>
      </c>
      <c r="J254">
        <v>0.16</v>
      </c>
      <c r="K254">
        <v>0.19700000000000001</v>
      </c>
      <c r="L254">
        <v>0.86</v>
      </c>
      <c r="M254">
        <v>8.9599999999999999E-2</v>
      </c>
      <c r="N254">
        <v>0</v>
      </c>
      <c r="O254">
        <v>20</v>
      </c>
      <c r="P254">
        <v>20</v>
      </c>
    </row>
    <row r="255" spans="1:16">
      <c r="A255">
        <v>254</v>
      </c>
      <c r="B255" s="1">
        <v>40554</v>
      </c>
      <c r="C255">
        <v>1</v>
      </c>
      <c r="D255">
        <v>0</v>
      </c>
      <c r="E255">
        <v>1</v>
      </c>
      <c r="F255">
        <v>22</v>
      </c>
      <c r="G255" t="b">
        <v>0</v>
      </c>
      <c r="H255">
        <v>2</v>
      </c>
      <c r="I255">
        <v>3</v>
      </c>
      <c r="J255">
        <v>0.16</v>
      </c>
      <c r="K255">
        <v>0.18179999999999999</v>
      </c>
      <c r="L255">
        <v>0.93</v>
      </c>
      <c r="M255">
        <v>0.1045</v>
      </c>
      <c r="N255">
        <v>1</v>
      </c>
      <c r="O255">
        <v>28</v>
      </c>
      <c r="P255">
        <v>29</v>
      </c>
    </row>
    <row r="256" spans="1:16">
      <c r="A256">
        <v>255</v>
      </c>
      <c r="B256" s="1">
        <v>40554</v>
      </c>
      <c r="C256">
        <v>1</v>
      </c>
      <c r="D256">
        <v>0</v>
      </c>
      <c r="E256">
        <v>1</v>
      </c>
      <c r="F256">
        <v>23</v>
      </c>
      <c r="G256" t="b">
        <v>0</v>
      </c>
      <c r="H256">
        <v>2</v>
      </c>
      <c r="I256">
        <v>3</v>
      </c>
      <c r="J256">
        <v>0.16</v>
      </c>
      <c r="K256">
        <v>0.19700000000000001</v>
      </c>
      <c r="L256">
        <v>0.93</v>
      </c>
      <c r="M256">
        <v>8.9599999999999999E-2</v>
      </c>
      <c r="N256">
        <v>1</v>
      </c>
      <c r="O256">
        <v>18</v>
      </c>
      <c r="P256">
        <v>19</v>
      </c>
    </row>
    <row r="257" spans="1:16">
      <c r="A257">
        <v>256</v>
      </c>
      <c r="B257" s="1">
        <v>40555</v>
      </c>
      <c r="C257">
        <v>1</v>
      </c>
      <c r="D257">
        <v>0</v>
      </c>
      <c r="E257">
        <v>1</v>
      </c>
      <c r="F257">
        <v>0</v>
      </c>
      <c r="G257" t="b">
        <v>0</v>
      </c>
      <c r="H257">
        <v>3</v>
      </c>
      <c r="I257">
        <v>2</v>
      </c>
      <c r="J257">
        <v>0.16</v>
      </c>
      <c r="K257">
        <v>0.19700000000000001</v>
      </c>
      <c r="L257">
        <v>0.86</v>
      </c>
      <c r="M257">
        <v>8.9599999999999999E-2</v>
      </c>
      <c r="N257">
        <v>0</v>
      </c>
      <c r="O257">
        <v>7</v>
      </c>
      <c r="P257">
        <v>7</v>
      </c>
    </row>
    <row r="258" spans="1:16">
      <c r="A258">
        <v>257</v>
      </c>
      <c r="B258" s="1">
        <v>40555</v>
      </c>
      <c r="C258">
        <v>1</v>
      </c>
      <c r="D258">
        <v>0</v>
      </c>
      <c r="E258">
        <v>1</v>
      </c>
      <c r="F258">
        <v>1</v>
      </c>
      <c r="G258" t="b">
        <v>0</v>
      </c>
      <c r="H258">
        <v>3</v>
      </c>
      <c r="I258">
        <v>2</v>
      </c>
      <c r="J258">
        <v>0.16</v>
      </c>
      <c r="K258">
        <v>0.18179999999999999</v>
      </c>
      <c r="L258">
        <v>0.86</v>
      </c>
      <c r="M258">
        <v>0.1045</v>
      </c>
      <c r="N258">
        <v>0</v>
      </c>
      <c r="O258">
        <v>6</v>
      </c>
      <c r="P258">
        <v>6</v>
      </c>
    </row>
    <row r="259" spans="1:16">
      <c r="A259">
        <v>258</v>
      </c>
      <c r="B259" s="1">
        <v>40555</v>
      </c>
      <c r="C259">
        <v>1</v>
      </c>
      <c r="D259">
        <v>0</v>
      </c>
      <c r="E259">
        <v>1</v>
      </c>
      <c r="F259">
        <v>2</v>
      </c>
      <c r="G259" t="b">
        <v>0</v>
      </c>
      <c r="H259">
        <v>3</v>
      </c>
      <c r="I259">
        <v>1</v>
      </c>
      <c r="J259">
        <v>0.14000000000000001</v>
      </c>
      <c r="K259">
        <v>0.1515</v>
      </c>
      <c r="L259">
        <v>0.86</v>
      </c>
      <c r="M259">
        <v>0.1343</v>
      </c>
      <c r="N259">
        <v>0</v>
      </c>
      <c r="O259">
        <v>1</v>
      </c>
      <c r="P259">
        <v>1</v>
      </c>
    </row>
    <row r="260" spans="1:16">
      <c r="A260">
        <v>259</v>
      </c>
      <c r="B260" s="1">
        <v>40555</v>
      </c>
      <c r="C260">
        <v>1</v>
      </c>
      <c r="D260">
        <v>0</v>
      </c>
      <c r="E260">
        <v>1</v>
      </c>
      <c r="F260">
        <v>5</v>
      </c>
      <c r="G260" t="b">
        <v>0</v>
      </c>
      <c r="H260">
        <v>3</v>
      </c>
      <c r="I260">
        <v>1</v>
      </c>
      <c r="J260">
        <v>0.14000000000000001</v>
      </c>
      <c r="K260">
        <v>0.1515</v>
      </c>
      <c r="L260">
        <v>0.86</v>
      </c>
      <c r="M260">
        <v>0.16420000000000001</v>
      </c>
      <c r="N260">
        <v>0</v>
      </c>
      <c r="O260">
        <v>5</v>
      </c>
      <c r="P260">
        <v>5</v>
      </c>
    </row>
    <row r="261" spans="1:16">
      <c r="A261">
        <v>260</v>
      </c>
      <c r="B261" s="1">
        <v>40555</v>
      </c>
      <c r="C261">
        <v>1</v>
      </c>
      <c r="D261">
        <v>0</v>
      </c>
      <c r="E261">
        <v>1</v>
      </c>
      <c r="F261">
        <v>6</v>
      </c>
      <c r="G261" t="b">
        <v>0</v>
      </c>
      <c r="H261">
        <v>3</v>
      </c>
      <c r="I261">
        <v>1</v>
      </c>
      <c r="J261">
        <v>0.12</v>
      </c>
      <c r="K261">
        <v>0.1515</v>
      </c>
      <c r="L261">
        <v>0.93</v>
      </c>
      <c r="M261">
        <v>0.1343</v>
      </c>
      <c r="N261">
        <v>0</v>
      </c>
      <c r="O261">
        <v>16</v>
      </c>
      <c r="P261">
        <v>16</v>
      </c>
    </row>
    <row r="262" spans="1:16">
      <c r="A262">
        <v>261</v>
      </c>
      <c r="B262" s="1">
        <v>40555</v>
      </c>
      <c r="C262">
        <v>1</v>
      </c>
      <c r="D262">
        <v>0</v>
      </c>
      <c r="E262">
        <v>1</v>
      </c>
      <c r="F262">
        <v>7</v>
      </c>
      <c r="G262" t="b">
        <v>0</v>
      </c>
      <c r="H262">
        <v>3</v>
      </c>
      <c r="I262">
        <v>1</v>
      </c>
      <c r="J262">
        <v>0.14000000000000001</v>
      </c>
      <c r="K262">
        <v>0.1515</v>
      </c>
      <c r="L262">
        <v>0.69</v>
      </c>
      <c r="M262">
        <v>0.1343</v>
      </c>
      <c r="N262">
        <v>0</v>
      </c>
      <c r="O262">
        <v>54</v>
      </c>
      <c r="P262">
        <v>54</v>
      </c>
    </row>
    <row r="263" spans="1:16">
      <c r="A263">
        <v>262</v>
      </c>
      <c r="B263" s="1">
        <v>40555</v>
      </c>
      <c r="C263">
        <v>1</v>
      </c>
      <c r="D263">
        <v>0</v>
      </c>
      <c r="E263">
        <v>1</v>
      </c>
      <c r="F263">
        <v>8</v>
      </c>
      <c r="G263" t="b">
        <v>0</v>
      </c>
      <c r="H263">
        <v>3</v>
      </c>
      <c r="I263">
        <v>1</v>
      </c>
      <c r="J263">
        <v>0.16</v>
      </c>
      <c r="K263">
        <v>0.16669999999999999</v>
      </c>
      <c r="L263">
        <v>0.59</v>
      </c>
      <c r="M263">
        <v>0.16420000000000001</v>
      </c>
      <c r="N263">
        <v>3</v>
      </c>
      <c r="O263">
        <v>125</v>
      </c>
      <c r="P263">
        <v>128</v>
      </c>
    </row>
    <row r="264" spans="1:16">
      <c r="A264">
        <v>263</v>
      </c>
      <c r="B264" s="1">
        <v>40555</v>
      </c>
      <c r="C264">
        <v>1</v>
      </c>
      <c r="D264">
        <v>0</v>
      </c>
      <c r="E264">
        <v>1</v>
      </c>
      <c r="F264">
        <v>9</v>
      </c>
      <c r="G264" t="b">
        <v>0</v>
      </c>
      <c r="H264">
        <v>3</v>
      </c>
      <c r="I264">
        <v>1</v>
      </c>
      <c r="J264">
        <v>0.16</v>
      </c>
      <c r="K264">
        <v>0.13639999999999999</v>
      </c>
      <c r="L264">
        <v>0.59</v>
      </c>
      <c r="M264">
        <v>0.32840000000000003</v>
      </c>
      <c r="N264">
        <v>3</v>
      </c>
      <c r="O264">
        <v>78</v>
      </c>
      <c r="P264">
        <v>81</v>
      </c>
    </row>
    <row r="265" spans="1:16">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c r="A266">
        <v>265</v>
      </c>
      <c r="B266" s="1">
        <v>40555</v>
      </c>
      <c r="C266">
        <v>1</v>
      </c>
      <c r="D266">
        <v>0</v>
      </c>
      <c r="E266">
        <v>1</v>
      </c>
      <c r="F266">
        <v>11</v>
      </c>
      <c r="G266" t="b">
        <v>0</v>
      </c>
      <c r="H266">
        <v>3</v>
      </c>
      <c r="I266">
        <v>1</v>
      </c>
      <c r="J266">
        <v>0.2</v>
      </c>
      <c r="K266">
        <v>0.18179999999999999</v>
      </c>
      <c r="L266">
        <v>0.51</v>
      </c>
      <c r="M266">
        <v>0.3881</v>
      </c>
      <c r="N266">
        <v>3</v>
      </c>
      <c r="O266">
        <v>32</v>
      </c>
      <c r="P266">
        <v>35</v>
      </c>
    </row>
    <row r="267" spans="1:16">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c r="A268">
        <v>267</v>
      </c>
      <c r="B268" s="1">
        <v>40555</v>
      </c>
      <c r="C268">
        <v>1</v>
      </c>
      <c r="D268">
        <v>0</v>
      </c>
      <c r="E268">
        <v>1</v>
      </c>
      <c r="F268">
        <v>13</v>
      </c>
      <c r="G268" t="b">
        <v>0</v>
      </c>
      <c r="H268">
        <v>3</v>
      </c>
      <c r="I268">
        <v>1</v>
      </c>
      <c r="J268">
        <v>0.22</v>
      </c>
      <c r="K268">
        <v>0.19700000000000001</v>
      </c>
      <c r="L268">
        <v>0.44</v>
      </c>
      <c r="M268">
        <v>0.35820000000000002</v>
      </c>
      <c r="N268">
        <v>0</v>
      </c>
      <c r="O268">
        <v>49</v>
      </c>
      <c r="P268">
        <v>49</v>
      </c>
    </row>
    <row r="269" spans="1:16">
      <c r="A269">
        <v>268</v>
      </c>
      <c r="B269" s="1">
        <v>40555</v>
      </c>
      <c r="C269">
        <v>1</v>
      </c>
      <c r="D269">
        <v>0</v>
      </c>
      <c r="E269">
        <v>1</v>
      </c>
      <c r="F269">
        <v>14</v>
      </c>
      <c r="G269" t="b">
        <v>0</v>
      </c>
      <c r="H269">
        <v>3</v>
      </c>
      <c r="I269">
        <v>1</v>
      </c>
      <c r="J269">
        <v>0.2</v>
      </c>
      <c r="K269">
        <v>0.18179999999999999</v>
      </c>
      <c r="L269">
        <v>0.47</v>
      </c>
      <c r="M269">
        <v>0.32840000000000003</v>
      </c>
      <c r="N269">
        <v>0</v>
      </c>
      <c r="O269">
        <v>44</v>
      </c>
      <c r="P269">
        <v>44</v>
      </c>
    </row>
    <row r="270" spans="1:16">
      <c r="A270">
        <v>269</v>
      </c>
      <c r="B270" s="1">
        <v>40555</v>
      </c>
      <c r="C270">
        <v>1</v>
      </c>
      <c r="D270">
        <v>0</v>
      </c>
      <c r="E270">
        <v>1</v>
      </c>
      <c r="F270">
        <v>15</v>
      </c>
      <c r="G270" t="b">
        <v>0</v>
      </c>
      <c r="H270">
        <v>3</v>
      </c>
      <c r="I270">
        <v>1</v>
      </c>
      <c r="J270">
        <v>0.2</v>
      </c>
      <c r="K270">
        <v>0.16669999999999999</v>
      </c>
      <c r="L270">
        <v>0.47</v>
      </c>
      <c r="M270">
        <v>0.41789999999999999</v>
      </c>
      <c r="N270">
        <v>1</v>
      </c>
      <c r="O270">
        <v>48</v>
      </c>
      <c r="P270">
        <v>49</v>
      </c>
    </row>
    <row r="271" spans="1:16">
      <c r="A271">
        <v>270</v>
      </c>
      <c r="B271" s="1">
        <v>40555</v>
      </c>
      <c r="C271">
        <v>1</v>
      </c>
      <c r="D271">
        <v>0</v>
      </c>
      <c r="E271">
        <v>1</v>
      </c>
      <c r="F271">
        <v>16</v>
      </c>
      <c r="G271" t="b">
        <v>0</v>
      </c>
      <c r="H271">
        <v>3</v>
      </c>
      <c r="I271">
        <v>1</v>
      </c>
      <c r="J271">
        <v>0.22</v>
      </c>
      <c r="K271">
        <v>0.19700000000000001</v>
      </c>
      <c r="L271">
        <v>0.44</v>
      </c>
      <c r="M271">
        <v>0.32840000000000003</v>
      </c>
      <c r="N271">
        <v>5</v>
      </c>
      <c r="O271">
        <v>63</v>
      </c>
      <c r="P271">
        <v>68</v>
      </c>
    </row>
    <row r="272" spans="1:16">
      <c r="A272">
        <v>271</v>
      </c>
      <c r="B272" s="1">
        <v>40555</v>
      </c>
      <c r="C272">
        <v>1</v>
      </c>
      <c r="D272">
        <v>0</v>
      </c>
      <c r="E272">
        <v>1</v>
      </c>
      <c r="F272">
        <v>17</v>
      </c>
      <c r="G272" t="b">
        <v>0</v>
      </c>
      <c r="H272">
        <v>3</v>
      </c>
      <c r="I272">
        <v>1</v>
      </c>
      <c r="J272">
        <v>0.2</v>
      </c>
      <c r="K272">
        <v>0.18179999999999999</v>
      </c>
      <c r="L272">
        <v>0.47</v>
      </c>
      <c r="M272">
        <v>0.35820000000000002</v>
      </c>
      <c r="N272">
        <v>0</v>
      </c>
      <c r="O272">
        <v>139</v>
      </c>
      <c r="P272">
        <v>139</v>
      </c>
    </row>
    <row r="273" spans="1:16">
      <c r="A273">
        <v>272</v>
      </c>
      <c r="B273" s="1">
        <v>40555</v>
      </c>
      <c r="C273">
        <v>1</v>
      </c>
      <c r="D273">
        <v>0</v>
      </c>
      <c r="E273">
        <v>1</v>
      </c>
      <c r="F273">
        <v>18</v>
      </c>
      <c r="G273" t="b">
        <v>0</v>
      </c>
      <c r="H273">
        <v>3</v>
      </c>
      <c r="I273">
        <v>1</v>
      </c>
      <c r="J273">
        <v>0.2</v>
      </c>
      <c r="K273">
        <v>0.1515</v>
      </c>
      <c r="L273">
        <v>0.47</v>
      </c>
      <c r="M273">
        <v>0.52239999999999998</v>
      </c>
      <c r="N273">
        <v>2</v>
      </c>
      <c r="O273">
        <v>135</v>
      </c>
      <c r="P273">
        <v>137</v>
      </c>
    </row>
    <row r="274" spans="1:16">
      <c r="A274">
        <v>273</v>
      </c>
      <c r="B274" s="1">
        <v>40555</v>
      </c>
      <c r="C274">
        <v>1</v>
      </c>
      <c r="D274">
        <v>0</v>
      </c>
      <c r="E274">
        <v>1</v>
      </c>
      <c r="F274">
        <v>19</v>
      </c>
      <c r="G274" t="b">
        <v>0</v>
      </c>
      <c r="H274">
        <v>3</v>
      </c>
      <c r="I274">
        <v>1</v>
      </c>
      <c r="J274">
        <v>0.18</v>
      </c>
      <c r="K274">
        <v>0.1515</v>
      </c>
      <c r="L274">
        <v>0.47</v>
      </c>
      <c r="M274">
        <v>0.41789999999999999</v>
      </c>
      <c r="N274">
        <v>1</v>
      </c>
      <c r="O274">
        <v>82</v>
      </c>
      <c r="P274">
        <v>83</v>
      </c>
    </row>
    <row r="275" spans="1:16">
      <c r="A275">
        <v>274</v>
      </c>
      <c r="B275" s="1">
        <v>40555</v>
      </c>
      <c r="C275">
        <v>1</v>
      </c>
      <c r="D275">
        <v>0</v>
      </c>
      <c r="E275">
        <v>1</v>
      </c>
      <c r="F275">
        <v>20</v>
      </c>
      <c r="G275" t="b">
        <v>0</v>
      </c>
      <c r="H275">
        <v>3</v>
      </c>
      <c r="I275">
        <v>1</v>
      </c>
      <c r="J275">
        <v>0.16</v>
      </c>
      <c r="K275">
        <v>0.13639999999999999</v>
      </c>
      <c r="L275">
        <v>0.5</v>
      </c>
      <c r="M275">
        <v>0.32840000000000003</v>
      </c>
      <c r="N275">
        <v>2</v>
      </c>
      <c r="O275">
        <v>54</v>
      </c>
      <c r="P275">
        <v>56</v>
      </c>
    </row>
    <row r="276" spans="1:16">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row>
    <row r="278" spans="1:16">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row>
    <row r="279" spans="1:16">
      <c r="A279">
        <v>278</v>
      </c>
      <c r="B279" s="1">
        <v>40556</v>
      </c>
      <c r="C279">
        <v>1</v>
      </c>
      <c r="D279">
        <v>0</v>
      </c>
      <c r="E279">
        <v>1</v>
      </c>
      <c r="F279">
        <v>0</v>
      </c>
      <c r="G279" t="b">
        <v>0</v>
      </c>
      <c r="H279">
        <v>4</v>
      </c>
      <c r="I279">
        <v>1</v>
      </c>
      <c r="J279">
        <v>0.14000000000000001</v>
      </c>
      <c r="K279">
        <v>0.1212</v>
      </c>
      <c r="L279">
        <v>0.59</v>
      </c>
      <c r="M279">
        <v>0.28360000000000002</v>
      </c>
      <c r="N279">
        <v>1</v>
      </c>
      <c r="O279">
        <v>6</v>
      </c>
      <c r="P279">
        <v>7</v>
      </c>
    </row>
    <row r="280" spans="1:16">
      <c r="A280">
        <v>279</v>
      </c>
      <c r="B280" s="1">
        <v>40556</v>
      </c>
      <c r="C280">
        <v>1</v>
      </c>
      <c r="D280">
        <v>0</v>
      </c>
      <c r="E280">
        <v>1</v>
      </c>
      <c r="F280">
        <v>1</v>
      </c>
      <c r="G280" t="b">
        <v>0</v>
      </c>
      <c r="H280">
        <v>4</v>
      </c>
      <c r="I280">
        <v>1</v>
      </c>
      <c r="J280">
        <v>0.14000000000000001</v>
      </c>
      <c r="K280">
        <v>0.1212</v>
      </c>
      <c r="L280">
        <v>0.5</v>
      </c>
      <c r="M280">
        <v>0.28360000000000002</v>
      </c>
      <c r="N280">
        <v>0</v>
      </c>
      <c r="O280">
        <v>2</v>
      </c>
      <c r="P280">
        <v>2</v>
      </c>
    </row>
    <row r="281" spans="1:16">
      <c r="A281">
        <v>280</v>
      </c>
      <c r="B281" s="1">
        <v>40556</v>
      </c>
      <c r="C281">
        <v>1</v>
      </c>
      <c r="D281">
        <v>0</v>
      </c>
      <c r="E281">
        <v>1</v>
      </c>
      <c r="F281">
        <v>2</v>
      </c>
      <c r="G281" t="b">
        <v>0</v>
      </c>
      <c r="H281">
        <v>4</v>
      </c>
      <c r="I281">
        <v>1</v>
      </c>
      <c r="J281">
        <v>0.14000000000000001</v>
      </c>
      <c r="K281">
        <v>0.1212</v>
      </c>
      <c r="L281">
        <v>0.5</v>
      </c>
      <c r="M281">
        <v>0.35820000000000002</v>
      </c>
      <c r="N281">
        <v>0</v>
      </c>
      <c r="O281">
        <v>2</v>
      </c>
      <c r="P281">
        <v>2</v>
      </c>
    </row>
    <row r="282" spans="1:16">
      <c r="A282">
        <v>281</v>
      </c>
      <c r="B282" s="1">
        <v>40556</v>
      </c>
      <c r="C282">
        <v>1</v>
      </c>
      <c r="D282">
        <v>0</v>
      </c>
      <c r="E282">
        <v>1</v>
      </c>
      <c r="F282">
        <v>3</v>
      </c>
      <c r="G282" t="b">
        <v>0</v>
      </c>
      <c r="H282">
        <v>4</v>
      </c>
      <c r="I282">
        <v>1</v>
      </c>
      <c r="J282">
        <v>0.14000000000000001</v>
      </c>
      <c r="K282">
        <v>0.1212</v>
      </c>
      <c r="L282">
        <v>0.5</v>
      </c>
      <c r="M282">
        <v>0.32840000000000003</v>
      </c>
      <c r="N282">
        <v>0</v>
      </c>
      <c r="O282">
        <v>3</v>
      </c>
      <c r="P282">
        <v>3</v>
      </c>
    </row>
    <row r="283" spans="1:16">
      <c r="A283">
        <v>282</v>
      </c>
      <c r="B283" s="1">
        <v>40556</v>
      </c>
      <c r="C283">
        <v>1</v>
      </c>
      <c r="D283">
        <v>0</v>
      </c>
      <c r="E283">
        <v>1</v>
      </c>
      <c r="F283">
        <v>4</v>
      </c>
      <c r="G283" t="b">
        <v>0</v>
      </c>
      <c r="H283">
        <v>4</v>
      </c>
      <c r="I283">
        <v>1</v>
      </c>
      <c r="J283">
        <v>0.14000000000000001</v>
      </c>
      <c r="K283">
        <v>0.1212</v>
      </c>
      <c r="L283">
        <v>0.5</v>
      </c>
      <c r="M283">
        <v>0.25369999999999998</v>
      </c>
      <c r="N283">
        <v>0</v>
      </c>
      <c r="O283">
        <v>4</v>
      </c>
      <c r="P283">
        <v>4</v>
      </c>
    </row>
    <row r="284" spans="1:16">
      <c r="A284">
        <v>283</v>
      </c>
      <c r="B284" s="1">
        <v>40556</v>
      </c>
      <c r="C284">
        <v>1</v>
      </c>
      <c r="D284">
        <v>0</v>
      </c>
      <c r="E284">
        <v>1</v>
      </c>
      <c r="F284">
        <v>5</v>
      </c>
      <c r="G284" t="b">
        <v>0</v>
      </c>
      <c r="H284">
        <v>4</v>
      </c>
      <c r="I284">
        <v>1</v>
      </c>
      <c r="J284">
        <v>0.14000000000000001</v>
      </c>
      <c r="K284">
        <v>0.1212</v>
      </c>
      <c r="L284">
        <v>0.5</v>
      </c>
      <c r="M284">
        <v>0.29849999999999999</v>
      </c>
      <c r="N284">
        <v>0</v>
      </c>
      <c r="O284">
        <v>3</v>
      </c>
      <c r="P284">
        <v>3</v>
      </c>
    </row>
    <row r="285" spans="1:16">
      <c r="A285">
        <v>284</v>
      </c>
      <c r="B285" s="1">
        <v>40556</v>
      </c>
      <c r="C285">
        <v>1</v>
      </c>
      <c r="D285">
        <v>0</v>
      </c>
      <c r="E285">
        <v>1</v>
      </c>
      <c r="F285">
        <v>6</v>
      </c>
      <c r="G285" t="b">
        <v>0</v>
      </c>
      <c r="H285">
        <v>4</v>
      </c>
      <c r="I285">
        <v>1</v>
      </c>
      <c r="J285">
        <v>0.12</v>
      </c>
      <c r="K285">
        <v>0.1515</v>
      </c>
      <c r="L285">
        <v>0.54</v>
      </c>
      <c r="M285">
        <v>0.1343</v>
      </c>
      <c r="N285">
        <v>0</v>
      </c>
      <c r="O285">
        <v>28</v>
      </c>
      <c r="P285">
        <v>28</v>
      </c>
    </row>
    <row r="286" spans="1:16">
      <c r="A286">
        <v>285</v>
      </c>
      <c r="B286" s="1">
        <v>40556</v>
      </c>
      <c r="C286">
        <v>1</v>
      </c>
      <c r="D286">
        <v>0</v>
      </c>
      <c r="E286">
        <v>1</v>
      </c>
      <c r="F286">
        <v>7</v>
      </c>
      <c r="G286" t="b">
        <v>0</v>
      </c>
      <c r="H286">
        <v>4</v>
      </c>
      <c r="I286">
        <v>1</v>
      </c>
      <c r="J286">
        <v>0.12</v>
      </c>
      <c r="K286">
        <v>0.1515</v>
      </c>
      <c r="L286">
        <v>0.54</v>
      </c>
      <c r="M286">
        <v>0.1343</v>
      </c>
      <c r="N286">
        <v>0</v>
      </c>
      <c r="O286">
        <v>72</v>
      </c>
      <c r="P286">
        <v>72</v>
      </c>
    </row>
    <row r="287" spans="1:16">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row>
    <row r="289" spans="1:16">
      <c r="A289">
        <v>288</v>
      </c>
      <c r="B289" s="1">
        <v>40556</v>
      </c>
      <c r="C289">
        <v>1</v>
      </c>
      <c r="D289">
        <v>0</v>
      </c>
      <c r="E289">
        <v>1</v>
      </c>
      <c r="F289">
        <v>10</v>
      </c>
      <c r="G289" t="b">
        <v>0</v>
      </c>
      <c r="H289">
        <v>4</v>
      </c>
      <c r="I289">
        <v>2</v>
      </c>
      <c r="J289">
        <v>0.16</v>
      </c>
      <c r="K289">
        <v>0.13639999999999999</v>
      </c>
      <c r="L289">
        <v>0.5</v>
      </c>
      <c r="M289">
        <v>0.35820000000000002</v>
      </c>
      <c r="N289">
        <v>2</v>
      </c>
      <c r="O289">
        <v>36</v>
      </c>
      <c r="P289">
        <v>38</v>
      </c>
    </row>
    <row r="290" spans="1:16">
      <c r="A290">
        <v>289</v>
      </c>
      <c r="B290" s="1">
        <v>40556</v>
      </c>
      <c r="C290">
        <v>1</v>
      </c>
      <c r="D290">
        <v>0</v>
      </c>
      <c r="E290">
        <v>1</v>
      </c>
      <c r="F290">
        <v>11</v>
      </c>
      <c r="G290" t="b">
        <v>0</v>
      </c>
      <c r="H290">
        <v>4</v>
      </c>
      <c r="I290">
        <v>2</v>
      </c>
      <c r="J290">
        <v>0.2</v>
      </c>
      <c r="K290">
        <v>0.16669999999999999</v>
      </c>
      <c r="L290">
        <v>0.44</v>
      </c>
      <c r="M290">
        <v>0.44779999999999998</v>
      </c>
      <c r="N290">
        <v>4</v>
      </c>
      <c r="O290">
        <v>33</v>
      </c>
      <c r="P290">
        <v>37</v>
      </c>
    </row>
    <row r="291" spans="1:16">
      <c r="A291">
        <v>290</v>
      </c>
      <c r="B291" s="1">
        <v>40556</v>
      </c>
      <c r="C291">
        <v>1</v>
      </c>
      <c r="D291">
        <v>0</v>
      </c>
      <c r="E291">
        <v>1</v>
      </c>
      <c r="F291">
        <v>12</v>
      </c>
      <c r="G291" t="b">
        <v>0</v>
      </c>
      <c r="H291">
        <v>4</v>
      </c>
      <c r="I291">
        <v>1</v>
      </c>
      <c r="J291">
        <v>0.2</v>
      </c>
      <c r="K291">
        <v>0.16669999999999999</v>
      </c>
      <c r="L291">
        <v>0.44</v>
      </c>
      <c r="M291">
        <v>0.41789999999999999</v>
      </c>
      <c r="N291">
        <v>3</v>
      </c>
      <c r="O291">
        <v>49</v>
      </c>
      <c r="P291">
        <v>52</v>
      </c>
    </row>
    <row r="292" spans="1:16">
      <c r="A292">
        <v>291</v>
      </c>
      <c r="B292" s="1">
        <v>40556</v>
      </c>
      <c r="C292">
        <v>1</v>
      </c>
      <c r="D292">
        <v>0</v>
      </c>
      <c r="E292">
        <v>1</v>
      </c>
      <c r="F292">
        <v>13</v>
      </c>
      <c r="G292" t="b">
        <v>0</v>
      </c>
      <c r="H292">
        <v>4</v>
      </c>
      <c r="I292">
        <v>1</v>
      </c>
      <c r="J292">
        <v>0.22</v>
      </c>
      <c r="K292">
        <v>0.19700000000000001</v>
      </c>
      <c r="L292">
        <v>0.41</v>
      </c>
      <c r="M292">
        <v>0.44779999999999998</v>
      </c>
      <c r="N292">
        <v>2</v>
      </c>
      <c r="O292">
        <v>81</v>
      </c>
      <c r="P292">
        <v>83</v>
      </c>
    </row>
    <row r="293" spans="1:16">
      <c r="A293">
        <v>292</v>
      </c>
      <c r="B293" s="1">
        <v>40556</v>
      </c>
      <c r="C293">
        <v>1</v>
      </c>
      <c r="D293">
        <v>0</v>
      </c>
      <c r="E293">
        <v>1</v>
      </c>
      <c r="F293">
        <v>14</v>
      </c>
      <c r="G293" t="b">
        <v>0</v>
      </c>
      <c r="H293">
        <v>4</v>
      </c>
      <c r="I293">
        <v>1</v>
      </c>
      <c r="J293">
        <v>0.22</v>
      </c>
      <c r="K293">
        <v>0.19700000000000001</v>
      </c>
      <c r="L293">
        <v>0.41</v>
      </c>
      <c r="M293">
        <v>0.3881</v>
      </c>
      <c r="N293">
        <v>3</v>
      </c>
      <c r="O293">
        <v>39</v>
      </c>
      <c r="P293">
        <v>42</v>
      </c>
    </row>
    <row r="294" spans="1:16">
      <c r="A294">
        <v>293</v>
      </c>
      <c r="B294" s="1">
        <v>40556</v>
      </c>
      <c r="C294">
        <v>1</v>
      </c>
      <c r="D294">
        <v>0</v>
      </c>
      <c r="E294">
        <v>1</v>
      </c>
      <c r="F294">
        <v>15</v>
      </c>
      <c r="G294" t="b">
        <v>0</v>
      </c>
      <c r="H294">
        <v>4</v>
      </c>
      <c r="I294">
        <v>1</v>
      </c>
      <c r="J294">
        <v>0.24</v>
      </c>
      <c r="K294">
        <v>0.21210000000000001</v>
      </c>
      <c r="L294">
        <v>0.38</v>
      </c>
      <c r="M294">
        <v>0.29849999999999999</v>
      </c>
      <c r="N294">
        <v>5</v>
      </c>
      <c r="O294">
        <v>55</v>
      </c>
      <c r="P294">
        <v>60</v>
      </c>
    </row>
    <row r="295" spans="1:16">
      <c r="A295">
        <v>294</v>
      </c>
      <c r="B295" s="1">
        <v>40556</v>
      </c>
      <c r="C295">
        <v>1</v>
      </c>
      <c r="D295">
        <v>0</v>
      </c>
      <c r="E295">
        <v>1</v>
      </c>
      <c r="F295">
        <v>16</v>
      </c>
      <c r="G295" t="b">
        <v>0</v>
      </c>
      <c r="H295">
        <v>4</v>
      </c>
      <c r="I295">
        <v>1</v>
      </c>
      <c r="J295">
        <v>0.24</v>
      </c>
      <c r="K295">
        <v>0.21210000000000001</v>
      </c>
      <c r="L295">
        <v>0.38</v>
      </c>
      <c r="M295">
        <v>0.35820000000000002</v>
      </c>
      <c r="N295">
        <v>2</v>
      </c>
      <c r="O295">
        <v>76</v>
      </c>
      <c r="P295">
        <v>78</v>
      </c>
    </row>
    <row r="296" spans="1:16">
      <c r="A296">
        <v>295</v>
      </c>
      <c r="B296" s="1">
        <v>40556</v>
      </c>
      <c r="C296">
        <v>1</v>
      </c>
      <c r="D296">
        <v>0</v>
      </c>
      <c r="E296">
        <v>1</v>
      </c>
      <c r="F296">
        <v>17</v>
      </c>
      <c r="G296" t="b">
        <v>0</v>
      </c>
      <c r="H296">
        <v>4</v>
      </c>
      <c r="I296">
        <v>1</v>
      </c>
      <c r="J296">
        <v>0.2</v>
      </c>
      <c r="K296">
        <v>0.18179999999999999</v>
      </c>
      <c r="L296">
        <v>0.4</v>
      </c>
      <c r="M296">
        <v>0.28360000000000002</v>
      </c>
      <c r="N296">
        <v>4</v>
      </c>
      <c r="O296">
        <v>158</v>
      </c>
      <c r="P296">
        <v>162</v>
      </c>
    </row>
    <row r="297" spans="1:16">
      <c r="A297">
        <v>296</v>
      </c>
      <c r="B297" s="1">
        <v>40556</v>
      </c>
      <c r="C297">
        <v>1</v>
      </c>
      <c r="D297">
        <v>0</v>
      </c>
      <c r="E297">
        <v>1</v>
      </c>
      <c r="F297">
        <v>18</v>
      </c>
      <c r="G297" t="b">
        <v>0</v>
      </c>
      <c r="H297">
        <v>4</v>
      </c>
      <c r="I297">
        <v>1</v>
      </c>
      <c r="J297">
        <v>0.2</v>
      </c>
      <c r="K297">
        <v>0.18179999999999999</v>
      </c>
      <c r="L297">
        <v>0.4</v>
      </c>
      <c r="M297">
        <v>0.32840000000000003</v>
      </c>
      <c r="N297">
        <v>3</v>
      </c>
      <c r="O297">
        <v>141</v>
      </c>
      <c r="P297">
        <v>144</v>
      </c>
    </row>
    <row r="298" spans="1:16">
      <c r="A298">
        <v>297</v>
      </c>
      <c r="B298" s="1">
        <v>40556</v>
      </c>
      <c r="C298">
        <v>1</v>
      </c>
      <c r="D298">
        <v>0</v>
      </c>
      <c r="E298">
        <v>1</v>
      </c>
      <c r="F298">
        <v>19</v>
      </c>
      <c r="G298" t="b">
        <v>0</v>
      </c>
      <c r="H298">
        <v>4</v>
      </c>
      <c r="I298">
        <v>1</v>
      </c>
      <c r="J298">
        <v>0.16</v>
      </c>
      <c r="K298">
        <v>0.1515</v>
      </c>
      <c r="L298">
        <v>0.47</v>
      </c>
      <c r="M298">
        <v>0.25369999999999998</v>
      </c>
      <c r="N298">
        <v>1</v>
      </c>
      <c r="O298">
        <v>98</v>
      </c>
      <c r="P298">
        <v>99</v>
      </c>
    </row>
    <row r="299" spans="1:16">
      <c r="A299">
        <v>298</v>
      </c>
      <c r="B299" s="1">
        <v>40556</v>
      </c>
      <c r="C299">
        <v>1</v>
      </c>
      <c r="D299">
        <v>0</v>
      </c>
      <c r="E299">
        <v>1</v>
      </c>
      <c r="F299">
        <v>20</v>
      </c>
      <c r="G299" t="b">
        <v>0</v>
      </c>
      <c r="H299">
        <v>4</v>
      </c>
      <c r="I299">
        <v>1</v>
      </c>
      <c r="J299">
        <v>0.16</v>
      </c>
      <c r="K299">
        <v>0.1515</v>
      </c>
      <c r="L299">
        <v>0.47</v>
      </c>
      <c r="M299">
        <v>0.22389999999999999</v>
      </c>
      <c r="N299">
        <v>0</v>
      </c>
      <c r="O299">
        <v>64</v>
      </c>
      <c r="P299">
        <v>64</v>
      </c>
    </row>
    <row r="300" spans="1:16">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row>
    <row r="301" spans="1:16">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row>
    <row r="302" spans="1:16">
      <c r="A302">
        <v>301</v>
      </c>
      <c r="B302" s="1">
        <v>40556</v>
      </c>
      <c r="C302">
        <v>1</v>
      </c>
      <c r="D302">
        <v>0</v>
      </c>
      <c r="E302">
        <v>1</v>
      </c>
      <c r="F302">
        <v>23</v>
      </c>
      <c r="G302" t="b">
        <v>0</v>
      </c>
      <c r="H302">
        <v>4</v>
      </c>
      <c r="I302">
        <v>1</v>
      </c>
      <c r="J302">
        <v>0.12</v>
      </c>
      <c r="K302">
        <v>0.13639999999999999</v>
      </c>
      <c r="L302">
        <v>0.5</v>
      </c>
      <c r="M302">
        <v>0.19400000000000001</v>
      </c>
      <c r="N302">
        <v>1</v>
      </c>
      <c r="O302">
        <v>14</v>
      </c>
      <c r="P302">
        <v>15</v>
      </c>
    </row>
    <row r="303" spans="1:16">
      <c r="A303">
        <v>302</v>
      </c>
      <c r="B303" s="1">
        <v>40557</v>
      </c>
      <c r="C303">
        <v>1</v>
      </c>
      <c r="D303">
        <v>0</v>
      </c>
      <c r="E303">
        <v>1</v>
      </c>
      <c r="F303">
        <v>0</v>
      </c>
      <c r="G303" t="b">
        <v>0</v>
      </c>
      <c r="H303">
        <v>5</v>
      </c>
      <c r="I303">
        <v>1</v>
      </c>
      <c r="J303">
        <v>0.12</v>
      </c>
      <c r="K303">
        <v>0.13639999999999999</v>
      </c>
      <c r="L303">
        <v>0.5</v>
      </c>
      <c r="M303">
        <v>0.19400000000000001</v>
      </c>
      <c r="N303">
        <v>0</v>
      </c>
      <c r="O303">
        <v>14</v>
      </c>
      <c r="P303">
        <v>14</v>
      </c>
    </row>
    <row r="304" spans="1:16">
      <c r="A304">
        <v>303</v>
      </c>
      <c r="B304" s="1">
        <v>40557</v>
      </c>
      <c r="C304">
        <v>1</v>
      </c>
      <c r="D304">
        <v>0</v>
      </c>
      <c r="E304">
        <v>1</v>
      </c>
      <c r="F304">
        <v>1</v>
      </c>
      <c r="G304" t="b">
        <v>0</v>
      </c>
      <c r="H304">
        <v>5</v>
      </c>
      <c r="I304">
        <v>1</v>
      </c>
      <c r="J304">
        <v>0.1</v>
      </c>
      <c r="K304">
        <v>0.1212</v>
      </c>
      <c r="L304">
        <v>0.54</v>
      </c>
      <c r="M304">
        <v>0.16420000000000001</v>
      </c>
      <c r="N304">
        <v>0</v>
      </c>
      <c r="O304">
        <v>5</v>
      </c>
      <c r="P304">
        <v>5</v>
      </c>
    </row>
    <row r="305" spans="1:16">
      <c r="A305">
        <v>304</v>
      </c>
      <c r="B305" s="1">
        <v>40557</v>
      </c>
      <c r="C305">
        <v>1</v>
      </c>
      <c r="D305">
        <v>0</v>
      </c>
      <c r="E305">
        <v>1</v>
      </c>
      <c r="F305">
        <v>2</v>
      </c>
      <c r="G305" t="b">
        <v>0</v>
      </c>
      <c r="H305">
        <v>5</v>
      </c>
      <c r="I305">
        <v>1</v>
      </c>
      <c r="J305">
        <v>0.1</v>
      </c>
      <c r="K305">
        <v>0.1212</v>
      </c>
      <c r="L305">
        <v>0.54</v>
      </c>
      <c r="M305">
        <v>0.1343</v>
      </c>
      <c r="N305">
        <v>0</v>
      </c>
      <c r="O305">
        <v>1</v>
      </c>
      <c r="P305">
        <v>1</v>
      </c>
    </row>
    <row r="306" spans="1:16">
      <c r="A306">
        <v>305</v>
      </c>
      <c r="B306" s="1">
        <v>40557</v>
      </c>
      <c r="C306">
        <v>1</v>
      </c>
      <c r="D306">
        <v>0</v>
      </c>
      <c r="E306">
        <v>1</v>
      </c>
      <c r="F306">
        <v>3</v>
      </c>
      <c r="G306" t="b">
        <v>0</v>
      </c>
      <c r="H306">
        <v>5</v>
      </c>
      <c r="I306">
        <v>1</v>
      </c>
      <c r="J306">
        <v>0.1</v>
      </c>
      <c r="K306">
        <v>0.13639999999999999</v>
      </c>
      <c r="L306">
        <v>0.54</v>
      </c>
      <c r="M306">
        <v>0.1045</v>
      </c>
      <c r="N306">
        <v>0</v>
      </c>
      <c r="O306">
        <v>1</v>
      </c>
      <c r="P306">
        <v>1</v>
      </c>
    </row>
    <row r="307" spans="1:16">
      <c r="A307">
        <v>306</v>
      </c>
      <c r="B307" s="1">
        <v>40557</v>
      </c>
      <c r="C307">
        <v>1</v>
      </c>
      <c r="D307">
        <v>0</v>
      </c>
      <c r="E307">
        <v>1</v>
      </c>
      <c r="F307">
        <v>5</v>
      </c>
      <c r="G307" t="b">
        <v>0</v>
      </c>
      <c r="H307">
        <v>5</v>
      </c>
      <c r="I307">
        <v>1</v>
      </c>
      <c r="J307">
        <v>0.1</v>
      </c>
      <c r="K307">
        <v>0.13639999999999999</v>
      </c>
      <c r="L307">
        <v>0.54</v>
      </c>
      <c r="M307">
        <v>8.9599999999999999E-2</v>
      </c>
      <c r="N307">
        <v>0</v>
      </c>
      <c r="O307">
        <v>8</v>
      </c>
      <c r="P307">
        <v>8</v>
      </c>
    </row>
    <row r="308" spans="1:16">
      <c r="A308">
        <v>307</v>
      </c>
      <c r="B308" s="1">
        <v>40557</v>
      </c>
      <c r="C308">
        <v>1</v>
      </c>
      <c r="D308">
        <v>0</v>
      </c>
      <c r="E308">
        <v>1</v>
      </c>
      <c r="F308">
        <v>6</v>
      </c>
      <c r="G308" t="b">
        <v>0</v>
      </c>
      <c r="H308">
        <v>5</v>
      </c>
      <c r="I308">
        <v>1</v>
      </c>
      <c r="J308">
        <v>0.1</v>
      </c>
      <c r="K308">
        <v>0.18179999999999999</v>
      </c>
      <c r="L308">
        <v>0.54</v>
      </c>
      <c r="M308">
        <v>0</v>
      </c>
      <c r="N308">
        <v>0</v>
      </c>
      <c r="O308">
        <v>17</v>
      </c>
      <c r="P308">
        <v>17</v>
      </c>
    </row>
    <row r="309" spans="1:16">
      <c r="A309">
        <v>308</v>
      </c>
      <c r="B309" s="1">
        <v>40557</v>
      </c>
      <c r="C309">
        <v>1</v>
      </c>
      <c r="D309">
        <v>0</v>
      </c>
      <c r="E309">
        <v>1</v>
      </c>
      <c r="F309">
        <v>7</v>
      </c>
      <c r="G309" t="b">
        <v>0</v>
      </c>
      <c r="H309">
        <v>5</v>
      </c>
      <c r="I309">
        <v>1</v>
      </c>
      <c r="J309">
        <v>0.1</v>
      </c>
      <c r="K309">
        <v>0.1212</v>
      </c>
      <c r="L309">
        <v>0.74</v>
      </c>
      <c r="M309">
        <v>0.16420000000000001</v>
      </c>
      <c r="N309">
        <v>0</v>
      </c>
      <c r="O309">
        <v>70</v>
      </c>
      <c r="P309">
        <v>70</v>
      </c>
    </row>
    <row r="310" spans="1:16">
      <c r="A310">
        <v>309</v>
      </c>
      <c r="B310" s="1">
        <v>40557</v>
      </c>
      <c r="C310">
        <v>1</v>
      </c>
      <c r="D310">
        <v>0</v>
      </c>
      <c r="E310">
        <v>1</v>
      </c>
      <c r="F310">
        <v>8</v>
      </c>
      <c r="G310" t="b">
        <v>0</v>
      </c>
      <c r="H310">
        <v>5</v>
      </c>
      <c r="I310">
        <v>1</v>
      </c>
      <c r="J310">
        <v>0.12</v>
      </c>
      <c r="K310">
        <v>0.16669999999999999</v>
      </c>
      <c r="L310">
        <v>0.68</v>
      </c>
      <c r="M310">
        <v>0</v>
      </c>
      <c r="N310">
        <v>2</v>
      </c>
      <c r="O310">
        <v>156</v>
      </c>
      <c r="P310">
        <v>158</v>
      </c>
    </row>
    <row r="311" spans="1:16">
      <c r="A311">
        <v>310</v>
      </c>
      <c r="B311" s="1">
        <v>40557</v>
      </c>
      <c r="C311">
        <v>1</v>
      </c>
      <c r="D311">
        <v>0</v>
      </c>
      <c r="E311">
        <v>1</v>
      </c>
      <c r="F311">
        <v>9</v>
      </c>
      <c r="G311" t="b">
        <v>0</v>
      </c>
      <c r="H311">
        <v>5</v>
      </c>
      <c r="I311">
        <v>1</v>
      </c>
      <c r="J311">
        <v>0.14000000000000001</v>
      </c>
      <c r="K311">
        <v>0.1515</v>
      </c>
      <c r="L311">
        <v>0.69</v>
      </c>
      <c r="M311">
        <v>0.1343</v>
      </c>
      <c r="N311">
        <v>0</v>
      </c>
      <c r="O311">
        <v>117</v>
      </c>
      <c r="P311">
        <v>117</v>
      </c>
    </row>
    <row r="312" spans="1:16">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c r="A313">
        <v>312</v>
      </c>
      <c r="B313" s="1">
        <v>40557</v>
      </c>
      <c r="C313">
        <v>1</v>
      </c>
      <c r="D313">
        <v>0</v>
      </c>
      <c r="E313">
        <v>1</v>
      </c>
      <c r="F313">
        <v>11</v>
      </c>
      <c r="G313" t="b">
        <v>0</v>
      </c>
      <c r="H313">
        <v>5</v>
      </c>
      <c r="I313">
        <v>1</v>
      </c>
      <c r="J313">
        <v>0.18</v>
      </c>
      <c r="K313">
        <v>0.16669999999999999</v>
      </c>
      <c r="L313">
        <v>0.51</v>
      </c>
      <c r="M313">
        <v>0.28360000000000002</v>
      </c>
      <c r="N313">
        <v>6</v>
      </c>
      <c r="O313">
        <v>47</v>
      </c>
      <c r="P313">
        <v>53</v>
      </c>
    </row>
    <row r="314" spans="1:16">
      <c r="A314">
        <v>313</v>
      </c>
      <c r="B314" s="1">
        <v>40557</v>
      </c>
      <c r="C314">
        <v>1</v>
      </c>
      <c r="D314">
        <v>0</v>
      </c>
      <c r="E314">
        <v>1</v>
      </c>
      <c r="F314">
        <v>12</v>
      </c>
      <c r="G314" t="b">
        <v>0</v>
      </c>
      <c r="H314">
        <v>5</v>
      </c>
      <c r="I314">
        <v>1</v>
      </c>
      <c r="J314">
        <v>0.2</v>
      </c>
      <c r="K314">
        <v>0.19700000000000001</v>
      </c>
      <c r="L314">
        <v>0.44</v>
      </c>
      <c r="M314">
        <v>0.25369999999999998</v>
      </c>
      <c r="N314">
        <v>2</v>
      </c>
      <c r="O314">
        <v>59</v>
      </c>
      <c r="P314">
        <v>61</v>
      </c>
    </row>
    <row r="315" spans="1:16">
      <c r="A315">
        <v>314</v>
      </c>
      <c r="B315" s="1">
        <v>40557</v>
      </c>
      <c r="C315">
        <v>1</v>
      </c>
      <c r="D315">
        <v>0</v>
      </c>
      <c r="E315">
        <v>1</v>
      </c>
      <c r="F315">
        <v>13</v>
      </c>
      <c r="G315" t="b">
        <v>0</v>
      </c>
      <c r="H315">
        <v>5</v>
      </c>
      <c r="I315">
        <v>1</v>
      </c>
      <c r="J315">
        <v>0.22</v>
      </c>
      <c r="K315">
        <v>0.19700000000000001</v>
      </c>
      <c r="L315">
        <v>0.37</v>
      </c>
      <c r="M315">
        <v>0.3881</v>
      </c>
      <c r="N315">
        <v>4</v>
      </c>
      <c r="O315">
        <v>73</v>
      </c>
      <c r="P315">
        <v>77</v>
      </c>
    </row>
    <row r="316" spans="1:16">
      <c r="A316">
        <v>315</v>
      </c>
      <c r="B316" s="1">
        <v>40557</v>
      </c>
      <c r="C316">
        <v>1</v>
      </c>
      <c r="D316">
        <v>0</v>
      </c>
      <c r="E316">
        <v>1</v>
      </c>
      <c r="F316">
        <v>14</v>
      </c>
      <c r="G316" t="b">
        <v>0</v>
      </c>
      <c r="H316">
        <v>5</v>
      </c>
      <c r="I316">
        <v>1</v>
      </c>
      <c r="J316">
        <v>0.22</v>
      </c>
      <c r="K316">
        <v>0.21210000000000001</v>
      </c>
      <c r="L316">
        <v>0.41</v>
      </c>
      <c r="M316">
        <v>0.28360000000000002</v>
      </c>
      <c r="N316">
        <v>5</v>
      </c>
      <c r="O316">
        <v>59</v>
      </c>
      <c r="P316">
        <v>64</v>
      </c>
    </row>
    <row r="317" spans="1:16">
      <c r="A317">
        <v>316</v>
      </c>
      <c r="B317" s="1">
        <v>40557</v>
      </c>
      <c r="C317">
        <v>1</v>
      </c>
      <c r="D317">
        <v>0</v>
      </c>
      <c r="E317">
        <v>1</v>
      </c>
      <c r="F317">
        <v>15</v>
      </c>
      <c r="G317" t="b">
        <v>0</v>
      </c>
      <c r="H317">
        <v>5</v>
      </c>
      <c r="I317">
        <v>1</v>
      </c>
      <c r="J317">
        <v>0.24</v>
      </c>
      <c r="K317">
        <v>0.2424</v>
      </c>
      <c r="L317">
        <v>0.38</v>
      </c>
      <c r="M317">
        <v>0.16420000000000001</v>
      </c>
      <c r="N317">
        <v>9</v>
      </c>
      <c r="O317">
        <v>59</v>
      </c>
      <c r="P317">
        <v>68</v>
      </c>
    </row>
    <row r="318" spans="1:16">
      <c r="A318">
        <v>317</v>
      </c>
      <c r="B318" s="1">
        <v>40557</v>
      </c>
      <c r="C318">
        <v>1</v>
      </c>
      <c r="D318">
        <v>0</v>
      </c>
      <c r="E318">
        <v>1</v>
      </c>
      <c r="F318">
        <v>16</v>
      </c>
      <c r="G318" t="b">
        <v>0</v>
      </c>
      <c r="H318">
        <v>5</v>
      </c>
      <c r="I318">
        <v>1</v>
      </c>
      <c r="J318">
        <v>0.22</v>
      </c>
      <c r="K318">
        <v>0.2424</v>
      </c>
      <c r="L318">
        <v>0.41</v>
      </c>
      <c r="M318">
        <v>0.1045</v>
      </c>
      <c r="N318">
        <v>3</v>
      </c>
      <c r="O318">
        <v>87</v>
      </c>
      <c r="P318">
        <v>90</v>
      </c>
    </row>
    <row r="319" spans="1:16">
      <c r="A319">
        <v>318</v>
      </c>
      <c r="B319" s="1">
        <v>40557</v>
      </c>
      <c r="C319">
        <v>1</v>
      </c>
      <c r="D319">
        <v>0</v>
      </c>
      <c r="E319">
        <v>1</v>
      </c>
      <c r="F319">
        <v>17</v>
      </c>
      <c r="G319" t="b">
        <v>0</v>
      </c>
      <c r="H319">
        <v>5</v>
      </c>
      <c r="I319">
        <v>1</v>
      </c>
      <c r="J319">
        <v>0.22</v>
      </c>
      <c r="K319">
        <v>0.2273</v>
      </c>
      <c r="L319">
        <v>0.41</v>
      </c>
      <c r="M319">
        <v>0.16420000000000001</v>
      </c>
      <c r="N319">
        <v>4</v>
      </c>
      <c r="O319">
        <v>155</v>
      </c>
      <c r="P319">
        <v>159</v>
      </c>
    </row>
    <row r="320" spans="1:16">
      <c r="A320">
        <v>319</v>
      </c>
      <c r="B320" s="1">
        <v>40557</v>
      </c>
      <c r="C320">
        <v>1</v>
      </c>
      <c r="D320">
        <v>0</v>
      </c>
      <c r="E320">
        <v>1</v>
      </c>
      <c r="F320">
        <v>18</v>
      </c>
      <c r="G320" t="b">
        <v>0</v>
      </c>
      <c r="H320">
        <v>5</v>
      </c>
      <c r="I320">
        <v>1</v>
      </c>
      <c r="J320">
        <v>0.2</v>
      </c>
      <c r="K320">
        <v>0.2576</v>
      </c>
      <c r="L320">
        <v>0.47</v>
      </c>
      <c r="M320">
        <v>0</v>
      </c>
      <c r="N320">
        <v>5</v>
      </c>
      <c r="O320">
        <v>134</v>
      </c>
      <c r="P320">
        <v>139</v>
      </c>
    </row>
    <row r="321" spans="1:16">
      <c r="A321">
        <v>320</v>
      </c>
      <c r="B321" s="1">
        <v>40557</v>
      </c>
      <c r="C321">
        <v>1</v>
      </c>
      <c r="D321">
        <v>0</v>
      </c>
      <c r="E321">
        <v>1</v>
      </c>
      <c r="F321">
        <v>19</v>
      </c>
      <c r="G321" t="b">
        <v>0</v>
      </c>
      <c r="H321">
        <v>5</v>
      </c>
      <c r="I321">
        <v>1</v>
      </c>
      <c r="J321">
        <v>0.16</v>
      </c>
      <c r="K321">
        <v>0.19700000000000001</v>
      </c>
      <c r="L321">
        <v>0.59</v>
      </c>
      <c r="M321">
        <v>8.9599999999999999E-2</v>
      </c>
      <c r="N321">
        <v>3</v>
      </c>
      <c r="O321">
        <v>89</v>
      </c>
      <c r="P321">
        <v>92</v>
      </c>
    </row>
    <row r="322" spans="1:16">
      <c r="A322">
        <v>321</v>
      </c>
      <c r="B322" s="1">
        <v>40557</v>
      </c>
      <c r="C322">
        <v>1</v>
      </c>
      <c r="D322">
        <v>0</v>
      </c>
      <c r="E322">
        <v>1</v>
      </c>
      <c r="F322">
        <v>20</v>
      </c>
      <c r="G322" t="b">
        <v>0</v>
      </c>
      <c r="H322">
        <v>5</v>
      </c>
      <c r="I322">
        <v>1</v>
      </c>
      <c r="J322">
        <v>0.18</v>
      </c>
      <c r="K322">
        <v>0.2424</v>
      </c>
      <c r="L322">
        <v>0.59</v>
      </c>
      <c r="M322">
        <v>0</v>
      </c>
      <c r="N322">
        <v>0</v>
      </c>
      <c r="O322">
        <v>68</v>
      </c>
      <c r="P322">
        <v>68</v>
      </c>
    </row>
    <row r="323" spans="1:16">
      <c r="A323">
        <v>322</v>
      </c>
      <c r="B323" s="1">
        <v>40557</v>
      </c>
      <c r="C323">
        <v>1</v>
      </c>
      <c r="D323">
        <v>0</v>
      </c>
      <c r="E323">
        <v>1</v>
      </c>
      <c r="F323">
        <v>21</v>
      </c>
      <c r="G323" t="b">
        <v>0</v>
      </c>
      <c r="H323">
        <v>5</v>
      </c>
      <c r="I323">
        <v>1</v>
      </c>
      <c r="J323">
        <v>0.16</v>
      </c>
      <c r="K323">
        <v>0.2273</v>
      </c>
      <c r="L323">
        <v>0.69</v>
      </c>
      <c r="M323">
        <v>0</v>
      </c>
      <c r="N323">
        <v>4</v>
      </c>
      <c r="O323">
        <v>48</v>
      </c>
      <c r="P323">
        <v>52</v>
      </c>
    </row>
    <row r="324" spans="1:16">
      <c r="A324">
        <v>323</v>
      </c>
      <c r="B324" s="1">
        <v>40557</v>
      </c>
      <c r="C324">
        <v>1</v>
      </c>
      <c r="D324">
        <v>0</v>
      </c>
      <c r="E324">
        <v>1</v>
      </c>
      <c r="F324">
        <v>22</v>
      </c>
      <c r="G324" t="b">
        <v>0</v>
      </c>
      <c r="H324">
        <v>5</v>
      </c>
      <c r="I324">
        <v>2</v>
      </c>
      <c r="J324">
        <v>0.16</v>
      </c>
      <c r="K324">
        <v>0.2273</v>
      </c>
      <c r="L324">
        <v>0.69</v>
      </c>
      <c r="M324">
        <v>0</v>
      </c>
      <c r="N324">
        <v>2</v>
      </c>
      <c r="O324">
        <v>34</v>
      </c>
      <c r="P324">
        <v>36</v>
      </c>
    </row>
    <row r="325" spans="1:16">
      <c r="A325">
        <v>324</v>
      </c>
      <c r="B325" s="1">
        <v>40557</v>
      </c>
      <c r="C325">
        <v>1</v>
      </c>
      <c r="D325">
        <v>0</v>
      </c>
      <c r="E325">
        <v>1</v>
      </c>
      <c r="F325">
        <v>23</v>
      </c>
      <c r="G325" t="b">
        <v>0</v>
      </c>
      <c r="H325">
        <v>5</v>
      </c>
      <c r="I325">
        <v>2</v>
      </c>
      <c r="J325">
        <v>0.18</v>
      </c>
      <c r="K325">
        <v>0.2424</v>
      </c>
      <c r="L325">
        <v>0.55000000000000004</v>
      </c>
      <c r="M325">
        <v>0</v>
      </c>
      <c r="N325">
        <v>1</v>
      </c>
      <c r="O325">
        <v>26</v>
      </c>
      <c r="P325">
        <v>27</v>
      </c>
    </row>
    <row r="326" spans="1:16">
      <c r="A326">
        <v>325</v>
      </c>
      <c r="B326" s="1">
        <v>40558</v>
      </c>
      <c r="C326">
        <v>1</v>
      </c>
      <c r="D326">
        <v>0</v>
      </c>
      <c r="E326">
        <v>1</v>
      </c>
      <c r="F326">
        <v>0</v>
      </c>
      <c r="G326" t="b">
        <v>0</v>
      </c>
      <c r="H326">
        <v>6</v>
      </c>
      <c r="I326">
        <v>1</v>
      </c>
      <c r="J326">
        <v>0.18</v>
      </c>
      <c r="K326">
        <v>0.2424</v>
      </c>
      <c r="L326">
        <v>0.55000000000000004</v>
      </c>
      <c r="M326">
        <v>0</v>
      </c>
      <c r="N326">
        <v>3</v>
      </c>
      <c r="O326">
        <v>25</v>
      </c>
      <c r="P326">
        <v>28</v>
      </c>
    </row>
    <row r="327" spans="1:16">
      <c r="A327">
        <v>326</v>
      </c>
      <c r="B327" s="1">
        <v>40558</v>
      </c>
      <c r="C327">
        <v>1</v>
      </c>
      <c r="D327">
        <v>0</v>
      </c>
      <c r="E327">
        <v>1</v>
      </c>
      <c r="F327">
        <v>1</v>
      </c>
      <c r="G327" t="b">
        <v>0</v>
      </c>
      <c r="H327">
        <v>6</v>
      </c>
      <c r="I327">
        <v>2</v>
      </c>
      <c r="J327">
        <v>0.16</v>
      </c>
      <c r="K327">
        <v>0.19700000000000001</v>
      </c>
      <c r="L327">
        <v>0.59</v>
      </c>
      <c r="M327">
        <v>8.9599999999999999E-2</v>
      </c>
      <c r="N327">
        <v>2</v>
      </c>
      <c r="O327">
        <v>18</v>
      </c>
      <c r="P327">
        <v>20</v>
      </c>
    </row>
    <row r="328" spans="1:16">
      <c r="A328">
        <v>327</v>
      </c>
      <c r="B328" s="1">
        <v>40558</v>
      </c>
      <c r="C328">
        <v>1</v>
      </c>
      <c r="D328">
        <v>0</v>
      </c>
      <c r="E328">
        <v>1</v>
      </c>
      <c r="F328">
        <v>2</v>
      </c>
      <c r="G328" t="b">
        <v>0</v>
      </c>
      <c r="H328">
        <v>6</v>
      </c>
      <c r="I328">
        <v>2</v>
      </c>
      <c r="J328">
        <v>0.16</v>
      </c>
      <c r="K328">
        <v>0.19700000000000001</v>
      </c>
      <c r="L328">
        <v>0.59</v>
      </c>
      <c r="M328">
        <v>8.9599999999999999E-2</v>
      </c>
      <c r="N328">
        <v>0</v>
      </c>
      <c r="O328">
        <v>12</v>
      </c>
      <c r="P328">
        <v>12</v>
      </c>
    </row>
    <row r="329" spans="1:16">
      <c r="A329">
        <v>328</v>
      </c>
      <c r="B329" s="1">
        <v>40558</v>
      </c>
      <c r="C329">
        <v>1</v>
      </c>
      <c r="D329">
        <v>0</v>
      </c>
      <c r="E329">
        <v>1</v>
      </c>
      <c r="F329">
        <v>3</v>
      </c>
      <c r="G329" t="b">
        <v>0</v>
      </c>
      <c r="H329">
        <v>6</v>
      </c>
      <c r="I329">
        <v>2</v>
      </c>
      <c r="J329">
        <v>0.16</v>
      </c>
      <c r="K329">
        <v>0.2273</v>
      </c>
      <c r="L329">
        <v>0.59</v>
      </c>
      <c r="M329">
        <v>0</v>
      </c>
      <c r="N329">
        <v>1</v>
      </c>
      <c r="O329">
        <v>7</v>
      </c>
      <c r="P329">
        <v>8</v>
      </c>
    </row>
    <row r="330" spans="1:16">
      <c r="A330">
        <v>329</v>
      </c>
      <c r="B330" s="1">
        <v>40558</v>
      </c>
      <c r="C330">
        <v>1</v>
      </c>
      <c r="D330">
        <v>0</v>
      </c>
      <c r="E330">
        <v>1</v>
      </c>
      <c r="F330">
        <v>4</v>
      </c>
      <c r="G330" t="b">
        <v>0</v>
      </c>
      <c r="H330">
        <v>6</v>
      </c>
      <c r="I330">
        <v>2</v>
      </c>
      <c r="J330">
        <v>0.16</v>
      </c>
      <c r="K330">
        <v>0.2273</v>
      </c>
      <c r="L330">
        <v>0.59</v>
      </c>
      <c r="M330">
        <v>0</v>
      </c>
      <c r="N330">
        <v>0</v>
      </c>
      <c r="O330">
        <v>5</v>
      </c>
      <c r="P330">
        <v>5</v>
      </c>
    </row>
    <row r="331" spans="1:16">
      <c r="A331">
        <v>330</v>
      </c>
      <c r="B331" s="1">
        <v>40558</v>
      </c>
      <c r="C331">
        <v>1</v>
      </c>
      <c r="D331">
        <v>0</v>
      </c>
      <c r="E331">
        <v>1</v>
      </c>
      <c r="F331">
        <v>5</v>
      </c>
      <c r="G331" t="b">
        <v>0</v>
      </c>
      <c r="H331">
        <v>6</v>
      </c>
      <c r="I331">
        <v>1</v>
      </c>
      <c r="J331">
        <v>0.16</v>
      </c>
      <c r="K331">
        <v>0.2273</v>
      </c>
      <c r="L331">
        <v>0.59</v>
      </c>
      <c r="M331">
        <v>0</v>
      </c>
      <c r="N331">
        <v>0</v>
      </c>
      <c r="O331">
        <v>1</v>
      </c>
      <c r="P331">
        <v>1</v>
      </c>
    </row>
    <row r="332" spans="1:16">
      <c r="A332">
        <v>331</v>
      </c>
      <c r="B332" s="1">
        <v>40558</v>
      </c>
      <c r="C332">
        <v>1</v>
      </c>
      <c r="D332">
        <v>0</v>
      </c>
      <c r="E332">
        <v>1</v>
      </c>
      <c r="F332">
        <v>6</v>
      </c>
      <c r="G332" t="b">
        <v>0</v>
      </c>
      <c r="H332">
        <v>6</v>
      </c>
      <c r="I332">
        <v>1</v>
      </c>
      <c r="J332">
        <v>0.14000000000000001</v>
      </c>
      <c r="K332">
        <v>0.16669999999999999</v>
      </c>
      <c r="L332">
        <v>0.63</v>
      </c>
      <c r="M332">
        <v>0.1045</v>
      </c>
      <c r="N332">
        <v>1</v>
      </c>
      <c r="O332">
        <v>2</v>
      </c>
      <c r="P332">
        <v>3</v>
      </c>
    </row>
    <row r="333" spans="1:16">
      <c r="A333">
        <v>332</v>
      </c>
      <c r="B333" s="1">
        <v>40558</v>
      </c>
      <c r="C333">
        <v>1</v>
      </c>
      <c r="D333">
        <v>0</v>
      </c>
      <c r="E333">
        <v>1</v>
      </c>
      <c r="F333">
        <v>7</v>
      </c>
      <c r="G333" t="b">
        <v>0</v>
      </c>
      <c r="H333">
        <v>6</v>
      </c>
      <c r="I333">
        <v>1</v>
      </c>
      <c r="J333">
        <v>0.14000000000000001</v>
      </c>
      <c r="K333">
        <v>0.21210000000000001</v>
      </c>
      <c r="L333">
        <v>0.63</v>
      </c>
      <c r="M333">
        <v>0</v>
      </c>
      <c r="N333">
        <v>1</v>
      </c>
      <c r="O333">
        <v>9</v>
      </c>
      <c r="P333">
        <v>10</v>
      </c>
    </row>
    <row r="334" spans="1:16">
      <c r="A334">
        <v>333</v>
      </c>
      <c r="B334" s="1">
        <v>40558</v>
      </c>
      <c r="C334">
        <v>1</v>
      </c>
      <c r="D334">
        <v>0</v>
      </c>
      <c r="E334">
        <v>1</v>
      </c>
      <c r="F334">
        <v>8</v>
      </c>
      <c r="G334" t="b">
        <v>0</v>
      </c>
      <c r="H334">
        <v>6</v>
      </c>
      <c r="I334">
        <v>1</v>
      </c>
      <c r="J334">
        <v>0.14000000000000001</v>
      </c>
      <c r="K334">
        <v>0.1515</v>
      </c>
      <c r="L334">
        <v>0.63</v>
      </c>
      <c r="M334">
        <v>0.1343</v>
      </c>
      <c r="N334">
        <v>1</v>
      </c>
      <c r="O334">
        <v>22</v>
      </c>
      <c r="P334">
        <v>23</v>
      </c>
    </row>
    <row r="335" spans="1:16">
      <c r="A335">
        <v>334</v>
      </c>
      <c r="B335" s="1">
        <v>40558</v>
      </c>
      <c r="C335">
        <v>1</v>
      </c>
      <c r="D335">
        <v>0</v>
      </c>
      <c r="E335">
        <v>1</v>
      </c>
      <c r="F335">
        <v>9</v>
      </c>
      <c r="G335" t="b">
        <v>0</v>
      </c>
      <c r="H335">
        <v>6</v>
      </c>
      <c r="I335">
        <v>1</v>
      </c>
      <c r="J335">
        <v>0.16</v>
      </c>
      <c r="K335">
        <v>0.18179999999999999</v>
      </c>
      <c r="L335">
        <v>0.64</v>
      </c>
      <c r="M335">
        <v>0.1343</v>
      </c>
      <c r="N335">
        <v>2</v>
      </c>
      <c r="O335">
        <v>31</v>
      </c>
      <c r="P335">
        <v>33</v>
      </c>
    </row>
    <row r="336" spans="1:16">
      <c r="A336">
        <v>335</v>
      </c>
      <c r="B336" s="1">
        <v>40558</v>
      </c>
      <c r="C336">
        <v>1</v>
      </c>
      <c r="D336">
        <v>0</v>
      </c>
      <c r="E336">
        <v>1</v>
      </c>
      <c r="F336">
        <v>10</v>
      </c>
      <c r="G336" t="b">
        <v>0</v>
      </c>
      <c r="H336">
        <v>6</v>
      </c>
      <c r="I336">
        <v>1</v>
      </c>
      <c r="J336">
        <v>0.18</v>
      </c>
      <c r="K336">
        <v>0.19700000000000001</v>
      </c>
      <c r="L336">
        <v>0.59</v>
      </c>
      <c r="M336">
        <v>0.16420000000000001</v>
      </c>
      <c r="N336">
        <v>2</v>
      </c>
      <c r="O336">
        <v>57</v>
      </c>
      <c r="P336">
        <v>59</v>
      </c>
    </row>
    <row r="337" spans="1:16">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c r="A338">
        <v>337</v>
      </c>
      <c r="B338" s="1">
        <v>40558</v>
      </c>
      <c r="C338">
        <v>1</v>
      </c>
      <c r="D338">
        <v>0</v>
      </c>
      <c r="E338">
        <v>1</v>
      </c>
      <c r="F338">
        <v>12</v>
      </c>
      <c r="G338" t="b">
        <v>0</v>
      </c>
      <c r="H338">
        <v>6</v>
      </c>
      <c r="I338">
        <v>1</v>
      </c>
      <c r="J338">
        <v>0.24</v>
      </c>
      <c r="K338">
        <v>0.2273</v>
      </c>
      <c r="L338">
        <v>0.48</v>
      </c>
      <c r="M338">
        <v>0.22389999999999999</v>
      </c>
      <c r="N338">
        <v>15</v>
      </c>
      <c r="O338">
        <v>74</v>
      </c>
      <c r="P338">
        <v>89</v>
      </c>
    </row>
    <row r="339" spans="1:16">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row>
    <row r="340" spans="1:16">
      <c r="A340">
        <v>339</v>
      </c>
      <c r="B340" s="1">
        <v>40558</v>
      </c>
      <c r="C340">
        <v>1</v>
      </c>
      <c r="D340">
        <v>0</v>
      </c>
      <c r="E340">
        <v>1</v>
      </c>
      <c r="F340">
        <v>14</v>
      </c>
      <c r="G340" t="b">
        <v>0</v>
      </c>
      <c r="H340">
        <v>6</v>
      </c>
      <c r="I340">
        <v>1</v>
      </c>
      <c r="J340">
        <v>0.3</v>
      </c>
      <c r="K340">
        <v>0.28789999999999999</v>
      </c>
      <c r="L340">
        <v>0.39</v>
      </c>
      <c r="M340">
        <v>0.28360000000000002</v>
      </c>
      <c r="N340">
        <v>26</v>
      </c>
      <c r="O340">
        <v>92</v>
      </c>
      <c r="P340">
        <v>118</v>
      </c>
    </row>
    <row r="341" spans="1:16">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row>
    <row r="342" spans="1:16">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row>
    <row r="343" spans="1:16">
      <c r="A343">
        <v>342</v>
      </c>
      <c r="B343" s="1">
        <v>40558</v>
      </c>
      <c r="C343">
        <v>1</v>
      </c>
      <c r="D343">
        <v>0</v>
      </c>
      <c r="E343">
        <v>1</v>
      </c>
      <c r="F343">
        <v>17</v>
      </c>
      <c r="G343" t="b">
        <v>0</v>
      </c>
      <c r="H343">
        <v>6</v>
      </c>
      <c r="I343">
        <v>2</v>
      </c>
      <c r="J343">
        <v>0.32</v>
      </c>
      <c r="K343">
        <v>0.30299999999999999</v>
      </c>
      <c r="L343">
        <v>0.36</v>
      </c>
      <c r="M343">
        <v>0.28360000000000002</v>
      </c>
      <c r="N343">
        <v>29</v>
      </c>
      <c r="O343">
        <v>54</v>
      </c>
      <c r="P343">
        <v>83</v>
      </c>
    </row>
    <row r="344" spans="1:16">
      <c r="A344">
        <v>343</v>
      </c>
      <c r="B344" s="1">
        <v>40558</v>
      </c>
      <c r="C344">
        <v>1</v>
      </c>
      <c r="D344">
        <v>0</v>
      </c>
      <c r="E344">
        <v>1</v>
      </c>
      <c r="F344">
        <v>18</v>
      </c>
      <c r="G344" t="b">
        <v>0</v>
      </c>
      <c r="H344">
        <v>6</v>
      </c>
      <c r="I344">
        <v>2</v>
      </c>
      <c r="J344">
        <v>0.3</v>
      </c>
      <c r="K344">
        <v>0.28789999999999999</v>
      </c>
      <c r="L344">
        <v>0.45</v>
      </c>
      <c r="M344">
        <v>0.25369999999999998</v>
      </c>
      <c r="N344">
        <v>15</v>
      </c>
      <c r="O344">
        <v>69</v>
      </c>
      <c r="P344">
        <v>84</v>
      </c>
    </row>
    <row r="345" spans="1:16">
      <c r="A345">
        <v>344</v>
      </c>
      <c r="B345" s="1">
        <v>40558</v>
      </c>
      <c r="C345">
        <v>1</v>
      </c>
      <c r="D345">
        <v>0</v>
      </c>
      <c r="E345">
        <v>1</v>
      </c>
      <c r="F345">
        <v>19</v>
      </c>
      <c r="G345" t="b">
        <v>0</v>
      </c>
      <c r="H345">
        <v>6</v>
      </c>
      <c r="I345">
        <v>2</v>
      </c>
      <c r="J345">
        <v>0.32</v>
      </c>
      <c r="K345">
        <v>0.30299999999999999</v>
      </c>
      <c r="L345">
        <v>0.39</v>
      </c>
      <c r="M345">
        <v>0.25369999999999998</v>
      </c>
      <c r="N345">
        <v>14</v>
      </c>
      <c r="O345">
        <v>60</v>
      </c>
      <c r="P345">
        <v>74</v>
      </c>
    </row>
    <row r="346" spans="1:16">
      <c r="A346">
        <v>345</v>
      </c>
      <c r="B346" s="1">
        <v>40558</v>
      </c>
      <c r="C346">
        <v>1</v>
      </c>
      <c r="D346">
        <v>0</v>
      </c>
      <c r="E346">
        <v>1</v>
      </c>
      <c r="F346">
        <v>20</v>
      </c>
      <c r="G346" t="b">
        <v>0</v>
      </c>
      <c r="H346">
        <v>6</v>
      </c>
      <c r="I346">
        <v>2</v>
      </c>
      <c r="J346">
        <v>0.32</v>
      </c>
      <c r="K346">
        <v>0.30299999999999999</v>
      </c>
      <c r="L346">
        <v>0.39</v>
      </c>
      <c r="M346">
        <v>0.25369999999999998</v>
      </c>
      <c r="N346">
        <v>6</v>
      </c>
      <c r="O346">
        <v>35</v>
      </c>
      <c r="P346">
        <v>41</v>
      </c>
    </row>
    <row r="347" spans="1:16">
      <c r="A347">
        <v>346</v>
      </c>
      <c r="B347" s="1">
        <v>40558</v>
      </c>
      <c r="C347">
        <v>1</v>
      </c>
      <c r="D347">
        <v>0</v>
      </c>
      <c r="E347">
        <v>1</v>
      </c>
      <c r="F347">
        <v>21</v>
      </c>
      <c r="G347" t="b">
        <v>0</v>
      </c>
      <c r="H347">
        <v>6</v>
      </c>
      <c r="I347">
        <v>2</v>
      </c>
      <c r="J347">
        <v>0.32</v>
      </c>
      <c r="K347">
        <v>0.30299999999999999</v>
      </c>
      <c r="L347">
        <v>0.39</v>
      </c>
      <c r="M347">
        <v>0.22389999999999999</v>
      </c>
      <c r="N347">
        <v>6</v>
      </c>
      <c r="O347">
        <v>51</v>
      </c>
      <c r="P347">
        <v>57</v>
      </c>
    </row>
    <row r="348" spans="1:16">
      <c r="A348">
        <v>347</v>
      </c>
      <c r="B348" s="1">
        <v>40558</v>
      </c>
      <c r="C348">
        <v>1</v>
      </c>
      <c r="D348">
        <v>0</v>
      </c>
      <c r="E348">
        <v>1</v>
      </c>
      <c r="F348">
        <v>22</v>
      </c>
      <c r="G348" t="b">
        <v>0</v>
      </c>
      <c r="H348">
        <v>6</v>
      </c>
      <c r="I348">
        <v>2</v>
      </c>
      <c r="J348">
        <v>0.3</v>
      </c>
      <c r="K348">
        <v>0.31819999999999998</v>
      </c>
      <c r="L348">
        <v>0.42</v>
      </c>
      <c r="M348">
        <v>0.1045</v>
      </c>
      <c r="N348">
        <v>0</v>
      </c>
      <c r="O348">
        <v>26</v>
      </c>
      <c r="P348">
        <v>26</v>
      </c>
    </row>
    <row r="349" spans="1:16">
      <c r="A349">
        <v>348</v>
      </c>
      <c r="B349" s="1">
        <v>40558</v>
      </c>
      <c r="C349">
        <v>1</v>
      </c>
      <c r="D349">
        <v>0</v>
      </c>
      <c r="E349">
        <v>1</v>
      </c>
      <c r="F349">
        <v>23</v>
      </c>
      <c r="G349" t="b">
        <v>0</v>
      </c>
      <c r="H349">
        <v>6</v>
      </c>
      <c r="I349">
        <v>1</v>
      </c>
      <c r="J349">
        <v>0.3</v>
      </c>
      <c r="K349">
        <v>0.28789999999999999</v>
      </c>
      <c r="L349">
        <v>0.45</v>
      </c>
      <c r="M349">
        <v>0.28360000000000002</v>
      </c>
      <c r="N349">
        <v>5</v>
      </c>
      <c r="O349">
        <v>39</v>
      </c>
      <c r="P349">
        <v>44</v>
      </c>
    </row>
    <row r="350" spans="1:16">
      <c r="A350">
        <v>349</v>
      </c>
      <c r="B350" s="1">
        <v>40559</v>
      </c>
      <c r="C350">
        <v>1</v>
      </c>
      <c r="D350">
        <v>0</v>
      </c>
      <c r="E350">
        <v>1</v>
      </c>
      <c r="F350">
        <v>0</v>
      </c>
      <c r="G350" t="b">
        <v>0</v>
      </c>
      <c r="H350">
        <v>0</v>
      </c>
      <c r="I350">
        <v>1</v>
      </c>
      <c r="J350">
        <v>0.26</v>
      </c>
      <c r="K350">
        <v>0.30299999999999999</v>
      </c>
      <c r="L350">
        <v>0.56000000000000005</v>
      </c>
      <c r="M350">
        <v>0</v>
      </c>
      <c r="N350">
        <v>6</v>
      </c>
      <c r="O350">
        <v>33</v>
      </c>
      <c r="P350">
        <v>39</v>
      </c>
    </row>
    <row r="351" spans="1:16">
      <c r="A351">
        <v>350</v>
      </c>
      <c r="B351" s="1">
        <v>40559</v>
      </c>
      <c r="C351">
        <v>1</v>
      </c>
      <c r="D351">
        <v>0</v>
      </c>
      <c r="E351">
        <v>1</v>
      </c>
      <c r="F351">
        <v>1</v>
      </c>
      <c r="G351" t="b">
        <v>0</v>
      </c>
      <c r="H351">
        <v>0</v>
      </c>
      <c r="I351">
        <v>1</v>
      </c>
      <c r="J351">
        <v>0.26</v>
      </c>
      <c r="K351">
        <v>0.2727</v>
      </c>
      <c r="L351">
        <v>0.56000000000000005</v>
      </c>
      <c r="M351">
        <v>0.1343</v>
      </c>
      <c r="N351">
        <v>4</v>
      </c>
      <c r="O351">
        <v>19</v>
      </c>
      <c r="P351">
        <v>23</v>
      </c>
    </row>
    <row r="352" spans="1:16">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c r="A353">
        <v>352</v>
      </c>
      <c r="B353" s="1">
        <v>40559</v>
      </c>
      <c r="C353">
        <v>1</v>
      </c>
      <c r="D353">
        <v>0</v>
      </c>
      <c r="E353">
        <v>1</v>
      </c>
      <c r="F353">
        <v>3</v>
      </c>
      <c r="G353" t="b">
        <v>0</v>
      </c>
      <c r="H353">
        <v>0</v>
      </c>
      <c r="I353">
        <v>1</v>
      </c>
      <c r="J353">
        <v>0.22</v>
      </c>
      <c r="K353">
        <v>0.2727</v>
      </c>
      <c r="L353">
        <v>0.69</v>
      </c>
      <c r="M353">
        <v>0</v>
      </c>
      <c r="N353">
        <v>9</v>
      </c>
      <c r="O353">
        <v>6</v>
      </c>
      <c r="P353">
        <v>15</v>
      </c>
    </row>
    <row r="354" spans="1:16">
      <c r="A354">
        <v>353</v>
      </c>
      <c r="B354" s="1">
        <v>40559</v>
      </c>
      <c r="C354">
        <v>1</v>
      </c>
      <c r="D354">
        <v>0</v>
      </c>
      <c r="E354">
        <v>1</v>
      </c>
      <c r="F354">
        <v>4</v>
      </c>
      <c r="G354" t="b">
        <v>0</v>
      </c>
      <c r="H354">
        <v>0</v>
      </c>
      <c r="I354">
        <v>1</v>
      </c>
      <c r="J354">
        <v>0.26</v>
      </c>
      <c r="K354">
        <v>0.2576</v>
      </c>
      <c r="L354">
        <v>0.56000000000000005</v>
      </c>
      <c r="M354">
        <v>0.16420000000000001</v>
      </c>
      <c r="N354">
        <v>0</v>
      </c>
      <c r="O354">
        <v>1</v>
      </c>
      <c r="P354">
        <v>1</v>
      </c>
    </row>
    <row r="355" spans="1:16">
      <c r="A355">
        <v>354</v>
      </c>
      <c r="B355" s="1">
        <v>40559</v>
      </c>
      <c r="C355">
        <v>1</v>
      </c>
      <c r="D355">
        <v>0</v>
      </c>
      <c r="E355">
        <v>1</v>
      </c>
      <c r="F355">
        <v>5</v>
      </c>
      <c r="G355" t="b">
        <v>0</v>
      </c>
      <c r="H355">
        <v>0</v>
      </c>
      <c r="I355">
        <v>2</v>
      </c>
      <c r="J355">
        <v>0.26</v>
      </c>
      <c r="K355">
        <v>0.2576</v>
      </c>
      <c r="L355">
        <v>0.56000000000000005</v>
      </c>
      <c r="M355">
        <v>0.16420000000000001</v>
      </c>
      <c r="N355">
        <v>1</v>
      </c>
      <c r="O355">
        <v>1</v>
      </c>
      <c r="P355">
        <v>2</v>
      </c>
    </row>
    <row r="356" spans="1:16">
      <c r="A356">
        <v>355</v>
      </c>
      <c r="B356" s="1">
        <v>40559</v>
      </c>
      <c r="C356">
        <v>1</v>
      </c>
      <c r="D356">
        <v>0</v>
      </c>
      <c r="E356">
        <v>1</v>
      </c>
      <c r="F356">
        <v>6</v>
      </c>
      <c r="G356" t="b">
        <v>0</v>
      </c>
      <c r="H356">
        <v>0</v>
      </c>
      <c r="I356">
        <v>2</v>
      </c>
      <c r="J356">
        <v>0.26</v>
      </c>
      <c r="K356">
        <v>0.2576</v>
      </c>
      <c r="L356">
        <v>0.56000000000000005</v>
      </c>
      <c r="M356">
        <v>0.16420000000000001</v>
      </c>
      <c r="N356">
        <v>0</v>
      </c>
      <c r="O356">
        <v>1</v>
      </c>
      <c r="P356">
        <v>1</v>
      </c>
    </row>
    <row r="357" spans="1:16">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c r="A359">
        <v>358</v>
      </c>
      <c r="B359" s="1">
        <v>40559</v>
      </c>
      <c r="C359">
        <v>1</v>
      </c>
      <c r="D359">
        <v>0</v>
      </c>
      <c r="E359">
        <v>1</v>
      </c>
      <c r="F359">
        <v>9</v>
      </c>
      <c r="G359" t="b">
        <v>0</v>
      </c>
      <c r="H359">
        <v>0</v>
      </c>
      <c r="I359">
        <v>1</v>
      </c>
      <c r="J359">
        <v>0.22</v>
      </c>
      <c r="K359">
        <v>0.21210000000000001</v>
      </c>
      <c r="L359">
        <v>0.51</v>
      </c>
      <c r="M359">
        <v>0.25369999999999998</v>
      </c>
      <c r="N359">
        <v>3</v>
      </c>
      <c r="O359">
        <v>29</v>
      </c>
      <c r="P359">
        <v>32</v>
      </c>
    </row>
    <row r="360" spans="1:16">
      <c r="A360">
        <v>359</v>
      </c>
      <c r="B360" s="1">
        <v>40559</v>
      </c>
      <c r="C360">
        <v>1</v>
      </c>
      <c r="D360">
        <v>0</v>
      </c>
      <c r="E360">
        <v>1</v>
      </c>
      <c r="F360">
        <v>10</v>
      </c>
      <c r="G360" t="b">
        <v>0</v>
      </c>
      <c r="H360">
        <v>0</v>
      </c>
      <c r="I360">
        <v>1</v>
      </c>
      <c r="J360">
        <v>0.22</v>
      </c>
      <c r="K360">
        <v>0.21210000000000001</v>
      </c>
      <c r="L360">
        <v>0.51</v>
      </c>
      <c r="M360">
        <v>0.28360000000000002</v>
      </c>
      <c r="N360">
        <v>8</v>
      </c>
      <c r="O360">
        <v>71</v>
      </c>
      <c r="P360">
        <v>79</v>
      </c>
    </row>
    <row r="361" spans="1:16">
      <c r="A361">
        <v>360</v>
      </c>
      <c r="B361" s="1">
        <v>40559</v>
      </c>
      <c r="C361">
        <v>1</v>
      </c>
      <c r="D361">
        <v>0</v>
      </c>
      <c r="E361">
        <v>1</v>
      </c>
      <c r="F361">
        <v>11</v>
      </c>
      <c r="G361" t="b">
        <v>0</v>
      </c>
      <c r="H361">
        <v>0</v>
      </c>
      <c r="I361">
        <v>1</v>
      </c>
      <c r="J361">
        <v>0.24</v>
      </c>
      <c r="K361">
        <v>0.2273</v>
      </c>
      <c r="L361">
        <v>0.44</v>
      </c>
      <c r="M361">
        <v>0.25369999999999998</v>
      </c>
      <c r="N361">
        <v>23</v>
      </c>
      <c r="O361">
        <v>70</v>
      </c>
      <c r="P361">
        <v>93</v>
      </c>
    </row>
    <row r="362" spans="1:16">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row>
    <row r="363" spans="1:16">
      <c r="A363">
        <v>362</v>
      </c>
      <c r="B363" s="1">
        <v>40559</v>
      </c>
      <c r="C363">
        <v>1</v>
      </c>
      <c r="D363">
        <v>0</v>
      </c>
      <c r="E363">
        <v>1</v>
      </c>
      <c r="F363">
        <v>13</v>
      </c>
      <c r="G363" t="b">
        <v>0</v>
      </c>
      <c r="H363">
        <v>0</v>
      </c>
      <c r="I363">
        <v>1</v>
      </c>
      <c r="J363">
        <v>0.26</v>
      </c>
      <c r="K363">
        <v>0.2273</v>
      </c>
      <c r="L363">
        <v>0.35</v>
      </c>
      <c r="M363">
        <v>0.29849999999999999</v>
      </c>
      <c r="N363">
        <v>23</v>
      </c>
      <c r="O363">
        <v>95</v>
      </c>
      <c r="P363">
        <v>118</v>
      </c>
    </row>
    <row r="364" spans="1:16">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row>
    <row r="365" spans="1:16">
      <c r="A365">
        <v>364</v>
      </c>
      <c r="B365" s="1">
        <v>40559</v>
      </c>
      <c r="C365">
        <v>1</v>
      </c>
      <c r="D365">
        <v>0</v>
      </c>
      <c r="E365">
        <v>1</v>
      </c>
      <c r="F365">
        <v>15</v>
      </c>
      <c r="G365" t="b">
        <v>0</v>
      </c>
      <c r="H365">
        <v>0</v>
      </c>
      <c r="I365">
        <v>1</v>
      </c>
      <c r="J365">
        <v>0.26</v>
      </c>
      <c r="K365">
        <v>0.2424</v>
      </c>
      <c r="L365">
        <v>0.38</v>
      </c>
      <c r="M365">
        <v>0.25369999999999998</v>
      </c>
      <c r="N365">
        <v>35</v>
      </c>
      <c r="O365">
        <v>78</v>
      </c>
      <c r="P365">
        <v>113</v>
      </c>
    </row>
    <row r="366" spans="1:16">
      <c r="A366">
        <v>365</v>
      </c>
      <c r="B366" s="1">
        <v>40559</v>
      </c>
      <c r="C366">
        <v>1</v>
      </c>
      <c r="D366">
        <v>0</v>
      </c>
      <c r="E366">
        <v>1</v>
      </c>
      <c r="F366">
        <v>16</v>
      </c>
      <c r="G366" t="b">
        <v>0</v>
      </c>
      <c r="H366">
        <v>0</v>
      </c>
      <c r="I366">
        <v>1</v>
      </c>
      <c r="J366">
        <v>0.24</v>
      </c>
      <c r="K366">
        <v>0.2273</v>
      </c>
      <c r="L366">
        <v>0.38</v>
      </c>
      <c r="M366">
        <v>0.22389999999999999</v>
      </c>
      <c r="N366">
        <v>22</v>
      </c>
      <c r="O366">
        <v>77</v>
      </c>
      <c r="P366">
        <v>99</v>
      </c>
    </row>
    <row r="367" spans="1:16">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row>
    <row r="368" spans="1:16">
      <c r="A368">
        <v>367</v>
      </c>
      <c r="B368" s="1">
        <v>40559</v>
      </c>
      <c r="C368">
        <v>1</v>
      </c>
      <c r="D368">
        <v>0</v>
      </c>
      <c r="E368">
        <v>1</v>
      </c>
      <c r="F368">
        <v>18</v>
      </c>
      <c r="G368" t="b">
        <v>0</v>
      </c>
      <c r="H368">
        <v>0</v>
      </c>
      <c r="I368">
        <v>1</v>
      </c>
      <c r="J368">
        <v>0.2</v>
      </c>
      <c r="K368">
        <v>0.21210000000000001</v>
      </c>
      <c r="L368">
        <v>0.4</v>
      </c>
      <c r="M368">
        <v>0.16420000000000001</v>
      </c>
      <c r="N368">
        <v>11</v>
      </c>
      <c r="O368">
        <v>56</v>
      </c>
      <c r="P368">
        <v>67</v>
      </c>
    </row>
    <row r="369" spans="1:16">
      <c r="A369">
        <v>368</v>
      </c>
      <c r="B369" s="1">
        <v>40559</v>
      </c>
      <c r="C369">
        <v>1</v>
      </c>
      <c r="D369">
        <v>0</v>
      </c>
      <c r="E369">
        <v>1</v>
      </c>
      <c r="F369">
        <v>19</v>
      </c>
      <c r="G369" t="b">
        <v>0</v>
      </c>
      <c r="H369">
        <v>0</v>
      </c>
      <c r="I369">
        <v>1</v>
      </c>
      <c r="J369">
        <v>0.18</v>
      </c>
      <c r="K369">
        <v>0.19700000000000001</v>
      </c>
      <c r="L369">
        <v>0.47</v>
      </c>
      <c r="M369">
        <v>0.1343</v>
      </c>
      <c r="N369">
        <v>14</v>
      </c>
      <c r="O369">
        <v>47</v>
      </c>
      <c r="P369">
        <v>61</v>
      </c>
    </row>
    <row r="370" spans="1:16">
      <c r="A370">
        <v>369</v>
      </c>
      <c r="B370" s="1">
        <v>40559</v>
      </c>
      <c r="C370">
        <v>1</v>
      </c>
      <c r="D370">
        <v>0</v>
      </c>
      <c r="E370">
        <v>1</v>
      </c>
      <c r="F370">
        <v>20</v>
      </c>
      <c r="G370" t="b">
        <v>0</v>
      </c>
      <c r="H370">
        <v>0</v>
      </c>
      <c r="I370">
        <v>1</v>
      </c>
      <c r="J370">
        <v>0.18</v>
      </c>
      <c r="K370">
        <v>0.19700000000000001</v>
      </c>
      <c r="L370">
        <v>0.47</v>
      </c>
      <c r="M370">
        <v>0.16420000000000001</v>
      </c>
      <c r="N370">
        <v>7</v>
      </c>
      <c r="O370">
        <v>50</v>
      </c>
      <c r="P370">
        <v>57</v>
      </c>
    </row>
    <row r="371" spans="1:16">
      <c r="A371">
        <v>370</v>
      </c>
      <c r="B371" s="1">
        <v>40559</v>
      </c>
      <c r="C371">
        <v>1</v>
      </c>
      <c r="D371">
        <v>0</v>
      </c>
      <c r="E371">
        <v>1</v>
      </c>
      <c r="F371">
        <v>21</v>
      </c>
      <c r="G371" t="b">
        <v>0</v>
      </c>
      <c r="H371">
        <v>0</v>
      </c>
      <c r="I371">
        <v>1</v>
      </c>
      <c r="J371">
        <v>0.18</v>
      </c>
      <c r="K371">
        <v>0.19700000000000001</v>
      </c>
      <c r="L371">
        <v>0.51</v>
      </c>
      <c r="M371">
        <v>0.16420000000000001</v>
      </c>
      <c r="N371">
        <v>6</v>
      </c>
      <c r="O371">
        <v>22</v>
      </c>
      <c r="P371">
        <v>28</v>
      </c>
    </row>
    <row r="372" spans="1:16">
      <c r="A372">
        <v>371</v>
      </c>
      <c r="B372" s="1">
        <v>40559</v>
      </c>
      <c r="C372">
        <v>1</v>
      </c>
      <c r="D372">
        <v>0</v>
      </c>
      <c r="E372">
        <v>1</v>
      </c>
      <c r="F372">
        <v>22</v>
      </c>
      <c r="G372" t="b">
        <v>0</v>
      </c>
      <c r="H372">
        <v>0</v>
      </c>
      <c r="I372">
        <v>2</v>
      </c>
      <c r="J372">
        <v>0.2</v>
      </c>
      <c r="K372">
        <v>0.21210000000000001</v>
      </c>
      <c r="L372">
        <v>0.49</v>
      </c>
      <c r="M372">
        <v>0.1343</v>
      </c>
      <c r="N372">
        <v>2</v>
      </c>
      <c r="O372">
        <v>19</v>
      </c>
      <c r="P372">
        <v>21</v>
      </c>
    </row>
    <row r="373" spans="1:16">
      <c r="A373">
        <v>372</v>
      </c>
      <c r="B373" s="1">
        <v>40559</v>
      </c>
      <c r="C373">
        <v>1</v>
      </c>
      <c r="D373">
        <v>0</v>
      </c>
      <c r="E373">
        <v>1</v>
      </c>
      <c r="F373">
        <v>23</v>
      </c>
      <c r="G373" t="b">
        <v>0</v>
      </c>
      <c r="H373">
        <v>0</v>
      </c>
      <c r="I373">
        <v>2</v>
      </c>
      <c r="J373">
        <v>0.2</v>
      </c>
      <c r="K373">
        <v>0.2273</v>
      </c>
      <c r="L373">
        <v>0.4</v>
      </c>
      <c r="M373">
        <v>0.1045</v>
      </c>
      <c r="N373">
        <v>0</v>
      </c>
      <c r="O373">
        <v>18</v>
      </c>
      <c r="P373">
        <v>18</v>
      </c>
    </row>
    <row r="374" spans="1:16">
      <c r="A374">
        <v>373</v>
      </c>
      <c r="B374" s="1">
        <v>40560</v>
      </c>
      <c r="C374">
        <v>1</v>
      </c>
      <c r="D374">
        <v>0</v>
      </c>
      <c r="E374">
        <v>1</v>
      </c>
      <c r="F374">
        <v>0</v>
      </c>
      <c r="G374" t="b">
        <v>1</v>
      </c>
      <c r="H374">
        <v>1</v>
      </c>
      <c r="I374">
        <v>2</v>
      </c>
      <c r="J374">
        <v>0.2</v>
      </c>
      <c r="K374">
        <v>0.19700000000000001</v>
      </c>
      <c r="L374">
        <v>0.47</v>
      </c>
      <c r="M374">
        <v>0.22389999999999999</v>
      </c>
      <c r="N374">
        <v>1</v>
      </c>
      <c r="O374">
        <v>16</v>
      </c>
      <c r="P374">
        <v>17</v>
      </c>
    </row>
    <row r="375" spans="1:16">
      <c r="A375">
        <v>374</v>
      </c>
      <c r="B375" s="1">
        <v>40560</v>
      </c>
      <c r="C375">
        <v>1</v>
      </c>
      <c r="D375">
        <v>0</v>
      </c>
      <c r="E375">
        <v>1</v>
      </c>
      <c r="F375">
        <v>1</v>
      </c>
      <c r="G375" t="b">
        <v>1</v>
      </c>
      <c r="H375">
        <v>1</v>
      </c>
      <c r="I375">
        <v>2</v>
      </c>
      <c r="J375">
        <v>0.2</v>
      </c>
      <c r="K375">
        <v>0.19700000000000001</v>
      </c>
      <c r="L375">
        <v>0.44</v>
      </c>
      <c r="M375">
        <v>0.19400000000000001</v>
      </c>
      <c r="N375">
        <v>1</v>
      </c>
      <c r="O375">
        <v>15</v>
      </c>
      <c r="P375">
        <v>16</v>
      </c>
    </row>
    <row r="376" spans="1:16">
      <c r="A376">
        <v>375</v>
      </c>
      <c r="B376" s="1">
        <v>40560</v>
      </c>
      <c r="C376">
        <v>1</v>
      </c>
      <c r="D376">
        <v>0</v>
      </c>
      <c r="E376">
        <v>1</v>
      </c>
      <c r="F376">
        <v>2</v>
      </c>
      <c r="G376" t="b">
        <v>1</v>
      </c>
      <c r="H376">
        <v>1</v>
      </c>
      <c r="I376">
        <v>2</v>
      </c>
      <c r="J376">
        <v>0.18</v>
      </c>
      <c r="K376">
        <v>0.16669999999999999</v>
      </c>
      <c r="L376">
        <v>0.43</v>
      </c>
      <c r="M376">
        <v>0.25369999999999998</v>
      </c>
      <c r="N376">
        <v>0</v>
      </c>
      <c r="O376">
        <v>8</v>
      </c>
      <c r="P376">
        <v>8</v>
      </c>
    </row>
    <row r="377" spans="1:16">
      <c r="A377">
        <v>376</v>
      </c>
      <c r="B377" s="1">
        <v>40560</v>
      </c>
      <c r="C377">
        <v>1</v>
      </c>
      <c r="D377">
        <v>0</v>
      </c>
      <c r="E377">
        <v>1</v>
      </c>
      <c r="F377">
        <v>3</v>
      </c>
      <c r="G377" t="b">
        <v>1</v>
      </c>
      <c r="H377">
        <v>1</v>
      </c>
      <c r="I377">
        <v>2</v>
      </c>
      <c r="J377">
        <v>0.18</v>
      </c>
      <c r="K377">
        <v>0.18179999999999999</v>
      </c>
      <c r="L377">
        <v>0.43</v>
      </c>
      <c r="M377">
        <v>0.19400000000000001</v>
      </c>
      <c r="N377">
        <v>0</v>
      </c>
      <c r="O377">
        <v>2</v>
      </c>
      <c r="P377">
        <v>2</v>
      </c>
    </row>
    <row r="378" spans="1:16">
      <c r="A378">
        <v>377</v>
      </c>
      <c r="B378" s="1">
        <v>40560</v>
      </c>
      <c r="C378">
        <v>1</v>
      </c>
      <c r="D378">
        <v>0</v>
      </c>
      <c r="E378">
        <v>1</v>
      </c>
      <c r="F378">
        <v>4</v>
      </c>
      <c r="G378" t="b">
        <v>1</v>
      </c>
      <c r="H378">
        <v>1</v>
      </c>
      <c r="I378">
        <v>2</v>
      </c>
      <c r="J378">
        <v>0.18</v>
      </c>
      <c r="K378">
        <v>0.19700000000000001</v>
      </c>
      <c r="L378">
        <v>0.43</v>
      </c>
      <c r="M378">
        <v>0.1343</v>
      </c>
      <c r="N378">
        <v>1</v>
      </c>
      <c r="O378">
        <v>2</v>
      </c>
      <c r="P378">
        <v>3</v>
      </c>
    </row>
    <row r="379" spans="1:16">
      <c r="A379">
        <v>378</v>
      </c>
      <c r="B379" s="1">
        <v>40560</v>
      </c>
      <c r="C379">
        <v>1</v>
      </c>
      <c r="D379">
        <v>0</v>
      </c>
      <c r="E379">
        <v>1</v>
      </c>
      <c r="F379">
        <v>5</v>
      </c>
      <c r="G379" t="b">
        <v>1</v>
      </c>
      <c r="H379">
        <v>1</v>
      </c>
      <c r="I379">
        <v>2</v>
      </c>
      <c r="J379">
        <v>0.18</v>
      </c>
      <c r="K379">
        <v>0.19700000000000001</v>
      </c>
      <c r="L379">
        <v>0.43</v>
      </c>
      <c r="M379">
        <v>0.16420000000000001</v>
      </c>
      <c r="N379">
        <v>0</v>
      </c>
      <c r="O379">
        <v>1</v>
      </c>
      <c r="P379">
        <v>1</v>
      </c>
    </row>
    <row r="380" spans="1:16">
      <c r="A380">
        <v>379</v>
      </c>
      <c r="B380" s="1">
        <v>40560</v>
      </c>
      <c r="C380">
        <v>1</v>
      </c>
      <c r="D380">
        <v>0</v>
      </c>
      <c r="E380">
        <v>1</v>
      </c>
      <c r="F380">
        <v>6</v>
      </c>
      <c r="G380" t="b">
        <v>1</v>
      </c>
      <c r="H380">
        <v>1</v>
      </c>
      <c r="I380">
        <v>2</v>
      </c>
      <c r="J380">
        <v>0.18</v>
      </c>
      <c r="K380">
        <v>0.18179999999999999</v>
      </c>
      <c r="L380">
        <v>0.43</v>
      </c>
      <c r="M380">
        <v>0.19400000000000001</v>
      </c>
      <c r="N380">
        <v>0</v>
      </c>
      <c r="O380">
        <v>5</v>
      </c>
      <c r="P380">
        <v>5</v>
      </c>
    </row>
    <row r="381" spans="1:16">
      <c r="A381">
        <v>380</v>
      </c>
      <c r="B381" s="1">
        <v>40560</v>
      </c>
      <c r="C381">
        <v>1</v>
      </c>
      <c r="D381">
        <v>0</v>
      </c>
      <c r="E381">
        <v>1</v>
      </c>
      <c r="F381">
        <v>7</v>
      </c>
      <c r="G381" t="b">
        <v>1</v>
      </c>
      <c r="H381">
        <v>1</v>
      </c>
      <c r="I381">
        <v>2</v>
      </c>
      <c r="J381">
        <v>0.16</v>
      </c>
      <c r="K381">
        <v>0.18179999999999999</v>
      </c>
      <c r="L381">
        <v>0.5</v>
      </c>
      <c r="M381">
        <v>0.1343</v>
      </c>
      <c r="N381">
        <v>4</v>
      </c>
      <c r="O381">
        <v>9</v>
      </c>
      <c r="P381">
        <v>13</v>
      </c>
    </row>
    <row r="382" spans="1:16">
      <c r="A382">
        <v>381</v>
      </c>
      <c r="B382" s="1">
        <v>40560</v>
      </c>
      <c r="C382">
        <v>1</v>
      </c>
      <c r="D382">
        <v>0</v>
      </c>
      <c r="E382">
        <v>1</v>
      </c>
      <c r="F382">
        <v>8</v>
      </c>
      <c r="G382" t="b">
        <v>1</v>
      </c>
      <c r="H382">
        <v>1</v>
      </c>
      <c r="I382">
        <v>2</v>
      </c>
      <c r="J382">
        <v>0.16</v>
      </c>
      <c r="K382">
        <v>0.1515</v>
      </c>
      <c r="L382">
        <v>0.47</v>
      </c>
      <c r="M382">
        <v>0.22389999999999999</v>
      </c>
      <c r="N382">
        <v>3</v>
      </c>
      <c r="O382">
        <v>30</v>
      </c>
      <c r="P382">
        <v>33</v>
      </c>
    </row>
    <row r="383" spans="1:16">
      <c r="A383">
        <v>382</v>
      </c>
      <c r="B383" s="1">
        <v>40560</v>
      </c>
      <c r="C383">
        <v>1</v>
      </c>
      <c r="D383">
        <v>0</v>
      </c>
      <c r="E383">
        <v>1</v>
      </c>
      <c r="F383">
        <v>9</v>
      </c>
      <c r="G383" t="b">
        <v>1</v>
      </c>
      <c r="H383">
        <v>1</v>
      </c>
      <c r="I383">
        <v>2</v>
      </c>
      <c r="J383">
        <v>0.16</v>
      </c>
      <c r="K383">
        <v>0.1515</v>
      </c>
      <c r="L383">
        <v>0.47</v>
      </c>
      <c r="M383">
        <v>0.22389999999999999</v>
      </c>
      <c r="N383">
        <v>8</v>
      </c>
      <c r="O383">
        <v>39</v>
      </c>
      <c r="P383">
        <v>47</v>
      </c>
    </row>
    <row r="384" spans="1:16">
      <c r="A384">
        <v>383</v>
      </c>
      <c r="B384" s="1">
        <v>40560</v>
      </c>
      <c r="C384">
        <v>1</v>
      </c>
      <c r="D384">
        <v>0</v>
      </c>
      <c r="E384">
        <v>1</v>
      </c>
      <c r="F384">
        <v>10</v>
      </c>
      <c r="G384" t="b">
        <v>1</v>
      </c>
      <c r="H384">
        <v>1</v>
      </c>
      <c r="I384">
        <v>2</v>
      </c>
      <c r="J384">
        <v>0.16</v>
      </c>
      <c r="K384">
        <v>0.1515</v>
      </c>
      <c r="L384">
        <v>0.5</v>
      </c>
      <c r="M384">
        <v>0.25369999999999998</v>
      </c>
      <c r="N384">
        <v>7</v>
      </c>
      <c r="O384">
        <v>50</v>
      </c>
      <c r="P384">
        <v>57</v>
      </c>
    </row>
    <row r="385" spans="1:16">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row>
    <row r="386" spans="1:16">
      <c r="A386">
        <v>385</v>
      </c>
      <c r="B386" s="1">
        <v>40560</v>
      </c>
      <c r="C386">
        <v>1</v>
      </c>
      <c r="D386">
        <v>0</v>
      </c>
      <c r="E386">
        <v>1</v>
      </c>
      <c r="F386">
        <v>12</v>
      </c>
      <c r="G386" t="b">
        <v>1</v>
      </c>
      <c r="H386">
        <v>1</v>
      </c>
      <c r="I386">
        <v>2</v>
      </c>
      <c r="J386">
        <v>0.18</v>
      </c>
      <c r="K386">
        <v>0.19700000000000001</v>
      </c>
      <c r="L386">
        <v>0.47</v>
      </c>
      <c r="M386">
        <v>0.1343</v>
      </c>
      <c r="N386">
        <v>10</v>
      </c>
      <c r="O386">
        <v>70</v>
      </c>
      <c r="P386">
        <v>80</v>
      </c>
    </row>
    <row r="387" spans="1:16">
      <c r="A387">
        <v>386</v>
      </c>
      <c r="B387" s="1">
        <v>40560</v>
      </c>
      <c r="C387">
        <v>1</v>
      </c>
      <c r="D387">
        <v>0</v>
      </c>
      <c r="E387">
        <v>1</v>
      </c>
      <c r="F387">
        <v>13</v>
      </c>
      <c r="G387" t="b">
        <v>1</v>
      </c>
      <c r="H387">
        <v>1</v>
      </c>
      <c r="I387">
        <v>2</v>
      </c>
      <c r="J387">
        <v>0.18</v>
      </c>
      <c r="K387">
        <v>0.19700000000000001</v>
      </c>
      <c r="L387">
        <v>0.47</v>
      </c>
      <c r="M387">
        <v>0.1343</v>
      </c>
      <c r="N387">
        <v>13</v>
      </c>
      <c r="O387">
        <v>80</v>
      </c>
      <c r="P387">
        <v>93</v>
      </c>
    </row>
    <row r="388" spans="1:16">
      <c r="A388">
        <v>387</v>
      </c>
      <c r="B388" s="1">
        <v>40560</v>
      </c>
      <c r="C388">
        <v>1</v>
      </c>
      <c r="D388">
        <v>0</v>
      </c>
      <c r="E388">
        <v>1</v>
      </c>
      <c r="F388">
        <v>14</v>
      </c>
      <c r="G388" t="b">
        <v>1</v>
      </c>
      <c r="H388">
        <v>1</v>
      </c>
      <c r="I388">
        <v>2</v>
      </c>
      <c r="J388">
        <v>0.18</v>
      </c>
      <c r="K388">
        <v>0.21210000000000001</v>
      </c>
      <c r="L388">
        <v>0.43</v>
      </c>
      <c r="M388">
        <v>0.1045</v>
      </c>
      <c r="N388">
        <v>12</v>
      </c>
      <c r="O388">
        <v>74</v>
      </c>
      <c r="P388">
        <v>86</v>
      </c>
    </row>
    <row r="389" spans="1:16">
      <c r="A389">
        <v>388</v>
      </c>
      <c r="B389" s="1">
        <v>40560</v>
      </c>
      <c r="C389">
        <v>1</v>
      </c>
      <c r="D389">
        <v>0</v>
      </c>
      <c r="E389">
        <v>1</v>
      </c>
      <c r="F389">
        <v>15</v>
      </c>
      <c r="G389" t="b">
        <v>1</v>
      </c>
      <c r="H389">
        <v>1</v>
      </c>
      <c r="I389">
        <v>2</v>
      </c>
      <c r="J389">
        <v>0.2</v>
      </c>
      <c r="K389">
        <v>0.21210000000000001</v>
      </c>
      <c r="L389">
        <v>0.47</v>
      </c>
      <c r="M389">
        <v>0.16420000000000001</v>
      </c>
      <c r="N389">
        <v>21</v>
      </c>
      <c r="O389">
        <v>72</v>
      </c>
      <c r="P389">
        <v>93</v>
      </c>
    </row>
    <row r="390" spans="1:16">
      <c r="A390">
        <v>389</v>
      </c>
      <c r="B390" s="1">
        <v>40560</v>
      </c>
      <c r="C390">
        <v>1</v>
      </c>
      <c r="D390">
        <v>0</v>
      </c>
      <c r="E390">
        <v>1</v>
      </c>
      <c r="F390">
        <v>16</v>
      </c>
      <c r="G390" t="b">
        <v>1</v>
      </c>
      <c r="H390">
        <v>1</v>
      </c>
      <c r="I390">
        <v>2</v>
      </c>
      <c r="J390">
        <v>0.2</v>
      </c>
      <c r="K390">
        <v>0.21210000000000001</v>
      </c>
      <c r="L390">
        <v>0.47</v>
      </c>
      <c r="M390">
        <v>0.16420000000000001</v>
      </c>
      <c r="N390">
        <v>6</v>
      </c>
      <c r="O390">
        <v>76</v>
      </c>
      <c r="P390">
        <v>82</v>
      </c>
    </row>
    <row r="391" spans="1:16">
      <c r="A391">
        <v>390</v>
      </c>
      <c r="B391" s="1">
        <v>40560</v>
      </c>
      <c r="C391">
        <v>1</v>
      </c>
      <c r="D391">
        <v>0</v>
      </c>
      <c r="E391">
        <v>1</v>
      </c>
      <c r="F391">
        <v>17</v>
      </c>
      <c r="G391" t="b">
        <v>1</v>
      </c>
      <c r="H391">
        <v>1</v>
      </c>
      <c r="I391">
        <v>1</v>
      </c>
      <c r="J391">
        <v>0.2</v>
      </c>
      <c r="K391">
        <v>0.19700000000000001</v>
      </c>
      <c r="L391">
        <v>0.51</v>
      </c>
      <c r="M391">
        <v>0.19400000000000001</v>
      </c>
      <c r="N391">
        <v>4</v>
      </c>
      <c r="O391">
        <v>67</v>
      </c>
      <c r="P391">
        <v>71</v>
      </c>
    </row>
    <row r="392" spans="1:16">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c r="A393">
        <v>392</v>
      </c>
      <c r="B393" s="1">
        <v>40560</v>
      </c>
      <c r="C393">
        <v>1</v>
      </c>
      <c r="D393">
        <v>0</v>
      </c>
      <c r="E393">
        <v>1</v>
      </c>
      <c r="F393">
        <v>19</v>
      </c>
      <c r="G393" t="b">
        <v>1</v>
      </c>
      <c r="H393">
        <v>1</v>
      </c>
      <c r="I393">
        <v>3</v>
      </c>
      <c r="J393">
        <v>0.18</v>
      </c>
      <c r="K393">
        <v>0.18179999999999999</v>
      </c>
      <c r="L393">
        <v>0.59</v>
      </c>
      <c r="M393">
        <v>0.19400000000000001</v>
      </c>
      <c r="N393">
        <v>2</v>
      </c>
      <c r="O393">
        <v>58</v>
      </c>
      <c r="P393">
        <v>60</v>
      </c>
    </row>
    <row r="394" spans="1:16">
      <c r="A394">
        <v>393</v>
      </c>
      <c r="B394" s="1">
        <v>40560</v>
      </c>
      <c r="C394">
        <v>1</v>
      </c>
      <c r="D394">
        <v>0</v>
      </c>
      <c r="E394">
        <v>1</v>
      </c>
      <c r="F394">
        <v>20</v>
      </c>
      <c r="G394" t="b">
        <v>1</v>
      </c>
      <c r="H394">
        <v>1</v>
      </c>
      <c r="I394">
        <v>3</v>
      </c>
      <c r="J394">
        <v>0.16</v>
      </c>
      <c r="K394">
        <v>0.1515</v>
      </c>
      <c r="L394">
        <v>0.8</v>
      </c>
      <c r="M394">
        <v>0.19400000000000001</v>
      </c>
      <c r="N394">
        <v>4</v>
      </c>
      <c r="O394">
        <v>29</v>
      </c>
      <c r="P394">
        <v>33</v>
      </c>
    </row>
    <row r="395" spans="1:16">
      <c r="A395">
        <v>394</v>
      </c>
      <c r="B395" s="1">
        <v>40560</v>
      </c>
      <c r="C395">
        <v>1</v>
      </c>
      <c r="D395">
        <v>0</v>
      </c>
      <c r="E395">
        <v>1</v>
      </c>
      <c r="F395">
        <v>21</v>
      </c>
      <c r="G395" t="b">
        <v>1</v>
      </c>
      <c r="H395">
        <v>1</v>
      </c>
      <c r="I395">
        <v>3</v>
      </c>
      <c r="J395">
        <v>0.16</v>
      </c>
      <c r="K395">
        <v>0.1515</v>
      </c>
      <c r="L395">
        <v>0.8</v>
      </c>
      <c r="M395">
        <v>0.19400000000000001</v>
      </c>
      <c r="N395">
        <v>3</v>
      </c>
      <c r="O395">
        <v>24</v>
      </c>
      <c r="P395">
        <v>27</v>
      </c>
    </row>
    <row r="396" spans="1:16">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row>
    <row r="397" spans="1:16">
      <c r="A397">
        <v>396</v>
      </c>
      <c r="B397" s="1">
        <v>40560</v>
      </c>
      <c r="C397">
        <v>1</v>
      </c>
      <c r="D397">
        <v>0</v>
      </c>
      <c r="E397">
        <v>1</v>
      </c>
      <c r="F397">
        <v>23</v>
      </c>
      <c r="G397" t="b">
        <v>1</v>
      </c>
      <c r="H397">
        <v>1</v>
      </c>
      <c r="I397">
        <v>3</v>
      </c>
      <c r="J397">
        <v>0.16</v>
      </c>
      <c r="K397">
        <v>0.13639999999999999</v>
      </c>
      <c r="L397">
        <v>0.86</v>
      </c>
      <c r="M397">
        <v>0.28360000000000002</v>
      </c>
      <c r="N397">
        <v>1</v>
      </c>
      <c r="O397">
        <v>3</v>
      </c>
      <c r="P397">
        <v>4</v>
      </c>
    </row>
    <row r="398" spans="1:16">
      <c r="A398">
        <v>397</v>
      </c>
      <c r="B398" s="1">
        <v>40561</v>
      </c>
      <c r="C398">
        <v>1</v>
      </c>
      <c r="D398">
        <v>0</v>
      </c>
      <c r="E398">
        <v>1</v>
      </c>
      <c r="F398">
        <v>12</v>
      </c>
      <c r="G398" t="b">
        <v>0</v>
      </c>
      <c r="H398">
        <v>2</v>
      </c>
      <c r="I398">
        <v>2</v>
      </c>
      <c r="J398">
        <v>0.2</v>
      </c>
      <c r="K398">
        <v>0.18179999999999999</v>
      </c>
      <c r="L398">
        <v>0.86</v>
      </c>
      <c r="M398">
        <v>0.32840000000000003</v>
      </c>
      <c r="N398">
        <v>0</v>
      </c>
      <c r="O398">
        <v>3</v>
      </c>
      <c r="P398">
        <v>3</v>
      </c>
    </row>
    <row r="399" spans="1:16">
      <c r="A399">
        <v>398</v>
      </c>
      <c r="B399" s="1">
        <v>40561</v>
      </c>
      <c r="C399">
        <v>1</v>
      </c>
      <c r="D399">
        <v>0</v>
      </c>
      <c r="E399">
        <v>1</v>
      </c>
      <c r="F399">
        <v>13</v>
      </c>
      <c r="G399" t="b">
        <v>0</v>
      </c>
      <c r="H399">
        <v>2</v>
      </c>
      <c r="I399">
        <v>2</v>
      </c>
      <c r="J399">
        <v>0.2</v>
      </c>
      <c r="K399">
        <v>0.19700000000000001</v>
      </c>
      <c r="L399">
        <v>0.86</v>
      </c>
      <c r="M399">
        <v>0.22389999999999999</v>
      </c>
      <c r="N399">
        <v>0</v>
      </c>
      <c r="O399">
        <v>22</v>
      </c>
      <c r="P399">
        <v>22</v>
      </c>
    </row>
    <row r="400" spans="1:16">
      <c r="A400">
        <v>399</v>
      </c>
      <c r="B400" s="1">
        <v>40561</v>
      </c>
      <c r="C400">
        <v>1</v>
      </c>
      <c r="D400">
        <v>0</v>
      </c>
      <c r="E400">
        <v>1</v>
      </c>
      <c r="F400">
        <v>14</v>
      </c>
      <c r="G400" t="b">
        <v>0</v>
      </c>
      <c r="H400">
        <v>2</v>
      </c>
      <c r="I400">
        <v>2</v>
      </c>
      <c r="J400">
        <v>0.22</v>
      </c>
      <c r="K400">
        <v>0.2273</v>
      </c>
      <c r="L400">
        <v>0.8</v>
      </c>
      <c r="M400">
        <v>0.16420000000000001</v>
      </c>
      <c r="N400">
        <v>2</v>
      </c>
      <c r="O400">
        <v>26</v>
      </c>
      <c r="P400">
        <v>28</v>
      </c>
    </row>
    <row r="401" spans="1:16">
      <c r="A401">
        <v>400</v>
      </c>
      <c r="B401" s="1">
        <v>40561</v>
      </c>
      <c r="C401">
        <v>1</v>
      </c>
      <c r="D401">
        <v>0</v>
      </c>
      <c r="E401">
        <v>1</v>
      </c>
      <c r="F401">
        <v>15</v>
      </c>
      <c r="G401" t="b">
        <v>0</v>
      </c>
      <c r="H401">
        <v>2</v>
      </c>
      <c r="I401">
        <v>2</v>
      </c>
      <c r="J401">
        <v>0.22</v>
      </c>
      <c r="K401">
        <v>0.2273</v>
      </c>
      <c r="L401">
        <v>0.87</v>
      </c>
      <c r="M401">
        <v>0.16420000000000001</v>
      </c>
      <c r="N401">
        <v>3</v>
      </c>
      <c r="O401">
        <v>32</v>
      </c>
      <c r="P401">
        <v>35</v>
      </c>
    </row>
    <row r="402" spans="1:16">
      <c r="A402">
        <v>401</v>
      </c>
      <c r="B402" s="1">
        <v>40561</v>
      </c>
      <c r="C402">
        <v>1</v>
      </c>
      <c r="D402">
        <v>0</v>
      </c>
      <c r="E402">
        <v>1</v>
      </c>
      <c r="F402">
        <v>16</v>
      </c>
      <c r="G402" t="b">
        <v>0</v>
      </c>
      <c r="H402">
        <v>2</v>
      </c>
      <c r="I402">
        <v>2</v>
      </c>
      <c r="J402">
        <v>0.22</v>
      </c>
      <c r="K402">
        <v>0.2273</v>
      </c>
      <c r="L402">
        <v>0.87</v>
      </c>
      <c r="M402">
        <v>0.19400000000000001</v>
      </c>
      <c r="N402">
        <v>0</v>
      </c>
      <c r="O402">
        <v>61</v>
      </c>
      <c r="P402">
        <v>61</v>
      </c>
    </row>
    <row r="403" spans="1:16">
      <c r="A403">
        <v>402</v>
      </c>
      <c r="B403" s="1">
        <v>40561</v>
      </c>
      <c r="C403">
        <v>1</v>
      </c>
      <c r="D403">
        <v>0</v>
      </c>
      <c r="E403">
        <v>1</v>
      </c>
      <c r="F403">
        <v>17</v>
      </c>
      <c r="G403" t="b">
        <v>0</v>
      </c>
      <c r="H403">
        <v>2</v>
      </c>
      <c r="I403">
        <v>2</v>
      </c>
      <c r="J403">
        <v>0.22</v>
      </c>
      <c r="K403">
        <v>0.2273</v>
      </c>
      <c r="L403">
        <v>0.82</v>
      </c>
      <c r="M403">
        <v>0.19400000000000001</v>
      </c>
      <c r="N403">
        <v>1</v>
      </c>
      <c r="O403">
        <v>124</v>
      </c>
      <c r="P403">
        <v>125</v>
      </c>
    </row>
    <row r="404" spans="1:16">
      <c r="A404">
        <v>403</v>
      </c>
      <c r="B404" s="1">
        <v>40561</v>
      </c>
      <c r="C404">
        <v>1</v>
      </c>
      <c r="D404">
        <v>0</v>
      </c>
      <c r="E404">
        <v>1</v>
      </c>
      <c r="F404">
        <v>18</v>
      </c>
      <c r="G404" t="b">
        <v>0</v>
      </c>
      <c r="H404">
        <v>2</v>
      </c>
      <c r="I404">
        <v>2</v>
      </c>
      <c r="J404">
        <v>0.22</v>
      </c>
      <c r="K404">
        <v>0.2273</v>
      </c>
      <c r="L404">
        <v>0.8</v>
      </c>
      <c r="M404">
        <v>0.16420000000000001</v>
      </c>
      <c r="N404">
        <v>1</v>
      </c>
      <c r="O404">
        <v>132</v>
      </c>
      <c r="P404">
        <v>133</v>
      </c>
    </row>
    <row r="405" spans="1:16">
      <c r="A405">
        <v>404</v>
      </c>
      <c r="B405" s="1">
        <v>40561</v>
      </c>
      <c r="C405">
        <v>1</v>
      </c>
      <c r="D405">
        <v>0</v>
      </c>
      <c r="E405">
        <v>1</v>
      </c>
      <c r="F405">
        <v>19</v>
      </c>
      <c r="G405" t="b">
        <v>0</v>
      </c>
      <c r="H405">
        <v>2</v>
      </c>
      <c r="I405">
        <v>2</v>
      </c>
      <c r="J405">
        <v>0.22</v>
      </c>
      <c r="K405">
        <v>0.2273</v>
      </c>
      <c r="L405">
        <v>0.8</v>
      </c>
      <c r="M405">
        <v>0.1343</v>
      </c>
      <c r="N405">
        <v>1</v>
      </c>
      <c r="O405">
        <v>98</v>
      </c>
      <c r="P405">
        <v>99</v>
      </c>
    </row>
    <row r="406" spans="1:16">
      <c r="A406">
        <v>405</v>
      </c>
      <c r="B406" s="1">
        <v>40561</v>
      </c>
      <c r="C406">
        <v>1</v>
      </c>
      <c r="D406">
        <v>0</v>
      </c>
      <c r="E406">
        <v>1</v>
      </c>
      <c r="F406">
        <v>20</v>
      </c>
      <c r="G406" t="b">
        <v>0</v>
      </c>
      <c r="H406">
        <v>2</v>
      </c>
      <c r="I406">
        <v>2</v>
      </c>
      <c r="J406">
        <v>0.22</v>
      </c>
      <c r="K406">
        <v>0.2727</v>
      </c>
      <c r="L406">
        <v>0.87</v>
      </c>
      <c r="M406">
        <v>0</v>
      </c>
      <c r="N406">
        <v>0</v>
      </c>
      <c r="O406">
        <v>83</v>
      </c>
      <c r="P406">
        <v>83</v>
      </c>
    </row>
    <row r="407" spans="1:16">
      <c r="A407">
        <v>406</v>
      </c>
      <c r="B407" s="1">
        <v>40561</v>
      </c>
      <c r="C407">
        <v>1</v>
      </c>
      <c r="D407">
        <v>0</v>
      </c>
      <c r="E407">
        <v>1</v>
      </c>
      <c r="F407">
        <v>21</v>
      </c>
      <c r="G407" t="b">
        <v>0</v>
      </c>
      <c r="H407">
        <v>2</v>
      </c>
      <c r="I407">
        <v>2</v>
      </c>
      <c r="J407">
        <v>0.22</v>
      </c>
      <c r="K407">
        <v>0.2424</v>
      </c>
      <c r="L407">
        <v>0.93</v>
      </c>
      <c r="M407">
        <v>0.1045</v>
      </c>
      <c r="N407">
        <v>0</v>
      </c>
      <c r="O407">
        <v>41</v>
      </c>
      <c r="P407">
        <v>41</v>
      </c>
    </row>
    <row r="408" spans="1:16">
      <c r="A408">
        <v>407</v>
      </c>
      <c r="B408" s="1">
        <v>40561</v>
      </c>
      <c r="C408">
        <v>1</v>
      </c>
      <c r="D408">
        <v>0</v>
      </c>
      <c r="E408">
        <v>1</v>
      </c>
      <c r="F408">
        <v>22</v>
      </c>
      <c r="G408" t="b">
        <v>0</v>
      </c>
      <c r="H408">
        <v>2</v>
      </c>
      <c r="I408">
        <v>2</v>
      </c>
      <c r="J408">
        <v>0.22</v>
      </c>
      <c r="K408">
        <v>0.2576</v>
      </c>
      <c r="L408">
        <v>0.93</v>
      </c>
      <c r="M408">
        <v>8.9599999999999999E-2</v>
      </c>
      <c r="N408">
        <v>0</v>
      </c>
      <c r="O408">
        <v>33</v>
      </c>
      <c r="P408">
        <v>33</v>
      </c>
    </row>
    <row r="409" spans="1:16">
      <c r="A409">
        <v>408</v>
      </c>
      <c r="B409" s="1">
        <v>40561</v>
      </c>
      <c r="C409">
        <v>1</v>
      </c>
      <c r="D409">
        <v>0</v>
      </c>
      <c r="E409">
        <v>1</v>
      </c>
      <c r="F409">
        <v>23</v>
      </c>
      <c r="G409" t="b">
        <v>0</v>
      </c>
      <c r="H409">
        <v>2</v>
      </c>
      <c r="I409">
        <v>2</v>
      </c>
      <c r="J409">
        <v>0.22</v>
      </c>
      <c r="K409">
        <v>0.2727</v>
      </c>
      <c r="L409">
        <v>0.93</v>
      </c>
      <c r="M409">
        <v>0</v>
      </c>
      <c r="N409">
        <v>1</v>
      </c>
      <c r="O409">
        <v>19</v>
      </c>
      <c r="P409">
        <v>20</v>
      </c>
    </row>
    <row r="410" spans="1:16">
      <c r="A410">
        <v>409</v>
      </c>
      <c r="B410" s="1">
        <v>40562</v>
      </c>
      <c r="C410">
        <v>1</v>
      </c>
      <c r="D410">
        <v>0</v>
      </c>
      <c r="E410">
        <v>1</v>
      </c>
      <c r="F410">
        <v>0</v>
      </c>
      <c r="G410" t="b">
        <v>0</v>
      </c>
      <c r="H410">
        <v>3</v>
      </c>
      <c r="I410">
        <v>2</v>
      </c>
      <c r="J410">
        <v>0.22</v>
      </c>
      <c r="K410">
        <v>0.2727</v>
      </c>
      <c r="L410">
        <v>0.93</v>
      </c>
      <c r="M410">
        <v>0</v>
      </c>
      <c r="N410">
        <v>0</v>
      </c>
      <c r="O410">
        <v>3</v>
      </c>
      <c r="P410">
        <v>3</v>
      </c>
    </row>
    <row r="411" spans="1:16">
      <c r="A411">
        <v>410</v>
      </c>
      <c r="B411" s="1">
        <v>40562</v>
      </c>
      <c r="C411">
        <v>1</v>
      </c>
      <c r="D411">
        <v>0</v>
      </c>
      <c r="E411">
        <v>1</v>
      </c>
      <c r="F411">
        <v>1</v>
      </c>
      <c r="G411" t="b">
        <v>0</v>
      </c>
      <c r="H411">
        <v>3</v>
      </c>
      <c r="I411">
        <v>3</v>
      </c>
      <c r="J411">
        <v>0.22</v>
      </c>
      <c r="K411">
        <v>0.2273</v>
      </c>
      <c r="L411">
        <v>0.93</v>
      </c>
      <c r="M411">
        <v>0.1343</v>
      </c>
      <c r="N411">
        <v>1</v>
      </c>
      <c r="O411">
        <v>6</v>
      </c>
      <c r="P411">
        <v>7</v>
      </c>
    </row>
    <row r="412" spans="1:16">
      <c r="A412">
        <v>411</v>
      </c>
      <c r="B412" s="1">
        <v>40562</v>
      </c>
      <c r="C412">
        <v>1</v>
      </c>
      <c r="D412">
        <v>0</v>
      </c>
      <c r="E412">
        <v>1</v>
      </c>
      <c r="F412">
        <v>2</v>
      </c>
      <c r="G412" t="b">
        <v>0</v>
      </c>
      <c r="H412">
        <v>3</v>
      </c>
      <c r="I412">
        <v>3</v>
      </c>
      <c r="J412">
        <v>0.22</v>
      </c>
      <c r="K412">
        <v>0.2273</v>
      </c>
      <c r="L412">
        <v>0.93</v>
      </c>
      <c r="M412">
        <v>0.1343</v>
      </c>
      <c r="N412">
        <v>0</v>
      </c>
      <c r="O412">
        <v>3</v>
      </c>
      <c r="P412">
        <v>3</v>
      </c>
    </row>
    <row r="413" spans="1:16">
      <c r="A413">
        <v>412</v>
      </c>
      <c r="B413" s="1">
        <v>40562</v>
      </c>
      <c r="C413">
        <v>1</v>
      </c>
      <c r="D413">
        <v>0</v>
      </c>
      <c r="E413">
        <v>1</v>
      </c>
      <c r="F413">
        <v>4</v>
      </c>
      <c r="G413" t="b">
        <v>0</v>
      </c>
      <c r="H413">
        <v>3</v>
      </c>
      <c r="I413">
        <v>3</v>
      </c>
      <c r="J413">
        <v>0.22</v>
      </c>
      <c r="K413">
        <v>0.2273</v>
      </c>
      <c r="L413">
        <v>0.93</v>
      </c>
      <c r="M413">
        <v>0.1343</v>
      </c>
      <c r="N413">
        <v>1</v>
      </c>
      <c r="O413">
        <v>1</v>
      </c>
      <c r="P413">
        <v>2</v>
      </c>
    </row>
    <row r="414" spans="1:16">
      <c r="A414">
        <v>413</v>
      </c>
      <c r="B414" s="1">
        <v>40562</v>
      </c>
      <c r="C414">
        <v>1</v>
      </c>
      <c r="D414">
        <v>0</v>
      </c>
      <c r="E414">
        <v>1</v>
      </c>
      <c r="F414">
        <v>5</v>
      </c>
      <c r="G414" t="b">
        <v>0</v>
      </c>
      <c r="H414">
        <v>3</v>
      </c>
      <c r="I414">
        <v>2</v>
      </c>
      <c r="J414">
        <v>0.22</v>
      </c>
      <c r="K414">
        <v>0.2576</v>
      </c>
      <c r="L414">
        <v>0.93</v>
      </c>
      <c r="M414">
        <v>8.9599999999999999E-2</v>
      </c>
      <c r="N414">
        <v>0</v>
      </c>
      <c r="O414">
        <v>7</v>
      </c>
      <c r="P414">
        <v>7</v>
      </c>
    </row>
    <row r="415" spans="1:16">
      <c r="A415">
        <v>414</v>
      </c>
      <c r="B415" s="1">
        <v>40562</v>
      </c>
      <c r="C415">
        <v>1</v>
      </c>
      <c r="D415">
        <v>0</v>
      </c>
      <c r="E415">
        <v>1</v>
      </c>
      <c r="F415">
        <v>6</v>
      </c>
      <c r="G415" t="b">
        <v>0</v>
      </c>
      <c r="H415">
        <v>3</v>
      </c>
      <c r="I415">
        <v>2</v>
      </c>
      <c r="J415">
        <v>0.22</v>
      </c>
      <c r="K415">
        <v>0.2576</v>
      </c>
      <c r="L415">
        <v>0.93</v>
      </c>
      <c r="M415">
        <v>8.9599999999999999E-2</v>
      </c>
      <c r="N415">
        <v>0</v>
      </c>
      <c r="O415">
        <v>32</v>
      </c>
      <c r="P415">
        <v>32</v>
      </c>
    </row>
    <row r="416" spans="1:16">
      <c r="A416">
        <v>415</v>
      </c>
      <c r="B416" s="1">
        <v>40562</v>
      </c>
      <c r="C416">
        <v>1</v>
      </c>
      <c r="D416">
        <v>0</v>
      </c>
      <c r="E416">
        <v>1</v>
      </c>
      <c r="F416">
        <v>7</v>
      </c>
      <c r="G416" t="b">
        <v>0</v>
      </c>
      <c r="H416">
        <v>3</v>
      </c>
      <c r="I416">
        <v>2</v>
      </c>
      <c r="J416">
        <v>0.24</v>
      </c>
      <c r="K416">
        <v>0.2576</v>
      </c>
      <c r="L416">
        <v>0.92</v>
      </c>
      <c r="M416">
        <v>0.1045</v>
      </c>
      <c r="N416">
        <v>1</v>
      </c>
      <c r="O416">
        <v>89</v>
      </c>
      <c r="P416">
        <v>90</v>
      </c>
    </row>
    <row r="417" spans="1:16">
      <c r="A417">
        <v>416</v>
      </c>
      <c r="B417" s="1">
        <v>40562</v>
      </c>
      <c r="C417">
        <v>1</v>
      </c>
      <c r="D417">
        <v>0</v>
      </c>
      <c r="E417">
        <v>1</v>
      </c>
      <c r="F417">
        <v>8</v>
      </c>
      <c r="G417" t="b">
        <v>0</v>
      </c>
      <c r="H417">
        <v>3</v>
      </c>
      <c r="I417">
        <v>2</v>
      </c>
      <c r="J417">
        <v>0.24</v>
      </c>
      <c r="K417">
        <v>0.2576</v>
      </c>
      <c r="L417">
        <v>0.93</v>
      </c>
      <c r="M417">
        <v>0.1045</v>
      </c>
      <c r="N417">
        <v>1</v>
      </c>
      <c r="O417">
        <v>196</v>
      </c>
      <c r="P417">
        <v>197</v>
      </c>
    </row>
    <row r="418" spans="1:16">
      <c r="A418">
        <v>417</v>
      </c>
      <c r="B418" s="1">
        <v>40562</v>
      </c>
      <c r="C418">
        <v>1</v>
      </c>
      <c r="D418">
        <v>0</v>
      </c>
      <c r="E418">
        <v>1</v>
      </c>
      <c r="F418">
        <v>9</v>
      </c>
      <c r="G418" t="b">
        <v>0</v>
      </c>
      <c r="H418">
        <v>3</v>
      </c>
      <c r="I418">
        <v>2</v>
      </c>
      <c r="J418">
        <v>0.24</v>
      </c>
      <c r="K418">
        <v>0.2576</v>
      </c>
      <c r="L418">
        <v>0.93</v>
      </c>
      <c r="M418">
        <v>0.1045</v>
      </c>
      <c r="N418">
        <v>2</v>
      </c>
      <c r="O418">
        <v>107</v>
      </c>
      <c r="P418">
        <v>109</v>
      </c>
    </row>
    <row r="419" spans="1:16">
      <c r="A419">
        <v>418</v>
      </c>
      <c r="B419" s="1">
        <v>40562</v>
      </c>
      <c r="C419">
        <v>1</v>
      </c>
      <c r="D419">
        <v>0</v>
      </c>
      <c r="E419">
        <v>1</v>
      </c>
      <c r="F419">
        <v>10</v>
      </c>
      <c r="G419" t="b">
        <v>0</v>
      </c>
      <c r="H419">
        <v>3</v>
      </c>
      <c r="I419">
        <v>2</v>
      </c>
      <c r="J419">
        <v>0.26</v>
      </c>
      <c r="K419">
        <v>0.2727</v>
      </c>
      <c r="L419">
        <v>0.93</v>
      </c>
      <c r="M419">
        <v>0.1343</v>
      </c>
      <c r="N419">
        <v>1</v>
      </c>
      <c r="O419">
        <v>46</v>
      </c>
      <c r="P419">
        <v>47</v>
      </c>
    </row>
    <row r="420" spans="1:16">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c r="A421">
        <v>420</v>
      </c>
      <c r="B421" s="1">
        <v>40562</v>
      </c>
      <c r="C421">
        <v>1</v>
      </c>
      <c r="D421">
        <v>0</v>
      </c>
      <c r="E421">
        <v>1</v>
      </c>
      <c r="F421">
        <v>12</v>
      </c>
      <c r="G421" t="b">
        <v>0</v>
      </c>
      <c r="H421">
        <v>3</v>
      </c>
      <c r="I421">
        <v>2</v>
      </c>
      <c r="J421">
        <v>0.3</v>
      </c>
      <c r="K421">
        <v>0.31819999999999998</v>
      </c>
      <c r="L421">
        <v>0.81</v>
      </c>
      <c r="M421">
        <v>8.9599999999999999E-2</v>
      </c>
      <c r="N421">
        <v>5</v>
      </c>
      <c r="O421">
        <v>65</v>
      </c>
      <c r="P421">
        <v>70</v>
      </c>
    </row>
    <row r="422" spans="1:16">
      <c r="A422">
        <v>421</v>
      </c>
      <c r="B422" s="1">
        <v>40562</v>
      </c>
      <c r="C422">
        <v>1</v>
      </c>
      <c r="D422">
        <v>0</v>
      </c>
      <c r="E422">
        <v>1</v>
      </c>
      <c r="F422">
        <v>13</v>
      </c>
      <c r="G422" t="b">
        <v>0</v>
      </c>
      <c r="H422">
        <v>3</v>
      </c>
      <c r="I422">
        <v>1</v>
      </c>
      <c r="J422">
        <v>0.4</v>
      </c>
      <c r="K422">
        <v>0.40910000000000002</v>
      </c>
      <c r="L422">
        <v>0.62</v>
      </c>
      <c r="M422">
        <v>0.28360000000000002</v>
      </c>
      <c r="N422">
        <v>11</v>
      </c>
      <c r="O422">
        <v>67</v>
      </c>
      <c r="P422">
        <v>78</v>
      </c>
    </row>
    <row r="423" spans="1:16">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c r="A424">
        <v>423</v>
      </c>
      <c r="B424" s="1">
        <v>40562</v>
      </c>
      <c r="C424">
        <v>1</v>
      </c>
      <c r="D424">
        <v>0</v>
      </c>
      <c r="E424">
        <v>1</v>
      </c>
      <c r="F424">
        <v>15</v>
      </c>
      <c r="G424" t="b">
        <v>0</v>
      </c>
      <c r="H424">
        <v>3</v>
      </c>
      <c r="I424">
        <v>1</v>
      </c>
      <c r="J424">
        <v>0.4</v>
      </c>
      <c r="K424">
        <v>0.40910000000000002</v>
      </c>
      <c r="L424">
        <v>0.54</v>
      </c>
      <c r="M424">
        <v>0.28360000000000002</v>
      </c>
      <c r="N424">
        <v>4</v>
      </c>
      <c r="O424">
        <v>78</v>
      </c>
      <c r="P424">
        <v>82</v>
      </c>
    </row>
    <row r="425" spans="1:16">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row>
    <row r="426" spans="1:16">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row>
    <row r="428" spans="1:16">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c r="A429">
        <v>428</v>
      </c>
      <c r="B429" s="1">
        <v>40562</v>
      </c>
      <c r="C429">
        <v>1</v>
      </c>
      <c r="D429">
        <v>0</v>
      </c>
      <c r="E429">
        <v>1</v>
      </c>
      <c r="F429">
        <v>20</v>
      </c>
      <c r="G429" t="b">
        <v>0</v>
      </c>
      <c r="H429">
        <v>3</v>
      </c>
      <c r="I429">
        <v>1</v>
      </c>
      <c r="J429">
        <v>0.32</v>
      </c>
      <c r="K429">
        <v>0.30299999999999999</v>
      </c>
      <c r="L429">
        <v>0.49</v>
      </c>
      <c r="M429">
        <v>0.29849999999999999</v>
      </c>
      <c r="N429">
        <v>2</v>
      </c>
      <c r="O429">
        <v>74</v>
      </c>
      <c r="P429">
        <v>76</v>
      </c>
    </row>
    <row r="430" spans="1:16">
      <c r="A430">
        <v>429</v>
      </c>
      <c r="B430" s="1">
        <v>40562</v>
      </c>
      <c r="C430">
        <v>1</v>
      </c>
      <c r="D430">
        <v>0</v>
      </c>
      <c r="E430">
        <v>1</v>
      </c>
      <c r="F430">
        <v>21</v>
      </c>
      <c r="G430" t="b">
        <v>0</v>
      </c>
      <c r="H430">
        <v>3</v>
      </c>
      <c r="I430">
        <v>1</v>
      </c>
      <c r="J430">
        <v>0.32</v>
      </c>
      <c r="K430">
        <v>0.28789999999999999</v>
      </c>
      <c r="L430">
        <v>0.49</v>
      </c>
      <c r="M430">
        <v>0.41789999999999999</v>
      </c>
      <c r="N430">
        <v>4</v>
      </c>
      <c r="O430">
        <v>55</v>
      </c>
      <c r="P430">
        <v>59</v>
      </c>
    </row>
    <row r="431" spans="1:16">
      <c r="A431">
        <v>430</v>
      </c>
      <c r="B431" s="1">
        <v>40562</v>
      </c>
      <c r="C431">
        <v>1</v>
      </c>
      <c r="D431">
        <v>0</v>
      </c>
      <c r="E431">
        <v>1</v>
      </c>
      <c r="F431">
        <v>22</v>
      </c>
      <c r="G431" t="b">
        <v>0</v>
      </c>
      <c r="H431">
        <v>3</v>
      </c>
      <c r="I431">
        <v>1</v>
      </c>
      <c r="J431">
        <v>0.3</v>
      </c>
      <c r="K431">
        <v>0.30299999999999999</v>
      </c>
      <c r="L431">
        <v>0.52</v>
      </c>
      <c r="M431">
        <v>0.16420000000000001</v>
      </c>
      <c r="N431">
        <v>6</v>
      </c>
      <c r="O431">
        <v>53</v>
      </c>
      <c r="P431">
        <v>59</v>
      </c>
    </row>
    <row r="432" spans="1:16">
      <c r="A432">
        <v>431</v>
      </c>
      <c r="B432" s="1">
        <v>40562</v>
      </c>
      <c r="C432">
        <v>1</v>
      </c>
      <c r="D432">
        <v>0</v>
      </c>
      <c r="E432">
        <v>1</v>
      </c>
      <c r="F432">
        <v>23</v>
      </c>
      <c r="G432" t="b">
        <v>0</v>
      </c>
      <c r="H432">
        <v>3</v>
      </c>
      <c r="I432">
        <v>1</v>
      </c>
      <c r="J432">
        <v>0.3</v>
      </c>
      <c r="K432">
        <v>0.2727</v>
      </c>
      <c r="L432">
        <v>0.52</v>
      </c>
      <c r="M432">
        <v>0.4627</v>
      </c>
      <c r="N432">
        <v>1</v>
      </c>
      <c r="O432">
        <v>27</v>
      </c>
      <c r="P432">
        <v>28</v>
      </c>
    </row>
    <row r="433" spans="1:16">
      <c r="A433">
        <v>432</v>
      </c>
      <c r="B433" s="1">
        <v>40563</v>
      </c>
      <c r="C433">
        <v>1</v>
      </c>
      <c r="D433">
        <v>0</v>
      </c>
      <c r="E433">
        <v>1</v>
      </c>
      <c r="F433">
        <v>0</v>
      </c>
      <c r="G433" t="b">
        <v>0</v>
      </c>
      <c r="H433">
        <v>4</v>
      </c>
      <c r="I433">
        <v>1</v>
      </c>
      <c r="J433">
        <v>0.26</v>
      </c>
      <c r="K433">
        <v>0.2273</v>
      </c>
      <c r="L433">
        <v>0.56000000000000005</v>
      </c>
      <c r="M433">
        <v>0.3881</v>
      </c>
      <c r="N433">
        <v>5</v>
      </c>
      <c r="O433">
        <v>8</v>
      </c>
      <c r="P433">
        <v>13</v>
      </c>
    </row>
    <row r="434" spans="1:16">
      <c r="A434">
        <v>433</v>
      </c>
      <c r="B434" s="1">
        <v>40563</v>
      </c>
      <c r="C434">
        <v>1</v>
      </c>
      <c r="D434">
        <v>0</v>
      </c>
      <c r="E434">
        <v>1</v>
      </c>
      <c r="F434">
        <v>1</v>
      </c>
      <c r="G434" t="b">
        <v>0</v>
      </c>
      <c r="H434">
        <v>4</v>
      </c>
      <c r="I434">
        <v>1</v>
      </c>
      <c r="J434">
        <v>0.26</v>
      </c>
      <c r="K434">
        <v>0.2727</v>
      </c>
      <c r="L434">
        <v>0.56000000000000005</v>
      </c>
      <c r="M434">
        <v>0</v>
      </c>
      <c r="N434">
        <v>2</v>
      </c>
      <c r="O434">
        <v>3</v>
      </c>
      <c r="P434">
        <v>5</v>
      </c>
    </row>
    <row r="435" spans="1:16">
      <c r="A435">
        <v>434</v>
      </c>
      <c r="B435" s="1">
        <v>40563</v>
      </c>
      <c r="C435">
        <v>1</v>
      </c>
      <c r="D435">
        <v>0</v>
      </c>
      <c r="E435">
        <v>1</v>
      </c>
      <c r="F435">
        <v>2</v>
      </c>
      <c r="G435" t="b">
        <v>0</v>
      </c>
      <c r="H435">
        <v>4</v>
      </c>
      <c r="I435">
        <v>1</v>
      </c>
      <c r="J435">
        <v>0.26</v>
      </c>
      <c r="K435">
        <v>0.2727</v>
      </c>
      <c r="L435">
        <v>0.56000000000000005</v>
      </c>
      <c r="M435">
        <v>0</v>
      </c>
      <c r="N435">
        <v>0</v>
      </c>
      <c r="O435">
        <v>2</v>
      </c>
      <c r="P435">
        <v>2</v>
      </c>
    </row>
    <row r="436" spans="1:16">
      <c r="A436">
        <v>435</v>
      </c>
      <c r="B436" s="1">
        <v>40563</v>
      </c>
      <c r="C436">
        <v>1</v>
      </c>
      <c r="D436">
        <v>0</v>
      </c>
      <c r="E436">
        <v>1</v>
      </c>
      <c r="F436">
        <v>3</v>
      </c>
      <c r="G436" t="b">
        <v>0</v>
      </c>
      <c r="H436">
        <v>4</v>
      </c>
      <c r="I436">
        <v>1</v>
      </c>
      <c r="J436">
        <v>0.26</v>
      </c>
      <c r="K436">
        <v>0.2576</v>
      </c>
      <c r="L436">
        <v>0.56000000000000005</v>
      </c>
      <c r="M436">
        <v>0.16420000000000001</v>
      </c>
      <c r="N436">
        <v>0</v>
      </c>
      <c r="O436">
        <v>1</v>
      </c>
      <c r="P436">
        <v>1</v>
      </c>
    </row>
    <row r="437" spans="1:16">
      <c r="A437">
        <v>436</v>
      </c>
      <c r="B437" s="1">
        <v>40563</v>
      </c>
      <c r="C437">
        <v>1</v>
      </c>
      <c r="D437">
        <v>0</v>
      </c>
      <c r="E437">
        <v>1</v>
      </c>
      <c r="F437">
        <v>4</v>
      </c>
      <c r="G437" t="b">
        <v>0</v>
      </c>
      <c r="H437">
        <v>4</v>
      </c>
      <c r="I437">
        <v>1</v>
      </c>
      <c r="J437">
        <v>0.26</v>
      </c>
      <c r="K437">
        <v>0.2576</v>
      </c>
      <c r="L437">
        <v>0.56000000000000005</v>
      </c>
      <c r="M437">
        <v>0.16420000000000001</v>
      </c>
      <c r="N437">
        <v>0</v>
      </c>
      <c r="O437">
        <v>1</v>
      </c>
      <c r="P437">
        <v>1</v>
      </c>
    </row>
    <row r="438" spans="1:16">
      <c r="A438">
        <v>437</v>
      </c>
      <c r="B438" s="1">
        <v>40563</v>
      </c>
      <c r="C438">
        <v>1</v>
      </c>
      <c r="D438">
        <v>0</v>
      </c>
      <c r="E438">
        <v>1</v>
      </c>
      <c r="F438">
        <v>5</v>
      </c>
      <c r="G438" t="b">
        <v>0</v>
      </c>
      <c r="H438">
        <v>4</v>
      </c>
      <c r="I438">
        <v>1</v>
      </c>
      <c r="J438">
        <v>0.24</v>
      </c>
      <c r="K438">
        <v>0.2273</v>
      </c>
      <c r="L438">
        <v>0.6</v>
      </c>
      <c r="M438">
        <v>0.22389999999999999</v>
      </c>
      <c r="N438">
        <v>0</v>
      </c>
      <c r="O438">
        <v>6</v>
      </c>
      <c r="P438">
        <v>6</v>
      </c>
    </row>
    <row r="439" spans="1:16">
      <c r="A439">
        <v>438</v>
      </c>
      <c r="B439" s="1">
        <v>40563</v>
      </c>
      <c r="C439">
        <v>1</v>
      </c>
      <c r="D439">
        <v>0</v>
      </c>
      <c r="E439">
        <v>1</v>
      </c>
      <c r="F439">
        <v>6</v>
      </c>
      <c r="G439" t="b">
        <v>0</v>
      </c>
      <c r="H439">
        <v>4</v>
      </c>
      <c r="I439">
        <v>1</v>
      </c>
      <c r="J439">
        <v>0.22</v>
      </c>
      <c r="K439">
        <v>0.21210000000000001</v>
      </c>
      <c r="L439">
        <v>0.6</v>
      </c>
      <c r="M439">
        <v>0.22389999999999999</v>
      </c>
      <c r="N439">
        <v>0</v>
      </c>
      <c r="O439">
        <v>35</v>
      </c>
      <c r="P439">
        <v>35</v>
      </c>
    </row>
    <row r="440" spans="1:16">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c r="A442">
        <v>441</v>
      </c>
      <c r="B442" s="1">
        <v>40563</v>
      </c>
      <c r="C442">
        <v>1</v>
      </c>
      <c r="D442">
        <v>0</v>
      </c>
      <c r="E442">
        <v>1</v>
      </c>
      <c r="F442">
        <v>9</v>
      </c>
      <c r="G442" t="b">
        <v>0</v>
      </c>
      <c r="H442">
        <v>4</v>
      </c>
      <c r="I442">
        <v>2</v>
      </c>
      <c r="J442">
        <v>0.24</v>
      </c>
      <c r="K442">
        <v>0.2273</v>
      </c>
      <c r="L442">
        <v>0.52</v>
      </c>
      <c r="M442">
        <v>0.22389999999999999</v>
      </c>
      <c r="N442">
        <v>3</v>
      </c>
      <c r="O442">
        <v>140</v>
      </c>
      <c r="P442">
        <v>143</v>
      </c>
    </row>
    <row r="443" spans="1:16">
      <c r="A443">
        <v>442</v>
      </c>
      <c r="B443" s="1">
        <v>40563</v>
      </c>
      <c r="C443">
        <v>1</v>
      </c>
      <c r="D443">
        <v>0</v>
      </c>
      <c r="E443">
        <v>1</v>
      </c>
      <c r="F443">
        <v>10</v>
      </c>
      <c r="G443" t="b">
        <v>0</v>
      </c>
      <c r="H443">
        <v>4</v>
      </c>
      <c r="I443">
        <v>1</v>
      </c>
      <c r="J443">
        <v>0.26</v>
      </c>
      <c r="K443">
        <v>0.2273</v>
      </c>
      <c r="L443">
        <v>0.48</v>
      </c>
      <c r="M443">
        <v>0.29849999999999999</v>
      </c>
      <c r="N443">
        <v>1</v>
      </c>
      <c r="O443">
        <v>56</v>
      </c>
      <c r="P443">
        <v>57</v>
      </c>
    </row>
    <row r="444" spans="1:16">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row>
    <row r="445" spans="1:16">
      <c r="A445">
        <v>444</v>
      </c>
      <c r="B445" s="1">
        <v>40563</v>
      </c>
      <c r="C445">
        <v>1</v>
      </c>
      <c r="D445">
        <v>0</v>
      </c>
      <c r="E445">
        <v>1</v>
      </c>
      <c r="F445">
        <v>12</v>
      </c>
      <c r="G445" t="b">
        <v>0</v>
      </c>
      <c r="H445">
        <v>4</v>
      </c>
      <c r="I445">
        <v>2</v>
      </c>
      <c r="J445">
        <v>0.3</v>
      </c>
      <c r="K445">
        <v>0.33329999999999999</v>
      </c>
      <c r="L445">
        <v>0.42</v>
      </c>
      <c r="M445">
        <v>0</v>
      </c>
      <c r="N445">
        <v>7</v>
      </c>
      <c r="O445">
        <v>77</v>
      </c>
      <c r="P445">
        <v>84</v>
      </c>
    </row>
    <row r="446" spans="1:16">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row>
    <row r="447" spans="1:16">
      <c r="A447">
        <v>446</v>
      </c>
      <c r="B447" s="1">
        <v>40563</v>
      </c>
      <c r="C447">
        <v>1</v>
      </c>
      <c r="D447">
        <v>0</v>
      </c>
      <c r="E447">
        <v>1</v>
      </c>
      <c r="F447">
        <v>14</v>
      </c>
      <c r="G447" t="b">
        <v>0</v>
      </c>
      <c r="H447">
        <v>4</v>
      </c>
      <c r="I447">
        <v>2</v>
      </c>
      <c r="J447">
        <v>0.3</v>
      </c>
      <c r="K447">
        <v>0.30299999999999999</v>
      </c>
      <c r="L447">
        <v>0.45</v>
      </c>
      <c r="M447">
        <v>0.1343</v>
      </c>
      <c r="N447">
        <v>6</v>
      </c>
      <c r="O447">
        <v>75</v>
      </c>
      <c r="P447">
        <v>81</v>
      </c>
    </row>
    <row r="448" spans="1:16">
      <c r="A448">
        <v>447</v>
      </c>
      <c r="B448" s="1">
        <v>40563</v>
      </c>
      <c r="C448">
        <v>1</v>
      </c>
      <c r="D448">
        <v>0</v>
      </c>
      <c r="E448">
        <v>1</v>
      </c>
      <c r="F448">
        <v>15</v>
      </c>
      <c r="G448" t="b">
        <v>0</v>
      </c>
      <c r="H448">
        <v>4</v>
      </c>
      <c r="I448">
        <v>2</v>
      </c>
      <c r="J448">
        <v>0.32</v>
      </c>
      <c r="K448">
        <v>0.31819999999999998</v>
      </c>
      <c r="L448">
        <v>0.45</v>
      </c>
      <c r="M448">
        <v>0.19400000000000001</v>
      </c>
      <c r="N448">
        <v>8</v>
      </c>
      <c r="O448">
        <v>62</v>
      </c>
      <c r="P448">
        <v>70</v>
      </c>
    </row>
    <row r="449" spans="1:16">
      <c r="A449">
        <v>448</v>
      </c>
      <c r="B449" s="1">
        <v>40563</v>
      </c>
      <c r="C449">
        <v>1</v>
      </c>
      <c r="D449">
        <v>0</v>
      </c>
      <c r="E449">
        <v>1</v>
      </c>
      <c r="F449">
        <v>16</v>
      </c>
      <c r="G449" t="b">
        <v>0</v>
      </c>
      <c r="H449">
        <v>4</v>
      </c>
      <c r="I449">
        <v>2</v>
      </c>
      <c r="J449">
        <v>0.3</v>
      </c>
      <c r="K449">
        <v>0.30299999999999999</v>
      </c>
      <c r="L449">
        <v>0.49</v>
      </c>
      <c r="M449">
        <v>0.1343</v>
      </c>
      <c r="N449">
        <v>8</v>
      </c>
      <c r="O449">
        <v>83</v>
      </c>
      <c r="P449">
        <v>91</v>
      </c>
    </row>
    <row r="450" spans="1:16">
      <c r="A450">
        <v>449</v>
      </c>
      <c r="B450" s="1">
        <v>40563</v>
      </c>
      <c r="C450">
        <v>1</v>
      </c>
      <c r="D450">
        <v>0</v>
      </c>
      <c r="E450">
        <v>1</v>
      </c>
      <c r="F450">
        <v>17</v>
      </c>
      <c r="G450" t="b">
        <v>0</v>
      </c>
      <c r="H450">
        <v>4</v>
      </c>
      <c r="I450">
        <v>2</v>
      </c>
      <c r="J450">
        <v>0.3</v>
      </c>
      <c r="K450">
        <v>0.31819999999999998</v>
      </c>
      <c r="L450">
        <v>0.49</v>
      </c>
      <c r="M450">
        <v>0.1045</v>
      </c>
      <c r="N450">
        <v>8</v>
      </c>
      <c r="O450">
        <v>207</v>
      </c>
      <c r="P450">
        <v>215</v>
      </c>
    </row>
    <row r="451" spans="1:16">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row>
    <row r="452" spans="1:16">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row>
    <row r="453" spans="1:16">
      <c r="A453">
        <v>452</v>
      </c>
      <c r="B453" s="1">
        <v>40563</v>
      </c>
      <c r="C453">
        <v>1</v>
      </c>
      <c r="D453">
        <v>0</v>
      </c>
      <c r="E453">
        <v>1</v>
      </c>
      <c r="F453">
        <v>20</v>
      </c>
      <c r="G453" t="b">
        <v>0</v>
      </c>
      <c r="H453">
        <v>4</v>
      </c>
      <c r="I453">
        <v>2</v>
      </c>
      <c r="J453">
        <v>0.26</v>
      </c>
      <c r="K453">
        <v>0.2424</v>
      </c>
      <c r="L453">
        <v>0.6</v>
      </c>
      <c r="M453">
        <v>0.28360000000000002</v>
      </c>
      <c r="N453">
        <v>2</v>
      </c>
      <c r="O453">
        <v>124</v>
      </c>
      <c r="P453">
        <v>126</v>
      </c>
    </row>
    <row r="454" spans="1:16">
      <c r="A454">
        <v>453</v>
      </c>
      <c r="B454" s="1">
        <v>40563</v>
      </c>
      <c r="C454">
        <v>1</v>
      </c>
      <c r="D454">
        <v>0</v>
      </c>
      <c r="E454">
        <v>1</v>
      </c>
      <c r="F454">
        <v>21</v>
      </c>
      <c r="G454" t="b">
        <v>0</v>
      </c>
      <c r="H454">
        <v>4</v>
      </c>
      <c r="I454">
        <v>2</v>
      </c>
      <c r="J454">
        <v>0.24</v>
      </c>
      <c r="K454">
        <v>0.2273</v>
      </c>
      <c r="L454">
        <v>0.6</v>
      </c>
      <c r="M454">
        <v>0.25369999999999998</v>
      </c>
      <c r="N454">
        <v>3</v>
      </c>
      <c r="O454">
        <v>54</v>
      </c>
      <c r="P454">
        <v>57</v>
      </c>
    </row>
    <row r="455" spans="1:16">
      <c r="A455">
        <v>454</v>
      </c>
      <c r="B455" s="1">
        <v>40563</v>
      </c>
      <c r="C455">
        <v>1</v>
      </c>
      <c r="D455">
        <v>0</v>
      </c>
      <c r="E455">
        <v>1</v>
      </c>
      <c r="F455">
        <v>22</v>
      </c>
      <c r="G455" t="b">
        <v>0</v>
      </c>
      <c r="H455">
        <v>4</v>
      </c>
      <c r="I455">
        <v>2</v>
      </c>
      <c r="J455">
        <v>0.24</v>
      </c>
      <c r="K455">
        <v>0.21210000000000001</v>
      </c>
      <c r="L455">
        <v>0.65</v>
      </c>
      <c r="M455">
        <v>0.28360000000000002</v>
      </c>
      <c r="N455">
        <v>0</v>
      </c>
      <c r="O455">
        <v>56</v>
      </c>
      <c r="P455">
        <v>56</v>
      </c>
    </row>
    <row r="456" spans="1:16">
      <c r="A456">
        <v>455</v>
      </c>
      <c r="B456" s="1">
        <v>40563</v>
      </c>
      <c r="C456">
        <v>1</v>
      </c>
      <c r="D456">
        <v>0</v>
      </c>
      <c r="E456">
        <v>1</v>
      </c>
      <c r="F456">
        <v>23</v>
      </c>
      <c r="G456" t="b">
        <v>0</v>
      </c>
      <c r="H456">
        <v>4</v>
      </c>
      <c r="I456">
        <v>2</v>
      </c>
      <c r="J456">
        <v>0.24</v>
      </c>
      <c r="K456">
        <v>0.21210000000000001</v>
      </c>
      <c r="L456">
        <v>0.65</v>
      </c>
      <c r="M456">
        <v>0.32840000000000003</v>
      </c>
      <c r="N456">
        <v>3</v>
      </c>
      <c r="O456">
        <v>28</v>
      </c>
      <c r="P456">
        <v>31</v>
      </c>
    </row>
    <row r="457" spans="1:16">
      <c r="A457">
        <v>456</v>
      </c>
      <c r="B457" s="1">
        <v>40564</v>
      </c>
      <c r="C457">
        <v>1</v>
      </c>
      <c r="D457">
        <v>0</v>
      </c>
      <c r="E457">
        <v>1</v>
      </c>
      <c r="F457">
        <v>0</v>
      </c>
      <c r="G457" t="b">
        <v>0</v>
      </c>
      <c r="H457">
        <v>5</v>
      </c>
      <c r="I457">
        <v>2</v>
      </c>
      <c r="J457">
        <v>0.24</v>
      </c>
      <c r="K457">
        <v>0.2273</v>
      </c>
      <c r="L457">
        <v>0.7</v>
      </c>
      <c r="M457">
        <v>0.25369999999999998</v>
      </c>
      <c r="N457">
        <v>1</v>
      </c>
      <c r="O457">
        <v>20</v>
      </c>
      <c r="P457">
        <v>21</v>
      </c>
    </row>
    <row r="458" spans="1:16">
      <c r="A458">
        <v>457</v>
      </c>
      <c r="B458" s="1">
        <v>40564</v>
      </c>
      <c r="C458">
        <v>1</v>
      </c>
      <c r="D458">
        <v>0</v>
      </c>
      <c r="E458">
        <v>1</v>
      </c>
      <c r="F458">
        <v>1</v>
      </c>
      <c r="G458" t="b">
        <v>0</v>
      </c>
      <c r="H458">
        <v>5</v>
      </c>
      <c r="I458">
        <v>2</v>
      </c>
      <c r="J458">
        <v>0.24</v>
      </c>
      <c r="K458">
        <v>0.2273</v>
      </c>
      <c r="L458">
        <v>0.7</v>
      </c>
      <c r="M458">
        <v>0.25369999999999998</v>
      </c>
      <c r="N458">
        <v>0</v>
      </c>
      <c r="O458">
        <v>6</v>
      </c>
      <c r="P458">
        <v>6</v>
      </c>
    </row>
    <row r="459" spans="1:16">
      <c r="A459">
        <v>458</v>
      </c>
      <c r="B459" s="1">
        <v>40564</v>
      </c>
      <c r="C459">
        <v>1</v>
      </c>
      <c r="D459">
        <v>0</v>
      </c>
      <c r="E459">
        <v>1</v>
      </c>
      <c r="F459">
        <v>2</v>
      </c>
      <c r="G459" t="b">
        <v>0</v>
      </c>
      <c r="H459">
        <v>5</v>
      </c>
      <c r="I459">
        <v>3</v>
      </c>
      <c r="J459">
        <v>0.24</v>
      </c>
      <c r="K459">
        <v>0.2424</v>
      </c>
      <c r="L459">
        <v>0.75</v>
      </c>
      <c r="M459">
        <v>0.16420000000000001</v>
      </c>
      <c r="N459">
        <v>0</v>
      </c>
      <c r="O459">
        <v>2</v>
      </c>
      <c r="P459">
        <v>2</v>
      </c>
    </row>
    <row r="460" spans="1:16">
      <c r="A460">
        <v>459</v>
      </c>
      <c r="B460" s="1">
        <v>40564</v>
      </c>
      <c r="C460">
        <v>1</v>
      </c>
      <c r="D460">
        <v>0</v>
      </c>
      <c r="E460">
        <v>1</v>
      </c>
      <c r="F460">
        <v>3</v>
      </c>
      <c r="G460" t="b">
        <v>0</v>
      </c>
      <c r="H460">
        <v>5</v>
      </c>
      <c r="I460">
        <v>3</v>
      </c>
      <c r="J460">
        <v>0.22</v>
      </c>
      <c r="K460">
        <v>0.21210000000000001</v>
      </c>
      <c r="L460">
        <v>0.8</v>
      </c>
      <c r="M460">
        <v>0.29849999999999999</v>
      </c>
      <c r="N460">
        <v>0</v>
      </c>
      <c r="O460">
        <v>1</v>
      </c>
      <c r="P460">
        <v>1</v>
      </c>
    </row>
    <row r="461" spans="1:16">
      <c r="A461">
        <v>460</v>
      </c>
      <c r="B461" s="1">
        <v>40564</v>
      </c>
      <c r="C461">
        <v>1</v>
      </c>
      <c r="D461">
        <v>0</v>
      </c>
      <c r="E461">
        <v>1</v>
      </c>
      <c r="F461">
        <v>4</v>
      </c>
      <c r="G461" t="b">
        <v>0</v>
      </c>
      <c r="H461">
        <v>5</v>
      </c>
      <c r="I461">
        <v>2</v>
      </c>
      <c r="J461">
        <v>0.22</v>
      </c>
      <c r="K461">
        <v>0.2576</v>
      </c>
      <c r="L461">
        <v>0.87</v>
      </c>
      <c r="M461">
        <v>8.9599999999999999E-2</v>
      </c>
      <c r="N461">
        <v>0</v>
      </c>
      <c r="O461">
        <v>1</v>
      </c>
      <c r="P461">
        <v>1</v>
      </c>
    </row>
    <row r="462" spans="1:16">
      <c r="A462">
        <v>461</v>
      </c>
      <c r="B462" s="1">
        <v>40564</v>
      </c>
      <c r="C462">
        <v>1</v>
      </c>
      <c r="D462">
        <v>0</v>
      </c>
      <c r="E462">
        <v>1</v>
      </c>
      <c r="F462">
        <v>5</v>
      </c>
      <c r="G462" t="b">
        <v>0</v>
      </c>
      <c r="H462">
        <v>5</v>
      </c>
      <c r="I462">
        <v>1</v>
      </c>
      <c r="J462">
        <v>0.24</v>
      </c>
      <c r="K462">
        <v>0.19700000000000001</v>
      </c>
      <c r="L462">
        <v>0.6</v>
      </c>
      <c r="M462">
        <v>0.41789999999999999</v>
      </c>
      <c r="N462">
        <v>1</v>
      </c>
      <c r="O462">
        <v>4</v>
      </c>
      <c r="P462">
        <v>5</v>
      </c>
    </row>
    <row r="463" spans="1:16">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c r="A464">
        <v>463</v>
      </c>
      <c r="B464" s="1">
        <v>40564</v>
      </c>
      <c r="C464">
        <v>1</v>
      </c>
      <c r="D464">
        <v>0</v>
      </c>
      <c r="E464">
        <v>1</v>
      </c>
      <c r="F464">
        <v>7</v>
      </c>
      <c r="G464" t="b">
        <v>0</v>
      </c>
      <c r="H464">
        <v>5</v>
      </c>
      <c r="I464">
        <v>1</v>
      </c>
      <c r="J464">
        <v>0.2</v>
      </c>
      <c r="K464">
        <v>0.18179999999999999</v>
      </c>
      <c r="L464">
        <v>0.51</v>
      </c>
      <c r="M464">
        <v>0.28360000000000002</v>
      </c>
      <c r="N464">
        <v>2</v>
      </c>
      <c r="O464">
        <v>66</v>
      </c>
      <c r="P464">
        <v>68</v>
      </c>
    </row>
    <row r="465" spans="1:16">
      <c r="A465">
        <v>464</v>
      </c>
      <c r="B465" s="1">
        <v>40564</v>
      </c>
      <c r="C465">
        <v>1</v>
      </c>
      <c r="D465">
        <v>0</v>
      </c>
      <c r="E465">
        <v>1</v>
      </c>
      <c r="F465">
        <v>8</v>
      </c>
      <c r="G465" t="b">
        <v>0</v>
      </c>
      <c r="H465">
        <v>5</v>
      </c>
      <c r="I465">
        <v>1</v>
      </c>
      <c r="J465">
        <v>0.2</v>
      </c>
      <c r="K465">
        <v>0.18179999999999999</v>
      </c>
      <c r="L465">
        <v>0.47</v>
      </c>
      <c r="M465">
        <v>0.32840000000000003</v>
      </c>
      <c r="N465">
        <v>7</v>
      </c>
      <c r="O465">
        <v>210</v>
      </c>
      <c r="P465">
        <v>217</v>
      </c>
    </row>
    <row r="466" spans="1:16">
      <c r="A466">
        <v>465</v>
      </c>
      <c r="B466" s="1">
        <v>40564</v>
      </c>
      <c r="C466">
        <v>1</v>
      </c>
      <c r="D466">
        <v>0</v>
      </c>
      <c r="E466">
        <v>1</v>
      </c>
      <c r="F466">
        <v>9</v>
      </c>
      <c r="G466" t="b">
        <v>0</v>
      </c>
      <c r="H466">
        <v>5</v>
      </c>
      <c r="I466">
        <v>1</v>
      </c>
      <c r="J466">
        <v>0.2</v>
      </c>
      <c r="K466">
        <v>0.18179999999999999</v>
      </c>
      <c r="L466">
        <v>0.51</v>
      </c>
      <c r="M466">
        <v>0.35820000000000002</v>
      </c>
      <c r="N466">
        <v>7</v>
      </c>
      <c r="O466">
        <v>159</v>
      </c>
      <c r="P466">
        <v>166</v>
      </c>
    </row>
    <row r="467" spans="1:16">
      <c r="A467">
        <v>466</v>
      </c>
      <c r="B467" s="1">
        <v>40564</v>
      </c>
      <c r="C467">
        <v>1</v>
      </c>
      <c r="D467">
        <v>0</v>
      </c>
      <c r="E467">
        <v>1</v>
      </c>
      <c r="F467">
        <v>10</v>
      </c>
      <c r="G467" t="b">
        <v>0</v>
      </c>
      <c r="H467">
        <v>5</v>
      </c>
      <c r="I467">
        <v>1</v>
      </c>
      <c r="J467">
        <v>0.2</v>
      </c>
      <c r="K467">
        <v>0.16669999999999999</v>
      </c>
      <c r="L467">
        <v>0.47</v>
      </c>
      <c r="M467">
        <v>0.4627</v>
      </c>
      <c r="N467">
        <v>6</v>
      </c>
      <c r="O467">
        <v>57</v>
      </c>
      <c r="P467">
        <v>63</v>
      </c>
    </row>
    <row r="468" spans="1:16">
      <c r="A468">
        <v>467</v>
      </c>
      <c r="B468" s="1">
        <v>40564</v>
      </c>
      <c r="C468">
        <v>1</v>
      </c>
      <c r="D468">
        <v>0</v>
      </c>
      <c r="E468">
        <v>1</v>
      </c>
      <c r="F468">
        <v>11</v>
      </c>
      <c r="G468" t="b">
        <v>0</v>
      </c>
      <c r="H468">
        <v>5</v>
      </c>
      <c r="I468">
        <v>1</v>
      </c>
      <c r="J468">
        <v>0.22</v>
      </c>
      <c r="K468">
        <v>0.18179999999999999</v>
      </c>
      <c r="L468">
        <v>0.41</v>
      </c>
      <c r="M468">
        <v>0.4627</v>
      </c>
      <c r="N468">
        <v>6</v>
      </c>
      <c r="O468">
        <v>53</v>
      </c>
      <c r="P468">
        <v>59</v>
      </c>
    </row>
    <row r="469" spans="1:16">
      <c r="A469">
        <v>468</v>
      </c>
      <c r="B469" s="1">
        <v>40564</v>
      </c>
      <c r="C469">
        <v>1</v>
      </c>
      <c r="D469">
        <v>0</v>
      </c>
      <c r="E469">
        <v>1</v>
      </c>
      <c r="F469">
        <v>12</v>
      </c>
      <c r="G469" t="b">
        <v>0</v>
      </c>
      <c r="H469">
        <v>5</v>
      </c>
      <c r="I469">
        <v>1</v>
      </c>
      <c r="J469">
        <v>0.22</v>
      </c>
      <c r="K469">
        <v>0.18179999999999999</v>
      </c>
      <c r="L469">
        <v>0.27</v>
      </c>
      <c r="M469">
        <v>0.58209999999999995</v>
      </c>
      <c r="N469">
        <v>11</v>
      </c>
      <c r="O469">
        <v>67</v>
      </c>
      <c r="P469">
        <v>78</v>
      </c>
    </row>
    <row r="470" spans="1:16">
      <c r="A470">
        <v>469</v>
      </c>
      <c r="B470" s="1">
        <v>40564</v>
      </c>
      <c r="C470">
        <v>1</v>
      </c>
      <c r="D470">
        <v>0</v>
      </c>
      <c r="E470">
        <v>1</v>
      </c>
      <c r="F470">
        <v>13</v>
      </c>
      <c r="G470" t="b">
        <v>0</v>
      </c>
      <c r="H470">
        <v>5</v>
      </c>
      <c r="I470">
        <v>1</v>
      </c>
      <c r="J470">
        <v>0.2</v>
      </c>
      <c r="K470">
        <v>0.1515</v>
      </c>
      <c r="L470">
        <v>0.21</v>
      </c>
      <c r="M470">
        <v>0.58209999999999995</v>
      </c>
      <c r="N470">
        <v>8</v>
      </c>
      <c r="O470">
        <v>65</v>
      </c>
      <c r="P470">
        <v>73</v>
      </c>
    </row>
    <row r="471" spans="1:16">
      <c r="A471">
        <v>470</v>
      </c>
      <c r="B471" s="1">
        <v>40564</v>
      </c>
      <c r="C471">
        <v>1</v>
      </c>
      <c r="D471">
        <v>0</v>
      </c>
      <c r="E471">
        <v>1</v>
      </c>
      <c r="F471">
        <v>14</v>
      </c>
      <c r="G471" t="b">
        <v>0</v>
      </c>
      <c r="H471">
        <v>5</v>
      </c>
      <c r="I471">
        <v>1</v>
      </c>
      <c r="J471">
        <v>0.2</v>
      </c>
      <c r="K471">
        <v>0.1515</v>
      </c>
      <c r="L471">
        <v>0.25</v>
      </c>
      <c r="M471">
        <v>0.52239999999999998</v>
      </c>
      <c r="N471">
        <v>6</v>
      </c>
      <c r="O471">
        <v>56</v>
      </c>
      <c r="P471">
        <v>62</v>
      </c>
    </row>
    <row r="472" spans="1:16">
      <c r="A472">
        <v>471</v>
      </c>
      <c r="B472" s="1">
        <v>40564</v>
      </c>
      <c r="C472">
        <v>1</v>
      </c>
      <c r="D472">
        <v>0</v>
      </c>
      <c r="E472">
        <v>1</v>
      </c>
      <c r="F472">
        <v>15</v>
      </c>
      <c r="G472" t="b">
        <v>0</v>
      </c>
      <c r="H472">
        <v>5</v>
      </c>
      <c r="I472">
        <v>1</v>
      </c>
      <c r="J472">
        <v>0.16</v>
      </c>
      <c r="K472">
        <v>0.1212</v>
      </c>
      <c r="L472">
        <v>0.26</v>
      </c>
      <c r="M472">
        <v>0.44779999999999998</v>
      </c>
      <c r="N472">
        <v>4</v>
      </c>
      <c r="O472">
        <v>61</v>
      </c>
      <c r="P472">
        <v>65</v>
      </c>
    </row>
    <row r="473" spans="1:16">
      <c r="A473">
        <v>472</v>
      </c>
      <c r="B473" s="1">
        <v>40564</v>
      </c>
      <c r="C473">
        <v>1</v>
      </c>
      <c r="D473">
        <v>0</v>
      </c>
      <c r="E473">
        <v>1</v>
      </c>
      <c r="F473">
        <v>16</v>
      </c>
      <c r="G473" t="b">
        <v>0</v>
      </c>
      <c r="H473">
        <v>5</v>
      </c>
      <c r="I473">
        <v>1</v>
      </c>
      <c r="J473">
        <v>0.16</v>
      </c>
      <c r="K473">
        <v>0.13639999999999999</v>
      </c>
      <c r="L473">
        <v>0.26</v>
      </c>
      <c r="M473">
        <v>0.35820000000000002</v>
      </c>
      <c r="N473">
        <v>0</v>
      </c>
      <c r="O473">
        <v>97</v>
      </c>
      <c r="P473">
        <v>97</v>
      </c>
    </row>
    <row r="474" spans="1:16">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c r="A475">
        <v>474</v>
      </c>
      <c r="B475" s="1">
        <v>40564</v>
      </c>
      <c r="C475">
        <v>1</v>
      </c>
      <c r="D475">
        <v>0</v>
      </c>
      <c r="E475">
        <v>1</v>
      </c>
      <c r="F475">
        <v>18</v>
      </c>
      <c r="G475" t="b">
        <v>0</v>
      </c>
      <c r="H475">
        <v>5</v>
      </c>
      <c r="I475">
        <v>1</v>
      </c>
      <c r="J475">
        <v>0.12</v>
      </c>
      <c r="K475">
        <v>0.1212</v>
      </c>
      <c r="L475">
        <v>0.3</v>
      </c>
      <c r="M475">
        <v>0.25369999999999998</v>
      </c>
      <c r="N475">
        <v>1</v>
      </c>
      <c r="O475">
        <v>119</v>
      </c>
      <c r="P475">
        <v>120</v>
      </c>
    </row>
    <row r="476" spans="1:16">
      <c r="A476">
        <v>475</v>
      </c>
      <c r="B476" s="1">
        <v>40564</v>
      </c>
      <c r="C476">
        <v>1</v>
      </c>
      <c r="D476">
        <v>0</v>
      </c>
      <c r="E476">
        <v>1</v>
      </c>
      <c r="F476">
        <v>19</v>
      </c>
      <c r="G476" t="b">
        <v>0</v>
      </c>
      <c r="H476">
        <v>5</v>
      </c>
      <c r="I476">
        <v>1</v>
      </c>
      <c r="J476">
        <v>0.12</v>
      </c>
      <c r="K476">
        <v>0.1061</v>
      </c>
      <c r="L476">
        <v>0.3</v>
      </c>
      <c r="M476">
        <v>0.32840000000000003</v>
      </c>
      <c r="N476">
        <v>3</v>
      </c>
      <c r="O476">
        <v>93</v>
      </c>
      <c r="P476">
        <v>96</v>
      </c>
    </row>
    <row r="477" spans="1:16">
      <c r="A477">
        <v>476</v>
      </c>
      <c r="B477" s="1">
        <v>40564</v>
      </c>
      <c r="C477">
        <v>1</v>
      </c>
      <c r="D477">
        <v>0</v>
      </c>
      <c r="E477">
        <v>1</v>
      </c>
      <c r="F477">
        <v>20</v>
      </c>
      <c r="G477" t="b">
        <v>0</v>
      </c>
      <c r="H477">
        <v>5</v>
      </c>
      <c r="I477">
        <v>1</v>
      </c>
      <c r="J477">
        <v>0.1</v>
      </c>
      <c r="K477">
        <v>7.5800000000000006E-2</v>
      </c>
      <c r="L477">
        <v>0.33</v>
      </c>
      <c r="M477">
        <v>0.41789999999999999</v>
      </c>
      <c r="N477">
        <v>1</v>
      </c>
      <c r="O477">
        <v>52</v>
      </c>
      <c r="P477">
        <v>53</v>
      </c>
    </row>
    <row r="478" spans="1:16">
      <c r="A478">
        <v>477</v>
      </c>
      <c r="B478" s="1">
        <v>40564</v>
      </c>
      <c r="C478">
        <v>1</v>
      </c>
      <c r="D478">
        <v>0</v>
      </c>
      <c r="E478">
        <v>1</v>
      </c>
      <c r="F478">
        <v>21</v>
      </c>
      <c r="G478" t="b">
        <v>0</v>
      </c>
      <c r="H478">
        <v>5</v>
      </c>
      <c r="I478">
        <v>1</v>
      </c>
      <c r="J478">
        <v>0.08</v>
      </c>
      <c r="K478">
        <v>7.5800000000000006E-2</v>
      </c>
      <c r="L478">
        <v>0.38</v>
      </c>
      <c r="M478">
        <v>0.28360000000000002</v>
      </c>
      <c r="N478">
        <v>0</v>
      </c>
      <c r="O478">
        <v>41</v>
      </c>
      <c r="P478">
        <v>41</v>
      </c>
    </row>
    <row r="479" spans="1:16">
      <c r="A479">
        <v>478</v>
      </c>
      <c r="B479" s="1">
        <v>40564</v>
      </c>
      <c r="C479">
        <v>1</v>
      </c>
      <c r="D479">
        <v>0</v>
      </c>
      <c r="E479">
        <v>1</v>
      </c>
      <c r="F479">
        <v>22</v>
      </c>
      <c r="G479" t="b">
        <v>0</v>
      </c>
      <c r="H479">
        <v>5</v>
      </c>
      <c r="I479">
        <v>1</v>
      </c>
      <c r="J479">
        <v>0.06</v>
      </c>
      <c r="K479">
        <v>3.0300000000000001E-2</v>
      </c>
      <c r="L479">
        <v>0.41</v>
      </c>
      <c r="M479">
        <v>0.3881</v>
      </c>
      <c r="N479">
        <v>1</v>
      </c>
      <c r="O479">
        <v>33</v>
      </c>
      <c r="P479">
        <v>34</v>
      </c>
    </row>
    <row r="480" spans="1:16">
      <c r="A480">
        <v>479</v>
      </c>
      <c r="B480" s="1">
        <v>40564</v>
      </c>
      <c r="C480">
        <v>1</v>
      </c>
      <c r="D480">
        <v>0</v>
      </c>
      <c r="E480">
        <v>1</v>
      </c>
      <c r="F480">
        <v>23</v>
      </c>
      <c r="G480" t="b">
        <v>0</v>
      </c>
      <c r="H480">
        <v>5</v>
      </c>
      <c r="I480">
        <v>1</v>
      </c>
      <c r="J480">
        <v>0.06</v>
      </c>
      <c r="K480">
        <v>4.5499999999999999E-2</v>
      </c>
      <c r="L480">
        <v>0.38</v>
      </c>
      <c r="M480">
        <v>0.32840000000000003</v>
      </c>
      <c r="N480">
        <v>0</v>
      </c>
      <c r="O480">
        <v>27</v>
      </c>
      <c r="P480">
        <v>27</v>
      </c>
    </row>
    <row r="481" spans="1:16">
      <c r="A481">
        <v>480</v>
      </c>
      <c r="B481" s="1">
        <v>40565</v>
      </c>
      <c r="C481">
        <v>1</v>
      </c>
      <c r="D481">
        <v>0</v>
      </c>
      <c r="E481">
        <v>1</v>
      </c>
      <c r="F481">
        <v>0</v>
      </c>
      <c r="G481" t="b">
        <v>0</v>
      </c>
      <c r="H481">
        <v>6</v>
      </c>
      <c r="I481">
        <v>1</v>
      </c>
      <c r="J481">
        <v>0.04</v>
      </c>
      <c r="K481">
        <v>3.0300000000000001E-2</v>
      </c>
      <c r="L481">
        <v>0.45</v>
      </c>
      <c r="M481">
        <v>0.25369999999999998</v>
      </c>
      <c r="N481">
        <v>0</v>
      </c>
      <c r="O481">
        <v>13</v>
      </c>
      <c r="P481">
        <v>13</v>
      </c>
    </row>
    <row r="482" spans="1:16">
      <c r="A482">
        <v>481</v>
      </c>
      <c r="B482" s="1">
        <v>40565</v>
      </c>
      <c r="C482">
        <v>1</v>
      </c>
      <c r="D482">
        <v>0</v>
      </c>
      <c r="E482">
        <v>1</v>
      </c>
      <c r="F482">
        <v>1</v>
      </c>
      <c r="G482" t="b">
        <v>0</v>
      </c>
      <c r="H482">
        <v>6</v>
      </c>
      <c r="I482">
        <v>2</v>
      </c>
      <c r="J482">
        <v>0.04</v>
      </c>
      <c r="K482">
        <v>0</v>
      </c>
      <c r="L482">
        <v>0.41</v>
      </c>
      <c r="M482">
        <v>0.3881</v>
      </c>
      <c r="N482">
        <v>3</v>
      </c>
      <c r="O482">
        <v>9</v>
      </c>
      <c r="P482">
        <v>12</v>
      </c>
    </row>
    <row r="483" spans="1:16">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c r="A484">
        <v>483</v>
      </c>
      <c r="B484" s="1">
        <v>40565</v>
      </c>
      <c r="C484">
        <v>1</v>
      </c>
      <c r="D484">
        <v>0</v>
      </c>
      <c r="E484">
        <v>1</v>
      </c>
      <c r="F484">
        <v>3</v>
      </c>
      <c r="G484" t="b">
        <v>0</v>
      </c>
      <c r="H484">
        <v>6</v>
      </c>
      <c r="I484">
        <v>2</v>
      </c>
      <c r="J484">
        <v>0.04</v>
      </c>
      <c r="K484">
        <v>3.0300000000000001E-2</v>
      </c>
      <c r="L484">
        <v>0.41</v>
      </c>
      <c r="M484">
        <v>0.28360000000000002</v>
      </c>
      <c r="N484">
        <v>1</v>
      </c>
      <c r="O484">
        <v>6</v>
      </c>
      <c r="P484">
        <v>7</v>
      </c>
    </row>
    <row r="485" spans="1:16">
      <c r="A485">
        <v>484</v>
      </c>
      <c r="B485" s="1">
        <v>40565</v>
      </c>
      <c r="C485">
        <v>1</v>
      </c>
      <c r="D485">
        <v>0</v>
      </c>
      <c r="E485">
        <v>1</v>
      </c>
      <c r="F485">
        <v>4</v>
      </c>
      <c r="G485" t="b">
        <v>0</v>
      </c>
      <c r="H485">
        <v>6</v>
      </c>
      <c r="I485">
        <v>2</v>
      </c>
      <c r="J485">
        <v>0.02</v>
      </c>
      <c r="K485">
        <v>1.52E-2</v>
      </c>
      <c r="L485">
        <v>0.48</v>
      </c>
      <c r="M485">
        <v>0.29849999999999999</v>
      </c>
      <c r="N485">
        <v>0</v>
      </c>
      <c r="O485">
        <v>3</v>
      </c>
      <c r="P485">
        <v>3</v>
      </c>
    </row>
    <row r="486" spans="1:16">
      <c r="A486">
        <v>485</v>
      </c>
      <c r="B486" s="1">
        <v>40565</v>
      </c>
      <c r="C486">
        <v>1</v>
      </c>
      <c r="D486">
        <v>0</v>
      </c>
      <c r="E486">
        <v>1</v>
      </c>
      <c r="F486">
        <v>6</v>
      </c>
      <c r="G486" t="b">
        <v>0</v>
      </c>
      <c r="H486">
        <v>6</v>
      </c>
      <c r="I486">
        <v>2</v>
      </c>
      <c r="J486">
        <v>0.02</v>
      </c>
      <c r="K486">
        <v>3.0300000000000001E-2</v>
      </c>
      <c r="L486">
        <v>0.44</v>
      </c>
      <c r="M486">
        <v>0.22389999999999999</v>
      </c>
      <c r="N486">
        <v>0</v>
      </c>
      <c r="O486">
        <v>2</v>
      </c>
      <c r="P486">
        <v>2</v>
      </c>
    </row>
    <row r="487" spans="1:16">
      <c r="A487">
        <v>486</v>
      </c>
      <c r="B487" s="1">
        <v>40565</v>
      </c>
      <c r="C487">
        <v>1</v>
      </c>
      <c r="D487">
        <v>0</v>
      </c>
      <c r="E487">
        <v>1</v>
      </c>
      <c r="F487">
        <v>7</v>
      </c>
      <c r="G487" t="b">
        <v>0</v>
      </c>
      <c r="H487">
        <v>6</v>
      </c>
      <c r="I487">
        <v>1</v>
      </c>
      <c r="J487">
        <v>0.02</v>
      </c>
      <c r="K487">
        <v>1.52E-2</v>
      </c>
      <c r="L487">
        <v>0.44</v>
      </c>
      <c r="M487">
        <v>0.28360000000000002</v>
      </c>
      <c r="N487">
        <v>0</v>
      </c>
      <c r="O487">
        <v>8</v>
      </c>
      <c r="P487">
        <v>8</v>
      </c>
    </row>
    <row r="488" spans="1:16">
      <c r="A488">
        <v>487</v>
      </c>
      <c r="B488" s="1">
        <v>40565</v>
      </c>
      <c r="C488">
        <v>1</v>
      </c>
      <c r="D488">
        <v>0</v>
      </c>
      <c r="E488">
        <v>1</v>
      </c>
      <c r="F488">
        <v>8</v>
      </c>
      <c r="G488" t="b">
        <v>0</v>
      </c>
      <c r="H488">
        <v>6</v>
      </c>
      <c r="I488">
        <v>1</v>
      </c>
      <c r="J488">
        <v>0.02</v>
      </c>
      <c r="K488">
        <v>0</v>
      </c>
      <c r="L488">
        <v>0.44</v>
      </c>
      <c r="M488">
        <v>0.32840000000000003</v>
      </c>
      <c r="N488">
        <v>1</v>
      </c>
      <c r="O488">
        <v>26</v>
      </c>
      <c r="P488">
        <v>27</v>
      </c>
    </row>
    <row r="489" spans="1:16">
      <c r="A489">
        <v>488</v>
      </c>
      <c r="B489" s="1">
        <v>40565</v>
      </c>
      <c r="C489">
        <v>1</v>
      </c>
      <c r="D489">
        <v>0</v>
      </c>
      <c r="E489">
        <v>1</v>
      </c>
      <c r="F489">
        <v>9</v>
      </c>
      <c r="G489" t="b">
        <v>0</v>
      </c>
      <c r="H489">
        <v>6</v>
      </c>
      <c r="I489">
        <v>1</v>
      </c>
      <c r="J489">
        <v>0.04</v>
      </c>
      <c r="K489">
        <v>3.0300000000000001E-2</v>
      </c>
      <c r="L489">
        <v>0.41</v>
      </c>
      <c r="M489">
        <v>0.25369999999999998</v>
      </c>
      <c r="N489">
        <v>3</v>
      </c>
      <c r="O489">
        <v>37</v>
      </c>
      <c r="P489">
        <v>40</v>
      </c>
    </row>
    <row r="490" spans="1:16">
      <c r="A490">
        <v>489</v>
      </c>
      <c r="B490" s="1">
        <v>40565</v>
      </c>
      <c r="C490">
        <v>1</v>
      </c>
      <c r="D490">
        <v>0</v>
      </c>
      <c r="E490">
        <v>1</v>
      </c>
      <c r="F490">
        <v>10</v>
      </c>
      <c r="G490" t="b">
        <v>0</v>
      </c>
      <c r="H490">
        <v>6</v>
      </c>
      <c r="I490">
        <v>2</v>
      </c>
      <c r="J490">
        <v>0.04</v>
      </c>
      <c r="K490">
        <v>6.0600000000000001E-2</v>
      </c>
      <c r="L490">
        <v>0.41</v>
      </c>
      <c r="M490">
        <v>0.16420000000000001</v>
      </c>
      <c r="N490">
        <v>3</v>
      </c>
      <c r="O490">
        <v>50</v>
      </c>
      <c r="P490">
        <v>53</v>
      </c>
    </row>
    <row r="491" spans="1:16">
      <c r="A491">
        <v>490</v>
      </c>
      <c r="B491" s="1">
        <v>40565</v>
      </c>
      <c r="C491">
        <v>1</v>
      </c>
      <c r="D491">
        <v>0</v>
      </c>
      <c r="E491">
        <v>1</v>
      </c>
      <c r="F491">
        <v>11</v>
      </c>
      <c r="G491" t="b">
        <v>0</v>
      </c>
      <c r="H491">
        <v>6</v>
      </c>
      <c r="I491">
        <v>2</v>
      </c>
      <c r="J491">
        <v>0.06</v>
      </c>
      <c r="K491">
        <v>7.5800000000000006E-2</v>
      </c>
      <c r="L491">
        <v>0.38</v>
      </c>
      <c r="M491">
        <v>0.1343</v>
      </c>
      <c r="N491">
        <v>4</v>
      </c>
      <c r="O491">
        <v>59</v>
      </c>
      <c r="P491">
        <v>63</v>
      </c>
    </row>
    <row r="492" spans="1:16">
      <c r="A492">
        <v>491</v>
      </c>
      <c r="B492" s="1">
        <v>40565</v>
      </c>
      <c r="C492">
        <v>1</v>
      </c>
      <c r="D492">
        <v>0</v>
      </c>
      <c r="E492">
        <v>1</v>
      </c>
      <c r="F492">
        <v>12</v>
      </c>
      <c r="G492" t="b">
        <v>0</v>
      </c>
      <c r="H492">
        <v>6</v>
      </c>
      <c r="I492">
        <v>2</v>
      </c>
      <c r="J492">
        <v>0.06</v>
      </c>
      <c r="K492">
        <v>0.1061</v>
      </c>
      <c r="L492">
        <v>0.38</v>
      </c>
      <c r="M492">
        <v>0.1045</v>
      </c>
      <c r="N492">
        <v>10</v>
      </c>
      <c r="O492">
        <v>60</v>
      </c>
      <c r="P492">
        <v>70</v>
      </c>
    </row>
    <row r="493" spans="1:16">
      <c r="A493">
        <v>492</v>
      </c>
      <c r="B493" s="1">
        <v>40565</v>
      </c>
      <c r="C493">
        <v>1</v>
      </c>
      <c r="D493">
        <v>0</v>
      </c>
      <c r="E493">
        <v>1</v>
      </c>
      <c r="F493">
        <v>13</v>
      </c>
      <c r="G493" t="b">
        <v>0</v>
      </c>
      <c r="H493">
        <v>6</v>
      </c>
      <c r="I493">
        <v>1</v>
      </c>
      <c r="J493">
        <v>0.08</v>
      </c>
      <c r="K493">
        <v>0.16669999999999999</v>
      </c>
      <c r="L493">
        <v>0.35</v>
      </c>
      <c r="M493">
        <v>0</v>
      </c>
      <c r="N493">
        <v>12</v>
      </c>
      <c r="O493">
        <v>72</v>
      </c>
      <c r="P493">
        <v>84</v>
      </c>
    </row>
    <row r="494" spans="1:16">
      <c r="A494">
        <v>493</v>
      </c>
      <c r="B494" s="1">
        <v>40565</v>
      </c>
      <c r="C494">
        <v>1</v>
      </c>
      <c r="D494">
        <v>0</v>
      </c>
      <c r="E494">
        <v>1</v>
      </c>
      <c r="F494">
        <v>14</v>
      </c>
      <c r="G494" t="b">
        <v>0</v>
      </c>
      <c r="H494">
        <v>6</v>
      </c>
      <c r="I494">
        <v>1</v>
      </c>
      <c r="J494">
        <v>0.1</v>
      </c>
      <c r="K494">
        <v>0.13639999999999999</v>
      </c>
      <c r="L494">
        <v>0.33</v>
      </c>
      <c r="M494">
        <v>0.1045</v>
      </c>
      <c r="N494">
        <v>11</v>
      </c>
      <c r="O494">
        <v>64</v>
      </c>
      <c r="P494">
        <v>75</v>
      </c>
    </row>
    <row r="495" spans="1:16">
      <c r="A495">
        <v>494</v>
      </c>
      <c r="B495" s="1">
        <v>40565</v>
      </c>
      <c r="C495">
        <v>1</v>
      </c>
      <c r="D495">
        <v>0</v>
      </c>
      <c r="E495">
        <v>1</v>
      </c>
      <c r="F495">
        <v>15</v>
      </c>
      <c r="G495" t="b">
        <v>0</v>
      </c>
      <c r="H495">
        <v>6</v>
      </c>
      <c r="I495">
        <v>1</v>
      </c>
      <c r="J495">
        <v>0.12</v>
      </c>
      <c r="K495">
        <v>0.1515</v>
      </c>
      <c r="L495">
        <v>0.28000000000000003</v>
      </c>
      <c r="M495">
        <v>0</v>
      </c>
      <c r="N495">
        <v>10</v>
      </c>
      <c r="O495">
        <v>93</v>
      </c>
      <c r="P495">
        <v>103</v>
      </c>
    </row>
    <row r="496" spans="1:16">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c r="A497">
        <v>496</v>
      </c>
      <c r="B497" s="1">
        <v>40565</v>
      </c>
      <c r="C497">
        <v>1</v>
      </c>
      <c r="D497">
        <v>0</v>
      </c>
      <c r="E497">
        <v>1</v>
      </c>
      <c r="F497">
        <v>17</v>
      </c>
      <c r="G497" t="b">
        <v>0</v>
      </c>
      <c r="H497">
        <v>6</v>
      </c>
      <c r="I497">
        <v>1</v>
      </c>
      <c r="J497">
        <v>0.12</v>
      </c>
      <c r="K497">
        <v>0.19700000000000001</v>
      </c>
      <c r="L497">
        <v>0.28000000000000003</v>
      </c>
      <c r="M497">
        <v>0</v>
      </c>
      <c r="N497">
        <v>8</v>
      </c>
      <c r="O497">
        <v>59</v>
      </c>
      <c r="P497">
        <v>67</v>
      </c>
    </row>
    <row r="498" spans="1:16">
      <c r="A498">
        <v>497</v>
      </c>
      <c r="B498" s="1">
        <v>40565</v>
      </c>
      <c r="C498">
        <v>1</v>
      </c>
      <c r="D498">
        <v>0</v>
      </c>
      <c r="E498">
        <v>1</v>
      </c>
      <c r="F498">
        <v>18</v>
      </c>
      <c r="G498" t="b">
        <v>0</v>
      </c>
      <c r="H498">
        <v>6</v>
      </c>
      <c r="I498">
        <v>1</v>
      </c>
      <c r="J498">
        <v>0.08</v>
      </c>
      <c r="K498">
        <v>9.0899999999999995E-2</v>
      </c>
      <c r="L498">
        <v>0.35</v>
      </c>
      <c r="M498">
        <v>0.19400000000000001</v>
      </c>
      <c r="N498">
        <v>0</v>
      </c>
      <c r="O498">
        <v>54</v>
      </c>
      <c r="P498">
        <v>54</v>
      </c>
    </row>
    <row r="499" spans="1:16">
      <c r="A499">
        <v>498</v>
      </c>
      <c r="B499" s="1">
        <v>40565</v>
      </c>
      <c r="C499">
        <v>1</v>
      </c>
      <c r="D499">
        <v>0</v>
      </c>
      <c r="E499">
        <v>1</v>
      </c>
      <c r="F499">
        <v>19</v>
      </c>
      <c r="G499" t="b">
        <v>0</v>
      </c>
      <c r="H499">
        <v>6</v>
      </c>
      <c r="I499">
        <v>1</v>
      </c>
      <c r="J499">
        <v>0.08</v>
      </c>
      <c r="K499">
        <v>0.1061</v>
      </c>
      <c r="L499">
        <v>0.35</v>
      </c>
      <c r="M499">
        <v>0.1343</v>
      </c>
      <c r="N499">
        <v>6</v>
      </c>
      <c r="O499">
        <v>53</v>
      </c>
      <c r="P499">
        <v>59</v>
      </c>
    </row>
    <row r="500" spans="1:16">
      <c r="A500">
        <v>499</v>
      </c>
      <c r="B500" s="1">
        <v>40565</v>
      </c>
      <c r="C500">
        <v>1</v>
      </c>
      <c r="D500">
        <v>0</v>
      </c>
      <c r="E500">
        <v>1</v>
      </c>
      <c r="F500">
        <v>20</v>
      </c>
      <c r="G500" t="b">
        <v>0</v>
      </c>
      <c r="H500">
        <v>6</v>
      </c>
      <c r="I500">
        <v>1</v>
      </c>
      <c r="J500">
        <v>0.06</v>
      </c>
      <c r="K500">
        <v>7.5800000000000006E-2</v>
      </c>
      <c r="L500">
        <v>0.45</v>
      </c>
      <c r="M500">
        <v>0.16420000000000001</v>
      </c>
      <c r="N500">
        <v>1</v>
      </c>
      <c r="O500">
        <v>44</v>
      </c>
      <c r="P500">
        <v>45</v>
      </c>
    </row>
    <row r="501" spans="1:16">
      <c r="A501">
        <v>500</v>
      </c>
      <c r="B501" s="1">
        <v>40565</v>
      </c>
      <c r="C501">
        <v>1</v>
      </c>
      <c r="D501">
        <v>0</v>
      </c>
      <c r="E501">
        <v>1</v>
      </c>
      <c r="F501">
        <v>21</v>
      </c>
      <c r="G501" t="b">
        <v>0</v>
      </c>
      <c r="H501">
        <v>6</v>
      </c>
      <c r="I501">
        <v>1</v>
      </c>
      <c r="J501">
        <v>0.06</v>
      </c>
      <c r="K501">
        <v>0.1061</v>
      </c>
      <c r="L501">
        <v>0.41</v>
      </c>
      <c r="M501">
        <v>8.9599999999999999E-2</v>
      </c>
      <c r="N501">
        <v>0</v>
      </c>
      <c r="O501">
        <v>39</v>
      </c>
      <c r="P501">
        <v>39</v>
      </c>
    </row>
    <row r="502" spans="1:16">
      <c r="A502">
        <v>501</v>
      </c>
      <c r="B502" s="1">
        <v>40565</v>
      </c>
      <c r="C502">
        <v>1</v>
      </c>
      <c r="D502">
        <v>0</v>
      </c>
      <c r="E502">
        <v>1</v>
      </c>
      <c r="F502">
        <v>22</v>
      </c>
      <c r="G502" t="b">
        <v>0</v>
      </c>
      <c r="H502">
        <v>6</v>
      </c>
      <c r="I502">
        <v>1</v>
      </c>
      <c r="J502">
        <v>0.06</v>
      </c>
      <c r="K502">
        <v>0.1515</v>
      </c>
      <c r="L502">
        <v>0.49</v>
      </c>
      <c r="M502">
        <v>0</v>
      </c>
      <c r="N502">
        <v>7</v>
      </c>
      <c r="O502">
        <v>23</v>
      </c>
      <c r="P502">
        <v>30</v>
      </c>
    </row>
    <row r="503" spans="1:16">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row>
    <row r="504" spans="1:16">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row>
    <row r="505" spans="1:16">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row>
    <row r="506" spans="1:16">
      <c r="A506">
        <v>505</v>
      </c>
      <c r="B506" s="1">
        <v>40566</v>
      </c>
      <c r="C506">
        <v>1</v>
      </c>
      <c r="D506">
        <v>0</v>
      </c>
      <c r="E506">
        <v>1</v>
      </c>
      <c r="F506">
        <v>2</v>
      </c>
      <c r="G506" t="b">
        <v>0</v>
      </c>
      <c r="H506">
        <v>0</v>
      </c>
      <c r="I506">
        <v>1</v>
      </c>
      <c r="J506">
        <v>0.02</v>
      </c>
      <c r="K506">
        <v>6.0600000000000001E-2</v>
      </c>
      <c r="L506">
        <v>0.62</v>
      </c>
      <c r="M506">
        <v>0.1343</v>
      </c>
      <c r="N506">
        <v>3</v>
      </c>
      <c r="O506">
        <v>15</v>
      </c>
      <c r="P506">
        <v>18</v>
      </c>
    </row>
    <row r="507" spans="1:16">
      <c r="A507">
        <v>506</v>
      </c>
      <c r="B507" s="1">
        <v>40566</v>
      </c>
      <c r="C507">
        <v>1</v>
      </c>
      <c r="D507">
        <v>0</v>
      </c>
      <c r="E507">
        <v>1</v>
      </c>
      <c r="F507">
        <v>3</v>
      </c>
      <c r="G507" t="b">
        <v>0</v>
      </c>
      <c r="H507">
        <v>0</v>
      </c>
      <c r="I507">
        <v>1</v>
      </c>
      <c r="J507">
        <v>0.02</v>
      </c>
      <c r="K507">
        <v>6.0600000000000001E-2</v>
      </c>
      <c r="L507">
        <v>0.62</v>
      </c>
      <c r="M507">
        <v>0.1343</v>
      </c>
      <c r="N507">
        <v>1</v>
      </c>
      <c r="O507">
        <v>4</v>
      </c>
      <c r="P507">
        <v>5</v>
      </c>
    </row>
    <row r="508" spans="1:16">
      <c r="A508">
        <v>507</v>
      </c>
      <c r="B508" s="1">
        <v>40566</v>
      </c>
      <c r="C508">
        <v>1</v>
      </c>
      <c r="D508">
        <v>0</v>
      </c>
      <c r="E508">
        <v>1</v>
      </c>
      <c r="F508">
        <v>5</v>
      </c>
      <c r="G508" t="b">
        <v>0</v>
      </c>
      <c r="H508">
        <v>0</v>
      </c>
      <c r="I508">
        <v>2</v>
      </c>
      <c r="J508">
        <v>0.04</v>
      </c>
      <c r="K508">
        <v>7.5800000000000006E-2</v>
      </c>
      <c r="L508">
        <v>0.56999999999999995</v>
      </c>
      <c r="M508">
        <v>0.1045</v>
      </c>
      <c r="N508">
        <v>0</v>
      </c>
      <c r="O508">
        <v>3</v>
      </c>
      <c r="P508">
        <v>3</v>
      </c>
    </row>
    <row r="509" spans="1:16">
      <c r="A509">
        <v>508</v>
      </c>
      <c r="B509" s="1">
        <v>40566</v>
      </c>
      <c r="C509">
        <v>1</v>
      </c>
      <c r="D509">
        <v>0</v>
      </c>
      <c r="E509">
        <v>1</v>
      </c>
      <c r="F509">
        <v>6</v>
      </c>
      <c r="G509" t="b">
        <v>0</v>
      </c>
      <c r="H509">
        <v>0</v>
      </c>
      <c r="I509">
        <v>2</v>
      </c>
      <c r="J509">
        <v>0.04</v>
      </c>
      <c r="K509">
        <v>7.5800000000000006E-2</v>
      </c>
      <c r="L509">
        <v>0.56999999999999995</v>
      </c>
      <c r="M509">
        <v>0.1045</v>
      </c>
      <c r="N509">
        <v>0</v>
      </c>
      <c r="O509">
        <v>1</v>
      </c>
      <c r="P509">
        <v>1</v>
      </c>
    </row>
    <row r="510" spans="1:16">
      <c r="A510">
        <v>509</v>
      </c>
      <c r="B510" s="1">
        <v>40566</v>
      </c>
      <c r="C510">
        <v>1</v>
      </c>
      <c r="D510">
        <v>0</v>
      </c>
      <c r="E510">
        <v>1</v>
      </c>
      <c r="F510">
        <v>7</v>
      </c>
      <c r="G510" t="b">
        <v>0</v>
      </c>
      <c r="H510">
        <v>0</v>
      </c>
      <c r="I510">
        <v>1</v>
      </c>
      <c r="J510">
        <v>0.08</v>
      </c>
      <c r="K510">
        <v>0.1061</v>
      </c>
      <c r="L510">
        <v>0.57999999999999996</v>
      </c>
      <c r="M510">
        <v>0.16420000000000001</v>
      </c>
      <c r="N510">
        <v>1</v>
      </c>
      <c r="O510">
        <v>1</v>
      </c>
      <c r="P510">
        <v>2</v>
      </c>
    </row>
    <row r="511" spans="1:16">
      <c r="A511">
        <v>510</v>
      </c>
      <c r="B511" s="1">
        <v>40566</v>
      </c>
      <c r="C511">
        <v>1</v>
      </c>
      <c r="D511">
        <v>0</v>
      </c>
      <c r="E511">
        <v>1</v>
      </c>
      <c r="F511">
        <v>8</v>
      </c>
      <c r="G511" t="b">
        <v>0</v>
      </c>
      <c r="H511">
        <v>0</v>
      </c>
      <c r="I511">
        <v>1</v>
      </c>
      <c r="J511">
        <v>0.06</v>
      </c>
      <c r="K511">
        <v>7.5800000000000006E-2</v>
      </c>
      <c r="L511">
        <v>0.62</v>
      </c>
      <c r="M511">
        <v>0.16420000000000001</v>
      </c>
      <c r="N511">
        <v>2</v>
      </c>
      <c r="O511">
        <v>17</v>
      </c>
      <c r="P511">
        <v>19</v>
      </c>
    </row>
    <row r="512" spans="1:16">
      <c r="A512">
        <v>511</v>
      </c>
      <c r="B512" s="1">
        <v>40566</v>
      </c>
      <c r="C512">
        <v>1</v>
      </c>
      <c r="D512">
        <v>0</v>
      </c>
      <c r="E512">
        <v>1</v>
      </c>
      <c r="F512">
        <v>9</v>
      </c>
      <c r="G512" t="b">
        <v>0</v>
      </c>
      <c r="H512">
        <v>0</v>
      </c>
      <c r="I512">
        <v>1</v>
      </c>
      <c r="J512">
        <v>0.1</v>
      </c>
      <c r="K512">
        <v>7.5800000000000006E-2</v>
      </c>
      <c r="L512">
        <v>0.54</v>
      </c>
      <c r="M512">
        <v>0.35820000000000002</v>
      </c>
      <c r="N512">
        <v>3</v>
      </c>
      <c r="O512">
        <v>25</v>
      </c>
      <c r="P512">
        <v>28</v>
      </c>
    </row>
    <row r="513" spans="1:16">
      <c r="A513">
        <v>512</v>
      </c>
      <c r="B513" s="1">
        <v>40566</v>
      </c>
      <c r="C513">
        <v>1</v>
      </c>
      <c r="D513">
        <v>0</v>
      </c>
      <c r="E513">
        <v>1</v>
      </c>
      <c r="F513">
        <v>10</v>
      </c>
      <c r="G513" t="b">
        <v>0</v>
      </c>
      <c r="H513">
        <v>0</v>
      </c>
      <c r="I513">
        <v>1</v>
      </c>
      <c r="J513">
        <v>0.14000000000000001</v>
      </c>
      <c r="K513">
        <v>0.1061</v>
      </c>
      <c r="L513">
        <v>0.46</v>
      </c>
      <c r="M513">
        <v>0.3881</v>
      </c>
      <c r="N513">
        <v>7</v>
      </c>
      <c r="O513">
        <v>51</v>
      </c>
      <c r="P513">
        <v>58</v>
      </c>
    </row>
    <row r="514" spans="1:16">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c r="A515">
        <v>514</v>
      </c>
      <c r="B515" s="1">
        <v>40566</v>
      </c>
      <c r="C515">
        <v>1</v>
      </c>
      <c r="D515">
        <v>0</v>
      </c>
      <c r="E515">
        <v>1</v>
      </c>
      <c r="F515">
        <v>12</v>
      </c>
      <c r="G515" t="b">
        <v>0</v>
      </c>
      <c r="H515">
        <v>0</v>
      </c>
      <c r="I515">
        <v>1</v>
      </c>
      <c r="J515">
        <v>0.16</v>
      </c>
      <c r="K515">
        <v>0.1212</v>
      </c>
      <c r="L515">
        <v>0.37</v>
      </c>
      <c r="M515">
        <v>0.4627</v>
      </c>
      <c r="N515">
        <v>24</v>
      </c>
      <c r="O515">
        <v>92</v>
      </c>
      <c r="P515">
        <v>116</v>
      </c>
    </row>
    <row r="516" spans="1:16">
      <c r="A516">
        <v>515</v>
      </c>
      <c r="B516" s="1">
        <v>40566</v>
      </c>
      <c r="C516">
        <v>1</v>
      </c>
      <c r="D516">
        <v>0</v>
      </c>
      <c r="E516">
        <v>1</v>
      </c>
      <c r="F516">
        <v>13</v>
      </c>
      <c r="G516" t="b">
        <v>0</v>
      </c>
      <c r="H516">
        <v>0</v>
      </c>
      <c r="I516">
        <v>1</v>
      </c>
      <c r="J516">
        <v>0.14000000000000001</v>
      </c>
      <c r="K516">
        <v>0.1061</v>
      </c>
      <c r="L516">
        <v>0.33</v>
      </c>
      <c r="M516">
        <v>0.3881</v>
      </c>
      <c r="N516">
        <v>12</v>
      </c>
      <c r="O516">
        <v>75</v>
      </c>
      <c r="P516">
        <v>87</v>
      </c>
    </row>
    <row r="517" spans="1:16">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c r="A519">
        <v>518</v>
      </c>
      <c r="B519" s="1">
        <v>40566</v>
      </c>
      <c r="C519">
        <v>1</v>
      </c>
      <c r="D519">
        <v>0</v>
      </c>
      <c r="E519">
        <v>1</v>
      </c>
      <c r="F519">
        <v>16</v>
      </c>
      <c r="G519" t="b">
        <v>0</v>
      </c>
      <c r="H519">
        <v>0</v>
      </c>
      <c r="I519">
        <v>1</v>
      </c>
      <c r="J519">
        <v>0.16</v>
      </c>
      <c r="K519">
        <v>0.13639999999999999</v>
      </c>
      <c r="L519">
        <v>0.26</v>
      </c>
      <c r="M519">
        <v>0.32840000000000003</v>
      </c>
      <c r="N519">
        <v>9</v>
      </c>
      <c r="O519">
        <v>56</v>
      </c>
      <c r="P519">
        <v>65</v>
      </c>
    </row>
    <row r="520" spans="1:16">
      <c r="A520">
        <v>519</v>
      </c>
      <c r="B520" s="1">
        <v>40566</v>
      </c>
      <c r="C520">
        <v>1</v>
      </c>
      <c r="D520">
        <v>0</v>
      </c>
      <c r="E520">
        <v>1</v>
      </c>
      <c r="F520">
        <v>17</v>
      </c>
      <c r="G520" t="b">
        <v>0</v>
      </c>
      <c r="H520">
        <v>0</v>
      </c>
      <c r="I520">
        <v>1</v>
      </c>
      <c r="J520">
        <v>0.14000000000000001</v>
      </c>
      <c r="K520">
        <v>0.1061</v>
      </c>
      <c r="L520">
        <v>0.26</v>
      </c>
      <c r="M520">
        <v>0.3881</v>
      </c>
      <c r="N520">
        <v>5</v>
      </c>
      <c r="O520">
        <v>50</v>
      </c>
      <c r="P520">
        <v>55</v>
      </c>
    </row>
    <row r="521" spans="1:16">
      <c r="A521">
        <v>520</v>
      </c>
      <c r="B521" s="1">
        <v>40566</v>
      </c>
      <c r="C521">
        <v>1</v>
      </c>
      <c r="D521">
        <v>0</v>
      </c>
      <c r="E521">
        <v>1</v>
      </c>
      <c r="F521">
        <v>18</v>
      </c>
      <c r="G521" t="b">
        <v>0</v>
      </c>
      <c r="H521">
        <v>0</v>
      </c>
      <c r="I521">
        <v>1</v>
      </c>
      <c r="J521">
        <v>0.12</v>
      </c>
      <c r="K521">
        <v>0.1212</v>
      </c>
      <c r="L521">
        <v>0.3</v>
      </c>
      <c r="M521">
        <v>0.25369999999999998</v>
      </c>
      <c r="N521">
        <v>5</v>
      </c>
      <c r="O521">
        <v>44</v>
      </c>
      <c r="P521">
        <v>49</v>
      </c>
    </row>
    <row r="522" spans="1:16">
      <c r="A522">
        <v>521</v>
      </c>
      <c r="B522" s="1">
        <v>40566</v>
      </c>
      <c r="C522">
        <v>1</v>
      </c>
      <c r="D522">
        <v>0</v>
      </c>
      <c r="E522">
        <v>1</v>
      </c>
      <c r="F522">
        <v>19</v>
      </c>
      <c r="G522" t="b">
        <v>0</v>
      </c>
      <c r="H522">
        <v>0</v>
      </c>
      <c r="I522">
        <v>1</v>
      </c>
      <c r="J522">
        <v>0.12</v>
      </c>
      <c r="K522">
        <v>0.1212</v>
      </c>
      <c r="L522">
        <v>0.3</v>
      </c>
      <c r="M522">
        <v>0.28360000000000002</v>
      </c>
      <c r="N522">
        <v>5</v>
      </c>
      <c r="O522">
        <v>45</v>
      </c>
      <c r="P522">
        <v>50</v>
      </c>
    </row>
    <row r="523" spans="1:16">
      <c r="A523">
        <v>522</v>
      </c>
      <c r="B523" s="1">
        <v>40566</v>
      </c>
      <c r="C523">
        <v>1</v>
      </c>
      <c r="D523">
        <v>0</v>
      </c>
      <c r="E523">
        <v>1</v>
      </c>
      <c r="F523">
        <v>20</v>
      </c>
      <c r="G523" t="b">
        <v>0</v>
      </c>
      <c r="H523">
        <v>0</v>
      </c>
      <c r="I523">
        <v>1</v>
      </c>
      <c r="J523">
        <v>0.1</v>
      </c>
      <c r="K523">
        <v>0.1061</v>
      </c>
      <c r="L523">
        <v>0.36</v>
      </c>
      <c r="M523">
        <v>0.25369999999999998</v>
      </c>
      <c r="N523">
        <v>4</v>
      </c>
      <c r="O523">
        <v>31</v>
      </c>
      <c r="P523">
        <v>35</v>
      </c>
    </row>
    <row r="524" spans="1:16">
      <c r="A524">
        <v>523</v>
      </c>
      <c r="B524" s="1">
        <v>40566</v>
      </c>
      <c r="C524">
        <v>1</v>
      </c>
      <c r="D524">
        <v>0</v>
      </c>
      <c r="E524">
        <v>1</v>
      </c>
      <c r="F524">
        <v>21</v>
      </c>
      <c r="G524" t="b">
        <v>0</v>
      </c>
      <c r="H524">
        <v>0</v>
      </c>
      <c r="I524">
        <v>1</v>
      </c>
      <c r="J524">
        <v>0.1</v>
      </c>
      <c r="K524">
        <v>0.1061</v>
      </c>
      <c r="L524">
        <v>0.36</v>
      </c>
      <c r="M524">
        <v>0.19400000000000001</v>
      </c>
      <c r="N524">
        <v>5</v>
      </c>
      <c r="O524">
        <v>20</v>
      </c>
      <c r="P524">
        <v>25</v>
      </c>
    </row>
    <row r="525" spans="1:16">
      <c r="A525">
        <v>524</v>
      </c>
      <c r="B525" s="1">
        <v>40566</v>
      </c>
      <c r="C525">
        <v>1</v>
      </c>
      <c r="D525">
        <v>0</v>
      </c>
      <c r="E525">
        <v>1</v>
      </c>
      <c r="F525">
        <v>22</v>
      </c>
      <c r="G525" t="b">
        <v>0</v>
      </c>
      <c r="H525">
        <v>0</v>
      </c>
      <c r="I525">
        <v>1</v>
      </c>
      <c r="J525">
        <v>0.08</v>
      </c>
      <c r="K525">
        <v>9.0899999999999995E-2</v>
      </c>
      <c r="L525">
        <v>0.38</v>
      </c>
      <c r="M525">
        <v>0.19400000000000001</v>
      </c>
      <c r="N525">
        <v>5</v>
      </c>
      <c r="O525">
        <v>23</v>
      </c>
      <c r="P525">
        <v>28</v>
      </c>
    </row>
    <row r="526" spans="1:16">
      <c r="A526">
        <v>525</v>
      </c>
      <c r="B526" s="1">
        <v>40566</v>
      </c>
      <c r="C526">
        <v>1</v>
      </c>
      <c r="D526">
        <v>0</v>
      </c>
      <c r="E526">
        <v>1</v>
      </c>
      <c r="F526">
        <v>23</v>
      </c>
      <c r="G526" t="b">
        <v>0</v>
      </c>
      <c r="H526">
        <v>0</v>
      </c>
      <c r="I526">
        <v>1</v>
      </c>
      <c r="J526">
        <v>0.06</v>
      </c>
      <c r="K526">
        <v>6.0600000000000001E-2</v>
      </c>
      <c r="L526">
        <v>0.41</v>
      </c>
      <c r="M526">
        <v>0.22389999999999999</v>
      </c>
      <c r="N526">
        <v>4</v>
      </c>
      <c r="O526">
        <v>17</v>
      </c>
      <c r="P526">
        <v>21</v>
      </c>
    </row>
    <row r="527" spans="1:16">
      <c r="A527">
        <v>526</v>
      </c>
      <c r="B527" s="1">
        <v>40567</v>
      </c>
      <c r="C527">
        <v>1</v>
      </c>
      <c r="D527">
        <v>0</v>
      </c>
      <c r="E527">
        <v>1</v>
      </c>
      <c r="F527">
        <v>0</v>
      </c>
      <c r="G527" t="b">
        <v>0</v>
      </c>
      <c r="H527">
        <v>1</v>
      </c>
      <c r="I527">
        <v>1</v>
      </c>
      <c r="J527">
        <v>0.06</v>
      </c>
      <c r="K527">
        <v>6.0600000000000001E-2</v>
      </c>
      <c r="L527">
        <v>0.41</v>
      </c>
      <c r="M527">
        <v>0.19400000000000001</v>
      </c>
      <c r="N527">
        <v>0</v>
      </c>
      <c r="O527">
        <v>7</v>
      </c>
      <c r="P527">
        <v>7</v>
      </c>
    </row>
    <row r="528" spans="1:16">
      <c r="A528">
        <v>527</v>
      </c>
      <c r="B528" s="1">
        <v>40567</v>
      </c>
      <c r="C528">
        <v>1</v>
      </c>
      <c r="D528">
        <v>0</v>
      </c>
      <c r="E528">
        <v>1</v>
      </c>
      <c r="F528">
        <v>1</v>
      </c>
      <c r="G528" t="b">
        <v>0</v>
      </c>
      <c r="H528">
        <v>1</v>
      </c>
      <c r="I528">
        <v>1</v>
      </c>
      <c r="J528">
        <v>0.04</v>
      </c>
      <c r="K528">
        <v>4.5499999999999999E-2</v>
      </c>
      <c r="L528">
        <v>0.45</v>
      </c>
      <c r="M528">
        <v>0.19400000000000001</v>
      </c>
      <c r="N528">
        <v>0</v>
      </c>
      <c r="O528">
        <v>1</v>
      </c>
      <c r="P528">
        <v>1</v>
      </c>
    </row>
    <row r="529" spans="1:16">
      <c r="A529">
        <v>528</v>
      </c>
      <c r="B529" s="1">
        <v>40567</v>
      </c>
      <c r="C529">
        <v>1</v>
      </c>
      <c r="D529">
        <v>0</v>
      </c>
      <c r="E529">
        <v>1</v>
      </c>
      <c r="F529">
        <v>3</v>
      </c>
      <c r="G529" t="b">
        <v>0</v>
      </c>
      <c r="H529">
        <v>1</v>
      </c>
      <c r="I529">
        <v>1</v>
      </c>
      <c r="J529">
        <v>0.04</v>
      </c>
      <c r="K529">
        <v>3.0300000000000001E-2</v>
      </c>
      <c r="L529">
        <v>0.45</v>
      </c>
      <c r="M529">
        <v>0.25369999999999998</v>
      </c>
      <c r="N529">
        <v>0</v>
      </c>
      <c r="O529">
        <v>1</v>
      </c>
      <c r="P529">
        <v>1</v>
      </c>
    </row>
    <row r="530" spans="1:16">
      <c r="A530">
        <v>529</v>
      </c>
      <c r="B530" s="1">
        <v>40567</v>
      </c>
      <c r="C530">
        <v>1</v>
      </c>
      <c r="D530">
        <v>0</v>
      </c>
      <c r="E530">
        <v>1</v>
      </c>
      <c r="F530">
        <v>4</v>
      </c>
      <c r="G530" t="b">
        <v>0</v>
      </c>
      <c r="H530">
        <v>1</v>
      </c>
      <c r="I530">
        <v>1</v>
      </c>
      <c r="J530">
        <v>0.02</v>
      </c>
      <c r="K530">
        <v>6.0600000000000001E-2</v>
      </c>
      <c r="L530">
        <v>0.48</v>
      </c>
      <c r="M530">
        <v>0.1343</v>
      </c>
      <c r="N530">
        <v>0</v>
      </c>
      <c r="O530">
        <v>1</v>
      </c>
      <c r="P530">
        <v>1</v>
      </c>
    </row>
    <row r="531" spans="1:16">
      <c r="A531">
        <v>530</v>
      </c>
      <c r="B531" s="1">
        <v>40567</v>
      </c>
      <c r="C531">
        <v>1</v>
      </c>
      <c r="D531">
        <v>0</v>
      </c>
      <c r="E531">
        <v>1</v>
      </c>
      <c r="F531">
        <v>5</v>
      </c>
      <c r="G531" t="b">
        <v>0</v>
      </c>
      <c r="H531">
        <v>1</v>
      </c>
      <c r="I531">
        <v>1</v>
      </c>
      <c r="J531">
        <v>0.02</v>
      </c>
      <c r="K531">
        <v>6.0600000000000001E-2</v>
      </c>
      <c r="L531">
        <v>0.48</v>
      </c>
      <c r="M531">
        <v>0.1343</v>
      </c>
      <c r="N531">
        <v>0</v>
      </c>
      <c r="O531">
        <v>5</v>
      </c>
      <c r="P531">
        <v>5</v>
      </c>
    </row>
    <row r="532" spans="1:16">
      <c r="A532">
        <v>531</v>
      </c>
      <c r="B532" s="1">
        <v>40567</v>
      </c>
      <c r="C532">
        <v>1</v>
      </c>
      <c r="D532">
        <v>0</v>
      </c>
      <c r="E532">
        <v>1</v>
      </c>
      <c r="F532">
        <v>6</v>
      </c>
      <c r="G532" t="b">
        <v>0</v>
      </c>
      <c r="H532">
        <v>1</v>
      </c>
      <c r="I532">
        <v>1</v>
      </c>
      <c r="J532">
        <v>0.02</v>
      </c>
      <c r="K532">
        <v>7.5800000000000006E-2</v>
      </c>
      <c r="L532">
        <v>0.48</v>
      </c>
      <c r="M532">
        <v>8.9599999999999999E-2</v>
      </c>
      <c r="N532">
        <v>0</v>
      </c>
      <c r="O532">
        <v>15</v>
      </c>
      <c r="P532">
        <v>15</v>
      </c>
    </row>
    <row r="533" spans="1:16">
      <c r="A533">
        <v>532</v>
      </c>
      <c r="B533" s="1">
        <v>40567</v>
      </c>
      <c r="C533">
        <v>1</v>
      </c>
      <c r="D533">
        <v>0</v>
      </c>
      <c r="E533">
        <v>1</v>
      </c>
      <c r="F533">
        <v>7</v>
      </c>
      <c r="G533" t="b">
        <v>0</v>
      </c>
      <c r="H533">
        <v>1</v>
      </c>
      <c r="I533">
        <v>1</v>
      </c>
      <c r="J533">
        <v>0.02</v>
      </c>
      <c r="K533">
        <v>0.1212</v>
      </c>
      <c r="L533">
        <v>0.48</v>
      </c>
      <c r="M533">
        <v>0</v>
      </c>
      <c r="N533">
        <v>5</v>
      </c>
      <c r="O533">
        <v>79</v>
      </c>
      <c r="P533">
        <v>84</v>
      </c>
    </row>
    <row r="534" spans="1:16">
      <c r="A534">
        <v>533</v>
      </c>
      <c r="B534" s="1">
        <v>40567</v>
      </c>
      <c r="C534">
        <v>1</v>
      </c>
      <c r="D534">
        <v>0</v>
      </c>
      <c r="E534">
        <v>1</v>
      </c>
      <c r="F534">
        <v>8</v>
      </c>
      <c r="G534" t="b">
        <v>0</v>
      </c>
      <c r="H534">
        <v>1</v>
      </c>
      <c r="I534">
        <v>1</v>
      </c>
      <c r="J534">
        <v>0.04</v>
      </c>
      <c r="K534">
        <v>0.13639999999999999</v>
      </c>
      <c r="L534">
        <v>0.49</v>
      </c>
      <c r="M534">
        <v>0</v>
      </c>
      <c r="N534">
        <v>6</v>
      </c>
      <c r="O534">
        <v>171</v>
      </c>
      <c r="P534">
        <v>177</v>
      </c>
    </row>
    <row r="535" spans="1:16">
      <c r="A535">
        <v>534</v>
      </c>
      <c r="B535" s="1">
        <v>40567</v>
      </c>
      <c r="C535">
        <v>1</v>
      </c>
      <c r="D535">
        <v>0</v>
      </c>
      <c r="E535">
        <v>1</v>
      </c>
      <c r="F535">
        <v>9</v>
      </c>
      <c r="G535" t="b">
        <v>0</v>
      </c>
      <c r="H535">
        <v>1</v>
      </c>
      <c r="I535">
        <v>1</v>
      </c>
      <c r="J535">
        <v>0.06</v>
      </c>
      <c r="K535">
        <v>0.1515</v>
      </c>
      <c r="L535">
        <v>0.41</v>
      </c>
      <c r="M535">
        <v>0</v>
      </c>
      <c r="N535">
        <v>4</v>
      </c>
      <c r="O535">
        <v>98</v>
      </c>
      <c r="P535">
        <v>102</v>
      </c>
    </row>
    <row r="536" spans="1:16">
      <c r="A536">
        <v>535</v>
      </c>
      <c r="B536" s="1">
        <v>40567</v>
      </c>
      <c r="C536">
        <v>1</v>
      </c>
      <c r="D536">
        <v>0</v>
      </c>
      <c r="E536">
        <v>1</v>
      </c>
      <c r="F536">
        <v>10</v>
      </c>
      <c r="G536" t="b">
        <v>0</v>
      </c>
      <c r="H536">
        <v>1</v>
      </c>
      <c r="I536">
        <v>1</v>
      </c>
      <c r="J536">
        <v>0.1</v>
      </c>
      <c r="K536">
        <v>0.13639999999999999</v>
      </c>
      <c r="L536">
        <v>0.42</v>
      </c>
      <c r="M536">
        <v>0</v>
      </c>
      <c r="N536">
        <v>6</v>
      </c>
      <c r="O536">
        <v>34</v>
      </c>
      <c r="P536">
        <v>40</v>
      </c>
    </row>
    <row r="537" spans="1:16">
      <c r="A537">
        <v>536</v>
      </c>
      <c r="B537" s="1">
        <v>40567</v>
      </c>
      <c r="C537">
        <v>1</v>
      </c>
      <c r="D537">
        <v>0</v>
      </c>
      <c r="E537">
        <v>1</v>
      </c>
      <c r="F537">
        <v>11</v>
      </c>
      <c r="G537" t="b">
        <v>0</v>
      </c>
      <c r="H537">
        <v>1</v>
      </c>
      <c r="I537">
        <v>1</v>
      </c>
      <c r="J537">
        <v>0.1</v>
      </c>
      <c r="K537">
        <v>0.1212</v>
      </c>
      <c r="L537">
        <v>0.46</v>
      </c>
      <c r="M537">
        <v>0.1343</v>
      </c>
      <c r="N537">
        <v>3</v>
      </c>
      <c r="O537">
        <v>43</v>
      </c>
      <c r="P537">
        <v>46</v>
      </c>
    </row>
    <row r="538" spans="1:16">
      <c r="A538">
        <v>537</v>
      </c>
      <c r="B538" s="1">
        <v>40567</v>
      </c>
      <c r="C538">
        <v>1</v>
      </c>
      <c r="D538">
        <v>0</v>
      </c>
      <c r="E538">
        <v>1</v>
      </c>
      <c r="F538">
        <v>12</v>
      </c>
      <c r="G538" t="b">
        <v>0</v>
      </c>
      <c r="H538">
        <v>1</v>
      </c>
      <c r="I538">
        <v>2</v>
      </c>
      <c r="J538">
        <v>0.12</v>
      </c>
      <c r="K538">
        <v>0.13639999999999999</v>
      </c>
      <c r="L538">
        <v>0.42</v>
      </c>
      <c r="M538">
        <v>0.19400000000000001</v>
      </c>
      <c r="N538">
        <v>11</v>
      </c>
      <c r="O538">
        <v>52</v>
      </c>
      <c r="P538">
        <v>63</v>
      </c>
    </row>
    <row r="539" spans="1:16">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c r="A541">
        <v>540</v>
      </c>
      <c r="B541" s="1">
        <v>40567</v>
      </c>
      <c r="C541">
        <v>1</v>
      </c>
      <c r="D541">
        <v>0</v>
      </c>
      <c r="E541">
        <v>1</v>
      </c>
      <c r="F541">
        <v>15</v>
      </c>
      <c r="G541" t="b">
        <v>0</v>
      </c>
      <c r="H541">
        <v>1</v>
      </c>
      <c r="I541">
        <v>1</v>
      </c>
      <c r="J541">
        <v>0.16</v>
      </c>
      <c r="K541">
        <v>0.16669999999999999</v>
      </c>
      <c r="L541">
        <v>0.4</v>
      </c>
      <c r="M541">
        <v>0.16420000000000001</v>
      </c>
      <c r="N541">
        <v>7</v>
      </c>
      <c r="O541">
        <v>50</v>
      </c>
      <c r="P541">
        <v>57</v>
      </c>
    </row>
    <row r="542" spans="1:16">
      <c r="A542">
        <v>541</v>
      </c>
      <c r="B542" s="1">
        <v>40567</v>
      </c>
      <c r="C542">
        <v>1</v>
      </c>
      <c r="D542">
        <v>0</v>
      </c>
      <c r="E542">
        <v>1</v>
      </c>
      <c r="F542">
        <v>16</v>
      </c>
      <c r="G542" t="b">
        <v>0</v>
      </c>
      <c r="H542">
        <v>1</v>
      </c>
      <c r="I542">
        <v>1</v>
      </c>
      <c r="J542">
        <v>0.16</v>
      </c>
      <c r="K542">
        <v>0.1515</v>
      </c>
      <c r="L542">
        <v>0.47</v>
      </c>
      <c r="M542">
        <v>0.25369999999999998</v>
      </c>
      <c r="N542">
        <v>4</v>
      </c>
      <c r="O542">
        <v>66</v>
      </c>
      <c r="P542">
        <v>70</v>
      </c>
    </row>
    <row r="543" spans="1:16">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row>
    <row r="544" spans="1:16">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row>
    <row r="546" spans="1:16">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row>
    <row r="548" spans="1:16">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c r="A549">
        <v>548</v>
      </c>
      <c r="B549" s="1">
        <v>40567</v>
      </c>
      <c r="C549">
        <v>1</v>
      </c>
      <c r="D549">
        <v>0</v>
      </c>
      <c r="E549">
        <v>1</v>
      </c>
      <c r="F549">
        <v>23</v>
      </c>
      <c r="G549" t="b">
        <v>0</v>
      </c>
      <c r="H549">
        <v>1</v>
      </c>
      <c r="I549">
        <v>2</v>
      </c>
      <c r="J549">
        <v>0.16</v>
      </c>
      <c r="K549">
        <v>0.1515</v>
      </c>
      <c r="L549">
        <v>0.64</v>
      </c>
      <c r="M549">
        <v>0.25369999999999998</v>
      </c>
      <c r="N549">
        <v>3</v>
      </c>
      <c r="O549">
        <v>21</v>
      </c>
      <c r="P549">
        <v>24</v>
      </c>
    </row>
    <row r="550" spans="1:16">
      <c r="A550">
        <v>549</v>
      </c>
      <c r="B550" s="1">
        <v>40568</v>
      </c>
      <c r="C550">
        <v>1</v>
      </c>
      <c r="D550">
        <v>0</v>
      </c>
      <c r="E550">
        <v>1</v>
      </c>
      <c r="F550">
        <v>0</v>
      </c>
      <c r="G550" t="b">
        <v>0</v>
      </c>
      <c r="H550">
        <v>2</v>
      </c>
      <c r="I550">
        <v>2</v>
      </c>
      <c r="J550">
        <v>0.16</v>
      </c>
      <c r="K550">
        <v>0.13639999999999999</v>
      </c>
      <c r="L550">
        <v>0.69</v>
      </c>
      <c r="M550">
        <v>0.28360000000000002</v>
      </c>
      <c r="N550">
        <v>3</v>
      </c>
      <c r="O550">
        <v>6</v>
      </c>
      <c r="P550">
        <v>9</v>
      </c>
    </row>
    <row r="551" spans="1:16">
      <c r="A551">
        <v>550</v>
      </c>
      <c r="B551" s="1">
        <v>40568</v>
      </c>
      <c r="C551">
        <v>1</v>
      </c>
      <c r="D551">
        <v>0</v>
      </c>
      <c r="E551">
        <v>1</v>
      </c>
      <c r="F551">
        <v>1</v>
      </c>
      <c r="G551" t="b">
        <v>0</v>
      </c>
      <c r="H551">
        <v>2</v>
      </c>
      <c r="I551">
        <v>2</v>
      </c>
      <c r="J551">
        <v>0.16</v>
      </c>
      <c r="K551">
        <v>0.16669999999999999</v>
      </c>
      <c r="L551">
        <v>0.69</v>
      </c>
      <c r="M551">
        <v>0.16420000000000001</v>
      </c>
      <c r="N551">
        <v>0</v>
      </c>
      <c r="O551">
        <v>5</v>
      </c>
      <c r="P551">
        <v>5</v>
      </c>
    </row>
    <row r="552" spans="1:16">
      <c r="A552">
        <v>551</v>
      </c>
      <c r="B552" s="1">
        <v>40568</v>
      </c>
      <c r="C552">
        <v>1</v>
      </c>
      <c r="D552">
        <v>0</v>
      </c>
      <c r="E552">
        <v>1</v>
      </c>
      <c r="F552">
        <v>2</v>
      </c>
      <c r="G552" t="b">
        <v>0</v>
      </c>
      <c r="H552">
        <v>2</v>
      </c>
      <c r="I552">
        <v>1</v>
      </c>
      <c r="J552">
        <v>0.16</v>
      </c>
      <c r="K552">
        <v>0.1515</v>
      </c>
      <c r="L552">
        <v>0.69</v>
      </c>
      <c r="M552">
        <v>0.22389999999999999</v>
      </c>
      <c r="N552">
        <v>0</v>
      </c>
      <c r="O552">
        <v>2</v>
      </c>
      <c r="P552">
        <v>2</v>
      </c>
    </row>
    <row r="553" spans="1:16">
      <c r="A553">
        <v>552</v>
      </c>
      <c r="B553" s="1">
        <v>40568</v>
      </c>
      <c r="C553">
        <v>1</v>
      </c>
      <c r="D553">
        <v>0</v>
      </c>
      <c r="E553">
        <v>1</v>
      </c>
      <c r="F553">
        <v>4</v>
      </c>
      <c r="G553" t="b">
        <v>0</v>
      </c>
      <c r="H553">
        <v>2</v>
      </c>
      <c r="I553">
        <v>1</v>
      </c>
      <c r="J553">
        <v>0.14000000000000001</v>
      </c>
      <c r="K553">
        <v>0.16669999999999999</v>
      </c>
      <c r="L553">
        <v>0.74</v>
      </c>
      <c r="M553">
        <v>0.1045</v>
      </c>
      <c r="N553">
        <v>0</v>
      </c>
      <c r="O553">
        <v>1</v>
      </c>
      <c r="P553">
        <v>1</v>
      </c>
    </row>
    <row r="554" spans="1:16">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c r="A555">
        <v>554</v>
      </c>
      <c r="B555" s="1">
        <v>40568</v>
      </c>
      <c r="C555">
        <v>1</v>
      </c>
      <c r="D555">
        <v>0</v>
      </c>
      <c r="E555">
        <v>1</v>
      </c>
      <c r="F555">
        <v>6</v>
      </c>
      <c r="G555" t="b">
        <v>0</v>
      </c>
      <c r="H555">
        <v>2</v>
      </c>
      <c r="I555">
        <v>1</v>
      </c>
      <c r="J555">
        <v>0.16</v>
      </c>
      <c r="K555">
        <v>0.18179999999999999</v>
      </c>
      <c r="L555">
        <v>0.74</v>
      </c>
      <c r="M555">
        <v>0.1045</v>
      </c>
      <c r="N555">
        <v>1</v>
      </c>
      <c r="O555">
        <v>35</v>
      </c>
      <c r="P555">
        <v>36</v>
      </c>
    </row>
    <row r="556" spans="1:16">
      <c r="A556">
        <v>555</v>
      </c>
      <c r="B556" s="1">
        <v>40568</v>
      </c>
      <c r="C556">
        <v>1</v>
      </c>
      <c r="D556">
        <v>0</v>
      </c>
      <c r="E556">
        <v>1</v>
      </c>
      <c r="F556">
        <v>7</v>
      </c>
      <c r="G556" t="b">
        <v>0</v>
      </c>
      <c r="H556">
        <v>2</v>
      </c>
      <c r="I556">
        <v>1</v>
      </c>
      <c r="J556">
        <v>0.16</v>
      </c>
      <c r="K556">
        <v>0.1515</v>
      </c>
      <c r="L556">
        <v>0.74</v>
      </c>
      <c r="M556">
        <v>0.22389999999999999</v>
      </c>
      <c r="N556">
        <v>5</v>
      </c>
      <c r="O556">
        <v>103</v>
      </c>
      <c r="P556">
        <v>108</v>
      </c>
    </row>
    <row r="557" spans="1:16">
      <c r="A557">
        <v>556</v>
      </c>
      <c r="B557" s="1">
        <v>40568</v>
      </c>
      <c r="C557">
        <v>1</v>
      </c>
      <c r="D557">
        <v>0</v>
      </c>
      <c r="E557">
        <v>1</v>
      </c>
      <c r="F557">
        <v>8</v>
      </c>
      <c r="G557" t="b">
        <v>0</v>
      </c>
      <c r="H557">
        <v>2</v>
      </c>
      <c r="I557">
        <v>2</v>
      </c>
      <c r="J557">
        <v>0.16</v>
      </c>
      <c r="K557">
        <v>0.18179999999999999</v>
      </c>
      <c r="L557">
        <v>0.74</v>
      </c>
      <c r="M557">
        <v>0.1343</v>
      </c>
      <c r="N557">
        <v>5</v>
      </c>
      <c r="O557">
        <v>233</v>
      </c>
      <c r="P557">
        <v>238</v>
      </c>
    </row>
    <row r="558" spans="1:16">
      <c r="A558">
        <v>557</v>
      </c>
      <c r="B558" s="1">
        <v>40568</v>
      </c>
      <c r="C558">
        <v>1</v>
      </c>
      <c r="D558">
        <v>0</v>
      </c>
      <c r="E558">
        <v>1</v>
      </c>
      <c r="F558">
        <v>9</v>
      </c>
      <c r="G558" t="b">
        <v>0</v>
      </c>
      <c r="H558">
        <v>2</v>
      </c>
      <c r="I558">
        <v>2</v>
      </c>
      <c r="J558">
        <v>0.2</v>
      </c>
      <c r="K558">
        <v>0.2273</v>
      </c>
      <c r="L558">
        <v>0.64</v>
      </c>
      <c r="M558">
        <v>8.9599999999999999E-2</v>
      </c>
      <c r="N558">
        <v>10</v>
      </c>
      <c r="O558">
        <v>134</v>
      </c>
      <c r="P558">
        <v>144</v>
      </c>
    </row>
    <row r="559" spans="1:16">
      <c r="A559">
        <v>558</v>
      </c>
      <c r="B559" s="1">
        <v>40568</v>
      </c>
      <c r="C559">
        <v>1</v>
      </c>
      <c r="D559">
        <v>0</v>
      </c>
      <c r="E559">
        <v>1</v>
      </c>
      <c r="F559">
        <v>10</v>
      </c>
      <c r="G559" t="b">
        <v>0</v>
      </c>
      <c r="H559">
        <v>2</v>
      </c>
      <c r="I559">
        <v>2</v>
      </c>
      <c r="J559">
        <v>0.22</v>
      </c>
      <c r="K559">
        <v>0.2424</v>
      </c>
      <c r="L559">
        <v>0.6</v>
      </c>
      <c r="M559">
        <v>0.1045</v>
      </c>
      <c r="N559">
        <v>6</v>
      </c>
      <c r="O559">
        <v>49</v>
      </c>
      <c r="P559">
        <v>55</v>
      </c>
    </row>
    <row r="560" spans="1:16">
      <c r="A560">
        <v>559</v>
      </c>
      <c r="B560" s="1">
        <v>40568</v>
      </c>
      <c r="C560">
        <v>1</v>
      </c>
      <c r="D560">
        <v>0</v>
      </c>
      <c r="E560">
        <v>1</v>
      </c>
      <c r="F560">
        <v>11</v>
      </c>
      <c r="G560" t="b">
        <v>0</v>
      </c>
      <c r="H560">
        <v>2</v>
      </c>
      <c r="I560">
        <v>2</v>
      </c>
      <c r="J560">
        <v>0.24</v>
      </c>
      <c r="K560">
        <v>0.2424</v>
      </c>
      <c r="L560">
        <v>0.6</v>
      </c>
      <c r="M560">
        <v>0.1343</v>
      </c>
      <c r="N560">
        <v>6</v>
      </c>
      <c r="O560">
        <v>55</v>
      </c>
      <c r="P560">
        <v>61</v>
      </c>
    </row>
    <row r="561" spans="1:16">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c r="A562">
        <v>561</v>
      </c>
      <c r="B562" s="1">
        <v>40568</v>
      </c>
      <c r="C562">
        <v>1</v>
      </c>
      <c r="D562">
        <v>0</v>
      </c>
      <c r="E562">
        <v>1</v>
      </c>
      <c r="F562">
        <v>13</v>
      </c>
      <c r="G562" t="b">
        <v>0</v>
      </c>
      <c r="H562">
        <v>2</v>
      </c>
      <c r="I562">
        <v>2</v>
      </c>
      <c r="J562">
        <v>0.26</v>
      </c>
      <c r="K562">
        <v>0.2727</v>
      </c>
      <c r="L562">
        <v>0.56000000000000005</v>
      </c>
      <c r="M562">
        <v>0.1343</v>
      </c>
      <c r="N562">
        <v>21</v>
      </c>
      <c r="O562">
        <v>72</v>
      </c>
      <c r="P562">
        <v>93</v>
      </c>
    </row>
    <row r="563" spans="1:16">
      <c r="A563">
        <v>562</v>
      </c>
      <c r="B563" s="1">
        <v>40568</v>
      </c>
      <c r="C563">
        <v>1</v>
      </c>
      <c r="D563">
        <v>0</v>
      </c>
      <c r="E563">
        <v>1</v>
      </c>
      <c r="F563">
        <v>14</v>
      </c>
      <c r="G563" t="b">
        <v>0</v>
      </c>
      <c r="H563">
        <v>2</v>
      </c>
      <c r="I563">
        <v>2</v>
      </c>
      <c r="J563">
        <v>0.3</v>
      </c>
      <c r="K563">
        <v>0.33329999999999999</v>
      </c>
      <c r="L563">
        <v>0.45</v>
      </c>
      <c r="M563">
        <v>0</v>
      </c>
      <c r="N563">
        <v>11</v>
      </c>
      <c r="O563">
        <v>57</v>
      </c>
      <c r="P563">
        <v>68</v>
      </c>
    </row>
    <row r="564" spans="1:16">
      <c r="A564">
        <v>563</v>
      </c>
      <c r="B564" s="1">
        <v>40568</v>
      </c>
      <c r="C564">
        <v>1</v>
      </c>
      <c r="D564">
        <v>0</v>
      </c>
      <c r="E564">
        <v>1</v>
      </c>
      <c r="F564">
        <v>15</v>
      </c>
      <c r="G564" t="b">
        <v>0</v>
      </c>
      <c r="H564">
        <v>2</v>
      </c>
      <c r="I564">
        <v>2</v>
      </c>
      <c r="J564">
        <v>0.32</v>
      </c>
      <c r="K564">
        <v>0.34849999999999998</v>
      </c>
      <c r="L564">
        <v>0.42</v>
      </c>
      <c r="M564">
        <v>0</v>
      </c>
      <c r="N564">
        <v>21</v>
      </c>
      <c r="O564">
        <v>63</v>
      </c>
      <c r="P564">
        <v>84</v>
      </c>
    </row>
    <row r="565" spans="1:16">
      <c r="A565">
        <v>564</v>
      </c>
      <c r="B565" s="1">
        <v>40568</v>
      </c>
      <c r="C565">
        <v>1</v>
      </c>
      <c r="D565">
        <v>0</v>
      </c>
      <c r="E565">
        <v>1</v>
      </c>
      <c r="F565">
        <v>16</v>
      </c>
      <c r="G565" t="b">
        <v>0</v>
      </c>
      <c r="H565">
        <v>2</v>
      </c>
      <c r="I565">
        <v>2</v>
      </c>
      <c r="J565">
        <v>0.32</v>
      </c>
      <c r="K565">
        <v>0.34849999999999998</v>
      </c>
      <c r="L565">
        <v>0.42</v>
      </c>
      <c r="M565">
        <v>0</v>
      </c>
      <c r="N565">
        <v>14</v>
      </c>
      <c r="O565">
        <v>102</v>
      </c>
      <c r="P565">
        <v>116</v>
      </c>
    </row>
    <row r="566" spans="1:16">
      <c r="A566">
        <v>565</v>
      </c>
      <c r="B566" s="1">
        <v>40568</v>
      </c>
      <c r="C566">
        <v>1</v>
      </c>
      <c r="D566">
        <v>0</v>
      </c>
      <c r="E566">
        <v>1</v>
      </c>
      <c r="F566">
        <v>17</v>
      </c>
      <c r="G566" t="b">
        <v>0</v>
      </c>
      <c r="H566">
        <v>2</v>
      </c>
      <c r="I566">
        <v>1</v>
      </c>
      <c r="J566">
        <v>0.3</v>
      </c>
      <c r="K566">
        <v>0.33329999999999999</v>
      </c>
      <c r="L566">
        <v>0.45</v>
      </c>
      <c r="M566">
        <v>0</v>
      </c>
      <c r="N566">
        <v>14</v>
      </c>
      <c r="O566">
        <v>208</v>
      </c>
      <c r="P566">
        <v>222</v>
      </c>
    </row>
    <row r="567" spans="1:16">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row>
    <row r="568" spans="1:16">
      <c r="A568">
        <v>567</v>
      </c>
      <c r="B568" s="1">
        <v>40568</v>
      </c>
      <c r="C568">
        <v>1</v>
      </c>
      <c r="D568">
        <v>0</v>
      </c>
      <c r="E568">
        <v>1</v>
      </c>
      <c r="F568">
        <v>19</v>
      </c>
      <c r="G568" t="b">
        <v>0</v>
      </c>
      <c r="H568">
        <v>2</v>
      </c>
      <c r="I568">
        <v>2</v>
      </c>
      <c r="J568">
        <v>0.26</v>
      </c>
      <c r="K568">
        <v>0.2576</v>
      </c>
      <c r="L568">
        <v>0.65</v>
      </c>
      <c r="M568">
        <v>0.16420000000000001</v>
      </c>
      <c r="N568">
        <v>13</v>
      </c>
      <c r="O568">
        <v>133</v>
      </c>
      <c r="P568">
        <v>146</v>
      </c>
    </row>
    <row r="569" spans="1:16">
      <c r="A569">
        <v>568</v>
      </c>
      <c r="B569" s="1">
        <v>40568</v>
      </c>
      <c r="C569">
        <v>1</v>
      </c>
      <c r="D569">
        <v>0</v>
      </c>
      <c r="E569">
        <v>1</v>
      </c>
      <c r="F569">
        <v>20</v>
      </c>
      <c r="G569" t="b">
        <v>0</v>
      </c>
      <c r="H569">
        <v>2</v>
      </c>
      <c r="I569">
        <v>1</v>
      </c>
      <c r="J569">
        <v>0.24</v>
      </c>
      <c r="K569">
        <v>0.2273</v>
      </c>
      <c r="L569">
        <v>0.65</v>
      </c>
      <c r="M569">
        <v>0.19400000000000001</v>
      </c>
      <c r="N569">
        <v>16</v>
      </c>
      <c r="O569">
        <v>103</v>
      </c>
      <c r="P569">
        <v>119</v>
      </c>
    </row>
    <row r="570" spans="1:16">
      <c r="A570">
        <v>569</v>
      </c>
      <c r="B570" s="1">
        <v>40568</v>
      </c>
      <c r="C570">
        <v>1</v>
      </c>
      <c r="D570">
        <v>0</v>
      </c>
      <c r="E570">
        <v>1</v>
      </c>
      <c r="F570">
        <v>21</v>
      </c>
      <c r="G570" t="b">
        <v>0</v>
      </c>
      <c r="H570">
        <v>2</v>
      </c>
      <c r="I570">
        <v>1</v>
      </c>
      <c r="J570">
        <v>0.24</v>
      </c>
      <c r="K570">
        <v>0.2273</v>
      </c>
      <c r="L570">
        <v>0.65</v>
      </c>
      <c r="M570">
        <v>0.19400000000000001</v>
      </c>
      <c r="N570">
        <v>5</v>
      </c>
      <c r="O570">
        <v>40</v>
      </c>
      <c r="P570">
        <v>45</v>
      </c>
    </row>
    <row r="571" spans="1:16">
      <c r="A571">
        <v>570</v>
      </c>
      <c r="B571" s="1">
        <v>40568</v>
      </c>
      <c r="C571">
        <v>1</v>
      </c>
      <c r="D571">
        <v>0</v>
      </c>
      <c r="E571">
        <v>1</v>
      </c>
      <c r="F571">
        <v>22</v>
      </c>
      <c r="G571" t="b">
        <v>0</v>
      </c>
      <c r="H571">
        <v>2</v>
      </c>
      <c r="I571">
        <v>1</v>
      </c>
      <c r="J571">
        <v>0.22</v>
      </c>
      <c r="K571">
        <v>0.2273</v>
      </c>
      <c r="L571">
        <v>0.64</v>
      </c>
      <c r="M571">
        <v>0.16420000000000001</v>
      </c>
      <c r="N571">
        <v>4</v>
      </c>
      <c r="O571">
        <v>49</v>
      </c>
      <c r="P571">
        <v>53</v>
      </c>
    </row>
    <row r="572" spans="1:16">
      <c r="A572">
        <v>571</v>
      </c>
      <c r="B572" s="1">
        <v>40568</v>
      </c>
      <c r="C572">
        <v>1</v>
      </c>
      <c r="D572">
        <v>0</v>
      </c>
      <c r="E572">
        <v>1</v>
      </c>
      <c r="F572">
        <v>23</v>
      </c>
      <c r="G572" t="b">
        <v>0</v>
      </c>
      <c r="H572">
        <v>2</v>
      </c>
      <c r="I572">
        <v>2</v>
      </c>
      <c r="J572">
        <v>0.22</v>
      </c>
      <c r="K572">
        <v>0.2273</v>
      </c>
      <c r="L572">
        <v>0.64</v>
      </c>
      <c r="M572">
        <v>0.16420000000000001</v>
      </c>
      <c r="N572">
        <v>3</v>
      </c>
      <c r="O572">
        <v>37</v>
      </c>
      <c r="P572">
        <v>40</v>
      </c>
    </row>
    <row r="573" spans="1:16">
      <c r="A573">
        <v>572</v>
      </c>
      <c r="B573" s="1">
        <v>40569</v>
      </c>
      <c r="C573">
        <v>1</v>
      </c>
      <c r="D573">
        <v>0</v>
      </c>
      <c r="E573">
        <v>1</v>
      </c>
      <c r="F573">
        <v>0</v>
      </c>
      <c r="G573" t="b">
        <v>0</v>
      </c>
      <c r="H573">
        <v>3</v>
      </c>
      <c r="I573">
        <v>2</v>
      </c>
      <c r="J573">
        <v>0.22</v>
      </c>
      <c r="K573">
        <v>0.2273</v>
      </c>
      <c r="L573">
        <v>0.69</v>
      </c>
      <c r="M573">
        <v>0.1343</v>
      </c>
      <c r="N573">
        <v>3</v>
      </c>
      <c r="O573">
        <v>14</v>
      </c>
      <c r="P573">
        <v>17</v>
      </c>
    </row>
    <row r="574" spans="1:16">
      <c r="A574">
        <v>573</v>
      </c>
      <c r="B574" s="1">
        <v>40569</v>
      </c>
      <c r="C574">
        <v>1</v>
      </c>
      <c r="D574">
        <v>0</v>
      </c>
      <c r="E574">
        <v>1</v>
      </c>
      <c r="F574">
        <v>1</v>
      </c>
      <c r="G574" t="b">
        <v>0</v>
      </c>
      <c r="H574">
        <v>3</v>
      </c>
      <c r="I574">
        <v>2</v>
      </c>
      <c r="J574">
        <v>0.24</v>
      </c>
      <c r="K574">
        <v>0.2424</v>
      </c>
      <c r="L574">
        <v>0.65</v>
      </c>
      <c r="M574">
        <v>0.1343</v>
      </c>
      <c r="N574">
        <v>0</v>
      </c>
      <c r="O574">
        <v>5</v>
      </c>
      <c r="P574">
        <v>5</v>
      </c>
    </row>
    <row r="575" spans="1:16">
      <c r="A575">
        <v>574</v>
      </c>
      <c r="B575" s="1">
        <v>40569</v>
      </c>
      <c r="C575">
        <v>1</v>
      </c>
      <c r="D575">
        <v>0</v>
      </c>
      <c r="E575">
        <v>1</v>
      </c>
      <c r="F575">
        <v>2</v>
      </c>
      <c r="G575" t="b">
        <v>0</v>
      </c>
      <c r="H575">
        <v>3</v>
      </c>
      <c r="I575">
        <v>3</v>
      </c>
      <c r="J575">
        <v>0.22</v>
      </c>
      <c r="K575">
        <v>0.2273</v>
      </c>
      <c r="L575">
        <v>0.69</v>
      </c>
      <c r="M575">
        <v>0.19400000000000001</v>
      </c>
      <c r="N575">
        <v>3</v>
      </c>
      <c r="O575">
        <v>7</v>
      </c>
      <c r="P575">
        <v>10</v>
      </c>
    </row>
    <row r="576" spans="1:16">
      <c r="A576">
        <v>575</v>
      </c>
      <c r="B576" s="1">
        <v>40569</v>
      </c>
      <c r="C576">
        <v>1</v>
      </c>
      <c r="D576">
        <v>0</v>
      </c>
      <c r="E576">
        <v>1</v>
      </c>
      <c r="F576">
        <v>5</v>
      </c>
      <c r="G576" t="b">
        <v>0</v>
      </c>
      <c r="H576">
        <v>3</v>
      </c>
      <c r="I576">
        <v>3</v>
      </c>
      <c r="J576">
        <v>0.2</v>
      </c>
      <c r="K576">
        <v>0.18179999999999999</v>
      </c>
      <c r="L576">
        <v>0.86</v>
      </c>
      <c r="M576">
        <v>0.28360000000000002</v>
      </c>
      <c r="N576">
        <v>0</v>
      </c>
      <c r="O576">
        <v>1</v>
      </c>
      <c r="P576">
        <v>1</v>
      </c>
    </row>
    <row r="577" spans="1:16">
      <c r="A577">
        <v>576</v>
      </c>
      <c r="B577" s="1">
        <v>40569</v>
      </c>
      <c r="C577">
        <v>1</v>
      </c>
      <c r="D577">
        <v>0</v>
      </c>
      <c r="E577">
        <v>1</v>
      </c>
      <c r="F577">
        <v>6</v>
      </c>
      <c r="G577" t="b">
        <v>0</v>
      </c>
      <c r="H577">
        <v>3</v>
      </c>
      <c r="I577">
        <v>3</v>
      </c>
      <c r="J577">
        <v>0.2</v>
      </c>
      <c r="K577">
        <v>0.18179999999999999</v>
      </c>
      <c r="L577">
        <v>0.86</v>
      </c>
      <c r="M577">
        <v>0.28360000000000002</v>
      </c>
      <c r="N577">
        <v>0</v>
      </c>
      <c r="O577">
        <v>8</v>
      </c>
      <c r="P577">
        <v>8</v>
      </c>
    </row>
    <row r="578" spans="1:16">
      <c r="A578">
        <v>577</v>
      </c>
      <c r="B578" s="1">
        <v>40569</v>
      </c>
      <c r="C578">
        <v>1</v>
      </c>
      <c r="D578">
        <v>0</v>
      </c>
      <c r="E578">
        <v>1</v>
      </c>
      <c r="F578">
        <v>7</v>
      </c>
      <c r="G578" t="b">
        <v>0</v>
      </c>
      <c r="H578">
        <v>3</v>
      </c>
      <c r="I578">
        <v>3</v>
      </c>
      <c r="J578">
        <v>0.22</v>
      </c>
      <c r="K578">
        <v>0.21210000000000001</v>
      </c>
      <c r="L578">
        <v>0.87</v>
      </c>
      <c r="M578">
        <v>0.29849999999999999</v>
      </c>
      <c r="N578">
        <v>1</v>
      </c>
      <c r="O578">
        <v>29</v>
      </c>
      <c r="P578">
        <v>30</v>
      </c>
    </row>
    <row r="579" spans="1:16">
      <c r="A579">
        <v>578</v>
      </c>
      <c r="B579" s="1">
        <v>40569</v>
      </c>
      <c r="C579">
        <v>1</v>
      </c>
      <c r="D579">
        <v>0</v>
      </c>
      <c r="E579">
        <v>1</v>
      </c>
      <c r="F579">
        <v>8</v>
      </c>
      <c r="G579" t="b">
        <v>0</v>
      </c>
      <c r="H579">
        <v>3</v>
      </c>
      <c r="I579">
        <v>3</v>
      </c>
      <c r="J579">
        <v>0.22</v>
      </c>
      <c r="K579">
        <v>0.21210000000000001</v>
      </c>
      <c r="L579">
        <v>0.87</v>
      </c>
      <c r="M579">
        <v>0.29849999999999999</v>
      </c>
      <c r="N579">
        <v>3</v>
      </c>
      <c r="O579">
        <v>69</v>
      </c>
      <c r="P579">
        <v>72</v>
      </c>
    </row>
    <row r="580" spans="1:16">
      <c r="A580">
        <v>579</v>
      </c>
      <c r="B580" s="1">
        <v>40569</v>
      </c>
      <c r="C580">
        <v>1</v>
      </c>
      <c r="D580">
        <v>0</v>
      </c>
      <c r="E580">
        <v>1</v>
      </c>
      <c r="F580">
        <v>9</v>
      </c>
      <c r="G580" t="b">
        <v>0</v>
      </c>
      <c r="H580">
        <v>3</v>
      </c>
      <c r="I580">
        <v>3</v>
      </c>
      <c r="J580">
        <v>0.22</v>
      </c>
      <c r="K580">
        <v>0.21210000000000001</v>
      </c>
      <c r="L580">
        <v>0.87</v>
      </c>
      <c r="M580">
        <v>0.29849999999999999</v>
      </c>
      <c r="N580">
        <v>3</v>
      </c>
      <c r="O580">
        <v>55</v>
      </c>
      <c r="P580">
        <v>58</v>
      </c>
    </row>
    <row r="581" spans="1:16">
      <c r="A581">
        <v>580</v>
      </c>
      <c r="B581" s="1">
        <v>40569</v>
      </c>
      <c r="C581">
        <v>1</v>
      </c>
      <c r="D581">
        <v>0</v>
      </c>
      <c r="E581">
        <v>1</v>
      </c>
      <c r="F581">
        <v>10</v>
      </c>
      <c r="G581" t="b">
        <v>0</v>
      </c>
      <c r="H581">
        <v>3</v>
      </c>
      <c r="I581">
        <v>3</v>
      </c>
      <c r="J581">
        <v>0.22</v>
      </c>
      <c r="K581">
        <v>0.21210000000000001</v>
      </c>
      <c r="L581">
        <v>0.93</v>
      </c>
      <c r="M581">
        <v>0.28360000000000002</v>
      </c>
      <c r="N581">
        <v>2</v>
      </c>
      <c r="O581">
        <v>26</v>
      </c>
      <c r="P581">
        <v>28</v>
      </c>
    </row>
    <row r="582" spans="1:16">
      <c r="A582">
        <v>581</v>
      </c>
      <c r="B582" s="1">
        <v>40569</v>
      </c>
      <c r="C582">
        <v>1</v>
      </c>
      <c r="D582">
        <v>0</v>
      </c>
      <c r="E582">
        <v>1</v>
      </c>
      <c r="F582">
        <v>11</v>
      </c>
      <c r="G582" t="b">
        <v>0</v>
      </c>
      <c r="H582">
        <v>3</v>
      </c>
      <c r="I582">
        <v>3</v>
      </c>
      <c r="J582">
        <v>0.22</v>
      </c>
      <c r="K582">
        <v>0.19700000000000001</v>
      </c>
      <c r="L582">
        <v>0.93</v>
      </c>
      <c r="M582">
        <v>0.32840000000000003</v>
      </c>
      <c r="N582">
        <v>6</v>
      </c>
      <c r="O582">
        <v>35</v>
      </c>
      <c r="P582">
        <v>41</v>
      </c>
    </row>
    <row r="583" spans="1:16">
      <c r="A583">
        <v>582</v>
      </c>
      <c r="B583" s="1">
        <v>40569</v>
      </c>
      <c r="C583">
        <v>1</v>
      </c>
      <c r="D583">
        <v>0</v>
      </c>
      <c r="E583">
        <v>1</v>
      </c>
      <c r="F583">
        <v>12</v>
      </c>
      <c r="G583" t="b">
        <v>0</v>
      </c>
      <c r="H583">
        <v>3</v>
      </c>
      <c r="I583">
        <v>3</v>
      </c>
      <c r="J583">
        <v>0.22</v>
      </c>
      <c r="K583">
        <v>0.19700000000000001</v>
      </c>
      <c r="L583">
        <v>0.93</v>
      </c>
      <c r="M583">
        <v>0.32840000000000003</v>
      </c>
      <c r="N583">
        <v>7</v>
      </c>
      <c r="O583">
        <v>41</v>
      </c>
      <c r="P583">
        <v>48</v>
      </c>
    </row>
    <row r="584" spans="1:16">
      <c r="A584">
        <v>583</v>
      </c>
      <c r="B584" s="1">
        <v>40569</v>
      </c>
      <c r="C584">
        <v>1</v>
      </c>
      <c r="D584">
        <v>0</v>
      </c>
      <c r="E584">
        <v>1</v>
      </c>
      <c r="F584">
        <v>13</v>
      </c>
      <c r="G584" t="b">
        <v>0</v>
      </c>
      <c r="H584">
        <v>3</v>
      </c>
      <c r="I584">
        <v>3</v>
      </c>
      <c r="J584">
        <v>0.22</v>
      </c>
      <c r="K584">
        <v>0.19700000000000001</v>
      </c>
      <c r="L584">
        <v>0.93</v>
      </c>
      <c r="M584">
        <v>0.32840000000000003</v>
      </c>
      <c r="N584">
        <v>4</v>
      </c>
      <c r="O584">
        <v>43</v>
      </c>
      <c r="P584">
        <v>47</v>
      </c>
    </row>
    <row r="585" spans="1:16">
      <c r="A585">
        <v>584</v>
      </c>
      <c r="B585" s="1">
        <v>40569</v>
      </c>
      <c r="C585">
        <v>1</v>
      </c>
      <c r="D585">
        <v>0</v>
      </c>
      <c r="E585">
        <v>1</v>
      </c>
      <c r="F585">
        <v>14</v>
      </c>
      <c r="G585" t="b">
        <v>0</v>
      </c>
      <c r="H585">
        <v>3</v>
      </c>
      <c r="I585">
        <v>3</v>
      </c>
      <c r="J585">
        <v>0.22</v>
      </c>
      <c r="K585">
        <v>0.19700000000000001</v>
      </c>
      <c r="L585">
        <v>0.93</v>
      </c>
      <c r="M585">
        <v>0.35820000000000002</v>
      </c>
      <c r="N585">
        <v>0</v>
      </c>
      <c r="O585">
        <v>36</v>
      </c>
      <c r="P585">
        <v>36</v>
      </c>
    </row>
    <row r="586" spans="1:16">
      <c r="A586">
        <v>585</v>
      </c>
      <c r="B586" s="1">
        <v>40569</v>
      </c>
      <c r="C586">
        <v>1</v>
      </c>
      <c r="D586">
        <v>0</v>
      </c>
      <c r="E586">
        <v>1</v>
      </c>
      <c r="F586">
        <v>15</v>
      </c>
      <c r="G586" t="b">
        <v>0</v>
      </c>
      <c r="H586">
        <v>3</v>
      </c>
      <c r="I586">
        <v>3</v>
      </c>
      <c r="J586">
        <v>0.22</v>
      </c>
      <c r="K586">
        <v>0.18179999999999999</v>
      </c>
      <c r="L586">
        <v>0.93</v>
      </c>
      <c r="M586">
        <v>0.4627</v>
      </c>
      <c r="N586">
        <v>1</v>
      </c>
      <c r="O586">
        <v>42</v>
      </c>
      <c r="P586">
        <v>43</v>
      </c>
    </row>
    <row r="587" spans="1:16">
      <c r="A587">
        <v>586</v>
      </c>
      <c r="B587" s="1">
        <v>40569</v>
      </c>
      <c r="C587">
        <v>1</v>
      </c>
      <c r="D587">
        <v>0</v>
      </c>
      <c r="E587">
        <v>1</v>
      </c>
      <c r="F587">
        <v>16</v>
      </c>
      <c r="G587" t="b">
        <v>0</v>
      </c>
      <c r="H587">
        <v>3</v>
      </c>
      <c r="I587">
        <v>4</v>
      </c>
      <c r="J587">
        <v>0.22</v>
      </c>
      <c r="K587">
        <v>0.19700000000000001</v>
      </c>
      <c r="L587">
        <v>0.93</v>
      </c>
      <c r="M587">
        <v>0.32840000000000003</v>
      </c>
      <c r="N587">
        <v>1</v>
      </c>
      <c r="O587">
        <v>35</v>
      </c>
      <c r="P587">
        <v>36</v>
      </c>
    </row>
    <row r="588" spans="1:16">
      <c r="A588">
        <v>587</v>
      </c>
      <c r="B588" s="1">
        <v>40569</v>
      </c>
      <c r="C588">
        <v>1</v>
      </c>
      <c r="D588">
        <v>0</v>
      </c>
      <c r="E588">
        <v>1</v>
      </c>
      <c r="F588">
        <v>17</v>
      </c>
      <c r="G588" t="b">
        <v>0</v>
      </c>
      <c r="H588">
        <v>3</v>
      </c>
      <c r="I588">
        <v>3</v>
      </c>
      <c r="J588">
        <v>0.2</v>
      </c>
      <c r="K588">
        <v>0.18179999999999999</v>
      </c>
      <c r="L588">
        <v>0.93</v>
      </c>
      <c r="M588">
        <v>0.35820000000000002</v>
      </c>
      <c r="N588">
        <v>0</v>
      </c>
      <c r="O588">
        <v>26</v>
      </c>
      <c r="P588">
        <v>26</v>
      </c>
    </row>
    <row r="589" spans="1:16">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row>
    <row r="590" spans="1:16">
      <c r="A590">
        <v>589</v>
      </c>
      <c r="B590" s="1">
        <v>40570</v>
      </c>
      <c r="C590">
        <v>1</v>
      </c>
      <c r="D590">
        <v>0</v>
      </c>
      <c r="E590">
        <v>1</v>
      </c>
      <c r="F590">
        <v>17</v>
      </c>
      <c r="G590" t="b">
        <v>0</v>
      </c>
      <c r="H590">
        <v>4</v>
      </c>
      <c r="I590">
        <v>1</v>
      </c>
      <c r="J590">
        <v>0.22</v>
      </c>
      <c r="K590">
        <v>0.2424</v>
      </c>
      <c r="L590">
        <v>0.55000000000000004</v>
      </c>
      <c r="M590">
        <v>0.1045</v>
      </c>
      <c r="N590">
        <v>2</v>
      </c>
      <c r="O590">
        <v>82</v>
      </c>
      <c r="P590">
        <v>84</v>
      </c>
    </row>
    <row r="591" spans="1:16">
      <c r="A591">
        <v>590</v>
      </c>
      <c r="B591" s="1">
        <v>40570</v>
      </c>
      <c r="C591">
        <v>1</v>
      </c>
      <c r="D591">
        <v>0</v>
      </c>
      <c r="E591">
        <v>1</v>
      </c>
      <c r="F591">
        <v>18</v>
      </c>
      <c r="G591" t="b">
        <v>0</v>
      </c>
      <c r="H591">
        <v>4</v>
      </c>
      <c r="I591">
        <v>1</v>
      </c>
      <c r="J591">
        <v>0.2</v>
      </c>
      <c r="K591">
        <v>0.2273</v>
      </c>
      <c r="L591">
        <v>0.69</v>
      </c>
      <c r="M591">
        <v>8.9599999999999999E-2</v>
      </c>
      <c r="N591">
        <v>3</v>
      </c>
      <c r="O591">
        <v>101</v>
      </c>
      <c r="P591">
        <v>104</v>
      </c>
    </row>
    <row r="592" spans="1:16">
      <c r="A592">
        <v>591</v>
      </c>
      <c r="B592" s="1">
        <v>40570</v>
      </c>
      <c r="C592">
        <v>1</v>
      </c>
      <c r="D592">
        <v>0</v>
      </c>
      <c r="E592">
        <v>1</v>
      </c>
      <c r="F592">
        <v>19</v>
      </c>
      <c r="G592" t="b">
        <v>0</v>
      </c>
      <c r="H592">
        <v>4</v>
      </c>
      <c r="I592">
        <v>1</v>
      </c>
      <c r="J592">
        <v>0.2</v>
      </c>
      <c r="K592">
        <v>0.2273</v>
      </c>
      <c r="L592">
        <v>0.69</v>
      </c>
      <c r="M592">
        <v>8.9599999999999999E-2</v>
      </c>
      <c r="N592">
        <v>3</v>
      </c>
      <c r="O592">
        <v>76</v>
      </c>
      <c r="P592">
        <v>79</v>
      </c>
    </row>
    <row r="593" spans="1:16">
      <c r="A593">
        <v>592</v>
      </c>
      <c r="B593" s="1">
        <v>40570</v>
      </c>
      <c r="C593">
        <v>1</v>
      </c>
      <c r="D593">
        <v>0</v>
      </c>
      <c r="E593">
        <v>1</v>
      </c>
      <c r="F593">
        <v>20</v>
      </c>
      <c r="G593" t="b">
        <v>0</v>
      </c>
      <c r="H593">
        <v>4</v>
      </c>
      <c r="I593">
        <v>1</v>
      </c>
      <c r="J593">
        <v>0.18</v>
      </c>
      <c r="K593">
        <v>0.21210000000000001</v>
      </c>
      <c r="L593">
        <v>0.74</v>
      </c>
      <c r="M593">
        <v>8.9599999999999999E-2</v>
      </c>
      <c r="N593">
        <v>4</v>
      </c>
      <c r="O593">
        <v>55</v>
      </c>
      <c r="P593">
        <v>59</v>
      </c>
    </row>
    <row r="594" spans="1:16">
      <c r="A594">
        <v>593</v>
      </c>
      <c r="B594" s="1">
        <v>40570</v>
      </c>
      <c r="C594">
        <v>1</v>
      </c>
      <c r="D594">
        <v>0</v>
      </c>
      <c r="E594">
        <v>1</v>
      </c>
      <c r="F594">
        <v>21</v>
      </c>
      <c r="G594" t="b">
        <v>0</v>
      </c>
      <c r="H594">
        <v>4</v>
      </c>
      <c r="I594">
        <v>1</v>
      </c>
      <c r="J594">
        <v>0.18</v>
      </c>
      <c r="K594">
        <v>0.21210000000000001</v>
      </c>
      <c r="L594">
        <v>0.74</v>
      </c>
      <c r="M594">
        <v>8.9599999999999999E-2</v>
      </c>
      <c r="N594">
        <v>2</v>
      </c>
      <c r="O594">
        <v>36</v>
      </c>
      <c r="P594">
        <v>38</v>
      </c>
    </row>
    <row r="595" spans="1:16">
      <c r="A595">
        <v>594</v>
      </c>
      <c r="B595" s="1">
        <v>40570</v>
      </c>
      <c r="C595">
        <v>1</v>
      </c>
      <c r="D595">
        <v>0</v>
      </c>
      <c r="E595">
        <v>1</v>
      </c>
      <c r="F595">
        <v>22</v>
      </c>
      <c r="G595" t="b">
        <v>0</v>
      </c>
      <c r="H595">
        <v>4</v>
      </c>
      <c r="I595">
        <v>1</v>
      </c>
      <c r="J595">
        <v>0.18</v>
      </c>
      <c r="K595">
        <v>0.21210000000000001</v>
      </c>
      <c r="L595">
        <v>0.74</v>
      </c>
      <c r="M595">
        <v>8.9599999999999999E-2</v>
      </c>
      <c r="N595">
        <v>0</v>
      </c>
      <c r="O595">
        <v>27</v>
      </c>
      <c r="P595">
        <v>27</v>
      </c>
    </row>
    <row r="596" spans="1:16">
      <c r="A596">
        <v>595</v>
      </c>
      <c r="B596" s="1">
        <v>40570</v>
      </c>
      <c r="C596">
        <v>1</v>
      </c>
      <c r="D596">
        <v>0</v>
      </c>
      <c r="E596">
        <v>1</v>
      </c>
      <c r="F596">
        <v>23</v>
      </c>
      <c r="G596" t="b">
        <v>0</v>
      </c>
      <c r="H596">
        <v>4</v>
      </c>
      <c r="I596">
        <v>1</v>
      </c>
      <c r="J596">
        <v>0.18</v>
      </c>
      <c r="K596">
        <v>0.19700000000000001</v>
      </c>
      <c r="L596">
        <v>0.8</v>
      </c>
      <c r="M596">
        <v>0.16420000000000001</v>
      </c>
      <c r="N596">
        <v>0</v>
      </c>
      <c r="O596">
        <v>16</v>
      </c>
      <c r="P596">
        <v>16</v>
      </c>
    </row>
    <row r="597" spans="1:16">
      <c r="A597">
        <v>596</v>
      </c>
      <c r="B597" s="1">
        <v>40571</v>
      </c>
      <c r="C597">
        <v>1</v>
      </c>
      <c r="D597">
        <v>0</v>
      </c>
      <c r="E597">
        <v>1</v>
      </c>
      <c r="F597">
        <v>0</v>
      </c>
      <c r="G597" t="b">
        <v>0</v>
      </c>
      <c r="H597">
        <v>5</v>
      </c>
      <c r="I597">
        <v>2</v>
      </c>
      <c r="J597">
        <v>0.2</v>
      </c>
      <c r="K597">
        <v>0.21210000000000001</v>
      </c>
      <c r="L597">
        <v>0.75</v>
      </c>
      <c r="M597">
        <v>0.1343</v>
      </c>
      <c r="N597">
        <v>0</v>
      </c>
      <c r="O597">
        <v>9</v>
      </c>
      <c r="P597">
        <v>9</v>
      </c>
    </row>
    <row r="598" spans="1:16">
      <c r="A598">
        <v>597</v>
      </c>
      <c r="B598" s="1">
        <v>40571</v>
      </c>
      <c r="C598">
        <v>1</v>
      </c>
      <c r="D598">
        <v>0</v>
      </c>
      <c r="E598">
        <v>1</v>
      </c>
      <c r="F598">
        <v>1</v>
      </c>
      <c r="G598" t="b">
        <v>0</v>
      </c>
      <c r="H598">
        <v>5</v>
      </c>
      <c r="I598">
        <v>2</v>
      </c>
      <c r="J598">
        <v>0.2</v>
      </c>
      <c r="K598">
        <v>0.21210000000000001</v>
      </c>
      <c r="L598">
        <v>0.75</v>
      </c>
      <c r="M598">
        <v>0.1343</v>
      </c>
      <c r="N598">
        <v>1</v>
      </c>
      <c r="O598">
        <v>2</v>
      </c>
      <c r="P598">
        <v>3</v>
      </c>
    </row>
    <row r="599" spans="1:16">
      <c r="A599">
        <v>598</v>
      </c>
      <c r="B599" s="1">
        <v>40571</v>
      </c>
      <c r="C599">
        <v>1</v>
      </c>
      <c r="D599">
        <v>0</v>
      </c>
      <c r="E599">
        <v>1</v>
      </c>
      <c r="F599">
        <v>2</v>
      </c>
      <c r="G599" t="b">
        <v>0</v>
      </c>
      <c r="H599">
        <v>5</v>
      </c>
      <c r="I599">
        <v>2</v>
      </c>
      <c r="J599">
        <v>0.2</v>
      </c>
      <c r="K599">
        <v>0.21210000000000001</v>
      </c>
      <c r="L599">
        <v>0.75</v>
      </c>
      <c r="M599">
        <v>0.16420000000000001</v>
      </c>
      <c r="N599">
        <v>0</v>
      </c>
      <c r="O599">
        <v>2</v>
      </c>
      <c r="P599">
        <v>2</v>
      </c>
    </row>
    <row r="600" spans="1:16">
      <c r="A600">
        <v>599</v>
      </c>
      <c r="B600" s="1">
        <v>40571</v>
      </c>
      <c r="C600">
        <v>1</v>
      </c>
      <c r="D600">
        <v>0</v>
      </c>
      <c r="E600">
        <v>1</v>
      </c>
      <c r="F600">
        <v>3</v>
      </c>
      <c r="G600" t="b">
        <v>0</v>
      </c>
      <c r="H600">
        <v>5</v>
      </c>
      <c r="I600">
        <v>2</v>
      </c>
      <c r="J600">
        <v>0.2</v>
      </c>
      <c r="K600">
        <v>0.2273</v>
      </c>
      <c r="L600">
        <v>0.75</v>
      </c>
      <c r="M600">
        <v>0.1045</v>
      </c>
      <c r="N600">
        <v>1</v>
      </c>
      <c r="O600">
        <v>0</v>
      </c>
      <c r="P600">
        <v>1</v>
      </c>
    </row>
    <row r="601" spans="1:16">
      <c r="A601">
        <v>600</v>
      </c>
      <c r="B601" s="1">
        <v>40571</v>
      </c>
      <c r="C601">
        <v>1</v>
      </c>
      <c r="D601">
        <v>0</v>
      </c>
      <c r="E601">
        <v>1</v>
      </c>
      <c r="F601">
        <v>5</v>
      </c>
      <c r="G601" t="b">
        <v>0</v>
      </c>
      <c r="H601">
        <v>5</v>
      </c>
      <c r="I601">
        <v>2</v>
      </c>
      <c r="J601">
        <v>0.18</v>
      </c>
      <c r="K601">
        <v>0.21210000000000001</v>
      </c>
      <c r="L601">
        <v>0.8</v>
      </c>
      <c r="M601">
        <v>0.1045</v>
      </c>
      <c r="N601">
        <v>0</v>
      </c>
      <c r="O601">
        <v>4</v>
      </c>
      <c r="P601">
        <v>4</v>
      </c>
    </row>
    <row r="602" spans="1:16">
      <c r="A602">
        <v>601</v>
      </c>
      <c r="B602" s="1">
        <v>40571</v>
      </c>
      <c r="C602">
        <v>1</v>
      </c>
      <c r="D602">
        <v>0</v>
      </c>
      <c r="E602">
        <v>1</v>
      </c>
      <c r="F602">
        <v>6</v>
      </c>
      <c r="G602" t="b">
        <v>0</v>
      </c>
      <c r="H602">
        <v>5</v>
      </c>
      <c r="I602">
        <v>2</v>
      </c>
      <c r="J602">
        <v>0.18</v>
      </c>
      <c r="K602">
        <v>0.19700000000000001</v>
      </c>
      <c r="L602">
        <v>0.8</v>
      </c>
      <c r="M602">
        <v>0.1343</v>
      </c>
      <c r="N602">
        <v>0</v>
      </c>
      <c r="O602">
        <v>16</v>
      </c>
      <c r="P602">
        <v>16</v>
      </c>
    </row>
    <row r="603" spans="1:16">
      <c r="A603">
        <v>602</v>
      </c>
      <c r="B603" s="1">
        <v>40571</v>
      </c>
      <c r="C603">
        <v>1</v>
      </c>
      <c r="D603">
        <v>0</v>
      </c>
      <c r="E603">
        <v>1</v>
      </c>
      <c r="F603">
        <v>7</v>
      </c>
      <c r="G603" t="b">
        <v>0</v>
      </c>
      <c r="H603">
        <v>5</v>
      </c>
      <c r="I603">
        <v>2</v>
      </c>
      <c r="J603">
        <v>0.16</v>
      </c>
      <c r="K603">
        <v>0.19700000000000001</v>
      </c>
      <c r="L603">
        <v>0.86</v>
      </c>
      <c r="M603">
        <v>8.9599999999999999E-2</v>
      </c>
      <c r="N603">
        <v>2</v>
      </c>
      <c r="O603">
        <v>58</v>
      </c>
      <c r="P603">
        <v>60</v>
      </c>
    </row>
    <row r="604" spans="1:16">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row>
    <row r="605" spans="1:16">
      <c r="A605">
        <v>604</v>
      </c>
      <c r="B605" s="1">
        <v>40571</v>
      </c>
      <c r="C605">
        <v>1</v>
      </c>
      <c r="D605">
        <v>0</v>
      </c>
      <c r="E605">
        <v>1</v>
      </c>
      <c r="F605">
        <v>9</v>
      </c>
      <c r="G605" t="b">
        <v>0</v>
      </c>
      <c r="H605">
        <v>5</v>
      </c>
      <c r="I605">
        <v>3</v>
      </c>
      <c r="J605">
        <v>0.18</v>
      </c>
      <c r="K605">
        <v>0.21210000000000001</v>
      </c>
      <c r="L605">
        <v>0.86</v>
      </c>
      <c r="M605">
        <v>8.9599999999999999E-2</v>
      </c>
      <c r="N605">
        <v>6</v>
      </c>
      <c r="O605">
        <v>95</v>
      </c>
      <c r="P605">
        <v>101</v>
      </c>
    </row>
    <row r="606" spans="1:16">
      <c r="A606">
        <v>605</v>
      </c>
      <c r="B606" s="1">
        <v>40571</v>
      </c>
      <c r="C606">
        <v>1</v>
      </c>
      <c r="D606">
        <v>0</v>
      </c>
      <c r="E606">
        <v>1</v>
      </c>
      <c r="F606">
        <v>10</v>
      </c>
      <c r="G606" t="b">
        <v>0</v>
      </c>
      <c r="H606">
        <v>5</v>
      </c>
      <c r="I606">
        <v>3</v>
      </c>
      <c r="J606">
        <v>0.18</v>
      </c>
      <c r="K606">
        <v>0.21210000000000001</v>
      </c>
      <c r="L606">
        <v>0.86</v>
      </c>
      <c r="M606">
        <v>0.1045</v>
      </c>
      <c r="N606">
        <v>0</v>
      </c>
      <c r="O606">
        <v>49</v>
      </c>
      <c r="P606">
        <v>49</v>
      </c>
    </row>
    <row r="607" spans="1:16">
      <c r="A607">
        <v>606</v>
      </c>
      <c r="B607" s="1">
        <v>40571</v>
      </c>
      <c r="C607">
        <v>1</v>
      </c>
      <c r="D607">
        <v>0</v>
      </c>
      <c r="E607">
        <v>1</v>
      </c>
      <c r="F607">
        <v>11</v>
      </c>
      <c r="G607" t="b">
        <v>0</v>
      </c>
      <c r="H607">
        <v>5</v>
      </c>
      <c r="I607">
        <v>3</v>
      </c>
      <c r="J607">
        <v>0.18</v>
      </c>
      <c r="K607">
        <v>0.21210000000000001</v>
      </c>
      <c r="L607">
        <v>0.93</v>
      </c>
      <c r="M607">
        <v>0.1045</v>
      </c>
      <c r="N607">
        <v>0</v>
      </c>
      <c r="O607">
        <v>30</v>
      </c>
      <c r="P607">
        <v>30</v>
      </c>
    </row>
    <row r="608" spans="1:16">
      <c r="A608">
        <v>607</v>
      </c>
      <c r="B608" s="1">
        <v>40571</v>
      </c>
      <c r="C608">
        <v>1</v>
      </c>
      <c r="D608">
        <v>0</v>
      </c>
      <c r="E608">
        <v>1</v>
      </c>
      <c r="F608">
        <v>12</v>
      </c>
      <c r="G608" t="b">
        <v>0</v>
      </c>
      <c r="H608">
        <v>5</v>
      </c>
      <c r="I608">
        <v>3</v>
      </c>
      <c r="J608">
        <v>0.18</v>
      </c>
      <c r="K608">
        <v>0.21210000000000001</v>
      </c>
      <c r="L608">
        <v>0.93</v>
      </c>
      <c r="M608">
        <v>0.1045</v>
      </c>
      <c r="N608">
        <v>1</v>
      </c>
      <c r="O608">
        <v>28</v>
      </c>
      <c r="P608">
        <v>29</v>
      </c>
    </row>
    <row r="609" spans="1:16">
      <c r="A609">
        <v>608</v>
      </c>
      <c r="B609" s="1">
        <v>40571</v>
      </c>
      <c r="C609">
        <v>1</v>
      </c>
      <c r="D609">
        <v>0</v>
      </c>
      <c r="E609">
        <v>1</v>
      </c>
      <c r="F609">
        <v>13</v>
      </c>
      <c r="G609" t="b">
        <v>0</v>
      </c>
      <c r="H609">
        <v>5</v>
      </c>
      <c r="I609">
        <v>3</v>
      </c>
      <c r="J609">
        <v>0.18</v>
      </c>
      <c r="K609">
        <v>0.21210000000000001</v>
      </c>
      <c r="L609">
        <v>0.93</v>
      </c>
      <c r="M609">
        <v>0.1045</v>
      </c>
      <c r="N609">
        <v>0</v>
      </c>
      <c r="O609">
        <v>31</v>
      </c>
      <c r="P609">
        <v>31</v>
      </c>
    </row>
    <row r="610" spans="1:16">
      <c r="A610">
        <v>609</v>
      </c>
      <c r="B610" s="1">
        <v>40571</v>
      </c>
      <c r="C610">
        <v>1</v>
      </c>
      <c r="D610">
        <v>0</v>
      </c>
      <c r="E610">
        <v>1</v>
      </c>
      <c r="F610">
        <v>14</v>
      </c>
      <c r="G610" t="b">
        <v>0</v>
      </c>
      <c r="H610">
        <v>5</v>
      </c>
      <c r="I610">
        <v>3</v>
      </c>
      <c r="J610">
        <v>0.22</v>
      </c>
      <c r="K610">
        <v>0.2727</v>
      </c>
      <c r="L610">
        <v>0.8</v>
      </c>
      <c r="M610">
        <v>0</v>
      </c>
      <c r="N610">
        <v>2</v>
      </c>
      <c r="O610">
        <v>36</v>
      </c>
      <c r="P610">
        <v>38</v>
      </c>
    </row>
    <row r="611" spans="1:16">
      <c r="A611">
        <v>610</v>
      </c>
      <c r="B611" s="1">
        <v>40571</v>
      </c>
      <c r="C611">
        <v>1</v>
      </c>
      <c r="D611">
        <v>0</v>
      </c>
      <c r="E611">
        <v>1</v>
      </c>
      <c r="F611">
        <v>15</v>
      </c>
      <c r="G611" t="b">
        <v>0</v>
      </c>
      <c r="H611">
        <v>5</v>
      </c>
      <c r="I611">
        <v>2</v>
      </c>
      <c r="J611">
        <v>0.2</v>
      </c>
      <c r="K611">
        <v>0.2576</v>
      </c>
      <c r="L611">
        <v>0.86</v>
      </c>
      <c r="M611">
        <v>0</v>
      </c>
      <c r="N611">
        <v>1</v>
      </c>
      <c r="O611">
        <v>40</v>
      </c>
      <c r="P611">
        <v>41</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81A353-0CE4-4F84-941D-EE10676D1F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Anamoly detection</vt:lpstr>
      <vt:lpstr>Demand forecast</vt:lpstr>
      <vt:lpstr>pivot</vt:lpstr>
      <vt:lpstr>working data</vt:lpstr>
      <vt:lpstr>Merged raw data</vt:lpstr>
      <vt:lpstr>outliers</vt:lpstr>
      <vt:lpstr>dataset_3</vt:lpstr>
      <vt:lpstr>Merge1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Ajith Kumar</dc:creator>
  <cp:lastModifiedBy>Ajith Kumar</cp:lastModifiedBy>
  <dcterms:created xsi:type="dcterms:W3CDTF">2015-06-05T18:17:20Z</dcterms:created>
  <dcterms:modified xsi:type="dcterms:W3CDTF">2026-10-11T20:56:55Z</dcterms:modified>
</cp:coreProperties>
</file>